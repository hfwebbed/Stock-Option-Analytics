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charts/chart9.xml" ContentType="application/vnd.openxmlformats-officedocument.drawingml.chart+xml"/>
  <Override PartName="/xl/charts/chart8.xml" ContentType="application/vnd.openxmlformats-officedocument.drawingml.chart+xml"/>
  <Override PartName="/xl/charts/chart7.xml" ContentType="application/vnd.openxmlformats-officedocument.drawingml.chart+xml"/>
  <Override PartName="/xl/charts/chart6.xml" ContentType="application/vnd.openxmlformats-officedocument.drawingml.chart+xml"/>
  <Override PartName="/xl/charts/chart10.xml" ContentType="application/vnd.openxmlformats-officedocument.drawingml.chart+xml"/>
  <Override PartName="/xl/charts/chart5.xml" ContentType="application/vnd.openxmlformats-officedocument.drawingml.chart+xml"/>
  <Override PartName="/xl/charts/chart4.xml" ContentType="application/vnd.openxmlformats-officedocument.drawingml.chart+xml"/>
  <Override PartName="/xl/charts/chart3.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sharedStrings.xml" ContentType="application/vnd.openxmlformats-officedocument.spreadsheetml.sharedStrings+xml"/>
  <Override PartName="/xl/styles.xml" ContentType="application/vnd.openxmlformats-officedocument.spreadsheetml.styles+xml"/>
  <Override PartName="/xl/worksheets/sheet5.xml" ContentType="application/vnd.openxmlformats-officedocument.spreadsheetml.worksheet+xml"/>
  <Override PartName="/xl/worksheets/sheet4.xml" ContentType="application/vnd.openxmlformats-officedocument.spreadsheetml.worksheet+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vbaProject.bin" ContentType="application/vnd.ms-office.vbaProject"/>
  <Override PartName="/xl/comments2.xml" ContentType="application/vnd.openxmlformats-officedocument.spreadsheetml.comments+xml"/>
  <Override PartName="/xl/drawings/vmlDrawing1.vml" ContentType="application/vnd.openxmlformats-officedocument.vmlDrawing"/>
  <Override PartName="/xl/drawings/_rels/drawing2.xml.rels" ContentType="application/vnd.openxmlformats-package.relationships+xml"/>
  <Override PartName="/xl/drawings/_rels/drawing1.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workbook.xml" ContentType="application/vnd.ms-excel.sheet.macroEnabled.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ummary" sheetId="1" state="visible" r:id="rId3"/>
    <sheet name="Analysis" sheetId="2" state="visible" r:id="rId4"/>
    <sheet name="Data" sheetId="3" state="visible" r:id="rId5"/>
    <sheet name="Drop Down Sheet" sheetId="4" state="visible" r:id="rId6"/>
    <sheet name="resrouce" sheetId="5" state="visible" r:id="rId7"/>
  </sheets>
  <definedNames>
    <definedName function="false" hidden="false" localSheetId="1" name="_xlnm.Print_Area" vbProcedure="false">Analysis!$B$1:$S$99</definedName>
    <definedName function="false" hidden="false" name="endDate" vbProcedure="false">Summary!$B$6</definedName>
    <definedName function="false" hidden="false" name="Sentiment" vbProcedure="false">'Drop Down Sheet'!$A$3:$A$5</definedName>
    <definedName function="false" hidden="false" name="startDate" vbProcedure="false">Summary!$B$5</definedName>
    <definedName function="false" hidden="false" name="ticker" vbProcedure="false">Summary!$B$4</definedName>
    <definedName function="false" hidden="false" name="Total_Features" vbProcedure="false">#REF!</definedName>
    <definedName function="false" hidden="false" localSheetId="1" name="solver_eng" vbProcedure="false">1</definedName>
    <definedName function="false" hidden="false" localSheetId="1" name="solver_lin" vbProcedure="false">2</definedName>
    <definedName function="false" hidden="false" localSheetId="1" name="solver_neg" vbProcedure="false">2</definedName>
    <definedName function="false" hidden="false" localSheetId="1" name="solver_num" vbProcedure="false">0</definedName>
    <definedName function="false" hidden="false" localSheetId="1" name="solver_opt" vbProcedure="false">Analysis!$BI$1</definedName>
    <definedName function="false" hidden="false" localSheetId="1" name="solver_typ" vbProcedure="false">1</definedName>
    <definedName function="false" hidden="false" localSheetId="1" name="solver_val" vbProcedure="false">0</definedName>
    <definedName function="false" hidden="false" localSheetId="1" name="solver_ver" vbProcedure="false">2</definedName>
    <definedName function="false" hidden="false" localSheetId="1" name="Total_Features" vbProcedure="false">Analysis!$F$95</definedName>
    <definedName function="false" hidden="false" localSheetId="1" name="_xlnm.Print_Area" vbProcedure="false">Analysis!$B$1:$S$99</definedName>
    <definedName function="false" hidden="false" localSheetId="1" name="_xlnm.Print_Area_0" vbProcedure="false">Analysis!$B$1:$S$99</definedName>
    <definedName function="false" hidden="false" localSheetId="1" name="_xlnm.Print_Area_0_0" vbProcedure="false">Analysis!$B$1:$S$99</definedName>
    <definedName function="false" hidden="false" localSheetId="1" name="_xlnm._FilterDatabase" vbProcedure="false">Analysis!$F$6:$S$81</definedName>
    <definedName function="false" hidden="false" localSheetId="2" name="ExternalData_1" vbProcedure="false">Data!$A$1:$A$1039</definedName>
    <definedName function="false" hidden="false" localSheetId="2" name="ExternalData_10" vbProcedure="false">Data!$A$1:$A$1039</definedName>
    <definedName function="false" hidden="false" localSheetId="2" name="ExternalData_100" vbProcedure="false">Data!$A$1:$A$1038</definedName>
    <definedName function="false" hidden="false" localSheetId="2" name="ExternalData_101" vbProcedure="false">Data!$A$1:$A$1038</definedName>
    <definedName function="false" hidden="false" localSheetId="2" name="ExternalData_102" vbProcedure="false">Data!$A$1:$A$1038</definedName>
    <definedName function="false" hidden="false" localSheetId="2" name="ExternalData_103" vbProcedure="false">Data!$A$1:$A$1038</definedName>
    <definedName function="false" hidden="false" localSheetId="2" name="ExternalData_104" vbProcedure="false">Data!$A$1:$A$1036</definedName>
    <definedName function="false" hidden="false" localSheetId="2" name="ExternalData_105" vbProcedure="false">Data!$A$1:$A$1038</definedName>
    <definedName function="false" hidden="false" localSheetId="2" name="ExternalData_106" vbProcedure="false">Data!$A$1:$A$667</definedName>
    <definedName function="false" hidden="false" localSheetId="2" name="ExternalData_107" vbProcedure="false">Data!$A$1:$A$672</definedName>
    <definedName function="false" hidden="false" localSheetId="2" name="ExternalData_108" vbProcedure="false">Data!$A$1:$A$270</definedName>
    <definedName function="false" hidden="false" localSheetId="2" name="ExternalData_109" vbProcedure="false">Data!$A$1:$A$270</definedName>
    <definedName function="false" hidden="false" localSheetId="2" name="ExternalData_11" vbProcedure="false">Data!$A$1:$A$1039</definedName>
    <definedName function="false" hidden="false" localSheetId="2" name="ExternalData_110" vbProcedure="false">Data!$A$1:$A$531</definedName>
    <definedName function="false" hidden="false" localSheetId="2" name="ExternalData_111" vbProcedure="false">Data!$A$1:$A$531</definedName>
    <definedName function="false" hidden="false" localSheetId="2" name="ExternalData_112" vbProcedure="false">Data!$A$1:$A$723</definedName>
    <definedName function="false" hidden="false" localSheetId="2" name="ExternalData_113" vbProcedure="false">Data!$A$1:$A$959</definedName>
    <definedName function="false" hidden="false" localSheetId="2" name="ExternalData_114" vbProcedure="false">Data!$A$1:$A$959</definedName>
    <definedName function="false" hidden="false" localSheetId="2" name="ExternalData_115" vbProcedure="false">Data!$A$1:$A$1038</definedName>
    <definedName function="false" hidden="false" localSheetId="2" name="ExternalData_116" vbProcedure="false">Data!$A$1:$A$672</definedName>
    <definedName function="false" hidden="false" localSheetId="2" name="ExternalData_117" vbProcedure="false">Data!$A$1:$A$674</definedName>
    <definedName function="false" hidden="false" localSheetId="2" name="ExternalData_118" vbProcedure="false">Data!$A$1:$A$1038</definedName>
    <definedName function="false" hidden="false" localSheetId="2" name="ExternalData_119" vbProcedure="false">Data!$A$1:$A$1038</definedName>
    <definedName function="false" hidden="false" localSheetId="2" name="ExternalData_12" vbProcedure="false">Data!$A$1:$A$1039</definedName>
    <definedName function="false" hidden="false" localSheetId="2" name="ExternalData_120" vbProcedure="false">Data!$A$1:$A$1038</definedName>
    <definedName function="false" hidden="false" localSheetId="2" name="ExternalData_121" vbProcedure="false">Data!$A$1:$A$1037</definedName>
    <definedName function="false" hidden="false" localSheetId="2" name="ExternalData_122" vbProcedure="false">Data!$A$1:$A$1037</definedName>
    <definedName function="false" hidden="false" localSheetId="2" name="ExternalData_123" vbProcedure="false">Data!$A$1:$A$1037</definedName>
    <definedName function="false" hidden="false" localSheetId="2" name="ExternalData_124" vbProcedure="false">Data!$A$1:$A$1037</definedName>
    <definedName function="false" hidden="false" localSheetId="2" name="ExternalData_125" vbProcedure="false">Data!$A$1:$A$1037</definedName>
    <definedName function="false" hidden="false" localSheetId="2" name="ExternalData_126" vbProcedure="false">Data!$A$1:$A$1039</definedName>
    <definedName function="false" hidden="false" localSheetId="2" name="ExternalData_127" vbProcedure="false">Data!$A$1:$A$1039</definedName>
    <definedName function="false" hidden="false" localSheetId="2" name="ExternalData_128" vbProcedure="false">Data!$A$1:$A$1039</definedName>
    <definedName function="false" hidden="false" localSheetId="2" name="ExternalData_129" vbProcedure="false">Data!$A$1:$A$1039</definedName>
    <definedName function="false" hidden="false" localSheetId="2" name="ExternalData_13" vbProcedure="false">Data!$A$1:$A$1038</definedName>
    <definedName function="false" hidden="false" localSheetId="2" name="ExternalData_14" vbProcedure="false">Data!$A$1:$A$1037</definedName>
    <definedName function="false" hidden="false" localSheetId="2" name="ExternalData_16" vbProcedure="false">Data!$A$1:$A$1037</definedName>
    <definedName function="false" hidden="false" localSheetId="2" name="ExternalData_17" vbProcedure="false">Data!$A$1:$A$1037</definedName>
    <definedName function="false" hidden="false" localSheetId="2" name="ExternalData_18" vbProcedure="false">Data!$A$1:$A$1037</definedName>
    <definedName function="false" hidden="false" localSheetId="2" name="ExternalData_19" vbProcedure="false">Data!$A$1:$A$1036</definedName>
    <definedName function="false" hidden="false" localSheetId="2" name="ExternalData_2" vbProcedure="false">Data!$A$1:$A$1039</definedName>
    <definedName function="false" hidden="false" localSheetId="2" name="ExternalData_20" vbProcedure="false">Data!$A$1:$A$1036</definedName>
    <definedName function="false" hidden="false" localSheetId="2" name="ExternalData_21" vbProcedure="false">Data!$A$1:$A$1038</definedName>
    <definedName function="false" hidden="false" localSheetId="2" name="ExternalData_22" vbProcedure="false">Data!$A$1:$A$1038</definedName>
    <definedName function="false" hidden="false" localSheetId="2" name="ExternalData_23" vbProcedure="false">Data!$A$1:$A$1037</definedName>
    <definedName function="false" hidden="false" localSheetId="2" name="ExternalData_24" vbProcedure="false">Data!$A$1:$A$1037</definedName>
    <definedName function="false" hidden="false" localSheetId="2" name="ExternalData_25" vbProcedure="false">Data!$A$1:$A$1037</definedName>
    <definedName function="false" hidden="false" localSheetId="2" name="ExternalData_26" vbProcedure="false">Data!$A$1:$A$1037</definedName>
    <definedName function="false" hidden="false" localSheetId="2" name="ExternalData_27" vbProcedure="false">Data!$A$1:$A$1037</definedName>
    <definedName function="false" hidden="false" localSheetId="2" name="ExternalData_28" vbProcedure="false">Data!$A$1:$A$1037</definedName>
    <definedName function="false" hidden="false" localSheetId="2" name="ExternalData_29" vbProcedure="false">Data!$A$1:$A$1037</definedName>
    <definedName function="false" hidden="false" localSheetId="2" name="ExternalData_3" vbProcedure="false">Data!$A$1:$A$1039</definedName>
    <definedName function="false" hidden="false" localSheetId="2" name="ExternalData_30" vbProcedure="false">Data!$A$1:$A$1037</definedName>
    <definedName function="false" hidden="false" localSheetId="2" name="ExternalData_31" vbProcedure="false">Data!$A$1:$A$1037</definedName>
    <definedName function="false" hidden="false" localSheetId="2" name="ExternalData_32" vbProcedure="false">Data!$A$1:$A$1037</definedName>
    <definedName function="false" hidden="false" localSheetId="2" name="ExternalData_33" vbProcedure="false">Data!$A$1:$A$1037</definedName>
    <definedName function="false" hidden="false" localSheetId="2" name="ExternalData_34" vbProcedure="false">Data!$A$1:$A$1037</definedName>
    <definedName function="false" hidden="false" localSheetId="2" name="ExternalData_35" vbProcedure="false">Data!$A$1:$A$1037</definedName>
    <definedName function="false" hidden="false" localSheetId="2" name="ExternalData_36" vbProcedure="false">Data!$A$1:$A$1037</definedName>
    <definedName function="false" hidden="false" localSheetId="2" name="ExternalData_37" vbProcedure="false">Data!$A$1:$A$1037</definedName>
    <definedName function="false" hidden="false" localSheetId="2" name="ExternalData_38" vbProcedure="false">Data!$A$1:$A$1037</definedName>
    <definedName function="false" hidden="false" localSheetId="2" name="ExternalData_39" vbProcedure="false">Data!$A$1:$A$1037</definedName>
    <definedName function="false" hidden="false" localSheetId="2" name="ExternalData_4" vbProcedure="false">Data!$A$1:$A$1039</definedName>
    <definedName function="false" hidden="false" localSheetId="2" name="ExternalData_40" vbProcedure="false">Data!$A$1:$A$1037</definedName>
    <definedName function="false" hidden="false" localSheetId="2" name="ExternalData_41" vbProcedure="false">Data!$A$1:$A$1037</definedName>
    <definedName function="false" hidden="false" localSheetId="2" name="ExternalData_42" vbProcedure="false">Data!$A$1:$A$1037</definedName>
    <definedName function="false" hidden="false" localSheetId="2" name="ExternalData_43" vbProcedure="false">Data!$A$1:$A$1036</definedName>
    <definedName function="false" hidden="false" localSheetId="2" name="ExternalData_44" vbProcedure="false">Data!$A$1:$A$1036</definedName>
    <definedName function="false" hidden="false" localSheetId="2" name="ExternalData_45" vbProcedure="false">Data!$A$1:$A$1036</definedName>
    <definedName function="false" hidden="false" localSheetId="2" name="ExternalData_46" vbProcedure="false">Data!$A$1:$A$1036</definedName>
    <definedName function="false" hidden="false" localSheetId="2" name="ExternalData_47" vbProcedure="false">Data!$A$1:$A$1036</definedName>
    <definedName function="false" hidden="false" localSheetId="2" name="ExternalData_48" vbProcedure="false">Data!$A$1:$A$1036</definedName>
    <definedName function="false" hidden="false" localSheetId="2" name="ExternalData_49" vbProcedure="false">Data!$A$1:$A$1036</definedName>
    <definedName function="false" hidden="false" localSheetId="2" name="ExternalData_5" vbProcedure="false">Data!$A$1:$A$1039</definedName>
    <definedName function="false" hidden="false" localSheetId="2" name="ExternalData_50" vbProcedure="false">Data!$A$1:$A$1037</definedName>
    <definedName function="false" hidden="false" localSheetId="2" name="ExternalData_51" vbProcedure="false">Data!$A$1:$A$1037</definedName>
    <definedName function="false" hidden="false" localSheetId="2" name="ExternalData_52" vbProcedure="false">Data!$A$1:$A$1037</definedName>
    <definedName function="false" hidden="false" localSheetId="2" name="ExternalData_53" vbProcedure="false">Data!$A$1:$A$1037</definedName>
    <definedName function="false" hidden="false" localSheetId="2" name="ExternalData_54" vbProcedure="false">Data!$A$1:$A$917</definedName>
    <definedName function="false" hidden="false" localSheetId="2" name="ExternalData_55" vbProcedure="false">Data!$A$1:$A$1037</definedName>
    <definedName function="false" hidden="false" localSheetId="2" name="ExternalData_56" vbProcedure="false">Data!$A$1:$A$1037</definedName>
    <definedName function="false" hidden="false" localSheetId="2" name="ExternalData_57" vbProcedure="false">Data!$A$1:$A$1037</definedName>
    <definedName function="false" hidden="false" localSheetId="2" name="ExternalData_58" vbProcedure="false">Data!$A$1:$A$1037</definedName>
    <definedName function="false" hidden="false" localSheetId="2" name="ExternalData_59" vbProcedure="false">Data!$A$1:$A$1037</definedName>
    <definedName function="false" hidden="false" localSheetId="2" name="ExternalData_6" vbProcedure="false">Data!$A$1:$A$1039</definedName>
    <definedName function="false" hidden="false" localSheetId="2" name="ExternalData_60" vbProcedure="false">Data!$A$1:$A$1037</definedName>
    <definedName function="false" hidden="false" localSheetId="2" name="ExternalData_61" vbProcedure="false">Data!$A$1:$A$1037</definedName>
    <definedName function="false" hidden="false" localSheetId="2" name="ExternalData_62" vbProcedure="false">Data!$A$1:$A$1037</definedName>
    <definedName function="false" hidden="false" localSheetId="2" name="ExternalData_63" vbProcedure="false">Data!$A$1:$A$1037</definedName>
    <definedName function="false" hidden="false" localSheetId="2" name="ExternalData_64" vbProcedure="false">Data!$A$1:$A$1037</definedName>
    <definedName function="false" hidden="false" localSheetId="2" name="ExternalData_65" vbProcedure="false">Data!$A$1:$A$1037</definedName>
    <definedName function="false" hidden="false" localSheetId="2" name="ExternalData_66" vbProcedure="false">Data!$A$1:$A$1037</definedName>
    <definedName function="false" hidden="false" localSheetId="2" name="ExternalData_67" vbProcedure="false">Data!$A$1:$A$1036</definedName>
    <definedName function="false" hidden="false" localSheetId="2" name="ExternalData_68" vbProcedure="false">Data!$A$1:$A$917</definedName>
    <definedName function="false" hidden="false" localSheetId="2" name="ExternalData_69" vbProcedure="false">Data!$A$1:$A$1037</definedName>
    <definedName function="false" hidden="false" localSheetId="2" name="ExternalData_7" vbProcedure="false">Data!$A$1:$A$1039</definedName>
    <definedName function="false" hidden="false" localSheetId="2" name="ExternalData_70" vbProcedure="false">Data!$A$1:$A$244</definedName>
    <definedName function="false" hidden="false" localSheetId="2" name="ExternalData_71" vbProcedure="false">Data!$A$1:$A$1037</definedName>
    <definedName function="false" hidden="false" localSheetId="2" name="ExternalData_72" vbProcedure="false">Data!$A$1:$A$273</definedName>
    <definedName function="false" hidden="false" localSheetId="2" name="ExternalData_73" vbProcedure="false">Data!$A$1:$A$1037</definedName>
    <definedName function="false" hidden="false" localSheetId="2" name="ExternalData_74" vbProcedure="false">Data!$A$1:$A$1037</definedName>
    <definedName function="false" hidden="false" localSheetId="2" name="ExternalData_75" vbProcedure="false">Data!$A$1:$A$1037</definedName>
    <definedName function="false" hidden="false" localSheetId="2" name="ExternalData_76" vbProcedure="false">Data!$A$1:$A$683</definedName>
    <definedName function="false" hidden="false" localSheetId="2" name="ExternalData_77" vbProcedure="false">Data!$A$1:$A$491</definedName>
    <definedName function="false" hidden="false" localSheetId="2" name="ExternalData_78" vbProcedure="false">Data!$A$1:$A$484</definedName>
    <definedName function="false" hidden="false" localSheetId="2" name="ExternalData_79" vbProcedure="false">Data!$A$1:$A$1037</definedName>
    <definedName function="false" hidden="false" localSheetId="2" name="ExternalData_8" vbProcedure="false">Data!$A$1:$A$1039</definedName>
    <definedName function="false" hidden="false" localSheetId="2" name="ExternalData_80" vbProcedure="false">Data!$A$1:$A$1037</definedName>
    <definedName function="false" hidden="false" localSheetId="2" name="ExternalData_81" vbProcedure="false">Data!$A$1:$A$683</definedName>
    <definedName function="false" hidden="false" localSheetId="2" name="ExternalData_82" vbProcedure="false">Data!$A$1:$A$1037</definedName>
    <definedName function="false" hidden="false" localSheetId="2" name="ExternalData_83" vbProcedure="false">Data!$A$1:$A$1037</definedName>
    <definedName function="false" hidden="false" localSheetId="2" name="ExternalData_84" vbProcedure="false">Data!$A$1:$A$683</definedName>
    <definedName function="false" hidden="false" localSheetId="2" name="ExternalData_85" vbProcedure="false">Data!$A$1:$A$1037</definedName>
    <definedName function="false" hidden="false" localSheetId="2" name="ExternalData_86" vbProcedure="false">Data!$A$1:$A$1037</definedName>
    <definedName function="false" hidden="false" localSheetId="2" name="ExternalData_87" vbProcedure="false">Data!$A$1:$A$1038</definedName>
    <definedName function="false" hidden="false" localSheetId="2" name="ExternalData_88" vbProcedure="false">Data!$A$1:$A$1037</definedName>
    <definedName function="false" hidden="false" localSheetId="2" name="ExternalData_89" vbProcedure="false">Data!$A$1:$A$1037</definedName>
    <definedName function="false" hidden="false" localSheetId="2" name="ExternalData_9" vbProcedure="false">Data!$A$1:$A$1039</definedName>
    <definedName function="false" hidden="false" localSheetId="2" name="ExternalData_90" vbProcedure="false">Data!$A$1:$A$1037</definedName>
    <definedName function="false" hidden="false" localSheetId="2" name="ExternalData_91" vbProcedure="false">Data!$A$1:$A$1037</definedName>
    <definedName function="false" hidden="false" localSheetId="2" name="ExternalData_92" vbProcedure="false">Data!$A$1:$A$1037</definedName>
    <definedName function="false" hidden="false" localSheetId="2" name="ExternalData_94" vbProcedure="false">Data!$A$1:$A$1038</definedName>
    <definedName function="false" hidden="false" localSheetId="2" name="ExternalData_95" vbProcedure="false">Data!$A$1:$A$1037</definedName>
    <definedName function="false" hidden="false" localSheetId="2" name="ExternalData_96" vbProcedure="false">Data!$A$1:$A$1037</definedName>
    <definedName function="false" hidden="false" localSheetId="2" name="ExternalData_97" vbProcedure="false">Data!$A$1:$A$685</definedName>
    <definedName function="false" hidden="false" localSheetId="2" name="ExternalData_98" vbProcedure="false">Data!$A$1:$A$685</definedName>
    <definedName function="false" hidden="false" localSheetId="2" name="ExternalData_99" vbProcedure="false">Data!$A$1:$A$1038</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s>
  <commentList>
    <comment ref="AM6" authorId="0">
      <text>
        <r>
          <rPr>
            <b val="true"/>
            <sz val="9"/>
            <color rgb="FF000000"/>
            <rFont val="Calibri"/>
            <family val="2"/>
            <charset val="1"/>
          </rPr>
          <t xml:space="preserve">Rajiv (CORP) Gandhi:
</t>
        </r>
        <r>
          <rPr>
            <sz val="9"/>
            <color rgb="FF000000"/>
            <rFont val="Calibri"/>
            <family val="2"/>
            <charset val="1"/>
          </rPr>
          <t xml:space="preserve">calculated by subtracting today's price from yesterday's closing price and dividing by yesterday's closing price
Read more: Option Volatility: Historical Volatility | Investopedia http://www.investopedia.com/university/optionvolatility/volatility2.asp#ixzz3rmZ0JWSx
Follow us: Investopedia on Facebook
</t>
        </r>
      </text>
    </comment>
  </commentList>
</comments>
</file>

<file path=xl/sharedStrings.xml><?xml version="1.0" encoding="utf-8"?>
<sst xmlns="http://schemas.openxmlformats.org/spreadsheetml/2006/main" count="272" uniqueCount="170">
  <si>
    <t xml:space="preserve">FOLLOW ME DOWN COLUMN A: </t>
  </si>
  <si>
    <t xml:space="preserve">Use this sheet to work with the rest. No need to touch the other sheets</t>
  </si>
  <si>
    <t xml:space="preserve">Step 1:</t>
  </si>
  <si>
    <t xml:space="preserve">We have already determined the date range of 4 years. Just type the symbol</t>
  </si>
  <si>
    <t xml:space="preserve">Predictive Simulation:</t>
  </si>
  <si>
    <t xml:space="preserve">Please type in a valid symbol</t>
  </si>
  <si>
    <t xml:space="preserve">has </t>
  </si>
  <si>
    <t xml:space="preserve">as of the last closing price</t>
  </si>
  <si>
    <t xml:space="preserve">Step 2:</t>
  </si>
  <si>
    <t xml:space="preserve">Press Button</t>
  </si>
  <si>
    <t xml:space="preserve">Save Doc</t>
  </si>
  <si>
    <t xml:space="preserve">Step 3:</t>
  </si>
  <si>
    <t xml:space="preserve">Step 4:</t>
  </si>
  <si>
    <t xml:space="preserve">Using a Wykoff principle we determine the trend and the # of signals we see</t>
  </si>
  <si>
    <t xml:space="preserve">Present Indicators</t>
  </si>
  <si>
    <t xml:space="preserve">Past Indicators</t>
  </si>
  <si>
    <t xml:space="preserve">%Bullish</t>
  </si>
  <si>
    <t xml:space="preserve">Drop Down</t>
  </si>
  <si>
    <t xml:space="preserve">Neutral</t>
  </si>
  <si>
    <t xml:space="preserve">Looking at the Slope and Regression signals helps us pick 'directional stability'</t>
  </si>
  <si>
    <t xml:space="preserve">Up - Regression is great</t>
  </si>
  <si>
    <t xml:space="preserve">Over the last 3 weeks</t>
  </si>
  <si>
    <t xml:space="preserve">Recommendation:</t>
  </si>
  <si>
    <t xml:space="preserve">We hope this recommendation helps</t>
  </si>
  <si>
    <t xml:space="preserve">Upward Price based on a year</t>
  </si>
  <si>
    <t xml:space="preserve">Downward Price based on a year</t>
  </si>
  <si>
    <t xml:space="preserve">LEGEND</t>
  </si>
  <si>
    <t xml:space="preserve">STEP 1 - Sentiment Overall</t>
  </si>
  <si>
    <t xml:space="preserve">STEP 2 - Analyze</t>
  </si>
  <si>
    <t xml:space="preserve">BULLISH</t>
  </si>
  <si>
    <t xml:space="preserve">BEARISH</t>
  </si>
  <si>
    <t xml:space="preserve">STEP 3 - Graph to understand trend of up or down with Regression</t>
  </si>
  <si>
    <t xml:space="preserve">STEP 4 - Run the Wyckoff Rule</t>
  </si>
  <si>
    <t xml:space="preserve">STEP 5 - The Calculated Suggestion</t>
  </si>
  <si>
    <t xml:space="preserve">STEP 6 - Measure Range to get Up or Down mark</t>
  </si>
  <si>
    <t xml:space="preserve">STEP 7 </t>
  </si>
  <si>
    <t xml:space="preserve">We are forecasting here. We are forecasting every 3 weeks over a year span. This are generating random prices over time. This is based on the mean, of the past, over a year and its standard deviation. The Min Price at 0 is indicating the price can never go below 0. The vertical at the 51st week is showing the randomness at that point. The Bins are to show where the price mostly lands at that point</t>
  </si>
  <si>
    <t xml:space="preserve">You Input</t>
  </si>
  <si>
    <t xml:space="preserve">3 months</t>
  </si>
  <si>
    <t xml:space="preserve">Do not change values here. See if there is a trend to predict. Do this over various time periods. If regression comes back "N/A". Do not move on further and abandon</t>
  </si>
  <si>
    <t xml:space="preserve">When price tests a previous high or low on an 8% or larger decrease in volume and closes back below the previous high (or above the previous low), it implies a reversal. We do this in order to measure up that both, regression analysis is on the right track. If they conflict, we use Wykoff</t>
  </si>
  <si>
    <t xml:space="preserve">Do not touch. This is calculated based off of Step 3 and Step 4</t>
  </si>
  <si>
    <t xml:space="preserve">Do not change values here. They are calculated. We are gauging the volatility here based on choosing whether the price will go down or up for an option.</t>
  </si>
  <si>
    <t xml:space="preserve">Minimum Price in Any Year</t>
  </si>
  <si>
    <t xml:space="preserve">Good and an Output</t>
  </si>
  <si>
    <t xml:space="preserve">9 months</t>
  </si>
  <si>
    <t xml:space="preserve">CONCLUSION ON REGRESSION</t>
  </si>
  <si>
    <t xml:space="preserve">If this conditions are not met then stay the course of the Regression Trend Line that implies movement up or down. Skip step 5</t>
  </si>
  <si>
    <t xml:space="preserve">CONCLUSION</t>
  </si>
  <si>
    <t xml:space="preserve">Mean</t>
  </si>
  <si>
    <t xml:space="preserve">Bad and an Output</t>
  </si>
  <si>
    <t xml:space="preserve">1 year</t>
  </si>
  <si>
    <t xml:space="preserve">R-squared values range from 0 to 1 and are commonly stated as percentages from 0 to 100%. An R-squared of 100% means all movements of a security are completely explained by movements in the index. A high R-squared, between 85% and 100%, indicates the fund's performance patterns have been in line with the index. A fund with a low R-squared, at 70% or less, indicates the security does not act much like the index. A higher R-squared value indicates a more useful beta figure. For example, if a fund has an R-squared value of close to 100% but has a beta below 1, it is most likely offering higher risk-adjusted returns.
Read more: R-Squared Definition | Investopedia http://www.investopedia.com/terms/r/r-squared.asp#ixzz4Wz3ilfRx
Follow us: Investopedia on Facebook
</t>
  </si>
  <si>
    <t xml:space="preserve">Example:
Day one high = $10
Day two high = $11 
Volume = 8%+ decrease
Close below the previous high = $9.5
Implies = Bullish
Day one low = $10
Day two low = $11 
Volume = 8%+ decrease
Close above the previous = $11.5
Implies = Bearish</t>
  </si>
  <si>
    <t xml:space="preserve">Example:
Day one high = $29.75
Day two high = $29.98
Volume = 8%+ decrease
Close below the previous high = $9.5
Implies = Bullish</t>
  </si>
  <si>
    <t xml:space="preserve">Volatility</t>
  </si>
  <si>
    <t xml:space="preserve">Neutral and an Output</t>
  </si>
  <si>
    <t xml:space="preserve">Fund Matrix</t>
  </si>
  <si>
    <t xml:space="preserve">4 years</t>
  </si>
  <si>
    <t xml:space="preserve">Variance/Variability is the variabilty around the mean/avarage</t>
  </si>
  <si>
    <t xml:space="preserve">Company</t>
  </si>
  <si>
    <t xml:space="preserve">My Sentiment</t>
  </si>
  <si>
    <t xml:space="preserve">Trend Assessment via Capital Cube</t>
  </si>
  <si>
    <t xml:space="preserve">Income Sheet sentiment</t>
  </si>
  <si>
    <t xml:space="preserve">Close (mind)</t>
  </si>
  <si>
    <t xml:space="preserve">Year Estimate</t>
  </si>
  <si>
    <t xml:space="preserve">Beta</t>
  </si>
  <si>
    <t xml:space="preserve">52 Week High/low</t>
  </si>
  <si>
    <t xml:space="preserve">Volume (heart)</t>
  </si>
  <si>
    <t xml:space="preserve">Avg. Volume (3 months)</t>
  </si>
  <si>
    <t xml:space="preserve">P/E</t>
  </si>
  <si>
    <t xml:space="preserve">industry P/E</t>
  </si>
  <si>
    <t xml:space="preserve">Buy?</t>
  </si>
  <si>
    <t xml:space="preserve">Difference in Adjusted Close</t>
  </si>
  <si>
    <t xml:space="preserve">Difference in Volume</t>
  </si>
  <si>
    <t xml:space="preserve">Volume = 8%+ decrease</t>
  </si>
  <si>
    <t xml:space="preserve">Day one high = $10
Day two high = $11 </t>
  </si>
  <si>
    <t xml:space="preserve">Day one low = $10
Day two low = $11 </t>
  </si>
  <si>
    <t xml:space="preserve">Close below the previous high</t>
  </si>
  <si>
    <t xml:space="preserve">Close above the previous</t>
  </si>
  <si>
    <t xml:space="preserve">Simulated demands</t>
  </si>
  <si>
    <t xml:space="preserve">INPUT</t>
  </si>
  <si>
    <t xml:space="preserve">Range Data Last 3 weeks - Good for an option to gauge to fluctuation</t>
  </si>
  <si>
    <t xml:space="preserve">Category</t>
  </si>
  <si>
    <t xml:space="preserve">Upper limit</t>
  </si>
  <si>
    <t xml:space="preserve">Frequency</t>
  </si>
  <si>
    <t xml:space="preserve">Standard Deviation over a year (254 trading days a year)</t>
  </si>
  <si>
    <t xml:space="preserve">3 weeks</t>
  </si>
  <si>
    <t xml:space="preserve">High</t>
  </si>
  <si>
    <t xml:space="preserve">High Profits</t>
  </si>
  <si>
    <t xml:space="preserve">Min</t>
  </si>
  <si>
    <t xml:space="preserve">More than 3 stdevs below mean</t>
  </si>
  <si>
    <t xml:space="preserve">square root over 254 trading days ayear</t>
  </si>
  <si>
    <t xml:space="preserve">Pricing</t>
  </si>
  <si>
    <t xml:space="preserve">High Efficiency</t>
  </si>
  <si>
    <t xml:space="preserve">Max</t>
  </si>
  <si>
    <t xml:space="preserve">Between 2 and 3 stdevs below mean</t>
  </si>
  <si>
    <t xml:space="preserve">% Volatility over the year of trading</t>
  </si>
  <si>
    <t xml:space="preserve">MEAN</t>
  </si>
  <si>
    <t xml:space="preserve">High Growth</t>
  </si>
  <si>
    <t xml:space="preserve">Average/mean</t>
  </si>
  <si>
    <t xml:space="preserve">Between 1 and 2 stdevs below mean</t>
  </si>
  <si>
    <t xml:space="preserve">% Volatility over the day of trading</t>
  </si>
  <si>
    <t xml:space="preserve">STDEV</t>
  </si>
  <si>
    <t xml:space="preserve">Variance</t>
  </si>
  <si>
    <t xml:space="preserve">Between mean and 1 stdev below mean</t>
  </si>
  <si>
    <t xml:space="preserve">square root over a month of trading in a year</t>
  </si>
  <si>
    <t xml:space="preserve">Standard Deviation</t>
  </si>
  <si>
    <t xml:space="preserve">Between mean and 1 stdev above mean</t>
  </si>
  <si>
    <t xml:space="preserve">% Volatility over the month of trading</t>
  </si>
  <si>
    <t xml:space="preserve">Between 1 and 2 stdevs above mean</t>
  </si>
  <si>
    <t xml:space="preserve">Between 2 and 3 stdevs above mean</t>
  </si>
  <si>
    <t xml:space="preserve">Change in price based on the month volatility</t>
  </si>
  <si>
    <t xml:space="preserve">Change in price based on the Year volatility</t>
  </si>
  <si>
    <t xml:space="preserve">More than 3 stdevs above mean</t>
  </si>
  <si>
    <t xml:space="preserve">Current Close</t>
  </si>
  <si>
    <t xml:space="preserve">Normal Distribution</t>
  </si>
  <si>
    <t xml:space="preserve">There is a probability of </t>
  </si>
  <si>
    <t xml:space="preserve">that this will end up below</t>
  </si>
  <si>
    <t xml:space="preserve">Upward Price based on 30 days</t>
  </si>
  <si>
    <t xml:space="preserve">The reality is that </t>
  </si>
  <si>
    <t xml:space="preserve">of the values are below</t>
  </si>
  <si>
    <t xml:space="preserve">Downward Price based on 30 days</t>
  </si>
  <si>
    <t xml:space="preserve">Min I would sell at</t>
  </si>
  <si>
    <t xml:space="preserve">Bins</t>
  </si>
  <si>
    <t xml:space="preserve">Change the BIN Values to coincide with Option Values</t>
  </si>
  <si>
    <t xml:space="preserve">Run Regression</t>
  </si>
  <si>
    <t xml:space="preserve">Over a 4 year span</t>
  </si>
  <si>
    <t xml:space="preserve">Slope</t>
  </si>
  <si>
    <t xml:space="preserve">R-square</t>
  </si>
  <si>
    <t xml:space="preserve">y-Intercept</t>
  </si>
  <si>
    <t xml:space="preserve">Over a 1 year span</t>
  </si>
  <si>
    <t xml:space="preserve">Over a 9 month span</t>
  </si>
  <si>
    <t xml:space="preserve">Open</t>
  </si>
  <si>
    <t xml:space="preserve">Low</t>
  </si>
  <si>
    <t xml:space="preserve">Close</t>
  </si>
  <si>
    <t xml:space="preserve">Volume</t>
  </si>
  <si>
    <t xml:space="preserve">List Tables for Drop Down menus</t>
  </si>
  <si>
    <t xml:space="preserve">Sentiment</t>
  </si>
  <si>
    <t xml:space="preserve">Profits</t>
  </si>
  <si>
    <t xml:space="preserve">Efficiency</t>
  </si>
  <si>
    <t xml:space="preserve">Growth</t>
  </si>
  <si>
    <t xml:space="preserve">Income Sheet</t>
  </si>
  <si>
    <t xml:space="preserve">Trend</t>
  </si>
  <si>
    <t xml:space="preserve">Regression</t>
  </si>
  <si>
    <t xml:space="preserve">Up - Bullish</t>
  </si>
  <si>
    <t xml:space="preserve">Up - Regression is low</t>
  </si>
  <si>
    <t xml:space="preserve">Average Profits</t>
  </si>
  <si>
    <t xml:space="preserve">Average Efficiency</t>
  </si>
  <si>
    <t xml:space="preserve">Average Growth</t>
  </si>
  <si>
    <t xml:space="preserve">Average</t>
  </si>
  <si>
    <t xml:space="preserve">Down - Bearish</t>
  </si>
  <si>
    <t xml:space="preserve">Up - Regression is ok</t>
  </si>
  <si>
    <t xml:space="preserve">Medium</t>
  </si>
  <si>
    <t xml:space="preserve">Low  Profits</t>
  </si>
  <si>
    <t xml:space="preserve">Low Efficiency</t>
  </si>
  <si>
    <t xml:space="preserve">Low Growth</t>
  </si>
  <si>
    <t xml:space="preserve">Down - Regression is great</t>
  </si>
  <si>
    <t xml:space="preserve">Down - Regression is ok</t>
  </si>
  <si>
    <t xml:space="preserve">Down - Regression is low</t>
  </si>
  <si>
    <t xml:space="preserve">http://www.clemson.edu/ces/phoenix/tutorials/excel/regression.html</t>
  </si>
  <si>
    <t xml:space="preserve">https://www.youtube.com/watch?v=RtCvcP43C1U</t>
  </si>
  <si>
    <t xml:space="preserve">http://www.cob.unt.edu/itds/faculty/vedder/bcis2610/Replacement%20pages%20for%20Excel%20707ff.pdf</t>
  </si>
  <si>
    <t xml:space="preserve">https://support.office.com/en-us/article/WEBSERVICE-function-0546a35a-ecc6-4739-aed7-c0b7ce1562c4?CorrelationId=ee283ede-b037-4c7d-882b-9ebef0829f87&amp;ui=en-US&amp;rs=en-US&amp;ad=US&amp;ocmsassetID=HA102780998</t>
  </si>
  <si>
    <t xml:space="preserve">https://blogs.office.com/2013/03/21/use-webservice-functions-to-automatically-update-excel-2013-spreadsheets-with-online-data/</t>
  </si>
  <si>
    <t xml:space="preserve">https://www.linkedin.com/pulse/20140726204903-2030824-excel-formula-for-real-time-stock-price</t>
  </si>
  <si>
    <t xml:space="preserve">http://www.contextures.com/xlvba01.html</t>
  </si>
  <si>
    <t xml:space="preserve">http://www.excelclout.com/stock-quotes-in-excel/</t>
  </si>
  <si>
    <t xml:space="preserve">https://www.youtube.com/watch?v=3gfgZWy5778</t>
  </si>
  <si>
    <t xml:space="preserve">https://web.wpi.edu/Pubs/E-project/Available/E-project-030415-150803/unrestricted/GrottonVeilleuxIQP.pdf</t>
  </si>
</sst>
</file>

<file path=xl/styles.xml><?xml version="1.0" encoding="utf-8"?>
<styleSheet xmlns="http://schemas.openxmlformats.org/spreadsheetml/2006/main">
  <numFmts count="11">
    <numFmt numFmtId="164" formatCode="General"/>
    <numFmt numFmtId="165" formatCode="_([$$-409]* #,##0.00_);_([$$-409]* \(#,##0.00\);_([$$-409]* \-??_);_(@_)"/>
    <numFmt numFmtId="166" formatCode="DD/MM/YYYY"/>
    <numFmt numFmtId="167" formatCode="_(\$* #,##0.00_);_(\$* \(#,##0.00\);_(\$* \-??_);_(@_)"/>
    <numFmt numFmtId="168" formatCode="0%"/>
    <numFmt numFmtId="169" formatCode="0"/>
    <numFmt numFmtId="170" formatCode="_(* #,##0.00_);_(* \(#,##0.00\);_(* \-??_);_(@_)"/>
    <numFmt numFmtId="171" formatCode="0.0000"/>
    <numFmt numFmtId="172" formatCode="DD\-MMM\-YY;@"/>
    <numFmt numFmtId="173" formatCode="0.00%"/>
    <numFmt numFmtId="174" formatCode="DD/MMM/YY"/>
  </numFmts>
  <fonts count="37">
    <font>
      <sz val="10"/>
      <name val="Arial"/>
      <family val="0"/>
      <charset val="1"/>
    </font>
    <font>
      <sz val="10"/>
      <name val="Arial"/>
      <family val="0"/>
    </font>
    <font>
      <sz val="10"/>
      <name val="Arial"/>
      <family val="0"/>
    </font>
    <font>
      <sz val="10"/>
      <name val="Arial"/>
      <family val="0"/>
    </font>
    <font>
      <b val="true"/>
      <sz val="15"/>
      <color rgb="FF1F497D"/>
      <name val="Calibri"/>
      <family val="2"/>
      <charset val="1"/>
    </font>
    <font>
      <i val="true"/>
      <sz val="12"/>
      <color rgb="FF7F7F7F"/>
      <name val="Calibri"/>
      <family val="2"/>
      <charset val="1"/>
    </font>
    <font>
      <b val="true"/>
      <sz val="18"/>
      <color rgb="FF1F497D"/>
      <name val="Cambria"/>
      <family val="2"/>
      <charset val="1"/>
    </font>
    <font>
      <sz val="12"/>
      <color rgb="FF3F3F76"/>
      <name val="Calibri"/>
      <family val="2"/>
      <charset val="1"/>
    </font>
    <font>
      <sz val="8"/>
      <name val="Arial"/>
      <family val="2"/>
      <charset val="1"/>
    </font>
    <font>
      <b val="true"/>
      <sz val="13"/>
      <color rgb="FF1F497D"/>
      <name val="Calibri"/>
      <family val="2"/>
      <charset val="1"/>
    </font>
    <font>
      <b val="true"/>
      <sz val="10"/>
      <name val="Arial"/>
      <family val="2"/>
      <charset val="1"/>
    </font>
    <font>
      <sz val="10"/>
      <name val="Arial"/>
      <family val="2"/>
      <charset val="1"/>
    </font>
    <font>
      <sz val="14"/>
      <color rgb="FF595959"/>
      <name val="Calibri"/>
      <family val="2"/>
    </font>
    <font>
      <sz val="9"/>
      <color rgb="FF595959"/>
      <name val="Calibri"/>
      <family val="2"/>
    </font>
    <font>
      <i val="true"/>
      <sz val="24"/>
      <color rgb="FF7F7F7F"/>
      <name val="Calibri"/>
      <family val="2"/>
      <charset val="1"/>
    </font>
    <font>
      <b val="true"/>
      <i val="true"/>
      <sz val="26"/>
      <color rgb="FF7F7F7F"/>
      <name val="Calibri"/>
      <family val="2"/>
      <charset val="1"/>
    </font>
    <font>
      <sz val="12"/>
      <color rgb="FF000000"/>
      <name val="Calibri"/>
      <family val="2"/>
      <charset val="1"/>
    </font>
    <font>
      <sz val="12"/>
      <color rgb="FF006100"/>
      <name val="Calibri"/>
      <family val="2"/>
      <charset val="1"/>
    </font>
    <font>
      <b val="true"/>
      <sz val="12"/>
      <color rgb="FF000000"/>
      <name val="Calibri"/>
      <family val="2"/>
      <charset val="1"/>
    </font>
    <font>
      <sz val="12"/>
      <color rgb="FF9C0006"/>
      <name val="Calibri"/>
      <family val="2"/>
      <charset val="1"/>
    </font>
    <font>
      <sz val="12"/>
      <name val="Calibri"/>
      <family val="2"/>
      <charset val="1"/>
    </font>
    <font>
      <b val="true"/>
      <sz val="36"/>
      <color rgb="FF1F497D"/>
      <name val="Cambria"/>
      <family val="2"/>
      <charset val="1"/>
    </font>
    <font>
      <sz val="12"/>
      <color rgb="FF9C6500"/>
      <name val="Calibri"/>
      <family val="2"/>
      <charset val="1"/>
    </font>
    <font>
      <b val="true"/>
      <sz val="18"/>
      <color rgb="FF0000D4"/>
      <name val="Arial"/>
      <family val="2"/>
      <charset val="1"/>
    </font>
    <font>
      <b val="true"/>
      <u val="single"/>
      <sz val="10"/>
      <name val="Arial"/>
      <family val="2"/>
      <charset val="1"/>
    </font>
    <font>
      <sz val="8"/>
      <name val="Times New Roman"/>
      <family val="1"/>
      <charset val="1"/>
    </font>
    <font>
      <b val="true"/>
      <sz val="11"/>
      <color rgb="FF1F497D"/>
      <name val="Calibri"/>
      <family val="2"/>
      <charset val="1"/>
    </font>
    <font>
      <sz val="36"/>
      <name val="Arial"/>
      <family val="2"/>
      <charset val="1"/>
    </font>
    <font>
      <b val="true"/>
      <sz val="9"/>
      <color rgb="FF000000"/>
      <name val="Calibri"/>
      <family val="2"/>
      <charset val="1"/>
    </font>
    <font>
      <sz val="9"/>
      <color rgb="FF000000"/>
      <name val="Calibri"/>
      <family val="2"/>
      <charset val="1"/>
    </font>
    <font>
      <b val="true"/>
      <sz val="18"/>
      <color rgb="FF000000"/>
      <name val="Calibri"/>
      <family val="2"/>
    </font>
    <font>
      <sz val="10"/>
      <name val="Arial"/>
      <family val="2"/>
    </font>
    <font>
      <sz val="10"/>
      <color rgb="FF000000"/>
      <name val="Calibri"/>
      <family val="2"/>
    </font>
    <font>
      <b val="true"/>
      <sz val="10"/>
      <color rgb="FF000000"/>
      <name val="Calibri"/>
      <family val="2"/>
    </font>
    <font>
      <b val="true"/>
      <sz val="14"/>
      <color rgb="FF000090"/>
      <name val="Arial"/>
      <family val="2"/>
      <charset val="1"/>
    </font>
    <font>
      <u val="single"/>
      <sz val="10"/>
      <color rgb="FF0000D4"/>
      <name val="Arial"/>
      <family val="2"/>
      <charset val="1"/>
    </font>
    <font>
      <sz val="11"/>
      <name val="Calibri"/>
      <family val="2"/>
      <charset val="1"/>
    </font>
  </fonts>
  <fills count="8">
    <fill>
      <patternFill patternType="none"/>
    </fill>
    <fill>
      <patternFill patternType="gray125"/>
    </fill>
    <fill>
      <patternFill patternType="solid">
        <fgColor rgb="FF92D050"/>
        <bgColor rgb="FFC0C0C0"/>
      </patternFill>
    </fill>
    <fill>
      <patternFill patternType="solid">
        <fgColor rgb="FFEBF1DE"/>
        <bgColor rgb="FFF2F2F2"/>
      </patternFill>
    </fill>
    <fill>
      <patternFill patternType="solid">
        <fgColor rgb="FFFFFFFF"/>
        <bgColor rgb="FFF2F2F2"/>
      </patternFill>
    </fill>
    <fill>
      <patternFill patternType="solid">
        <fgColor rgb="FFC0C0C0"/>
        <bgColor rgb="FFA7C0DE"/>
      </patternFill>
    </fill>
    <fill>
      <patternFill patternType="solid">
        <fgColor rgb="FFF2F2F2"/>
        <bgColor rgb="FFEBF1DE"/>
      </patternFill>
    </fill>
    <fill>
      <patternFill patternType="solid">
        <fgColor rgb="FFFFFF99"/>
        <bgColor rgb="FFFFEB9C"/>
      </patternFill>
    </fill>
  </fills>
  <borders count="21">
    <border diagonalUp="false" diagonalDown="false">
      <left/>
      <right/>
      <top/>
      <bottom/>
      <diagonal/>
    </border>
    <border diagonalUp="false" diagonalDown="false">
      <left/>
      <right/>
      <top/>
      <bottom style="medium">
        <color rgb="FF95B3D7"/>
      </bottom>
      <diagonal/>
    </border>
    <border diagonalUp="false" diagonalDown="false">
      <left/>
      <right/>
      <top/>
      <bottom style="thick">
        <color rgb="FFA7C0DE"/>
      </bottom>
      <diagonal/>
    </border>
    <border diagonalUp="false" diagonalDown="false">
      <left style="medium"/>
      <right style="medium"/>
      <top style="medium"/>
      <bottom/>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medium"/>
      <right style="medium"/>
      <top style="thin">
        <color rgb="FF7F7F7F"/>
      </top>
      <bottom style="thin">
        <color rgb="FF7F7F7F"/>
      </bottom>
      <diagonal/>
    </border>
    <border diagonalUp="false" diagonalDown="false">
      <left style="medium"/>
      <right style="medium"/>
      <top/>
      <bottom/>
      <diagonal/>
    </border>
    <border diagonalUp="false" diagonalDown="false">
      <left/>
      <right/>
      <top style="thin">
        <color rgb="FF4F81BD"/>
      </top>
      <bottom style="double">
        <color rgb="FF4F81BD"/>
      </bottom>
      <diagonal/>
    </border>
    <border diagonalUp="false" diagonalDown="false">
      <left style="medium"/>
      <right style="medium"/>
      <top/>
      <bottom style="medium"/>
      <diagonal/>
    </border>
    <border diagonalUp="false" diagonalDown="false">
      <left/>
      <right/>
      <top/>
      <bottom style="thick">
        <color rgb="FF4F81BD"/>
      </bottom>
      <diagonal/>
    </border>
    <border diagonalUp="false" diagonalDown="false">
      <left style="thin"/>
      <right style="thin"/>
      <top/>
      <bottom/>
      <diagonal/>
    </border>
    <border diagonalUp="false" diagonalDown="false">
      <left/>
      <right style="thin">
        <color rgb="FF7F7F7F"/>
      </right>
      <top style="thin">
        <color rgb="FF7F7F7F"/>
      </top>
      <bottom style="thin">
        <color rgb="FF7F7F7F"/>
      </bottom>
      <diagonal/>
    </border>
    <border diagonalUp="false" diagonalDown="false">
      <left/>
      <right/>
      <top style="medium"/>
      <bottom/>
      <diagonal/>
    </border>
    <border diagonalUp="false" diagonalDown="false">
      <left style="thin"/>
      <right style="thin"/>
      <top/>
      <bottom style="thin"/>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4" fontId="35" fillId="0" borderId="0" applyFont="true" applyBorder="false" applyAlignment="true" applyProtection="false">
      <alignment horizontal="general" vertical="bottom" textRotation="0" wrapText="false" indent="0" shrinkToFit="false"/>
    </xf>
    <xf numFmtId="164" fontId="26" fillId="0" borderId="1" applyFont="true" applyBorder="true" applyAlignment="true" applyProtection="false">
      <alignment horizontal="general" vertical="bottom" textRotation="0" wrapText="false" indent="0" shrinkToFit="false"/>
    </xf>
  </cellStyleXfs>
  <cellXfs count="14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7" fillId="0" borderId="0" xfId="0" applyFont="true" applyBorder="false" applyAlignment="true" applyProtection="true">
      <alignment horizontal="general" vertical="bottom" textRotation="0" wrapText="tru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5" fontId="0" fillId="2" borderId="0" xfId="0" applyFont="false" applyBorder="false" applyAlignment="true" applyProtection="false">
      <alignment horizontal="left" vertical="bottom" textRotation="0" wrapText="false" indent="0" shrinkToFit="false"/>
      <protection locked="true" hidden="false"/>
    </xf>
    <xf numFmtId="166" fontId="8" fillId="2" borderId="0" xfId="0" applyFont="true" applyBorder="true" applyAlignment="true" applyProtection="false">
      <alignment horizontal="general" vertical="bottom" textRotation="0" wrapText="true" indent="0" shrinkToFit="false"/>
      <protection locked="true" hidden="false"/>
    </xf>
    <xf numFmtId="164" fontId="0" fillId="2" borderId="0" xfId="0" applyFont="false" applyBorder="false" applyAlignment="true" applyProtection="false">
      <alignment horizontal="left" vertical="bottom" textRotation="0" wrapText="false" indent="0" shrinkToFit="false"/>
      <protection locked="true" hidden="false"/>
    </xf>
    <xf numFmtId="164" fontId="0" fillId="2" borderId="0" xfId="0" applyFont="false" applyBorder="false" applyAlignment="true" applyProtection="false">
      <alignment horizontal="left" vertical="bottom" textRotation="0" wrapText="true" indent="0" shrinkToFit="false"/>
      <protection locked="true" hidden="false"/>
    </xf>
    <xf numFmtId="167" fontId="0" fillId="2" borderId="0" xfId="17" applyFont="true" applyBorder="true" applyAlignment="true" applyProtection="true">
      <alignment horizontal="left" vertical="bottom" textRotation="0" wrapText="false" indent="0" shrinkToFit="false"/>
      <protection locked="true" hidden="false"/>
    </xf>
    <xf numFmtId="167" fontId="0" fillId="2" borderId="0" xfId="17" applyFont="true" applyBorder="true" applyAlignment="true" applyProtection="true">
      <alignment horizontal="left" vertical="bottom" textRotation="0" wrapText="true" indent="0" shrinkToFit="false"/>
      <protection locked="true" hidden="false"/>
    </xf>
    <xf numFmtId="167" fontId="0" fillId="2" borderId="0" xfId="17" applyFont="true" applyBorder="true" applyAlignment="true" applyProtection="tru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9" fillId="0" borderId="2" xfId="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9" fillId="0" borderId="2" xfId="0"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10" fillId="0" borderId="0" xfId="0" applyFont="true" applyBorder="true" applyAlignment="true" applyProtection="false">
      <alignment horizontal="center" vertical="center" textRotation="0" wrapText="false" indent="0" shrinkToFit="false"/>
      <protection locked="true" hidden="false"/>
    </xf>
    <xf numFmtId="164" fontId="10" fillId="0" borderId="0" xfId="0" applyFont="true" applyBorder="tru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0" fillId="2" borderId="0" xfId="0" applyFont="true" applyBorder="true" applyAlignment="true" applyProtection="false">
      <alignment horizontal="center" vertical="center" textRotation="0" wrapText="false" indent="0" shrinkToFit="false"/>
      <protection locked="true" hidden="false"/>
    </xf>
    <xf numFmtId="168" fontId="10" fillId="2" borderId="0" xfId="19" applyFont="true" applyBorder="true" applyAlignment="true" applyProtection="true">
      <alignment horizontal="center" vertical="center" textRotation="0" wrapText="false" indent="0" shrinkToFit="false"/>
      <protection locked="true" hidden="false"/>
    </xf>
    <xf numFmtId="164" fontId="10" fillId="2" borderId="0" xfId="0" applyFont="true" applyBorder="false" applyAlignment="true" applyProtection="false">
      <alignment horizontal="center" vertical="center" textRotation="0" wrapText="true" indent="0" shrinkToFit="false"/>
      <protection locked="true" hidden="false"/>
    </xf>
    <xf numFmtId="164" fontId="10" fillId="2"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8" fontId="0" fillId="0" borderId="0" xfId="19" applyFont="true" applyBorder="true" applyAlignment="true" applyProtection="true">
      <alignment horizontal="general" vertical="bottom" textRotation="0" wrapText="false" indent="0" shrinkToFit="false"/>
      <protection locked="true" hidden="false"/>
    </xf>
    <xf numFmtId="167" fontId="0" fillId="0" borderId="0" xfId="17"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tru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0" fillId="2" borderId="0" xfId="0" applyFont="false" applyBorder="true" applyAlignment="true" applyProtection="false">
      <alignment horizontal="general" vertical="bottom" textRotation="0" wrapText="false" indent="0" shrinkToFit="false"/>
      <protection locked="true" hidden="false"/>
    </xf>
    <xf numFmtId="165" fontId="0" fillId="2" borderId="0" xfId="0" applyFont="false" applyBorder="false" applyAlignment="true" applyProtection="false">
      <alignment horizontal="general" vertical="bottom" textRotation="0" wrapText="true" indent="0" shrinkToFit="false"/>
      <protection locked="true" hidden="false"/>
    </xf>
    <xf numFmtId="165"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true" applyAlignment="true" applyProtection="false">
      <alignment horizontal="left" vertical="center" textRotation="0" wrapText="true" indent="0" shrinkToFit="false"/>
      <protection locked="true" hidden="false"/>
    </xf>
    <xf numFmtId="164" fontId="0" fillId="0" borderId="0" xfId="0" applyFont="false" applyBorder="true" applyAlignment="true" applyProtection="false">
      <alignment horizontal="general" vertical="center" textRotation="0" wrapText="true" indent="0" shrinkToFit="false"/>
      <protection locked="true" hidden="false"/>
    </xf>
    <xf numFmtId="164" fontId="10" fillId="0" borderId="0" xfId="0" applyFont="true" applyBorder="true" applyAlignment="true" applyProtection="false">
      <alignment horizontal="general" vertical="center" textRotation="0" wrapText="false" indent="0" shrinkToFit="false"/>
      <protection locked="true" hidden="false"/>
    </xf>
    <xf numFmtId="164" fontId="0" fillId="3" borderId="0" xfId="0" applyFont="false" applyBorder="true" applyAlignment="true" applyProtection="false">
      <alignment horizontal="general" vertical="center" textRotation="0" wrapText="false" indent="0" shrinkToFit="false"/>
      <protection locked="true" hidden="false"/>
    </xf>
    <xf numFmtId="164" fontId="14" fillId="0" borderId="3" xfId="0" applyFont="true" applyBorder="true" applyAlignment="true" applyProtection="true">
      <alignment horizontal="general" vertical="bottom" textRotation="0" wrapText="false" indent="0" shrinkToFit="false"/>
      <protection locked="true" hidden="false"/>
    </xf>
    <xf numFmtId="164" fontId="15" fillId="0" borderId="4" xfId="0" applyFont="true" applyBorder="true" applyAlignment="true" applyProtection="true">
      <alignment horizontal="center" vertical="bottom" textRotation="0" wrapText="false" indent="0" shrinkToFit="false"/>
      <protection locked="true" hidden="false"/>
    </xf>
    <xf numFmtId="164" fontId="15" fillId="0" borderId="5" xfId="0" applyFont="true" applyBorder="true" applyAlignment="true" applyProtection="true">
      <alignment horizontal="center" vertical="bottom" textRotation="0" wrapText="false" indent="0" shrinkToFit="false"/>
      <protection locked="true" hidden="false"/>
    </xf>
    <xf numFmtId="164" fontId="15" fillId="0" borderId="5" xfId="0" applyFont="true" applyBorder="true" applyAlignment="true" applyProtection="true">
      <alignment horizontal="center" vertical="center" textRotation="0" wrapText="false" indent="0" shrinkToFit="false"/>
      <protection locked="true" hidden="false"/>
    </xf>
    <xf numFmtId="164" fontId="15" fillId="0" borderId="0"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true" applyAlignment="true" applyProtection="true">
      <alignment horizontal="left" vertical="center" textRotation="0" wrapText="true" indent="0" shrinkToFit="false"/>
      <protection locked="true" hidden="false"/>
    </xf>
    <xf numFmtId="164" fontId="0" fillId="0" borderId="0" xfId="0" applyFont="false" applyBorder="true" applyAlignment="true" applyProtection="true">
      <alignment horizontal="left" vertical="center" textRotation="0" wrapText="true" indent="0" shrinkToFit="false"/>
      <protection locked="true" hidden="false"/>
    </xf>
    <xf numFmtId="164" fontId="7" fillId="0" borderId="6" xfId="0" applyFont="true" applyBorder="true" applyAlignment="true" applyProtection="true">
      <alignment horizontal="left" vertical="center"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0" fillId="2" borderId="0" xfId="0" applyFont="true" applyBorder="tru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left" vertical="center" textRotation="0" wrapText="false" indent="0" shrinkToFit="false"/>
      <protection locked="true" hidden="false"/>
    </xf>
    <xf numFmtId="164" fontId="0" fillId="2" borderId="0" xfId="0" applyFont="false" applyBorder="true" applyAlignment="true" applyProtection="false">
      <alignment horizontal="general" vertical="center" textRotation="0" wrapText="false" indent="0" shrinkToFit="false"/>
      <protection locked="true" hidden="false"/>
    </xf>
    <xf numFmtId="164" fontId="5" fillId="4" borderId="0" xfId="0" applyFont="true" applyBorder="true" applyAlignment="true" applyProtection="true">
      <alignment horizontal="general" vertical="center" textRotation="0" wrapText="true" indent="0" shrinkToFit="false"/>
      <protection locked="true" hidden="false"/>
    </xf>
    <xf numFmtId="164" fontId="5" fillId="0" borderId="0" xfId="0" applyFont="true" applyBorder="true" applyAlignment="true" applyProtection="true">
      <alignment horizontal="general" vertical="bottom" textRotation="0" wrapText="true" indent="0" shrinkToFit="false"/>
      <protection locked="true" hidden="false"/>
    </xf>
    <xf numFmtId="164" fontId="5" fillId="0" borderId="0"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7"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true" applyAlignment="true" applyProtection="true">
      <alignment horizontal="center" vertical="center" textRotation="0" wrapText="false" indent="0" shrinkToFit="false"/>
      <protection locked="true" hidden="true"/>
    </xf>
    <xf numFmtId="164" fontId="18" fillId="0" borderId="8" xfId="0" applyFont="true" applyBorder="true" applyAlignment="true" applyProtection="false">
      <alignment horizontal="general" vertical="center" textRotation="0" wrapText="false" indent="0" shrinkToFit="false"/>
      <protection locked="true" hidden="false"/>
    </xf>
    <xf numFmtId="164" fontId="0" fillId="3" borderId="0" xfId="0" applyFont="false" applyBorder="true" applyAlignment="true" applyProtection="true">
      <alignment horizontal="general" vertical="center" textRotation="0" wrapText="false" indent="0" shrinkToFit="false"/>
      <protection locked="true" hidden="false"/>
    </xf>
    <xf numFmtId="164" fontId="19" fillId="0" borderId="7" xfId="0" applyFont="true" applyBorder="tru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true" indent="0" shrinkToFit="false"/>
      <protection locked="true" hidden="false"/>
    </xf>
    <xf numFmtId="164" fontId="5" fillId="0" borderId="0" xfId="0" applyFont="true" applyBorder="true" applyAlignment="true" applyProtection="true">
      <alignment horizontal="general" vertical="center" textRotation="0" wrapText="true" indent="0" shrinkToFit="false"/>
      <protection locked="true" hidden="false"/>
    </xf>
    <xf numFmtId="164" fontId="21" fillId="3" borderId="0" xfId="0" applyFont="true" applyBorder="tru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0" borderId="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true" indent="0" shrinkToFit="false"/>
      <protection locked="true" hidden="false"/>
    </xf>
    <xf numFmtId="164" fontId="23" fillId="0" borderId="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true">
      <alignment horizontal="general" vertical="center" textRotation="0" wrapText="true" indent="0" shrinkToFit="false"/>
      <protection locked="true" hidden="true"/>
    </xf>
    <xf numFmtId="164" fontId="11" fillId="0" borderId="11" xfId="0" applyFont="true" applyBorder="true" applyAlignment="true" applyProtection="false">
      <alignment horizontal="general" vertical="center" textRotation="0" wrapText="false" indent="0" shrinkToFit="false"/>
      <protection locked="true" hidden="false"/>
    </xf>
    <xf numFmtId="164" fontId="7" fillId="0" borderId="12" xfId="0" applyFont="true" applyBorder="true" applyAlignment="true" applyProtection="true">
      <alignment horizontal="left" vertical="center" textRotation="0" wrapText="true" indent="0" shrinkToFit="false"/>
      <protection locked="true" hidden="false"/>
    </xf>
    <xf numFmtId="164" fontId="7" fillId="0" borderId="0" xfId="0" applyFont="true" applyBorder="false" applyAlignment="true" applyProtection="true">
      <alignment horizontal="general" vertical="center" textRotation="0" wrapText="true" indent="0" shrinkToFit="false"/>
      <protection locked="true" hidden="false"/>
    </xf>
    <xf numFmtId="164" fontId="18" fillId="0" borderId="4"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general" vertical="bottom" textRotation="0" wrapText="true" indent="0" shrinkToFit="false"/>
      <protection locked="true" hidden="false"/>
    </xf>
    <xf numFmtId="164" fontId="18" fillId="0" borderId="0" xfId="0" applyFont="true" applyBorder="false" applyAlignment="true" applyProtection="false">
      <alignment horizontal="general" vertical="bottom" textRotation="0" wrapText="true" indent="0" shrinkToFit="false"/>
      <protection locked="true" hidden="false"/>
    </xf>
    <xf numFmtId="164" fontId="10" fillId="5" borderId="13" xfId="0" applyFont="true" applyBorder="true" applyAlignment="true" applyProtection="false">
      <alignment horizontal="general" vertical="center" textRotation="0" wrapText="true" indent="0" shrinkToFit="false"/>
      <protection locked="true" hidden="false"/>
    </xf>
    <xf numFmtId="164" fontId="21" fillId="3" borderId="0" xfId="0" applyFont="true" applyBorder="true" applyAlignment="true" applyProtection="tru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10" fillId="5" borderId="13" xfId="0" applyFont="true" applyBorder="true" applyAlignment="true" applyProtection="false">
      <alignment horizontal="left" vertical="center" textRotation="0" wrapText="true" indent="0" shrinkToFit="false"/>
      <protection locked="true" hidden="false"/>
    </xf>
    <xf numFmtId="164" fontId="0" fillId="5" borderId="0" xfId="0" applyFont="false" applyBorder="true" applyAlignment="true" applyProtection="true">
      <alignment horizontal="general" vertical="center" textRotation="0" wrapText="true" indent="0" shrinkToFit="false"/>
      <protection locked="true" hidden="true"/>
    </xf>
    <xf numFmtId="166" fontId="0" fillId="2" borderId="0" xfId="0" applyFont="false" applyBorder="false" applyAlignment="false" applyProtection="false">
      <alignment horizontal="general" vertical="bottom" textRotation="0" wrapText="false" indent="0" shrinkToFit="false"/>
      <protection locked="true" hidden="false"/>
    </xf>
    <xf numFmtId="164" fontId="10" fillId="2" borderId="0" xfId="0" applyFont="true" applyBorder="false" applyAlignment="false" applyProtection="false">
      <alignment horizontal="general" vertical="bottom" textRotation="0" wrapText="false" indent="0" shrinkToFit="false"/>
      <protection locked="true" hidden="false"/>
    </xf>
    <xf numFmtId="164" fontId="11" fillId="2" borderId="0" xfId="0" applyFont="true" applyBorder="true" applyAlignment="true" applyProtection="false">
      <alignment horizontal="right"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70" fontId="16" fillId="4" borderId="0" xfId="15" applyFont="true" applyBorder="true" applyAlignment="true" applyProtection="true">
      <alignment horizontal="general" vertical="bottom" textRotation="0" wrapText="false" indent="0" shrinkToFit="false"/>
      <protection locked="true" hidden="false"/>
    </xf>
    <xf numFmtId="164" fontId="0" fillId="6" borderId="0" xfId="0" applyFont="false" applyBorder="false" applyAlignment="true" applyProtection="true">
      <alignment horizontal="general" vertical="bottom" textRotation="0" wrapText="true" indent="0" shrinkToFit="false"/>
      <protection locked="true" hidden="false"/>
    </xf>
    <xf numFmtId="171" fontId="0" fillId="2" borderId="0" xfId="0" applyFont="false" applyBorder="false" applyAlignment="false" applyProtection="false">
      <alignment horizontal="general" vertical="bottom" textRotation="0" wrapText="false" indent="0" shrinkToFit="false"/>
      <protection locked="true" hidden="false"/>
    </xf>
    <xf numFmtId="164" fontId="11" fillId="2" borderId="0" xfId="0" applyFont="true" applyBorder="true" applyAlignment="true" applyProtection="false">
      <alignment horizontal="general" vertical="center" textRotation="0" wrapText="false" indent="0" shrinkToFit="false"/>
      <protection locked="true" hidden="false"/>
    </xf>
    <xf numFmtId="172" fontId="0" fillId="0" borderId="0" xfId="0" applyFont="false" applyBorder="true" applyAlignment="true" applyProtection="false">
      <alignment horizontal="general" vertical="center" textRotation="0" wrapText="false" indent="0" shrinkToFit="false"/>
      <protection locked="true" hidden="false"/>
    </xf>
    <xf numFmtId="164" fontId="11" fillId="4"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73" fontId="11" fillId="0" borderId="0" xfId="0" applyFont="true" applyBorder="true" applyAlignment="true" applyProtection="false">
      <alignment horizontal="general" vertical="center" textRotation="0" wrapText="false" indent="0" shrinkToFit="false"/>
      <protection locked="true" hidden="false"/>
    </xf>
    <xf numFmtId="164" fontId="25" fillId="4" borderId="0"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4" borderId="0" xfId="0" applyFont="false" applyBorder="false" applyAlignment="true" applyProtection="false">
      <alignment horizontal="general" vertical="bottom" textRotation="0" wrapText="true" indent="0" shrinkToFit="false"/>
      <protection locked="true" hidden="false"/>
    </xf>
    <xf numFmtId="164" fontId="25" fillId="4" borderId="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true" applyAlignment="true" applyProtection="false">
      <alignment horizontal="general" vertical="center" textRotation="0" wrapText="false" indent="0" shrinkToFit="false"/>
      <protection locked="true" hidden="false"/>
    </xf>
    <xf numFmtId="164" fontId="11" fillId="0" borderId="14" xfId="0" applyFont="true" applyBorder="true" applyAlignment="true" applyProtection="false">
      <alignment horizontal="general" vertical="center" textRotation="0" wrapText="false" indent="0" shrinkToFit="false"/>
      <protection locked="true" hidden="false"/>
    </xf>
    <xf numFmtId="164" fontId="26" fillId="0" borderId="1" xfId="21" applyFont="true" applyBorder="false" applyAlignment="true" applyProtection="true">
      <alignment horizontal="left"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right" vertical="center" textRotation="0" wrapText="true" indent="0" shrinkToFit="false"/>
      <protection locked="true" hidden="false"/>
    </xf>
    <xf numFmtId="168"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8" fontId="0" fillId="2" borderId="0" xfId="0" applyFont="false" applyBorder="false" applyAlignment="true" applyProtection="true">
      <alignment horizontal="general" vertical="bottom" textRotation="0" wrapText="false" indent="0" shrinkToFit="false"/>
      <protection locked="true" hidden="false"/>
    </xf>
    <xf numFmtId="164" fontId="26" fillId="0" borderId="1" xfId="21" applyFont="true" applyBorder="false" applyAlignment="true" applyProtection="true">
      <alignment horizontal="general" vertical="center" textRotation="0" wrapText="false" indent="0" shrinkToFit="false"/>
      <protection locked="true" hidden="false"/>
    </xf>
    <xf numFmtId="164" fontId="11" fillId="0"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4" borderId="0" xfId="0" applyFont="true" applyBorder="true" applyAlignment="true" applyProtection="false">
      <alignment horizontal="center" vertical="center" textRotation="0" wrapText="false" indent="0" shrinkToFit="false"/>
      <protection locked="true" hidden="false"/>
    </xf>
    <xf numFmtId="164" fontId="11" fillId="2" borderId="0" xfId="0" applyFont="true" applyBorder="true" applyAlignment="true" applyProtection="false">
      <alignment horizontal="center" vertical="center" textRotation="0" wrapText="false" indent="0" shrinkToFit="false"/>
      <protection locked="true" hidden="false"/>
    </xf>
    <xf numFmtId="164" fontId="27" fillId="3"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center"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4" fontId="26" fillId="0" borderId="0" xfId="0" applyFont="true" applyBorder="true" applyAlignment="true" applyProtection="true">
      <alignment horizontal="general" vertical="bottom" textRotation="0" wrapText="false" indent="0" shrinkToFit="false"/>
      <protection locked="true" hidden="false"/>
    </xf>
    <xf numFmtId="164" fontId="27" fillId="3" borderId="0" xfId="0" applyFont="true" applyBorder="true" applyAlignment="true" applyProtection="false">
      <alignment horizontal="general" vertical="center" textRotation="0" wrapText="false" indent="0" shrinkToFit="false"/>
      <protection locked="true" hidden="false"/>
    </xf>
    <xf numFmtId="164" fontId="11" fillId="3" borderId="0" xfId="0" applyFont="true" applyBorder="true" applyAlignment="true" applyProtection="false">
      <alignment horizontal="general"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64" fontId="34" fillId="5" borderId="15" xfId="0" applyFont="true" applyBorder="true" applyAlignment="true" applyProtection="false">
      <alignment horizontal="center" vertical="center" textRotation="0" wrapText="false" indent="0" shrinkToFit="false"/>
      <protection locked="true" hidden="false"/>
    </xf>
    <xf numFmtId="164" fontId="10" fillId="7" borderId="16" xfId="0" applyFont="true" applyBorder="true" applyAlignment="true" applyProtection="false">
      <alignment horizontal="general" vertical="center" textRotation="0" wrapText="false" indent="0" shrinkToFit="false"/>
      <protection locked="true" hidden="false"/>
    </xf>
    <xf numFmtId="164" fontId="10" fillId="7" borderId="5" xfId="0" applyFont="true" applyBorder="true" applyAlignment="true" applyProtection="false">
      <alignment horizontal="general" vertical="center" textRotation="0" wrapText="false" indent="0" shrinkToFit="false"/>
      <protection locked="true" hidden="false"/>
    </xf>
    <xf numFmtId="164" fontId="10" fillId="7" borderId="17" xfId="0" applyFont="true" applyBorder="true" applyAlignment="true" applyProtection="false">
      <alignment horizontal="general" vertical="center" textRotation="0" wrapText="false" indent="0" shrinkToFit="false"/>
      <protection locked="true" hidden="false"/>
    </xf>
    <xf numFmtId="164" fontId="0" fillId="0" borderId="16"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false" indent="0" shrinkToFit="false"/>
      <protection locked="true" hidden="false"/>
    </xf>
    <xf numFmtId="164" fontId="11" fillId="0" borderId="17" xfId="0" applyFont="true" applyBorder="true" applyAlignment="true" applyProtection="false">
      <alignment horizontal="general" vertical="center" textRotation="0" wrapText="false" indent="0" shrinkToFit="false"/>
      <protection locked="true" hidden="false"/>
    </xf>
    <xf numFmtId="164" fontId="11" fillId="0" borderId="18" xfId="0" applyFont="true" applyBorder="true" applyAlignment="true" applyProtection="false">
      <alignment horizontal="general" vertical="center" textRotation="0" wrapText="false" indent="0" shrinkToFit="false"/>
      <protection locked="true" hidden="false"/>
    </xf>
    <xf numFmtId="164" fontId="11" fillId="0" borderId="19"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4" fontId="11" fillId="0" borderId="2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35" fillId="0" borderId="0" xfId="20" applyFont="true" applyBorder="true" applyAlignment="true" applyProtection="tru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1" builtinId="53" customBuiltin="true"/>
    <cellStyle name="*unknown*" xfId="20" builtinId="8" customBuiltin="false"/>
  </cellStyles>
  <dxfs count="39">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colors>
    <indexedColors>
      <rgbColor rgb="FF000000"/>
      <rgbColor rgb="FFFFFFFF"/>
      <rgbColor rgb="FFFF0000"/>
      <rgbColor rgb="FF00FF00"/>
      <rgbColor rgb="FF0000D4"/>
      <rgbColor rgb="FFFFFF00"/>
      <rgbColor rgb="FFFF00FF"/>
      <rgbColor rgb="FF00FFFF"/>
      <rgbColor rgb="FF9C0006"/>
      <rgbColor rgb="FF008000"/>
      <rgbColor rgb="FF000090"/>
      <rgbColor rgb="FF9C6500"/>
      <rgbColor rgb="FF800080"/>
      <rgbColor rgb="FF008080"/>
      <rgbColor rgb="FFC0C0C0"/>
      <rgbColor rgb="FF7F7F7F"/>
      <rgbColor rgb="FF8EA5CA"/>
      <rgbColor rgb="FF993366"/>
      <rgbColor rgb="FFEBF1DE"/>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FEB9C"/>
      <rgbColor rgb="FFC6EFCE"/>
      <rgbColor rgb="FFFFFF99"/>
      <rgbColor rgb="FFA7C0DE"/>
      <rgbColor rgb="FFFF99CC"/>
      <rgbColor rgb="FF95B3D7"/>
      <rgbColor rgb="FFFFC7CE"/>
      <rgbColor rgb="FF4A7EBB"/>
      <rgbColor rgb="FF33CCCC"/>
      <rgbColor rgb="FF92D050"/>
      <rgbColor rgb="FFFFCC00"/>
      <rgbColor rgb="FFFF9900"/>
      <rgbColor rgb="FFFF6600"/>
      <rgbColor rgb="FF595959"/>
      <rgbColor rgb="FF878787"/>
      <rgbColor rgb="FF1F497D"/>
      <rgbColor rgb="FF4F81BD"/>
      <rgbColor rgb="FF0061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Price Every 3 weeks for a year</a:t>
            </a:r>
          </a:p>
        </c:rich>
      </c:tx>
      <c:overlay val="0"/>
    </c:title>
    <c:autoTitleDeleted val="0"/>
    <c:plotArea>
      <c:layout>
        <c:manualLayout>
          <c:layoutTarget val="inner"/>
          <c:xMode val="edge"/>
          <c:yMode val="edge"/>
          <c:x val="0.0685650436784723"/>
          <c:y val="0.116716442005004"/>
          <c:w val="0.931333378479041"/>
          <c:h val="0.81112277019937"/>
        </c:manualLayout>
      </c:layout>
      <c:lineChart>
        <c:grouping val="standard"/>
        <c:varyColors val="0"/>
        <c:ser>
          <c:idx val="0"/>
          <c:order val="0"/>
          <c:spPr>
            <a:solidFill>
              <a:srgbClr val="4f81bd"/>
            </a:solidFill>
            <a:ln w="28440">
              <a:solidFill>
                <a:srgbClr val="4f81bd"/>
              </a:solidFill>
              <a:round/>
            </a:ln>
          </c:spPr>
          <c:marker>
            <c:symbol val="none"/>
          </c:marker>
          <c:dLbls>
            <c:dLblPos val="r"/>
            <c:showLegendKey val="0"/>
            <c:showVal val="0"/>
            <c:showCatName val="0"/>
            <c:showSerName val="0"/>
            <c:showPercent val="0"/>
            <c:showLeaderLines val="0"/>
          </c:dLbls>
          <c:trendline>
            <c:spPr>
              <a:ln w="19080">
                <a:solidFill>
                  <a:srgbClr val="4f81bd"/>
                </a:solidFill>
                <a:round/>
              </a:ln>
            </c:spPr>
            <c:trendlineType val="linear"/>
            <c:forward val="0"/>
            <c:backward val="0"/>
            <c:dispRSqr val="0"/>
            <c:dispEq val="0"/>
          </c:trendline>
          <c:cat>
            <c:strRef>
              <c:f>Analysis!$BR$7:$CI$7</c:f>
              <c:strCach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strCache>
            </c:strRef>
          </c:cat>
          <c:val>
            <c:numRef>
              <c:f>Analysis!$BR$8:$CI$8</c:f>
              <c:numCache>
                <c:formatCode>General</c:formatCode>
                <c:ptCount val="18"/>
                <c:pt idx="0">
                  <c:v>151.580093892502</c:v>
                </c:pt>
                <c:pt idx="1">
                  <c:v>148.629064973692</c:v>
                </c:pt>
                <c:pt idx="2">
                  <c:v>147.690469807317</c:v>
                </c:pt>
                <c:pt idx="3">
                  <c:v>154.175786957976</c:v>
                </c:pt>
                <c:pt idx="4">
                  <c:v>152.482491885217</c:v>
                </c:pt>
                <c:pt idx="5">
                  <c:v>147.544996072445</c:v>
                </c:pt>
                <c:pt idx="6">
                  <c:v>150.429189780073</c:v>
                </c:pt>
                <c:pt idx="7">
                  <c:v>142.697316139695</c:v>
                </c:pt>
                <c:pt idx="8">
                  <c:v>142.707835432971</c:v>
                </c:pt>
                <c:pt idx="9">
                  <c:v>143.921353320252</c:v>
                </c:pt>
                <c:pt idx="10">
                  <c:v>142.79827795493</c:v>
                </c:pt>
                <c:pt idx="11">
                  <c:v>134.360270678455</c:v>
                </c:pt>
                <c:pt idx="12">
                  <c:v>134.728075880579</c:v>
                </c:pt>
                <c:pt idx="13">
                  <c:v>130.781363469159</c:v>
                </c:pt>
                <c:pt idx="14">
                  <c:v>127.451546754005</c:v>
                </c:pt>
                <c:pt idx="15">
                  <c:v>123.261429826446</c:v>
                </c:pt>
                <c:pt idx="16">
                  <c:v>117.51333925516</c:v>
                </c:pt>
                <c:pt idx="17">
                  <c:v>127.557882541259</c:v>
                </c:pt>
              </c:numCache>
            </c:numRef>
          </c:val>
          <c:smooth val="0"/>
        </c:ser>
        <c:hiLowLines>
          <c:spPr>
            <a:ln>
              <a:noFill/>
            </a:ln>
          </c:spPr>
        </c:hiLowLines>
        <c:marker val="0"/>
        <c:axId val="71516757"/>
        <c:axId val="63444308"/>
      </c:lineChart>
      <c:catAx>
        <c:axId val="71516757"/>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63444308"/>
        <c:crosses val="autoZero"/>
        <c:auto val="1"/>
        <c:lblAlgn val="ctr"/>
        <c:lblOffset val="100"/>
      </c:catAx>
      <c:valAx>
        <c:axId val="63444308"/>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71516757"/>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Where the majority of values should fall at the year mark</a:t>
            </a:r>
          </a:p>
        </c:rich>
      </c:tx>
      <c:overlay val="0"/>
    </c:title>
    <c:autoTitleDeleted val="0"/>
    <c:plotArea>
      <c:barChart>
        <c:barDir val="col"/>
        <c:grouping val="clustered"/>
        <c:varyColors val="0"/>
        <c:ser>
          <c:idx val="0"/>
          <c:order val="0"/>
          <c:spPr>
            <a:solidFill>
              <a:srgbClr val="4f81bd"/>
            </a:solidFill>
            <a:ln>
              <a:noFill/>
            </a:ln>
          </c:spPr>
          <c:invertIfNegative val="0"/>
          <c:dLbls>
            <c:dLblPos val="outEnd"/>
            <c:showLegendKey val="0"/>
            <c:showVal val="0"/>
            <c:showCatName val="0"/>
            <c:showSerName val="0"/>
            <c:showPercent val="0"/>
            <c:showLeaderLines val="0"/>
          </c:dLbls>
          <c:cat>
            <c:strRef>
              <c:f>Analysis!$BR$19:$BR$29</c:f>
              <c:strCache>
                <c:ptCount val="11"/>
                <c:pt idx="0">
                  <c:v>117,51333925516</c:v>
                </c:pt>
                <c:pt idx="1">
                  <c:v>117,51333925516</c:v>
                </c:pt>
                <c:pt idx="2">
                  <c:v>117,51333925516</c:v>
                </c:pt>
                <c:pt idx="3">
                  <c:v>117,51333925516</c:v>
                </c:pt>
                <c:pt idx="4">
                  <c:v>117,51333925516</c:v>
                </c:pt>
                <c:pt idx="5">
                  <c:v>117,51333925516</c:v>
                </c:pt>
                <c:pt idx="6">
                  <c:v>117,51333925516</c:v>
                </c:pt>
                <c:pt idx="7">
                  <c:v>117,51333925516</c:v>
                </c:pt>
                <c:pt idx="8">
                  <c:v>117,51333925516</c:v>
                </c:pt>
                <c:pt idx="9">
                  <c:v>117,51333925516</c:v>
                </c:pt>
                <c:pt idx="10">
                  <c:v>117,51333925516</c:v>
                </c:pt>
              </c:strCache>
            </c:strRef>
          </c:cat>
          <c:val>
            <c:numRef>
              <c:f>Analysis!$BS$19:$BS$29</c:f>
              <c:numCache>
                <c:formatCode>General</c:formatCode>
                <c:ptCount val="11"/>
                <c:pt idx="0">
                  <c:v>100</c:v>
                </c:pt>
                <c:pt idx="1">
                  <c:v>0</c:v>
                </c:pt>
                <c:pt idx="2">
                  <c:v>0</c:v>
                </c:pt>
                <c:pt idx="3">
                  <c:v>0</c:v>
                </c:pt>
                <c:pt idx="4">
                  <c:v>0</c:v>
                </c:pt>
                <c:pt idx="5">
                  <c:v>0</c:v>
                </c:pt>
                <c:pt idx="6">
                  <c:v>0</c:v>
                </c:pt>
                <c:pt idx="7">
                  <c:v>0</c:v>
                </c:pt>
                <c:pt idx="8">
                  <c:v>0</c:v>
                </c:pt>
                <c:pt idx="9">
                  <c:v>0</c:v>
                </c:pt>
                <c:pt idx="10">
                  <c:v>0</c:v>
                </c:pt>
              </c:numCache>
            </c:numRef>
          </c:val>
        </c:ser>
        <c:gapWidth val="219"/>
        <c:overlap val="-27"/>
        <c:axId val="56669084"/>
        <c:axId val="10157941"/>
      </c:barChart>
      <c:catAx>
        <c:axId val="56669084"/>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10157941"/>
        <c:crosses val="autoZero"/>
        <c:auto val="1"/>
        <c:lblAlgn val="ctr"/>
        <c:lblOffset val="100"/>
      </c:catAx>
      <c:valAx>
        <c:axId val="10157941"/>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56669084"/>
        <c:crosses val="autoZero"/>
      </c:valAx>
      <c:spPr>
        <a:noFill/>
        <a:ln>
          <a:noFill/>
        </a:ln>
      </c:spPr>
    </c:plotArea>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a:t>
            </a:r>
          </a:p>
        </c:rich>
      </c:tx>
      <c:overlay val="0"/>
    </c:title>
    <c:autoTitleDeleted val="0"/>
    <c:plotArea>
      <c:lineChart>
        <c:grouping val="standard"/>
        <c:varyColors val="0"/>
        <c:ser>
          <c:idx val="0"/>
          <c:order val="0"/>
          <c:tx>
            <c:strRef>
              <c:f>"Close Data"</c:f>
              <c:strCache>
                <c:ptCount val="1"/>
                <c:pt idx="0">
                  <c:v>Close Data</c:v>
                </c:pt>
              </c:strCache>
            </c:strRef>
          </c:tx>
          <c:spPr>
            <a:solidFill>
              <a:srgbClr val="4a7ebb"/>
            </a:solidFill>
            <a:ln w="47520">
              <a:solidFill>
                <a:srgbClr val="4a7ebb"/>
              </a:solidFill>
              <a:round/>
            </a:ln>
          </c:spPr>
          <c:marker>
            <c:symbol val="none"/>
          </c:marker>
          <c:dLbls>
            <c:dLbl>
              <c:idx val="1004"/>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Analysis!$AE$7:$AE$1011</c:f>
              <c:strCache>
                <c:ptCount val="1005"/>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pt idx="187">
                  <c:v>18.11.2016</c:v>
                </c:pt>
                <c:pt idx="188">
                  <c:v>17.11.2016</c:v>
                </c:pt>
                <c:pt idx="189">
                  <c:v>16.11.2016</c:v>
                </c:pt>
                <c:pt idx="190">
                  <c:v>15.11.2016</c:v>
                </c:pt>
                <c:pt idx="191">
                  <c:v>14.11.2016</c:v>
                </c:pt>
                <c:pt idx="192">
                  <c:v>11.11.2016</c:v>
                </c:pt>
                <c:pt idx="193">
                  <c:v>10.11.2016</c:v>
                </c:pt>
                <c:pt idx="194">
                  <c:v>09.11.2016</c:v>
                </c:pt>
                <c:pt idx="195">
                  <c:v>08.11.2016</c:v>
                </c:pt>
                <c:pt idx="196">
                  <c:v>07.11.2016</c:v>
                </c:pt>
                <c:pt idx="197">
                  <c:v>04.11.2016</c:v>
                </c:pt>
                <c:pt idx="198">
                  <c:v>03.11.2016</c:v>
                </c:pt>
                <c:pt idx="199">
                  <c:v>02.11.2016</c:v>
                </c:pt>
                <c:pt idx="200">
                  <c:v>01.11.2016</c:v>
                </c:pt>
                <c:pt idx="201">
                  <c:v>31.10.2016</c:v>
                </c:pt>
                <c:pt idx="202">
                  <c:v>28.10.2016</c:v>
                </c:pt>
                <c:pt idx="203">
                  <c:v>27.10.2016</c:v>
                </c:pt>
                <c:pt idx="204">
                  <c:v>26.10.2016</c:v>
                </c:pt>
                <c:pt idx="205">
                  <c:v>25.10.2016</c:v>
                </c:pt>
                <c:pt idx="206">
                  <c:v>24.10.2016</c:v>
                </c:pt>
                <c:pt idx="207">
                  <c:v>21.10.2016</c:v>
                </c:pt>
                <c:pt idx="208">
                  <c:v>20.10.2016</c:v>
                </c:pt>
                <c:pt idx="209">
                  <c:v>19.10.2016</c:v>
                </c:pt>
                <c:pt idx="210">
                  <c:v>18.10.2016</c:v>
                </c:pt>
                <c:pt idx="211">
                  <c:v>17.10.2016</c:v>
                </c:pt>
                <c:pt idx="212">
                  <c:v>14.10.2016</c:v>
                </c:pt>
                <c:pt idx="213">
                  <c:v>13.10.2016</c:v>
                </c:pt>
                <c:pt idx="214">
                  <c:v>12.10.2016</c:v>
                </c:pt>
                <c:pt idx="215">
                  <c:v>11.10.2016</c:v>
                </c:pt>
                <c:pt idx="216">
                  <c:v>10.10.2016</c:v>
                </c:pt>
                <c:pt idx="217">
                  <c:v>07.10.2016</c:v>
                </c:pt>
                <c:pt idx="218">
                  <c:v>06.10.2016</c:v>
                </c:pt>
                <c:pt idx="219">
                  <c:v>05.10.2016</c:v>
                </c:pt>
                <c:pt idx="220">
                  <c:v>04.10.2016</c:v>
                </c:pt>
                <c:pt idx="221">
                  <c:v>03.10.2016</c:v>
                </c:pt>
                <c:pt idx="222">
                  <c:v>30.09.2016</c:v>
                </c:pt>
                <c:pt idx="223">
                  <c:v>29.09.2016</c:v>
                </c:pt>
                <c:pt idx="224">
                  <c:v>28.09.2016</c:v>
                </c:pt>
                <c:pt idx="225">
                  <c:v>27.09.2016</c:v>
                </c:pt>
                <c:pt idx="226">
                  <c:v>26.09.2016</c:v>
                </c:pt>
                <c:pt idx="227">
                  <c:v>23.09.2016</c:v>
                </c:pt>
                <c:pt idx="228">
                  <c:v>22.09.2016</c:v>
                </c:pt>
                <c:pt idx="229">
                  <c:v>21.09.2016</c:v>
                </c:pt>
                <c:pt idx="230">
                  <c:v>20.09.2016</c:v>
                </c:pt>
                <c:pt idx="231">
                  <c:v>19.09.2016</c:v>
                </c:pt>
                <c:pt idx="232">
                  <c:v>16.09.2016</c:v>
                </c:pt>
                <c:pt idx="233">
                  <c:v>15.09.2016</c:v>
                </c:pt>
                <c:pt idx="234">
                  <c:v>14.09.2016</c:v>
                </c:pt>
                <c:pt idx="235">
                  <c:v>13.09.2016</c:v>
                </c:pt>
                <c:pt idx="236">
                  <c:v>12.09.2016</c:v>
                </c:pt>
                <c:pt idx="237">
                  <c:v>09.09.2016</c:v>
                </c:pt>
                <c:pt idx="238">
                  <c:v>08.09.2016</c:v>
                </c:pt>
                <c:pt idx="239">
                  <c:v>07.09.2016</c:v>
                </c:pt>
                <c:pt idx="240">
                  <c:v>06.09.2016</c:v>
                </c:pt>
                <c:pt idx="241">
                  <c:v>02.09.2016</c:v>
                </c:pt>
                <c:pt idx="242">
                  <c:v>01.09.2016</c:v>
                </c:pt>
                <c:pt idx="243">
                  <c:v>31.08.2016</c:v>
                </c:pt>
                <c:pt idx="244">
                  <c:v>30.08.2016</c:v>
                </c:pt>
                <c:pt idx="245">
                  <c:v>29.08.2016</c:v>
                </c:pt>
                <c:pt idx="246">
                  <c:v>26.08.2016</c:v>
                </c:pt>
                <c:pt idx="247">
                  <c:v>25.08.2016</c:v>
                </c:pt>
                <c:pt idx="248">
                  <c:v>24.08.2016</c:v>
                </c:pt>
                <c:pt idx="249">
                  <c:v>23.08.2016</c:v>
                </c:pt>
                <c:pt idx="250">
                  <c:v>22.08.2016</c:v>
                </c:pt>
                <c:pt idx="251">
                  <c:v>19.08.2016</c:v>
                </c:pt>
                <c:pt idx="252">
                  <c:v>18.08.2016</c:v>
                </c:pt>
                <c:pt idx="253">
                  <c:v>17.08.2016</c:v>
                </c:pt>
                <c:pt idx="254">
                  <c:v>16.08.2016</c:v>
                </c:pt>
                <c:pt idx="255">
                  <c:v>15.08.2016</c:v>
                </c:pt>
                <c:pt idx="256">
                  <c:v>12.08.2016</c:v>
                </c:pt>
                <c:pt idx="257">
                  <c:v>11.08.2016</c:v>
                </c:pt>
                <c:pt idx="258">
                  <c:v>10.08.2016</c:v>
                </c:pt>
                <c:pt idx="259">
                  <c:v>09.08.2016</c:v>
                </c:pt>
                <c:pt idx="260">
                  <c:v>08.08.2016</c:v>
                </c:pt>
                <c:pt idx="261">
                  <c:v>05.08.2016</c:v>
                </c:pt>
                <c:pt idx="262">
                  <c:v>04.08.2016</c:v>
                </c:pt>
                <c:pt idx="263">
                  <c:v>03.08.2016</c:v>
                </c:pt>
                <c:pt idx="264">
                  <c:v>02.08.2016</c:v>
                </c:pt>
                <c:pt idx="265">
                  <c:v>01.08.2016</c:v>
                </c:pt>
                <c:pt idx="266">
                  <c:v>29.07.2016</c:v>
                </c:pt>
                <c:pt idx="267">
                  <c:v>28.07.2016</c:v>
                </c:pt>
                <c:pt idx="268">
                  <c:v>27.07.2016</c:v>
                </c:pt>
                <c:pt idx="269">
                  <c:v>26.07.2016</c:v>
                </c:pt>
                <c:pt idx="270">
                  <c:v>25.07.2016</c:v>
                </c:pt>
                <c:pt idx="271">
                  <c:v>22.07.2016</c:v>
                </c:pt>
                <c:pt idx="272">
                  <c:v>21.07.2016</c:v>
                </c:pt>
                <c:pt idx="273">
                  <c:v>20.07.2016</c:v>
                </c:pt>
                <c:pt idx="274">
                  <c:v>19.07.2016</c:v>
                </c:pt>
                <c:pt idx="275">
                  <c:v>18.07.2016</c:v>
                </c:pt>
                <c:pt idx="276">
                  <c:v>15.07.2016</c:v>
                </c:pt>
                <c:pt idx="277">
                  <c:v>14.07.2016</c:v>
                </c:pt>
                <c:pt idx="278">
                  <c:v>13.07.2016</c:v>
                </c:pt>
                <c:pt idx="279">
                  <c:v>12.07.2016</c:v>
                </c:pt>
                <c:pt idx="280">
                  <c:v>11.07.2016</c:v>
                </c:pt>
                <c:pt idx="281">
                  <c:v>08.07.2016</c:v>
                </c:pt>
                <c:pt idx="282">
                  <c:v>07.07.2016</c:v>
                </c:pt>
                <c:pt idx="283">
                  <c:v>06.07.2016</c:v>
                </c:pt>
                <c:pt idx="284">
                  <c:v>05.07.2016</c:v>
                </c:pt>
                <c:pt idx="285">
                  <c:v>01.07.2016</c:v>
                </c:pt>
                <c:pt idx="286">
                  <c:v>30.06.2016</c:v>
                </c:pt>
                <c:pt idx="287">
                  <c:v>29.06.2016</c:v>
                </c:pt>
                <c:pt idx="288">
                  <c:v>28.06.2016</c:v>
                </c:pt>
                <c:pt idx="289">
                  <c:v>27.06.2016</c:v>
                </c:pt>
                <c:pt idx="290">
                  <c:v>24.06.2016</c:v>
                </c:pt>
                <c:pt idx="291">
                  <c:v>23.06.2016</c:v>
                </c:pt>
                <c:pt idx="292">
                  <c:v>22.06.2016</c:v>
                </c:pt>
                <c:pt idx="293">
                  <c:v>21.06.2016</c:v>
                </c:pt>
                <c:pt idx="294">
                  <c:v>20.06.2016</c:v>
                </c:pt>
                <c:pt idx="295">
                  <c:v>17.06.2016</c:v>
                </c:pt>
                <c:pt idx="296">
                  <c:v>16.06.2016</c:v>
                </c:pt>
                <c:pt idx="297">
                  <c:v>15.06.2016</c:v>
                </c:pt>
                <c:pt idx="298">
                  <c:v>14.06.2016</c:v>
                </c:pt>
                <c:pt idx="299">
                  <c:v>13.06.2016</c:v>
                </c:pt>
                <c:pt idx="300">
                  <c:v>10.06.2016</c:v>
                </c:pt>
                <c:pt idx="301">
                  <c:v>09.06.2016</c:v>
                </c:pt>
                <c:pt idx="302">
                  <c:v>08.06.2016</c:v>
                </c:pt>
                <c:pt idx="303">
                  <c:v>07.06.2016</c:v>
                </c:pt>
                <c:pt idx="304">
                  <c:v>06.06.2016</c:v>
                </c:pt>
                <c:pt idx="305">
                  <c:v>03.06.2016</c:v>
                </c:pt>
                <c:pt idx="306">
                  <c:v>02.06.2016</c:v>
                </c:pt>
                <c:pt idx="307">
                  <c:v>01.06.2016</c:v>
                </c:pt>
                <c:pt idx="308">
                  <c:v>31.05.2016</c:v>
                </c:pt>
                <c:pt idx="309">
                  <c:v>27.05.2016</c:v>
                </c:pt>
                <c:pt idx="310">
                  <c:v>26.05.2016</c:v>
                </c:pt>
                <c:pt idx="311">
                  <c:v>25.05.2016</c:v>
                </c:pt>
                <c:pt idx="312">
                  <c:v>24.05.2016</c:v>
                </c:pt>
                <c:pt idx="313">
                  <c:v>23.05.2016</c:v>
                </c:pt>
                <c:pt idx="314">
                  <c:v>20.05.2016</c:v>
                </c:pt>
                <c:pt idx="315">
                  <c:v>19.05.2016</c:v>
                </c:pt>
                <c:pt idx="316">
                  <c:v>18.05.2016</c:v>
                </c:pt>
                <c:pt idx="317">
                  <c:v>17.05.2016</c:v>
                </c:pt>
                <c:pt idx="318">
                  <c:v>16.05.2016</c:v>
                </c:pt>
                <c:pt idx="319">
                  <c:v>13.05.2016</c:v>
                </c:pt>
                <c:pt idx="320">
                  <c:v>12.05.2016</c:v>
                </c:pt>
                <c:pt idx="321">
                  <c:v>11.05.2016</c:v>
                </c:pt>
                <c:pt idx="322">
                  <c:v>10.05.2016</c:v>
                </c:pt>
                <c:pt idx="323">
                  <c:v>09.05.2016</c:v>
                </c:pt>
                <c:pt idx="324">
                  <c:v>06.05.2016</c:v>
                </c:pt>
                <c:pt idx="325">
                  <c:v>05.05.2016</c:v>
                </c:pt>
                <c:pt idx="326">
                  <c:v>04.05.2016</c:v>
                </c:pt>
                <c:pt idx="327">
                  <c:v>03.05.2016</c:v>
                </c:pt>
                <c:pt idx="328">
                  <c:v>02.05.2016</c:v>
                </c:pt>
                <c:pt idx="329">
                  <c:v>29.04.2016</c:v>
                </c:pt>
                <c:pt idx="330">
                  <c:v>28.04.2016</c:v>
                </c:pt>
                <c:pt idx="331">
                  <c:v>27.04.2016</c:v>
                </c:pt>
                <c:pt idx="332">
                  <c:v>26.04.2016</c:v>
                </c:pt>
                <c:pt idx="333">
                  <c:v>25.04.2016</c:v>
                </c:pt>
                <c:pt idx="334">
                  <c:v>22.04.2016</c:v>
                </c:pt>
                <c:pt idx="335">
                  <c:v>21.04.2016</c:v>
                </c:pt>
                <c:pt idx="336">
                  <c:v>20.04.2016</c:v>
                </c:pt>
                <c:pt idx="337">
                  <c:v>19.04.2016</c:v>
                </c:pt>
                <c:pt idx="338">
                  <c:v>18.04.2016</c:v>
                </c:pt>
                <c:pt idx="339">
                  <c:v>15.04.2016</c:v>
                </c:pt>
                <c:pt idx="340">
                  <c:v>14.04.2016</c:v>
                </c:pt>
                <c:pt idx="341">
                  <c:v>13.04.2016</c:v>
                </c:pt>
                <c:pt idx="342">
                  <c:v>12.04.2016</c:v>
                </c:pt>
                <c:pt idx="343">
                  <c:v>11.04.2016</c:v>
                </c:pt>
                <c:pt idx="344">
                  <c:v>08.04.2016</c:v>
                </c:pt>
                <c:pt idx="345">
                  <c:v>07.04.2016</c:v>
                </c:pt>
                <c:pt idx="346">
                  <c:v>06.04.2016</c:v>
                </c:pt>
                <c:pt idx="347">
                  <c:v>05.04.2016</c:v>
                </c:pt>
                <c:pt idx="348">
                  <c:v>04.04.2016</c:v>
                </c:pt>
                <c:pt idx="349">
                  <c:v>01.04.2016</c:v>
                </c:pt>
                <c:pt idx="350">
                  <c:v>31.03.2016</c:v>
                </c:pt>
                <c:pt idx="351">
                  <c:v>30.03.2016</c:v>
                </c:pt>
                <c:pt idx="352">
                  <c:v>29.03.2016</c:v>
                </c:pt>
                <c:pt idx="353">
                  <c:v>28.03.2016</c:v>
                </c:pt>
                <c:pt idx="354">
                  <c:v>24.03.2016</c:v>
                </c:pt>
                <c:pt idx="355">
                  <c:v>23.03.2016</c:v>
                </c:pt>
                <c:pt idx="356">
                  <c:v>22.03.2016</c:v>
                </c:pt>
                <c:pt idx="357">
                  <c:v>21.03.2016</c:v>
                </c:pt>
                <c:pt idx="358">
                  <c:v>18.03.2016</c:v>
                </c:pt>
                <c:pt idx="359">
                  <c:v>17.03.2016</c:v>
                </c:pt>
                <c:pt idx="360">
                  <c:v>16.03.2016</c:v>
                </c:pt>
                <c:pt idx="361">
                  <c:v>15.03.2016</c:v>
                </c:pt>
                <c:pt idx="362">
                  <c:v>14.03.2016</c:v>
                </c:pt>
                <c:pt idx="363">
                  <c:v>11.03.2016</c:v>
                </c:pt>
                <c:pt idx="364">
                  <c:v>10.03.2016</c:v>
                </c:pt>
                <c:pt idx="365">
                  <c:v>09.03.2016</c:v>
                </c:pt>
                <c:pt idx="366">
                  <c:v>08.03.2016</c:v>
                </c:pt>
                <c:pt idx="367">
                  <c:v>07.03.2016</c:v>
                </c:pt>
                <c:pt idx="368">
                  <c:v>04.03.2016</c:v>
                </c:pt>
                <c:pt idx="369">
                  <c:v>03.03.2016</c:v>
                </c:pt>
                <c:pt idx="370">
                  <c:v>02.03.2016</c:v>
                </c:pt>
                <c:pt idx="371">
                  <c:v>01.03.2016</c:v>
                </c:pt>
                <c:pt idx="372">
                  <c:v>29.02.2016</c:v>
                </c:pt>
                <c:pt idx="373">
                  <c:v>26.02.2016</c:v>
                </c:pt>
                <c:pt idx="374">
                  <c:v>25.02.2016</c:v>
                </c:pt>
                <c:pt idx="375">
                  <c:v>24.02.2016</c:v>
                </c:pt>
                <c:pt idx="376">
                  <c:v>23.02.2016</c:v>
                </c:pt>
                <c:pt idx="377">
                  <c:v>22.02.2016</c:v>
                </c:pt>
                <c:pt idx="378">
                  <c:v>19.02.2016</c:v>
                </c:pt>
                <c:pt idx="379">
                  <c:v>18.02.2016</c:v>
                </c:pt>
                <c:pt idx="380">
                  <c:v>17.02.2016</c:v>
                </c:pt>
                <c:pt idx="381">
                  <c:v>16.02.2016</c:v>
                </c:pt>
                <c:pt idx="382">
                  <c:v>12.02.2016</c:v>
                </c:pt>
                <c:pt idx="383">
                  <c:v>11.02.2016</c:v>
                </c:pt>
                <c:pt idx="384">
                  <c:v>10.02.2016</c:v>
                </c:pt>
                <c:pt idx="385">
                  <c:v>09.02.2016</c:v>
                </c:pt>
                <c:pt idx="386">
                  <c:v>08.02.2016</c:v>
                </c:pt>
                <c:pt idx="387">
                  <c:v>05.02.2016</c:v>
                </c:pt>
                <c:pt idx="388">
                  <c:v>04.02.2016</c:v>
                </c:pt>
                <c:pt idx="389">
                  <c:v>03.02.2016</c:v>
                </c:pt>
                <c:pt idx="390">
                  <c:v>02.02.2016</c:v>
                </c:pt>
                <c:pt idx="391">
                  <c:v>01.02.2016</c:v>
                </c:pt>
                <c:pt idx="392">
                  <c:v>29.01.2016</c:v>
                </c:pt>
                <c:pt idx="393">
                  <c:v>28.01.2016</c:v>
                </c:pt>
                <c:pt idx="394">
                  <c:v>27.01.2016</c:v>
                </c:pt>
                <c:pt idx="395">
                  <c:v>26.01.2016</c:v>
                </c:pt>
                <c:pt idx="396">
                  <c:v>25.01.2016</c:v>
                </c:pt>
                <c:pt idx="397">
                  <c:v>22.01.2016</c:v>
                </c:pt>
                <c:pt idx="398">
                  <c:v>21.01.2016</c:v>
                </c:pt>
                <c:pt idx="399">
                  <c:v>20.01.2016</c:v>
                </c:pt>
                <c:pt idx="400">
                  <c:v>19.01.2016</c:v>
                </c:pt>
                <c:pt idx="401">
                  <c:v>15.01.2016</c:v>
                </c:pt>
                <c:pt idx="402">
                  <c:v>14.01.2016</c:v>
                </c:pt>
                <c:pt idx="403">
                  <c:v>13.01.2016</c:v>
                </c:pt>
                <c:pt idx="404">
                  <c:v>12.01.2016</c:v>
                </c:pt>
                <c:pt idx="405">
                  <c:v>11.01.2016</c:v>
                </c:pt>
                <c:pt idx="406">
                  <c:v>08.01.2016</c:v>
                </c:pt>
                <c:pt idx="407">
                  <c:v>07.01.2016</c:v>
                </c:pt>
                <c:pt idx="408">
                  <c:v>06.01.2016</c:v>
                </c:pt>
                <c:pt idx="409">
                  <c:v>05.01.2016</c:v>
                </c:pt>
                <c:pt idx="410">
                  <c:v>04.01.2016</c:v>
                </c:pt>
                <c:pt idx="411">
                  <c:v>31.12.2015</c:v>
                </c:pt>
                <c:pt idx="412">
                  <c:v>30.12.2015</c:v>
                </c:pt>
                <c:pt idx="413">
                  <c:v>29.12.2015</c:v>
                </c:pt>
                <c:pt idx="414">
                  <c:v>28.12.2015</c:v>
                </c:pt>
                <c:pt idx="415">
                  <c:v>24.12.2015</c:v>
                </c:pt>
                <c:pt idx="416">
                  <c:v>23.12.2015</c:v>
                </c:pt>
                <c:pt idx="417">
                  <c:v>22.12.2015</c:v>
                </c:pt>
                <c:pt idx="418">
                  <c:v>21.12.2015</c:v>
                </c:pt>
                <c:pt idx="419">
                  <c:v>18.12.2015</c:v>
                </c:pt>
                <c:pt idx="420">
                  <c:v>17.12.2015</c:v>
                </c:pt>
                <c:pt idx="421">
                  <c:v>16.12.2015</c:v>
                </c:pt>
                <c:pt idx="422">
                  <c:v>15.12.2015</c:v>
                </c:pt>
                <c:pt idx="423">
                  <c:v>14.12.2015</c:v>
                </c:pt>
                <c:pt idx="424">
                  <c:v>11.12.2015</c:v>
                </c:pt>
                <c:pt idx="425">
                  <c:v>10.12.2015</c:v>
                </c:pt>
                <c:pt idx="426">
                  <c:v>09.12.2015</c:v>
                </c:pt>
                <c:pt idx="427">
                  <c:v>08.12.2015</c:v>
                </c:pt>
                <c:pt idx="428">
                  <c:v>07.12.2015</c:v>
                </c:pt>
                <c:pt idx="429">
                  <c:v>04.12.2015</c:v>
                </c:pt>
                <c:pt idx="430">
                  <c:v>03.12.2015</c:v>
                </c:pt>
                <c:pt idx="431">
                  <c:v>02.12.2015</c:v>
                </c:pt>
                <c:pt idx="432">
                  <c:v>01.12.2015</c:v>
                </c:pt>
                <c:pt idx="433">
                  <c:v>30.11.2015</c:v>
                </c:pt>
                <c:pt idx="434">
                  <c:v>27.11.2015</c:v>
                </c:pt>
                <c:pt idx="435">
                  <c:v>25.11.2015</c:v>
                </c:pt>
                <c:pt idx="436">
                  <c:v>24.11.2015</c:v>
                </c:pt>
                <c:pt idx="437">
                  <c:v>23.11.2015</c:v>
                </c:pt>
                <c:pt idx="438">
                  <c:v>20.11.2015</c:v>
                </c:pt>
                <c:pt idx="439">
                  <c:v>19.11.2015</c:v>
                </c:pt>
                <c:pt idx="440">
                  <c:v>18.11.2015</c:v>
                </c:pt>
                <c:pt idx="441">
                  <c:v>17.11.2015</c:v>
                </c:pt>
                <c:pt idx="442">
                  <c:v>16.11.2015</c:v>
                </c:pt>
                <c:pt idx="443">
                  <c:v>13.11.2015</c:v>
                </c:pt>
                <c:pt idx="444">
                  <c:v>12.11.2015</c:v>
                </c:pt>
                <c:pt idx="445">
                  <c:v>11.11.2015</c:v>
                </c:pt>
                <c:pt idx="446">
                  <c:v>10.11.2015</c:v>
                </c:pt>
                <c:pt idx="447">
                  <c:v>09.11.2015</c:v>
                </c:pt>
                <c:pt idx="448">
                  <c:v>06.11.2015</c:v>
                </c:pt>
                <c:pt idx="449">
                  <c:v>05.11.2015</c:v>
                </c:pt>
                <c:pt idx="450">
                  <c:v>04.11.2015</c:v>
                </c:pt>
                <c:pt idx="451">
                  <c:v>03.11.2015</c:v>
                </c:pt>
                <c:pt idx="452">
                  <c:v>02.11.2015</c:v>
                </c:pt>
                <c:pt idx="453">
                  <c:v>30.10.2015</c:v>
                </c:pt>
                <c:pt idx="454">
                  <c:v>29.10.2015</c:v>
                </c:pt>
                <c:pt idx="455">
                  <c:v>28.10.2015</c:v>
                </c:pt>
                <c:pt idx="456">
                  <c:v>27.10.2015</c:v>
                </c:pt>
                <c:pt idx="457">
                  <c:v>26.10.2015</c:v>
                </c:pt>
                <c:pt idx="458">
                  <c:v>23.10.2015</c:v>
                </c:pt>
                <c:pt idx="459">
                  <c:v>22.10.2015</c:v>
                </c:pt>
                <c:pt idx="460">
                  <c:v>21.10.2015</c:v>
                </c:pt>
                <c:pt idx="461">
                  <c:v>20.10.2015</c:v>
                </c:pt>
                <c:pt idx="462">
                  <c:v>19.10.2015</c:v>
                </c:pt>
                <c:pt idx="463">
                  <c:v>16.10.2015</c:v>
                </c:pt>
                <c:pt idx="464">
                  <c:v>15.10.2015</c:v>
                </c:pt>
                <c:pt idx="465">
                  <c:v>14.10.2015</c:v>
                </c:pt>
                <c:pt idx="466">
                  <c:v>13.10.2015</c:v>
                </c:pt>
                <c:pt idx="467">
                  <c:v>12.10.2015</c:v>
                </c:pt>
                <c:pt idx="468">
                  <c:v>09.10.2015</c:v>
                </c:pt>
                <c:pt idx="469">
                  <c:v>08.10.2015</c:v>
                </c:pt>
                <c:pt idx="470">
                  <c:v>07.10.2015</c:v>
                </c:pt>
                <c:pt idx="471">
                  <c:v>06.10.2015</c:v>
                </c:pt>
                <c:pt idx="472">
                  <c:v>05.10.2015</c:v>
                </c:pt>
                <c:pt idx="473">
                  <c:v>02.10.2015</c:v>
                </c:pt>
                <c:pt idx="474">
                  <c:v>01.10.2015</c:v>
                </c:pt>
                <c:pt idx="475">
                  <c:v>30.09.2015</c:v>
                </c:pt>
                <c:pt idx="476">
                  <c:v>29.09.2015</c:v>
                </c:pt>
                <c:pt idx="477">
                  <c:v>28.09.2015</c:v>
                </c:pt>
                <c:pt idx="478">
                  <c:v>25.09.2015</c:v>
                </c:pt>
                <c:pt idx="479">
                  <c:v>24.09.2015</c:v>
                </c:pt>
                <c:pt idx="480">
                  <c:v>23.09.2015</c:v>
                </c:pt>
                <c:pt idx="481">
                  <c:v>22.09.2015</c:v>
                </c:pt>
                <c:pt idx="482">
                  <c:v>21.09.2015</c:v>
                </c:pt>
                <c:pt idx="483">
                  <c:v>18.09.2015</c:v>
                </c:pt>
                <c:pt idx="484">
                  <c:v>17.09.2015</c:v>
                </c:pt>
                <c:pt idx="485">
                  <c:v>16.09.2015</c:v>
                </c:pt>
                <c:pt idx="486">
                  <c:v>15.09.2015</c:v>
                </c:pt>
                <c:pt idx="487">
                  <c:v>14.09.2015</c:v>
                </c:pt>
                <c:pt idx="488">
                  <c:v>11.09.2015</c:v>
                </c:pt>
                <c:pt idx="489">
                  <c:v>10.09.2015</c:v>
                </c:pt>
                <c:pt idx="490">
                  <c:v>09.09.2015</c:v>
                </c:pt>
                <c:pt idx="491">
                  <c:v>08.09.2015</c:v>
                </c:pt>
                <c:pt idx="492">
                  <c:v>04.09.2015</c:v>
                </c:pt>
                <c:pt idx="493">
                  <c:v>03.09.2015</c:v>
                </c:pt>
                <c:pt idx="494">
                  <c:v>02.09.2015</c:v>
                </c:pt>
                <c:pt idx="495">
                  <c:v>01.09.2015</c:v>
                </c:pt>
                <c:pt idx="496">
                  <c:v>31.08.2015</c:v>
                </c:pt>
                <c:pt idx="497">
                  <c:v>28.08.2015</c:v>
                </c:pt>
                <c:pt idx="498">
                  <c:v>27.08.2015</c:v>
                </c:pt>
                <c:pt idx="499">
                  <c:v>26.08.2015</c:v>
                </c:pt>
                <c:pt idx="500">
                  <c:v>25.08.2015</c:v>
                </c:pt>
                <c:pt idx="501">
                  <c:v>24.08.2015</c:v>
                </c:pt>
                <c:pt idx="502">
                  <c:v>21.08.2015</c:v>
                </c:pt>
                <c:pt idx="503">
                  <c:v>20.08.2015</c:v>
                </c:pt>
                <c:pt idx="504">
                  <c:v>19.08.2015</c:v>
                </c:pt>
                <c:pt idx="505">
                  <c:v>18.08.2015</c:v>
                </c:pt>
                <c:pt idx="506">
                  <c:v>17.08.2015</c:v>
                </c:pt>
                <c:pt idx="507">
                  <c:v>14.08.2015</c:v>
                </c:pt>
                <c:pt idx="508">
                  <c:v>13.08.2015</c:v>
                </c:pt>
                <c:pt idx="509">
                  <c:v>12.08.2015</c:v>
                </c:pt>
                <c:pt idx="510">
                  <c:v>11.08.2015</c:v>
                </c:pt>
                <c:pt idx="511">
                  <c:v>10.08.2015</c:v>
                </c:pt>
                <c:pt idx="512">
                  <c:v>07.08.2015</c:v>
                </c:pt>
                <c:pt idx="513">
                  <c:v>06.08.2015</c:v>
                </c:pt>
                <c:pt idx="514">
                  <c:v>05.08.2015</c:v>
                </c:pt>
                <c:pt idx="515">
                  <c:v>04.08.2015</c:v>
                </c:pt>
                <c:pt idx="516">
                  <c:v>03.08.2015</c:v>
                </c:pt>
                <c:pt idx="517">
                  <c:v>31.07.2015</c:v>
                </c:pt>
                <c:pt idx="518">
                  <c:v>30.07.2015</c:v>
                </c:pt>
                <c:pt idx="519">
                  <c:v>29.07.2015</c:v>
                </c:pt>
                <c:pt idx="520">
                  <c:v>28.07.2015</c:v>
                </c:pt>
                <c:pt idx="521">
                  <c:v>27.07.2015</c:v>
                </c:pt>
                <c:pt idx="522">
                  <c:v>24.07.2015</c:v>
                </c:pt>
                <c:pt idx="523">
                  <c:v>23.07.2015</c:v>
                </c:pt>
                <c:pt idx="524">
                  <c:v>22.07.2015</c:v>
                </c:pt>
                <c:pt idx="525">
                  <c:v>21.07.2015</c:v>
                </c:pt>
                <c:pt idx="526">
                  <c:v>20.07.2015</c:v>
                </c:pt>
                <c:pt idx="527">
                  <c:v>17.07.2015</c:v>
                </c:pt>
                <c:pt idx="528">
                  <c:v>16.07.2015</c:v>
                </c:pt>
                <c:pt idx="529">
                  <c:v>15.07.2015</c:v>
                </c:pt>
                <c:pt idx="530">
                  <c:v>14.07.2015</c:v>
                </c:pt>
                <c:pt idx="531">
                  <c:v>13.07.2015</c:v>
                </c:pt>
                <c:pt idx="532">
                  <c:v>10.07.2015</c:v>
                </c:pt>
                <c:pt idx="533">
                  <c:v>09.07.2015</c:v>
                </c:pt>
                <c:pt idx="534">
                  <c:v>08.07.2015</c:v>
                </c:pt>
                <c:pt idx="535">
                  <c:v>07.07.2015</c:v>
                </c:pt>
                <c:pt idx="536">
                  <c:v>06.07.2015</c:v>
                </c:pt>
                <c:pt idx="537">
                  <c:v>02.07.2015</c:v>
                </c:pt>
                <c:pt idx="538">
                  <c:v>01.07.2015</c:v>
                </c:pt>
                <c:pt idx="539">
                  <c:v>30.06.2015</c:v>
                </c:pt>
                <c:pt idx="540">
                  <c:v>29.06.2015</c:v>
                </c:pt>
                <c:pt idx="541">
                  <c:v>26.06.2015</c:v>
                </c:pt>
                <c:pt idx="542">
                  <c:v>25.06.2015</c:v>
                </c:pt>
                <c:pt idx="543">
                  <c:v>24.06.2015</c:v>
                </c:pt>
                <c:pt idx="544">
                  <c:v>23.06.2015</c:v>
                </c:pt>
                <c:pt idx="545">
                  <c:v>22.06.2015</c:v>
                </c:pt>
                <c:pt idx="546">
                  <c:v>19.06.2015</c:v>
                </c:pt>
                <c:pt idx="547">
                  <c:v>18.06.2015</c:v>
                </c:pt>
                <c:pt idx="548">
                  <c:v>17.06.2015</c:v>
                </c:pt>
                <c:pt idx="549">
                  <c:v>16.06.2015</c:v>
                </c:pt>
                <c:pt idx="550">
                  <c:v>15.06.2015</c:v>
                </c:pt>
                <c:pt idx="551">
                  <c:v>12.06.2015</c:v>
                </c:pt>
                <c:pt idx="552">
                  <c:v>11.06.2015</c:v>
                </c:pt>
                <c:pt idx="553">
                  <c:v>10.06.2015</c:v>
                </c:pt>
                <c:pt idx="554">
                  <c:v>09.06.2015</c:v>
                </c:pt>
                <c:pt idx="555">
                  <c:v>08.06.2015</c:v>
                </c:pt>
                <c:pt idx="556">
                  <c:v>05.06.2015</c:v>
                </c:pt>
                <c:pt idx="557">
                  <c:v>04.06.2015</c:v>
                </c:pt>
                <c:pt idx="558">
                  <c:v>03.06.2015</c:v>
                </c:pt>
                <c:pt idx="559">
                  <c:v>02.06.2015</c:v>
                </c:pt>
                <c:pt idx="560">
                  <c:v>01.06.2015</c:v>
                </c:pt>
                <c:pt idx="561">
                  <c:v>29.05.2015</c:v>
                </c:pt>
                <c:pt idx="562">
                  <c:v>28.05.2015</c:v>
                </c:pt>
                <c:pt idx="563">
                  <c:v>27.05.2015</c:v>
                </c:pt>
                <c:pt idx="564">
                  <c:v>26.05.2015</c:v>
                </c:pt>
                <c:pt idx="565">
                  <c:v>22.05.2015</c:v>
                </c:pt>
                <c:pt idx="566">
                  <c:v>21.05.2015</c:v>
                </c:pt>
                <c:pt idx="567">
                  <c:v>20.05.2015</c:v>
                </c:pt>
                <c:pt idx="568">
                  <c:v>19.05.2015</c:v>
                </c:pt>
                <c:pt idx="569">
                  <c:v>18.05.2015</c:v>
                </c:pt>
                <c:pt idx="570">
                  <c:v>15.05.2015</c:v>
                </c:pt>
                <c:pt idx="571">
                  <c:v>14.05.2015</c:v>
                </c:pt>
                <c:pt idx="572">
                  <c:v>13.05.2015</c:v>
                </c:pt>
                <c:pt idx="573">
                  <c:v>12.05.2015</c:v>
                </c:pt>
                <c:pt idx="574">
                  <c:v>11.05.2015</c:v>
                </c:pt>
                <c:pt idx="575">
                  <c:v>08.05.2015</c:v>
                </c:pt>
                <c:pt idx="576">
                  <c:v>07.05.2015</c:v>
                </c:pt>
                <c:pt idx="577">
                  <c:v>06.05.2015</c:v>
                </c:pt>
                <c:pt idx="578">
                  <c:v>05.05.2015</c:v>
                </c:pt>
                <c:pt idx="579">
                  <c:v>04.05.2015</c:v>
                </c:pt>
                <c:pt idx="580">
                  <c:v>01.05.2015</c:v>
                </c:pt>
                <c:pt idx="581">
                  <c:v>30.04.2015</c:v>
                </c:pt>
                <c:pt idx="582">
                  <c:v>29.04.2015</c:v>
                </c:pt>
                <c:pt idx="583">
                  <c:v>28.04.2015</c:v>
                </c:pt>
                <c:pt idx="584">
                  <c:v>27.04.2015</c:v>
                </c:pt>
                <c:pt idx="585">
                  <c:v>24.04.2015</c:v>
                </c:pt>
                <c:pt idx="586">
                  <c:v>23.04.2015</c:v>
                </c:pt>
                <c:pt idx="587">
                  <c:v>22.04.2015</c:v>
                </c:pt>
                <c:pt idx="588">
                  <c:v>21.04.2015</c:v>
                </c:pt>
                <c:pt idx="589">
                  <c:v>20.04.2015</c:v>
                </c:pt>
                <c:pt idx="590">
                  <c:v>17.04.2015</c:v>
                </c:pt>
                <c:pt idx="591">
                  <c:v>16.04.2015</c:v>
                </c:pt>
                <c:pt idx="592">
                  <c:v>15.04.2015</c:v>
                </c:pt>
                <c:pt idx="593">
                  <c:v>14.04.2015</c:v>
                </c:pt>
                <c:pt idx="594">
                  <c:v>13.04.2015</c:v>
                </c:pt>
                <c:pt idx="595">
                  <c:v>10.04.2015</c:v>
                </c:pt>
                <c:pt idx="596">
                  <c:v>09.04.2015</c:v>
                </c:pt>
                <c:pt idx="597">
                  <c:v>08.04.2015</c:v>
                </c:pt>
                <c:pt idx="598">
                  <c:v>07.04.2015</c:v>
                </c:pt>
                <c:pt idx="599">
                  <c:v>06.04.2015</c:v>
                </c:pt>
                <c:pt idx="600">
                  <c:v>02.04.2015</c:v>
                </c:pt>
                <c:pt idx="601">
                  <c:v>01.04.2015</c:v>
                </c:pt>
                <c:pt idx="602">
                  <c:v>31.03.2015</c:v>
                </c:pt>
                <c:pt idx="603">
                  <c:v>30.03.2015</c:v>
                </c:pt>
                <c:pt idx="604">
                  <c:v>27.03.2015</c:v>
                </c:pt>
                <c:pt idx="605">
                  <c:v>26.03.2015</c:v>
                </c:pt>
                <c:pt idx="606">
                  <c:v>25.03.2015</c:v>
                </c:pt>
                <c:pt idx="607">
                  <c:v>24.03.2015</c:v>
                </c:pt>
                <c:pt idx="608">
                  <c:v>23.03.2015</c:v>
                </c:pt>
                <c:pt idx="609">
                  <c:v>20.03.2015</c:v>
                </c:pt>
                <c:pt idx="610">
                  <c:v>19.03.2015</c:v>
                </c:pt>
                <c:pt idx="611">
                  <c:v>18.03.2015</c:v>
                </c:pt>
                <c:pt idx="612">
                  <c:v>17.03.2015</c:v>
                </c:pt>
                <c:pt idx="613">
                  <c:v>16.03.2015</c:v>
                </c:pt>
                <c:pt idx="614">
                  <c:v>13.03.2015</c:v>
                </c:pt>
                <c:pt idx="615">
                  <c:v>12.03.2015</c:v>
                </c:pt>
                <c:pt idx="616">
                  <c:v>11.03.2015</c:v>
                </c:pt>
                <c:pt idx="617">
                  <c:v>10.03.2015</c:v>
                </c:pt>
                <c:pt idx="618">
                  <c:v>09.03.2015</c:v>
                </c:pt>
                <c:pt idx="619">
                  <c:v>06.03.2015</c:v>
                </c:pt>
                <c:pt idx="620">
                  <c:v>05.03.2015</c:v>
                </c:pt>
                <c:pt idx="621">
                  <c:v>04.03.2015</c:v>
                </c:pt>
                <c:pt idx="622">
                  <c:v>03.03.2015</c:v>
                </c:pt>
                <c:pt idx="623">
                  <c:v>02.03.2015</c:v>
                </c:pt>
                <c:pt idx="624">
                  <c:v>27.02.2015</c:v>
                </c:pt>
                <c:pt idx="625">
                  <c:v>26.02.2015</c:v>
                </c:pt>
                <c:pt idx="626">
                  <c:v>25.02.2015</c:v>
                </c:pt>
                <c:pt idx="627">
                  <c:v>24.02.2015</c:v>
                </c:pt>
                <c:pt idx="628">
                  <c:v>23.02.2015</c:v>
                </c:pt>
                <c:pt idx="629">
                  <c:v>20.02.2015</c:v>
                </c:pt>
                <c:pt idx="630">
                  <c:v>19.02.2015</c:v>
                </c:pt>
                <c:pt idx="631">
                  <c:v>18.02.2015</c:v>
                </c:pt>
                <c:pt idx="632">
                  <c:v>17.02.2015</c:v>
                </c:pt>
                <c:pt idx="633">
                  <c:v>13.02.2015</c:v>
                </c:pt>
                <c:pt idx="634">
                  <c:v>12.02.2015</c:v>
                </c:pt>
                <c:pt idx="635">
                  <c:v>11.02.2015</c:v>
                </c:pt>
                <c:pt idx="636">
                  <c:v>10.02.2015</c:v>
                </c:pt>
                <c:pt idx="637">
                  <c:v>09.02.2015</c:v>
                </c:pt>
                <c:pt idx="638">
                  <c:v>06.02.2015</c:v>
                </c:pt>
                <c:pt idx="639">
                  <c:v>05.02.2015</c:v>
                </c:pt>
                <c:pt idx="640">
                  <c:v>04.02.2015</c:v>
                </c:pt>
                <c:pt idx="641">
                  <c:v>03.02.2015</c:v>
                </c:pt>
                <c:pt idx="642">
                  <c:v>02.02.2015</c:v>
                </c:pt>
                <c:pt idx="643">
                  <c:v>30.01.2015</c:v>
                </c:pt>
                <c:pt idx="644">
                  <c:v>29.01.2015</c:v>
                </c:pt>
                <c:pt idx="645">
                  <c:v>28.01.2015</c:v>
                </c:pt>
                <c:pt idx="646">
                  <c:v>27.01.2015</c:v>
                </c:pt>
                <c:pt idx="647">
                  <c:v>26.01.2015</c:v>
                </c:pt>
                <c:pt idx="648">
                  <c:v>23.01.2015</c:v>
                </c:pt>
                <c:pt idx="649">
                  <c:v>22.01.2015</c:v>
                </c:pt>
                <c:pt idx="650">
                  <c:v>21.01.2015</c:v>
                </c:pt>
                <c:pt idx="651">
                  <c:v>20.01.2015</c:v>
                </c:pt>
                <c:pt idx="652">
                  <c:v>16.01.2015</c:v>
                </c:pt>
                <c:pt idx="653">
                  <c:v>15.01.2015</c:v>
                </c:pt>
                <c:pt idx="654">
                  <c:v>14.01.2015</c:v>
                </c:pt>
                <c:pt idx="655">
                  <c:v>13.01.2015</c:v>
                </c:pt>
                <c:pt idx="656">
                  <c:v>12.01.2015</c:v>
                </c:pt>
                <c:pt idx="657">
                  <c:v>09.01.2015</c:v>
                </c:pt>
                <c:pt idx="658">
                  <c:v>08.01.2015</c:v>
                </c:pt>
                <c:pt idx="659">
                  <c:v>07.01.2015</c:v>
                </c:pt>
                <c:pt idx="660">
                  <c:v>06.01.2015</c:v>
                </c:pt>
                <c:pt idx="661">
                  <c:v>05.01.2015</c:v>
                </c:pt>
                <c:pt idx="662">
                  <c:v>02.01.2015</c:v>
                </c:pt>
                <c:pt idx="663">
                  <c:v>31.12.2014</c:v>
                </c:pt>
                <c:pt idx="664">
                  <c:v>30.12.2014</c:v>
                </c:pt>
                <c:pt idx="665">
                  <c:v>29.12.2014</c:v>
                </c:pt>
                <c:pt idx="666">
                  <c:v>26.12.2014</c:v>
                </c:pt>
                <c:pt idx="667">
                  <c:v>24.12.2014</c:v>
                </c:pt>
                <c:pt idx="668">
                  <c:v>23.12.2014</c:v>
                </c:pt>
                <c:pt idx="669">
                  <c:v>22.12.2014</c:v>
                </c:pt>
                <c:pt idx="670">
                  <c:v>19.12.2014</c:v>
                </c:pt>
                <c:pt idx="671">
                  <c:v>18.12.2014</c:v>
                </c:pt>
                <c:pt idx="672">
                  <c:v>17.12.2014</c:v>
                </c:pt>
                <c:pt idx="673">
                  <c:v>16.12.2014</c:v>
                </c:pt>
                <c:pt idx="674">
                  <c:v>15.12.2014</c:v>
                </c:pt>
                <c:pt idx="675">
                  <c:v>12.12.2014</c:v>
                </c:pt>
                <c:pt idx="676">
                  <c:v>11.12.2014</c:v>
                </c:pt>
                <c:pt idx="677">
                  <c:v>10.12.2014</c:v>
                </c:pt>
                <c:pt idx="678">
                  <c:v>09.12.2014</c:v>
                </c:pt>
                <c:pt idx="679">
                  <c:v>08.12.2014</c:v>
                </c:pt>
                <c:pt idx="680">
                  <c:v>05.12.2014</c:v>
                </c:pt>
                <c:pt idx="681">
                  <c:v>04.12.2014</c:v>
                </c:pt>
                <c:pt idx="682">
                  <c:v>03.12.2014</c:v>
                </c:pt>
                <c:pt idx="683">
                  <c:v>02.12.2014</c:v>
                </c:pt>
                <c:pt idx="684">
                  <c:v>01.12.2014</c:v>
                </c:pt>
                <c:pt idx="685">
                  <c:v>28.11.2014</c:v>
                </c:pt>
                <c:pt idx="686">
                  <c:v>26.11.2014</c:v>
                </c:pt>
                <c:pt idx="687">
                  <c:v>25.11.2014</c:v>
                </c:pt>
                <c:pt idx="688">
                  <c:v>24.11.2014</c:v>
                </c:pt>
                <c:pt idx="689">
                  <c:v>21.11.2014</c:v>
                </c:pt>
                <c:pt idx="690">
                  <c:v>20.11.2014</c:v>
                </c:pt>
                <c:pt idx="691">
                  <c:v>19.11.2014</c:v>
                </c:pt>
                <c:pt idx="692">
                  <c:v>18.11.2014</c:v>
                </c:pt>
                <c:pt idx="693">
                  <c:v>17.11.2014</c:v>
                </c:pt>
                <c:pt idx="694">
                  <c:v>14.11.2014</c:v>
                </c:pt>
                <c:pt idx="695">
                  <c:v>13.11.2014</c:v>
                </c:pt>
                <c:pt idx="696">
                  <c:v>12.11.2014</c:v>
                </c:pt>
                <c:pt idx="697">
                  <c:v>11.11.2014</c:v>
                </c:pt>
                <c:pt idx="698">
                  <c:v>10.11.2014</c:v>
                </c:pt>
                <c:pt idx="699">
                  <c:v>07.11.2014</c:v>
                </c:pt>
                <c:pt idx="700">
                  <c:v>06.11.2014</c:v>
                </c:pt>
                <c:pt idx="701">
                  <c:v>05.11.2014</c:v>
                </c:pt>
                <c:pt idx="702">
                  <c:v>04.11.2014</c:v>
                </c:pt>
                <c:pt idx="703">
                  <c:v>03.11.2014</c:v>
                </c:pt>
                <c:pt idx="704">
                  <c:v>31.10.2014</c:v>
                </c:pt>
                <c:pt idx="705">
                  <c:v>30.10.2014</c:v>
                </c:pt>
                <c:pt idx="706">
                  <c:v>29.10.2014</c:v>
                </c:pt>
                <c:pt idx="707">
                  <c:v>28.10.2014</c:v>
                </c:pt>
                <c:pt idx="708">
                  <c:v>27.10.2014</c:v>
                </c:pt>
                <c:pt idx="709">
                  <c:v>24.10.2014</c:v>
                </c:pt>
                <c:pt idx="710">
                  <c:v>23.10.2014</c:v>
                </c:pt>
                <c:pt idx="711">
                  <c:v>22.10.2014</c:v>
                </c:pt>
                <c:pt idx="712">
                  <c:v>21.10.2014</c:v>
                </c:pt>
                <c:pt idx="713">
                  <c:v>20.10.2014</c:v>
                </c:pt>
                <c:pt idx="714">
                  <c:v>17.10.2014</c:v>
                </c:pt>
                <c:pt idx="715">
                  <c:v>16.10.2014</c:v>
                </c:pt>
                <c:pt idx="716">
                  <c:v>15.10.2014</c:v>
                </c:pt>
                <c:pt idx="717">
                  <c:v>14.10.2014</c:v>
                </c:pt>
                <c:pt idx="718">
                  <c:v>13.10.2014</c:v>
                </c:pt>
                <c:pt idx="719">
                  <c:v>10.10.2014</c:v>
                </c:pt>
                <c:pt idx="720">
                  <c:v>09.10.2014</c:v>
                </c:pt>
                <c:pt idx="721">
                  <c:v>08.10.2014</c:v>
                </c:pt>
                <c:pt idx="722">
                  <c:v>07.10.2014</c:v>
                </c:pt>
                <c:pt idx="723">
                  <c:v>06.10.2014</c:v>
                </c:pt>
                <c:pt idx="724">
                  <c:v>03.10.2014</c:v>
                </c:pt>
                <c:pt idx="725">
                  <c:v>02.10.2014</c:v>
                </c:pt>
                <c:pt idx="726">
                  <c:v>01.10.2014</c:v>
                </c:pt>
                <c:pt idx="727">
                  <c:v>30.09.2014</c:v>
                </c:pt>
                <c:pt idx="728">
                  <c:v>29.09.2014</c:v>
                </c:pt>
                <c:pt idx="729">
                  <c:v>26.09.2014</c:v>
                </c:pt>
                <c:pt idx="730">
                  <c:v>25.09.2014</c:v>
                </c:pt>
                <c:pt idx="731">
                  <c:v>24.09.2014</c:v>
                </c:pt>
                <c:pt idx="732">
                  <c:v>23.09.2014</c:v>
                </c:pt>
                <c:pt idx="733">
                  <c:v>22.09.2014</c:v>
                </c:pt>
                <c:pt idx="734">
                  <c:v>19.09.2014</c:v>
                </c:pt>
                <c:pt idx="735">
                  <c:v>18.09.2014</c:v>
                </c:pt>
                <c:pt idx="736">
                  <c:v>17.09.2014</c:v>
                </c:pt>
                <c:pt idx="737">
                  <c:v>16.09.2014</c:v>
                </c:pt>
                <c:pt idx="738">
                  <c:v>15.09.2014</c:v>
                </c:pt>
                <c:pt idx="739">
                  <c:v>12.09.2014</c:v>
                </c:pt>
                <c:pt idx="740">
                  <c:v>11.09.2014</c:v>
                </c:pt>
                <c:pt idx="741">
                  <c:v>10.09.2014</c:v>
                </c:pt>
                <c:pt idx="742">
                  <c:v>09.09.2014</c:v>
                </c:pt>
                <c:pt idx="743">
                  <c:v>08.09.2014</c:v>
                </c:pt>
                <c:pt idx="744">
                  <c:v>05.09.2014</c:v>
                </c:pt>
                <c:pt idx="745">
                  <c:v>04.09.2014</c:v>
                </c:pt>
                <c:pt idx="746">
                  <c:v>03.09.2014</c:v>
                </c:pt>
                <c:pt idx="747">
                  <c:v>02.09.2014</c:v>
                </c:pt>
                <c:pt idx="748">
                  <c:v>29.08.2014</c:v>
                </c:pt>
                <c:pt idx="749">
                  <c:v>28.08.2014</c:v>
                </c:pt>
                <c:pt idx="750">
                  <c:v>27.08.2014</c:v>
                </c:pt>
                <c:pt idx="751">
                  <c:v>26.08.2014</c:v>
                </c:pt>
                <c:pt idx="752">
                  <c:v>25.08.2014</c:v>
                </c:pt>
                <c:pt idx="753">
                  <c:v>22.08.2014</c:v>
                </c:pt>
                <c:pt idx="754">
                  <c:v>21.08.2014</c:v>
                </c:pt>
                <c:pt idx="755">
                  <c:v>20.08.2014</c:v>
                </c:pt>
                <c:pt idx="756">
                  <c:v>19.08.2014</c:v>
                </c:pt>
                <c:pt idx="757">
                  <c:v>18.08.2014</c:v>
                </c:pt>
                <c:pt idx="758">
                  <c:v>15.08.2014</c:v>
                </c:pt>
                <c:pt idx="759">
                  <c:v>14.08.2014</c:v>
                </c:pt>
                <c:pt idx="760">
                  <c:v>13.08.2014</c:v>
                </c:pt>
                <c:pt idx="761">
                  <c:v>12.08.2014</c:v>
                </c:pt>
                <c:pt idx="762">
                  <c:v>11.08.2014</c:v>
                </c:pt>
                <c:pt idx="763">
                  <c:v>08.08.2014</c:v>
                </c:pt>
                <c:pt idx="764">
                  <c:v>07.08.2014</c:v>
                </c:pt>
                <c:pt idx="765">
                  <c:v>06.08.2014</c:v>
                </c:pt>
                <c:pt idx="766">
                  <c:v>05.08.2014</c:v>
                </c:pt>
                <c:pt idx="767">
                  <c:v>04.08.2014</c:v>
                </c:pt>
                <c:pt idx="768">
                  <c:v>01.08.2014</c:v>
                </c:pt>
                <c:pt idx="769">
                  <c:v>31.07.2014</c:v>
                </c:pt>
                <c:pt idx="770">
                  <c:v>30.07.2014</c:v>
                </c:pt>
                <c:pt idx="771">
                  <c:v>29.07.2014</c:v>
                </c:pt>
                <c:pt idx="772">
                  <c:v>28.07.2014</c:v>
                </c:pt>
                <c:pt idx="773">
                  <c:v>25.07.2014</c:v>
                </c:pt>
                <c:pt idx="774">
                  <c:v>24.07.2014</c:v>
                </c:pt>
                <c:pt idx="775">
                  <c:v>23.07.2014</c:v>
                </c:pt>
                <c:pt idx="776">
                  <c:v>22.07.2014</c:v>
                </c:pt>
                <c:pt idx="777">
                  <c:v>21.07.2014</c:v>
                </c:pt>
                <c:pt idx="778">
                  <c:v>18.07.2014</c:v>
                </c:pt>
                <c:pt idx="779">
                  <c:v>17.07.2014</c:v>
                </c:pt>
                <c:pt idx="780">
                  <c:v>16.07.2014</c:v>
                </c:pt>
                <c:pt idx="781">
                  <c:v>15.07.2014</c:v>
                </c:pt>
                <c:pt idx="782">
                  <c:v>14.07.2014</c:v>
                </c:pt>
                <c:pt idx="783">
                  <c:v>11.07.2014</c:v>
                </c:pt>
                <c:pt idx="784">
                  <c:v>10.07.2014</c:v>
                </c:pt>
                <c:pt idx="785">
                  <c:v>09.07.2014</c:v>
                </c:pt>
                <c:pt idx="786">
                  <c:v>08.07.2014</c:v>
                </c:pt>
                <c:pt idx="787">
                  <c:v>07.07.2014</c:v>
                </c:pt>
                <c:pt idx="788">
                  <c:v>03.07.2014</c:v>
                </c:pt>
                <c:pt idx="789">
                  <c:v>02.07.2014</c:v>
                </c:pt>
                <c:pt idx="790">
                  <c:v>01.07.2014</c:v>
                </c:pt>
                <c:pt idx="791">
                  <c:v>30.06.2014</c:v>
                </c:pt>
                <c:pt idx="792">
                  <c:v>27.06.2014</c:v>
                </c:pt>
                <c:pt idx="793">
                  <c:v>26.06.2014</c:v>
                </c:pt>
                <c:pt idx="794">
                  <c:v>25.06.2014</c:v>
                </c:pt>
                <c:pt idx="795">
                  <c:v>24.06.2014</c:v>
                </c:pt>
                <c:pt idx="796">
                  <c:v>23.06.2014</c:v>
                </c:pt>
                <c:pt idx="797">
                  <c:v>20.06.2014</c:v>
                </c:pt>
                <c:pt idx="798">
                  <c:v>19.06.2014</c:v>
                </c:pt>
                <c:pt idx="799">
                  <c:v>18.06.2014</c:v>
                </c:pt>
                <c:pt idx="800">
                  <c:v>17.06.2014</c:v>
                </c:pt>
                <c:pt idx="801">
                  <c:v>16.06.2014</c:v>
                </c:pt>
                <c:pt idx="802">
                  <c:v>13.06.2014</c:v>
                </c:pt>
                <c:pt idx="803">
                  <c:v>12.06.2014</c:v>
                </c:pt>
                <c:pt idx="804">
                  <c:v>11.06.2014</c:v>
                </c:pt>
                <c:pt idx="805">
                  <c:v>10.06.2014</c:v>
                </c:pt>
                <c:pt idx="806">
                  <c:v>09.06.2014</c:v>
                </c:pt>
                <c:pt idx="807">
                  <c:v>06.06.2014</c:v>
                </c:pt>
                <c:pt idx="808">
                  <c:v>05.06.2014</c:v>
                </c:pt>
                <c:pt idx="809">
                  <c:v>04.06.2014</c:v>
                </c:pt>
                <c:pt idx="810">
                  <c:v>03.06.2014</c:v>
                </c:pt>
                <c:pt idx="811">
                  <c:v>02.06.2014</c:v>
                </c:pt>
                <c:pt idx="812">
                  <c:v>30.05.2014</c:v>
                </c:pt>
                <c:pt idx="813">
                  <c:v>29.05.2014</c:v>
                </c:pt>
                <c:pt idx="814">
                  <c:v>28.05.2014</c:v>
                </c:pt>
                <c:pt idx="815">
                  <c:v>27.05.2014</c:v>
                </c:pt>
                <c:pt idx="816">
                  <c:v>23.05.2014</c:v>
                </c:pt>
                <c:pt idx="817">
                  <c:v>22.05.2014</c:v>
                </c:pt>
                <c:pt idx="818">
                  <c:v>21.05.2014</c:v>
                </c:pt>
                <c:pt idx="819">
                  <c:v>20.05.2014</c:v>
                </c:pt>
                <c:pt idx="820">
                  <c:v>19.05.2014</c:v>
                </c:pt>
                <c:pt idx="821">
                  <c:v>16.05.2014</c:v>
                </c:pt>
                <c:pt idx="822">
                  <c:v>15.05.2014</c:v>
                </c:pt>
                <c:pt idx="823">
                  <c:v>14.05.2014</c:v>
                </c:pt>
                <c:pt idx="824">
                  <c:v>13.05.2014</c:v>
                </c:pt>
                <c:pt idx="825">
                  <c:v>12.05.2014</c:v>
                </c:pt>
                <c:pt idx="826">
                  <c:v>09.05.2014</c:v>
                </c:pt>
                <c:pt idx="827">
                  <c:v>08.05.2014</c:v>
                </c:pt>
                <c:pt idx="828">
                  <c:v>07.05.2014</c:v>
                </c:pt>
                <c:pt idx="829">
                  <c:v>06.05.2014</c:v>
                </c:pt>
                <c:pt idx="830">
                  <c:v>05.05.2014</c:v>
                </c:pt>
                <c:pt idx="831">
                  <c:v>02.05.2014</c:v>
                </c:pt>
                <c:pt idx="832">
                  <c:v>01.05.2014</c:v>
                </c:pt>
                <c:pt idx="833">
                  <c:v>30.04.2014</c:v>
                </c:pt>
                <c:pt idx="834">
                  <c:v>29.04.2014</c:v>
                </c:pt>
                <c:pt idx="835">
                  <c:v>28.04.2014</c:v>
                </c:pt>
                <c:pt idx="836">
                  <c:v>25.04.2014</c:v>
                </c:pt>
                <c:pt idx="837">
                  <c:v>24.04.2014</c:v>
                </c:pt>
                <c:pt idx="838">
                  <c:v>23.04.2014</c:v>
                </c:pt>
                <c:pt idx="839">
                  <c:v>22.04.2014</c:v>
                </c:pt>
                <c:pt idx="840">
                  <c:v>21.04.2014</c:v>
                </c:pt>
                <c:pt idx="841">
                  <c:v>17.04.2014</c:v>
                </c:pt>
                <c:pt idx="842">
                  <c:v>16.04.2014</c:v>
                </c:pt>
                <c:pt idx="843">
                  <c:v>15.04.2014</c:v>
                </c:pt>
                <c:pt idx="844">
                  <c:v>14.04.2014</c:v>
                </c:pt>
                <c:pt idx="845">
                  <c:v>11.04.2014</c:v>
                </c:pt>
                <c:pt idx="846">
                  <c:v>10.04.2014</c:v>
                </c:pt>
                <c:pt idx="847">
                  <c:v>09.04.2014</c:v>
                </c:pt>
                <c:pt idx="848">
                  <c:v>08.04.2014</c:v>
                </c:pt>
                <c:pt idx="849">
                  <c:v>07.04.2014</c:v>
                </c:pt>
                <c:pt idx="850">
                  <c:v>04.04.2014</c:v>
                </c:pt>
                <c:pt idx="851">
                  <c:v>03.04.2014</c:v>
                </c:pt>
                <c:pt idx="852">
                  <c:v>02.04.2014</c:v>
                </c:pt>
                <c:pt idx="853">
                  <c:v>01.04.2014</c:v>
                </c:pt>
                <c:pt idx="854">
                  <c:v>31.03.2014</c:v>
                </c:pt>
                <c:pt idx="855">
                  <c:v>28.03.2014</c:v>
                </c:pt>
                <c:pt idx="856">
                  <c:v>27.03.2014</c:v>
                </c:pt>
                <c:pt idx="857">
                  <c:v>26.03.2014</c:v>
                </c:pt>
                <c:pt idx="858">
                  <c:v>25.03.2014</c:v>
                </c:pt>
                <c:pt idx="859">
                  <c:v>24.03.2014</c:v>
                </c:pt>
                <c:pt idx="860">
                  <c:v>21.03.2014</c:v>
                </c:pt>
                <c:pt idx="861">
                  <c:v>20.03.2014</c:v>
                </c:pt>
                <c:pt idx="862">
                  <c:v>19.03.2014</c:v>
                </c:pt>
                <c:pt idx="863">
                  <c:v>18.03.2014</c:v>
                </c:pt>
                <c:pt idx="864">
                  <c:v>17.03.2014</c:v>
                </c:pt>
                <c:pt idx="865">
                  <c:v>14.03.2014</c:v>
                </c:pt>
                <c:pt idx="866">
                  <c:v>13.03.2014</c:v>
                </c:pt>
                <c:pt idx="867">
                  <c:v>12.03.2014</c:v>
                </c:pt>
                <c:pt idx="868">
                  <c:v>11.03.2014</c:v>
                </c:pt>
                <c:pt idx="869">
                  <c:v>10.03.2014</c:v>
                </c:pt>
                <c:pt idx="870">
                  <c:v>07.03.2014</c:v>
                </c:pt>
                <c:pt idx="871">
                  <c:v>06.03.2014</c:v>
                </c:pt>
                <c:pt idx="872">
                  <c:v>05.03.2014</c:v>
                </c:pt>
                <c:pt idx="873">
                  <c:v>04.03.2014</c:v>
                </c:pt>
                <c:pt idx="874">
                  <c:v>03.03.2014</c:v>
                </c:pt>
                <c:pt idx="875">
                  <c:v>28.02.2014</c:v>
                </c:pt>
                <c:pt idx="876">
                  <c:v>27.02.2014</c:v>
                </c:pt>
                <c:pt idx="877">
                  <c:v>26.02.2014</c:v>
                </c:pt>
                <c:pt idx="878">
                  <c:v>25.02.2014</c:v>
                </c:pt>
                <c:pt idx="879">
                  <c:v>24.02.2014</c:v>
                </c:pt>
                <c:pt idx="880">
                  <c:v>21.02.2014</c:v>
                </c:pt>
                <c:pt idx="881">
                  <c:v>20.02.2014</c:v>
                </c:pt>
                <c:pt idx="882">
                  <c:v>19.02.2014</c:v>
                </c:pt>
                <c:pt idx="883">
                  <c:v>18.02.2014</c:v>
                </c:pt>
                <c:pt idx="884">
                  <c:v>14.02.2014</c:v>
                </c:pt>
                <c:pt idx="885">
                  <c:v>13.02.2014</c:v>
                </c:pt>
                <c:pt idx="886">
                  <c:v>12.02.2014</c:v>
                </c:pt>
                <c:pt idx="887">
                  <c:v>11.02.2014</c:v>
                </c:pt>
                <c:pt idx="888">
                  <c:v>10.02.2014</c:v>
                </c:pt>
                <c:pt idx="889">
                  <c:v>07.02.2014</c:v>
                </c:pt>
                <c:pt idx="890">
                  <c:v>06.02.2014</c:v>
                </c:pt>
                <c:pt idx="891">
                  <c:v>05.02.2014</c:v>
                </c:pt>
                <c:pt idx="892">
                  <c:v>04.02.2014</c:v>
                </c:pt>
                <c:pt idx="893">
                  <c:v>03.02.2014</c:v>
                </c:pt>
                <c:pt idx="894">
                  <c:v>31.01.2014</c:v>
                </c:pt>
                <c:pt idx="895">
                  <c:v>30.01.2014</c:v>
                </c:pt>
                <c:pt idx="896">
                  <c:v>29.01.2014</c:v>
                </c:pt>
                <c:pt idx="897">
                  <c:v>28.01.2014</c:v>
                </c:pt>
                <c:pt idx="898">
                  <c:v>27.01.2014</c:v>
                </c:pt>
                <c:pt idx="899">
                  <c:v>24.01.2014</c:v>
                </c:pt>
                <c:pt idx="900">
                  <c:v>23.01.2014</c:v>
                </c:pt>
                <c:pt idx="901">
                  <c:v>22.01.2014</c:v>
                </c:pt>
                <c:pt idx="902">
                  <c:v>21.01.2014</c:v>
                </c:pt>
                <c:pt idx="903">
                  <c:v>17.01.2014</c:v>
                </c:pt>
                <c:pt idx="904">
                  <c:v>16.01.2014</c:v>
                </c:pt>
                <c:pt idx="905">
                  <c:v>15.01.2014</c:v>
                </c:pt>
                <c:pt idx="906">
                  <c:v>14.01.2014</c:v>
                </c:pt>
                <c:pt idx="907">
                  <c:v>13.01.2014</c:v>
                </c:pt>
                <c:pt idx="908">
                  <c:v>10.01.2014</c:v>
                </c:pt>
                <c:pt idx="909">
                  <c:v>09.01.2014</c:v>
                </c:pt>
                <c:pt idx="910">
                  <c:v>08.01.2014</c:v>
                </c:pt>
                <c:pt idx="911">
                  <c:v>07.01.2014</c:v>
                </c:pt>
                <c:pt idx="912">
                  <c:v>06.01.2014</c:v>
                </c:pt>
                <c:pt idx="913">
                  <c:v>03.01.2014</c:v>
                </c:pt>
                <c:pt idx="914">
                  <c:v>02.01.2014</c:v>
                </c:pt>
                <c:pt idx="915">
                  <c:v>31.12.2013</c:v>
                </c:pt>
                <c:pt idx="916">
                  <c:v>30.12.2013</c:v>
                </c:pt>
                <c:pt idx="917">
                  <c:v>27.12.2013</c:v>
                </c:pt>
                <c:pt idx="918">
                  <c:v>26.12.2013</c:v>
                </c:pt>
                <c:pt idx="919">
                  <c:v>24.12.2013</c:v>
                </c:pt>
                <c:pt idx="920">
                  <c:v>23.12.2013</c:v>
                </c:pt>
                <c:pt idx="921">
                  <c:v>20.12.2013</c:v>
                </c:pt>
                <c:pt idx="922">
                  <c:v>19.12.2013</c:v>
                </c:pt>
                <c:pt idx="923">
                  <c:v>18.12.2013</c:v>
                </c:pt>
                <c:pt idx="924">
                  <c:v>17.12.2013</c:v>
                </c:pt>
                <c:pt idx="925">
                  <c:v>16.12.2013</c:v>
                </c:pt>
                <c:pt idx="926">
                  <c:v>13.12.2013</c:v>
                </c:pt>
                <c:pt idx="927">
                  <c:v>12.12.2013</c:v>
                </c:pt>
                <c:pt idx="928">
                  <c:v>11.12.2013</c:v>
                </c:pt>
                <c:pt idx="929">
                  <c:v>10.12.2013</c:v>
                </c:pt>
                <c:pt idx="930">
                  <c:v>09.12.2013</c:v>
                </c:pt>
                <c:pt idx="931">
                  <c:v>06.12.2013</c:v>
                </c:pt>
                <c:pt idx="932">
                  <c:v>05.12.2013</c:v>
                </c:pt>
                <c:pt idx="933">
                  <c:v>04.12.2013</c:v>
                </c:pt>
                <c:pt idx="934">
                  <c:v>03.12.2013</c:v>
                </c:pt>
                <c:pt idx="935">
                  <c:v>02.12.2013</c:v>
                </c:pt>
                <c:pt idx="936">
                  <c:v>29.11.2013</c:v>
                </c:pt>
                <c:pt idx="937">
                  <c:v>27.11.2013</c:v>
                </c:pt>
                <c:pt idx="938">
                  <c:v>26.11.2013</c:v>
                </c:pt>
                <c:pt idx="939">
                  <c:v>25.11.2013</c:v>
                </c:pt>
                <c:pt idx="940">
                  <c:v>22.11.2013</c:v>
                </c:pt>
                <c:pt idx="941">
                  <c:v>21.11.2013</c:v>
                </c:pt>
                <c:pt idx="942">
                  <c:v>20.11.2013</c:v>
                </c:pt>
                <c:pt idx="943">
                  <c:v>19.11.2013</c:v>
                </c:pt>
                <c:pt idx="944">
                  <c:v>18.11.2013</c:v>
                </c:pt>
                <c:pt idx="945">
                  <c:v>15.11.2013</c:v>
                </c:pt>
                <c:pt idx="946">
                  <c:v>14.11.2013</c:v>
                </c:pt>
                <c:pt idx="947">
                  <c:v>13.11.2013</c:v>
                </c:pt>
                <c:pt idx="948">
                  <c:v>12.11.2013</c:v>
                </c:pt>
                <c:pt idx="949">
                  <c:v>11.11.2013</c:v>
                </c:pt>
                <c:pt idx="950">
                  <c:v>08.11.2013</c:v>
                </c:pt>
                <c:pt idx="951">
                  <c:v>07.11.2013</c:v>
                </c:pt>
                <c:pt idx="952">
                  <c:v>06.11.2013</c:v>
                </c:pt>
                <c:pt idx="953">
                  <c:v>05.11.2013</c:v>
                </c:pt>
                <c:pt idx="954">
                  <c:v>04.11.2013</c:v>
                </c:pt>
                <c:pt idx="955">
                  <c:v>01.11.2013</c:v>
                </c:pt>
                <c:pt idx="956">
                  <c:v>31.10.2013</c:v>
                </c:pt>
                <c:pt idx="957">
                  <c:v>30.10.2013</c:v>
                </c:pt>
                <c:pt idx="958">
                  <c:v>29.10.2013</c:v>
                </c:pt>
                <c:pt idx="959">
                  <c:v>28.10.2013</c:v>
                </c:pt>
                <c:pt idx="960">
                  <c:v>25.10.2013</c:v>
                </c:pt>
                <c:pt idx="961">
                  <c:v>24.10.2013</c:v>
                </c:pt>
                <c:pt idx="962">
                  <c:v>23.10.2013</c:v>
                </c:pt>
                <c:pt idx="963">
                  <c:v>22.10.2013</c:v>
                </c:pt>
                <c:pt idx="964">
                  <c:v>21.10.2013</c:v>
                </c:pt>
                <c:pt idx="965">
                  <c:v>18.10.2013</c:v>
                </c:pt>
                <c:pt idx="966">
                  <c:v>17.10.2013</c:v>
                </c:pt>
                <c:pt idx="967">
                  <c:v>16.10.2013</c:v>
                </c:pt>
                <c:pt idx="968">
                  <c:v>15.10.2013</c:v>
                </c:pt>
                <c:pt idx="969">
                  <c:v>14.10.2013</c:v>
                </c:pt>
                <c:pt idx="970">
                  <c:v>11.10.2013</c:v>
                </c:pt>
                <c:pt idx="971">
                  <c:v>10.10.2013</c:v>
                </c:pt>
                <c:pt idx="972">
                  <c:v>09.10.2013</c:v>
                </c:pt>
                <c:pt idx="973">
                  <c:v>08.10.2013</c:v>
                </c:pt>
                <c:pt idx="974">
                  <c:v>07.10.2013</c:v>
                </c:pt>
                <c:pt idx="975">
                  <c:v>04.10.2013</c:v>
                </c:pt>
                <c:pt idx="976">
                  <c:v>03.10.2013</c:v>
                </c:pt>
                <c:pt idx="977">
                  <c:v>02.10.2013</c:v>
                </c:pt>
                <c:pt idx="978">
                  <c:v>01.10.2013</c:v>
                </c:pt>
                <c:pt idx="979">
                  <c:v>30.09.2013</c:v>
                </c:pt>
                <c:pt idx="980">
                  <c:v>27.09.2013</c:v>
                </c:pt>
                <c:pt idx="981">
                  <c:v>26.09.2013</c:v>
                </c:pt>
                <c:pt idx="982">
                  <c:v>25.09.2013</c:v>
                </c:pt>
                <c:pt idx="983">
                  <c:v>24.09.2013</c:v>
                </c:pt>
                <c:pt idx="984">
                  <c:v>23.09.2013</c:v>
                </c:pt>
                <c:pt idx="985">
                  <c:v>20.09.2013</c:v>
                </c:pt>
                <c:pt idx="986">
                  <c:v>19.09.2013</c:v>
                </c:pt>
                <c:pt idx="987">
                  <c:v>18.09.2013</c:v>
                </c:pt>
                <c:pt idx="988">
                  <c:v>17.09.2013</c:v>
                </c:pt>
                <c:pt idx="989">
                  <c:v>16.09.2013</c:v>
                </c:pt>
                <c:pt idx="990">
                  <c:v>13.09.2013</c:v>
                </c:pt>
                <c:pt idx="991">
                  <c:v>12.09.2013</c:v>
                </c:pt>
                <c:pt idx="992">
                  <c:v>11.09.2013</c:v>
                </c:pt>
                <c:pt idx="993">
                  <c:v>10.09.2013</c:v>
                </c:pt>
                <c:pt idx="994">
                  <c:v>09.09.2013</c:v>
                </c:pt>
                <c:pt idx="995">
                  <c:v>06.09.2013</c:v>
                </c:pt>
                <c:pt idx="996">
                  <c:v>05.09.2013</c:v>
                </c:pt>
                <c:pt idx="997">
                  <c:v>04.09.2013</c:v>
                </c:pt>
                <c:pt idx="998">
                  <c:v>03.09.2013</c:v>
                </c:pt>
                <c:pt idx="999">
                  <c:v>30.08.2013</c:v>
                </c:pt>
                <c:pt idx="1000">
                  <c:v>29.08.2013</c:v>
                </c:pt>
                <c:pt idx="1001">
                  <c:v>28.08.2013</c:v>
                </c:pt>
                <c:pt idx="1002">
                  <c:v>27.08.2013</c:v>
                </c:pt>
                <c:pt idx="1003">
                  <c:v>26.08.2013</c:v>
                </c:pt>
                <c:pt idx="1004">
                  <c:v>23.08.2013</c:v>
                </c:pt>
              </c:strCache>
            </c:strRef>
          </c:cat>
          <c:val>
            <c:numRef>
              <c:f>Analysis!$AJ$7:$AJ$1011</c:f>
              <c:numCache>
                <c:formatCode>General</c:formatCode>
                <c:ptCount val="1005"/>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pt idx="187">
                  <c:v>110.06</c:v>
                </c:pt>
                <c:pt idx="188">
                  <c:v>109.95</c:v>
                </c:pt>
                <c:pt idx="189">
                  <c:v>109.99</c:v>
                </c:pt>
                <c:pt idx="190">
                  <c:v>107.11</c:v>
                </c:pt>
                <c:pt idx="191">
                  <c:v>105.71</c:v>
                </c:pt>
                <c:pt idx="192">
                  <c:v>108.43</c:v>
                </c:pt>
                <c:pt idx="193">
                  <c:v>107.79</c:v>
                </c:pt>
                <c:pt idx="194">
                  <c:v>110.88</c:v>
                </c:pt>
                <c:pt idx="195">
                  <c:v>111.06</c:v>
                </c:pt>
                <c:pt idx="196">
                  <c:v>110.41</c:v>
                </c:pt>
                <c:pt idx="197">
                  <c:v>108.84</c:v>
                </c:pt>
                <c:pt idx="198">
                  <c:v>109.83</c:v>
                </c:pt>
                <c:pt idx="199">
                  <c:v>111.59</c:v>
                </c:pt>
                <c:pt idx="200">
                  <c:v>111.49</c:v>
                </c:pt>
                <c:pt idx="201">
                  <c:v>113.54</c:v>
                </c:pt>
                <c:pt idx="202">
                  <c:v>113.72</c:v>
                </c:pt>
                <c:pt idx="203">
                  <c:v>114.48</c:v>
                </c:pt>
                <c:pt idx="204">
                  <c:v>115.59</c:v>
                </c:pt>
                <c:pt idx="205">
                  <c:v>118.25</c:v>
                </c:pt>
                <c:pt idx="206">
                  <c:v>117.65</c:v>
                </c:pt>
                <c:pt idx="207">
                  <c:v>116.6</c:v>
                </c:pt>
                <c:pt idx="208">
                  <c:v>117.06</c:v>
                </c:pt>
                <c:pt idx="209">
                  <c:v>117.12</c:v>
                </c:pt>
                <c:pt idx="210">
                  <c:v>117.47</c:v>
                </c:pt>
                <c:pt idx="211">
                  <c:v>117.55</c:v>
                </c:pt>
                <c:pt idx="212">
                  <c:v>117.63</c:v>
                </c:pt>
                <c:pt idx="213">
                  <c:v>116.98</c:v>
                </c:pt>
                <c:pt idx="214">
                  <c:v>117.34</c:v>
                </c:pt>
                <c:pt idx="215">
                  <c:v>116.3</c:v>
                </c:pt>
                <c:pt idx="216">
                  <c:v>116.05</c:v>
                </c:pt>
                <c:pt idx="217">
                  <c:v>114.06</c:v>
                </c:pt>
                <c:pt idx="218">
                  <c:v>113.89</c:v>
                </c:pt>
                <c:pt idx="219">
                  <c:v>113.05</c:v>
                </c:pt>
                <c:pt idx="220">
                  <c:v>113</c:v>
                </c:pt>
                <c:pt idx="221">
                  <c:v>112.52</c:v>
                </c:pt>
                <c:pt idx="222">
                  <c:v>113.05</c:v>
                </c:pt>
                <c:pt idx="223">
                  <c:v>112.18</c:v>
                </c:pt>
                <c:pt idx="224">
                  <c:v>113.95</c:v>
                </c:pt>
                <c:pt idx="225">
                  <c:v>113.09</c:v>
                </c:pt>
                <c:pt idx="226">
                  <c:v>112.88</c:v>
                </c:pt>
                <c:pt idx="227">
                  <c:v>112.71</c:v>
                </c:pt>
                <c:pt idx="228">
                  <c:v>114.62</c:v>
                </c:pt>
                <c:pt idx="229">
                  <c:v>113.55</c:v>
                </c:pt>
                <c:pt idx="230">
                  <c:v>113.57</c:v>
                </c:pt>
                <c:pt idx="231">
                  <c:v>113.58</c:v>
                </c:pt>
                <c:pt idx="232">
                  <c:v>114.92</c:v>
                </c:pt>
                <c:pt idx="233">
                  <c:v>115.57</c:v>
                </c:pt>
                <c:pt idx="234">
                  <c:v>111.77</c:v>
                </c:pt>
                <c:pt idx="235">
                  <c:v>107.95</c:v>
                </c:pt>
                <c:pt idx="236">
                  <c:v>105.44</c:v>
                </c:pt>
                <c:pt idx="237">
                  <c:v>103.13</c:v>
                </c:pt>
                <c:pt idx="238">
                  <c:v>105.52</c:v>
                </c:pt>
                <c:pt idx="239">
                  <c:v>108.36</c:v>
                </c:pt>
                <c:pt idx="240">
                  <c:v>107.7</c:v>
                </c:pt>
                <c:pt idx="241">
                  <c:v>107.73</c:v>
                </c:pt>
                <c:pt idx="242">
                  <c:v>106.73</c:v>
                </c:pt>
                <c:pt idx="243">
                  <c:v>106.1</c:v>
                </c:pt>
                <c:pt idx="244">
                  <c:v>106</c:v>
                </c:pt>
                <c:pt idx="245">
                  <c:v>106.82</c:v>
                </c:pt>
                <c:pt idx="246">
                  <c:v>106.94</c:v>
                </c:pt>
                <c:pt idx="247">
                  <c:v>107.57</c:v>
                </c:pt>
                <c:pt idx="248">
                  <c:v>108.03</c:v>
                </c:pt>
                <c:pt idx="249">
                  <c:v>108.85</c:v>
                </c:pt>
                <c:pt idx="250">
                  <c:v>108.51</c:v>
                </c:pt>
                <c:pt idx="251">
                  <c:v>109.36</c:v>
                </c:pt>
                <c:pt idx="252">
                  <c:v>109.08</c:v>
                </c:pt>
                <c:pt idx="253">
                  <c:v>109.22</c:v>
                </c:pt>
                <c:pt idx="254">
                  <c:v>109.38</c:v>
                </c:pt>
                <c:pt idx="255">
                  <c:v>109.48</c:v>
                </c:pt>
                <c:pt idx="256">
                  <c:v>108.18</c:v>
                </c:pt>
                <c:pt idx="257">
                  <c:v>107.93</c:v>
                </c:pt>
                <c:pt idx="258">
                  <c:v>108</c:v>
                </c:pt>
                <c:pt idx="259">
                  <c:v>108.81</c:v>
                </c:pt>
                <c:pt idx="260">
                  <c:v>108.37</c:v>
                </c:pt>
                <c:pt idx="261">
                  <c:v>107.48</c:v>
                </c:pt>
                <c:pt idx="262">
                  <c:v>105.87</c:v>
                </c:pt>
                <c:pt idx="263">
                  <c:v>105.79</c:v>
                </c:pt>
                <c:pt idx="264">
                  <c:v>104.48</c:v>
                </c:pt>
                <c:pt idx="265">
                  <c:v>106.05</c:v>
                </c:pt>
                <c:pt idx="266">
                  <c:v>104.21</c:v>
                </c:pt>
                <c:pt idx="267">
                  <c:v>104.34</c:v>
                </c:pt>
                <c:pt idx="268">
                  <c:v>102.95</c:v>
                </c:pt>
                <c:pt idx="269">
                  <c:v>96.67</c:v>
                </c:pt>
                <c:pt idx="270">
                  <c:v>97.34</c:v>
                </c:pt>
                <c:pt idx="271">
                  <c:v>98.66</c:v>
                </c:pt>
                <c:pt idx="272">
                  <c:v>99.43</c:v>
                </c:pt>
                <c:pt idx="273">
                  <c:v>99.96</c:v>
                </c:pt>
                <c:pt idx="274">
                  <c:v>99.87</c:v>
                </c:pt>
                <c:pt idx="275">
                  <c:v>99.83</c:v>
                </c:pt>
                <c:pt idx="276">
                  <c:v>98.78</c:v>
                </c:pt>
                <c:pt idx="277">
                  <c:v>98.79</c:v>
                </c:pt>
                <c:pt idx="278">
                  <c:v>96.87</c:v>
                </c:pt>
                <c:pt idx="279">
                  <c:v>97.42</c:v>
                </c:pt>
                <c:pt idx="280">
                  <c:v>96.98</c:v>
                </c:pt>
                <c:pt idx="281">
                  <c:v>96.68</c:v>
                </c:pt>
                <c:pt idx="282">
                  <c:v>95.94</c:v>
                </c:pt>
                <c:pt idx="283">
                  <c:v>95.53</c:v>
                </c:pt>
                <c:pt idx="284">
                  <c:v>94.99</c:v>
                </c:pt>
                <c:pt idx="285">
                  <c:v>95.89</c:v>
                </c:pt>
                <c:pt idx="286">
                  <c:v>95.6</c:v>
                </c:pt>
                <c:pt idx="287">
                  <c:v>94.4</c:v>
                </c:pt>
                <c:pt idx="288">
                  <c:v>93.59</c:v>
                </c:pt>
                <c:pt idx="289">
                  <c:v>92.04</c:v>
                </c:pt>
                <c:pt idx="290">
                  <c:v>93.4</c:v>
                </c:pt>
                <c:pt idx="291">
                  <c:v>96.1</c:v>
                </c:pt>
                <c:pt idx="292">
                  <c:v>95.55</c:v>
                </c:pt>
                <c:pt idx="293">
                  <c:v>95.91</c:v>
                </c:pt>
                <c:pt idx="294">
                  <c:v>95.1</c:v>
                </c:pt>
                <c:pt idx="295">
                  <c:v>95.33</c:v>
                </c:pt>
                <c:pt idx="296">
                  <c:v>97.55</c:v>
                </c:pt>
                <c:pt idx="297">
                  <c:v>97.14</c:v>
                </c:pt>
                <c:pt idx="298">
                  <c:v>97.46</c:v>
                </c:pt>
                <c:pt idx="299">
                  <c:v>97.34</c:v>
                </c:pt>
                <c:pt idx="300">
                  <c:v>98.83</c:v>
                </c:pt>
                <c:pt idx="301">
                  <c:v>99.65</c:v>
                </c:pt>
                <c:pt idx="302">
                  <c:v>98.94</c:v>
                </c:pt>
                <c:pt idx="303">
                  <c:v>99.03</c:v>
                </c:pt>
                <c:pt idx="304">
                  <c:v>98.63</c:v>
                </c:pt>
                <c:pt idx="305">
                  <c:v>97.92</c:v>
                </c:pt>
                <c:pt idx="306">
                  <c:v>97.72</c:v>
                </c:pt>
                <c:pt idx="307">
                  <c:v>98.46</c:v>
                </c:pt>
                <c:pt idx="308">
                  <c:v>99.86</c:v>
                </c:pt>
                <c:pt idx="309">
                  <c:v>100.35</c:v>
                </c:pt>
                <c:pt idx="310">
                  <c:v>100.41</c:v>
                </c:pt>
                <c:pt idx="311">
                  <c:v>99.62</c:v>
                </c:pt>
                <c:pt idx="312">
                  <c:v>97.9</c:v>
                </c:pt>
                <c:pt idx="313">
                  <c:v>96.43</c:v>
                </c:pt>
                <c:pt idx="314">
                  <c:v>95.22</c:v>
                </c:pt>
                <c:pt idx="315">
                  <c:v>94.2</c:v>
                </c:pt>
                <c:pt idx="316">
                  <c:v>94.56</c:v>
                </c:pt>
                <c:pt idx="317">
                  <c:v>93.49</c:v>
                </c:pt>
                <c:pt idx="318">
                  <c:v>93.88</c:v>
                </c:pt>
                <c:pt idx="319">
                  <c:v>90.52</c:v>
                </c:pt>
                <c:pt idx="320">
                  <c:v>90.34</c:v>
                </c:pt>
                <c:pt idx="321">
                  <c:v>92.51</c:v>
                </c:pt>
                <c:pt idx="322">
                  <c:v>93.42</c:v>
                </c:pt>
                <c:pt idx="323">
                  <c:v>92.79</c:v>
                </c:pt>
                <c:pt idx="324">
                  <c:v>92.72</c:v>
                </c:pt>
                <c:pt idx="325">
                  <c:v>93.24</c:v>
                </c:pt>
                <c:pt idx="326">
                  <c:v>94.19</c:v>
                </c:pt>
                <c:pt idx="327">
                  <c:v>95.18</c:v>
                </c:pt>
                <c:pt idx="328">
                  <c:v>93.64</c:v>
                </c:pt>
                <c:pt idx="329">
                  <c:v>93.74</c:v>
                </c:pt>
                <c:pt idx="330">
                  <c:v>94.83</c:v>
                </c:pt>
                <c:pt idx="331">
                  <c:v>97.82</c:v>
                </c:pt>
                <c:pt idx="332">
                  <c:v>104.35</c:v>
                </c:pt>
                <c:pt idx="333">
                  <c:v>105.08</c:v>
                </c:pt>
                <c:pt idx="334">
                  <c:v>105.68</c:v>
                </c:pt>
                <c:pt idx="335">
                  <c:v>105.97</c:v>
                </c:pt>
                <c:pt idx="336">
                  <c:v>107.13</c:v>
                </c:pt>
                <c:pt idx="337">
                  <c:v>106.91</c:v>
                </c:pt>
                <c:pt idx="338">
                  <c:v>107.48</c:v>
                </c:pt>
                <c:pt idx="339">
                  <c:v>109.85</c:v>
                </c:pt>
                <c:pt idx="340">
                  <c:v>112.1</c:v>
                </c:pt>
                <c:pt idx="341">
                  <c:v>112.04</c:v>
                </c:pt>
                <c:pt idx="342">
                  <c:v>110.44</c:v>
                </c:pt>
                <c:pt idx="343">
                  <c:v>109.02</c:v>
                </c:pt>
                <c:pt idx="344">
                  <c:v>108.66</c:v>
                </c:pt>
                <c:pt idx="345">
                  <c:v>108.54</c:v>
                </c:pt>
                <c:pt idx="346">
                  <c:v>110.96</c:v>
                </c:pt>
                <c:pt idx="347">
                  <c:v>109.81</c:v>
                </c:pt>
                <c:pt idx="348">
                  <c:v>111.12</c:v>
                </c:pt>
                <c:pt idx="349">
                  <c:v>109.99</c:v>
                </c:pt>
                <c:pt idx="350">
                  <c:v>108.99</c:v>
                </c:pt>
                <c:pt idx="351">
                  <c:v>109.56</c:v>
                </c:pt>
                <c:pt idx="352">
                  <c:v>107.68</c:v>
                </c:pt>
                <c:pt idx="353">
                  <c:v>105.19</c:v>
                </c:pt>
                <c:pt idx="354">
                  <c:v>105.67</c:v>
                </c:pt>
                <c:pt idx="355">
                  <c:v>106.13</c:v>
                </c:pt>
                <c:pt idx="356">
                  <c:v>106.72</c:v>
                </c:pt>
                <c:pt idx="357">
                  <c:v>105.91</c:v>
                </c:pt>
                <c:pt idx="358">
                  <c:v>105.92</c:v>
                </c:pt>
                <c:pt idx="359">
                  <c:v>105.8</c:v>
                </c:pt>
                <c:pt idx="360">
                  <c:v>105.97</c:v>
                </c:pt>
                <c:pt idx="361">
                  <c:v>104.58</c:v>
                </c:pt>
                <c:pt idx="362">
                  <c:v>102.52</c:v>
                </c:pt>
                <c:pt idx="363">
                  <c:v>102.26</c:v>
                </c:pt>
                <c:pt idx="364">
                  <c:v>101.17</c:v>
                </c:pt>
                <c:pt idx="365">
                  <c:v>101.12</c:v>
                </c:pt>
                <c:pt idx="366">
                  <c:v>101.03</c:v>
                </c:pt>
                <c:pt idx="367">
                  <c:v>101.87</c:v>
                </c:pt>
                <c:pt idx="368">
                  <c:v>103.01</c:v>
                </c:pt>
                <c:pt idx="369">
                  <c:v>101.5</c:v>
                </c:pt>
                <c:pt idx="370">
                  <c:v>100.75</c:v>
                </c:pt>
                <c:pt idx="371">
                  <c:v>100.53</c:v>
                </c:pt>
                <c:pt idx="372">
                  <c:v>96.69</c:v>
                </c:pt>
                <c:pt idx="373">
                  <c:v>96.91</c:v>
                </c:pt>
                <c:pt idx="374">
                  <c:v>96.76</c:v>
                </c:pt>
                <c:pt idx="375">
                  <c:v>96.1</c:v>
                </c:pt>
                <c:pt idx="376">
                  <c:v>94.69</c:v>
                </c:pt>
                <c:pt idx="377">
                  <c:v>96.88</c:v>
                </c:pt>
                <c:pt idx="378">
                  <c:v>96.04</c:v>
                </c:pt>
                <c:pt idx="379">
                  <c:v>96.26</c:v>
                </c:pt>
                <c:pt idx="380">
                  <c:v>98.12</c:v>
                </c:pt>
                <c:pt idx="381">
                  <c:v>96.64</c:v>
                </c:pt>
                <c:pt idx="382">
                  <c:v>93.99</c:v>
                </c:pt>
                <c:pt idx="383">
                  <c:v>93.7</c:v>
                </c:pt>
                <c:pt idx="384">
                  <c:v>94.27</c:v>
                </c:pt>
                <c:pt idx="385">
                  <c:v>94.99</c:v>
                </c:pt>
                <c:pt idx="386">
                  <c:v>95.01</c:v>
                </c:pt>
                <c:pt idx="387">
                  <c:v>94.02</c:v>
                </c:pt>
                <c:pt idx="388">
                  <c:v>96.6</c:v>
                </c:pt>
                <c:pt idx="389">
                  <c:v>96.35</c:v>
                </c:pt>
                <c:pt idx="390">
                  <c:v>94.48</c:v>
                </c:pt>
                <c:pt idx="391">
                  <c:v>96.43</c:v>
                </c:pt>
                <c:pt idx="392">
                  <c:v>97.34</c:v>
                </c:pt>
                <c:pt idx="393">
                  <c:v>94.09</c:v>
                </c:pt>
                <c:pt idx="394">
                  <c:v>93.42</c:v>
                </c:pt>
                <c:pt idx="395">
                  <c:v>99.99</c:v>
                </c:pt>
                <c:pt idx="396">
                  <c:v>99.44</c:v>
                </c:pt>
                <c:pt idx="397">
                  <c:v>101.42</c:v>
                </c:pt>
                <c:pt idx="398">
                  <c:v>96.3</c:v>
                </c:pt>
                <c:pt idx="399">
                  <c:v>96.79</c:v>
                </c:pt>
                <c:pt idx="400">
                  <c:v>96.66</c:v>
                </c:pt>
                <c:pt idx="401">
                  <c:v>97.13</c:v>
                </c:pt>
                <c:pt idx="402">
                  <c:v>99.52</c:v>
                </c:pt>
                <c:pt idx="403">
                  <c:v>97.39</c:v>
                </c:pt>
                <c:pt idx="404">
                  <c:v>99.96</c:v>
                </c:pt>
                <c:pt idx="405">
                  <c:v>98.53</c:v>
                </c:pt>
                <c:pt idx="406">
                  <c:v>96.96</c:v>
                </c:pt>
                <c:pt idx="407">
                  <c:v>96.45</c:v>
                </c:pt>
                <c:pt idx="408">
                  <c:v>100.7</c:v>
                </c:pt>
                <c:pt idx="409">
                  <c:v>102.71</c:v>
                </c:pt>
                <c:pt idx="410">
                  <c:v>105.35</c:v>
                </c:pt>
                <c:pt idx="411">
                  <c:v>105.26</c:v>
                </c:pt>
                <c:pt idx="412">
                  <c:v>107.32</c:v>
                </c:pt>
                <c:pt idx="413">
                  <c:v>108.74</c:v>
                </c:pt>
                <c:pt idx="414">
                  <c:v>106.82</c:v>
                </c:pt>
                <c:pt idx="415">
                  <c:v>108.03</c:v>
                </c:pt>
                <c:pt idx="416">
                  <c:v>108.61</c:v>
                </c:pt>
                <c:pt idx="417">
                  <c:v>107.23</c:v>
                </c:pt>
                <c:pt idx="418">
                  <c:v>107.33</c:v>
                </c:pt>
                <c:pt idx="419">
                  <c:v>106.03</c:v>
                </c:pt>
                <c:pt idx="420">
                  <c:v>108.98</c:v>
                </c:pt>
                <c:pt idx="421">
                  <c:v>111.34</c:v>
                </c:pt>
                <c:pt idx="422">
                  <c:v>110.49</c:v>
                </c:pt>
                <c:pt idx="423">
                  <c:v>112.48</c:v>
                </c:pt>
                <c:pt idx="424">
                  <c:v>113.18</c:v>
                </c:pt>
                <c:pt idx="425">
                  <c:v>116.17</c:v>
                </c:pt>
                <c:pt idx="426">
                  <c:v>115.62</c:v>
                </c:pt>
                <c:pt idx="427">
                  <c:v>118.23</c:v>
                </c:pt>
                <c:pt idx="428">
                  <c:v>118.28</c:v>
                </c:pt>
                <c:pt idx="429">
                  <c:v>119.03</c:v>
                </c:pt>
                <c:pt idx="430">
                  <c:v>115.2</c:v>
                </c:pt>
                <c:pt idx="431">
                  <c:v>116.28</c:v>
                </c:pt>
                <c:pt idx="432">
                  <c:v>117.34</c:v>
                </c:pt>
                <c:pt idx="433">
                  <c:v>118.3</c:v>
                </c:pt>
                <c:pt idx="434">
                  <c:v>117.81</c:v>
                </c:pt>
                <c:pt idx="435">
                  <c:v>118.03</c:v>
                </c:pt>
                <c:pt idx="436">
                  <c:v>118.88</c:v>
                </c:pt>
                <c:pt idx="437">
                  <c:v>117.75</c:v>
                </c:pt>
                <c:pt idx="438">
                  <c:v>119.3</c:v>
                </c:pt>
                <c:pt idx="439">
                  <c:v>118.78</c:v>
                </c:pt>
                <c:pt idx="440">
                  <c:v>117.29</c:v>
                </c:pt>
                <c:pt idx="441">
                  <c:v>113.69</c:v>
                </c:pt>
                <c:pt idx="442">
                  <c:v>114.18</c:v>
                </c:pt>
                <c:pt idx="443">
                  <c:v>112.34</c:v>
                </c:pt>
                <c:pt idx="444">
                  <c:v>115.72</c:v>
                </c:pt>
                <c:pt idx="445">
                  <c:v>116.11</c:v>
                </c:pt>
                <c:pt idx="446">
                  <c:v>116.77</c:v>
                </c:pt>
                <c:pt idx="447">
                  <c:v>120.57</c:v>
                </c:pt>
                <c:pt idx="448">
                  <c:v>121.06</c:v>
                </c:pt>
                <c:pt idx="449">
                  <c:v>120.92</c:v>
                </c:pt>
                <c:pt idx="450">
                  <c:v>122</c:v>
                </c:pt>
                <c:pt idx="451">
                  <c:v>122.57</c:v>
                </c:pt>
                <c:pt idx="452">
                  <c:v>121.18</c:v>
                </c:pt>
                <c:pt idx="453">
                  <c:v>119.5</c:v>
                </c:pt>
                <c:pt idx="454">
                  <c:v>120.53</c:v>
                </c:pt>
                <c:pt idx="455">
                  <c:v>119.27</c:v>
                </c:pt>
                <c:pt idx="456">
                  <c:v>114.55</c:v>
                </c:pt>
                <c:pt idx="457">
                  <c:v>115.28</c:v>
                </c:pt>
                <c:pt idx="458">
                  <c:v>119.08</c:v>
                </c:pt>
                <c:pt idx="459">
                  <c:v>115.5</c:v>
                </c:pt>
                <c:pt idx="460">
                  <c:v>113.76</c:v>
                </c:pt>
                <c:pt idx="461">
                  <c:v>113.77</c:v>
                </c:pt>
                <c:pt idx="462">
                  <c:v>111.73</c:v>
                </c:pt>
                <c:pt idx="463">
                  <c:v>111.04</c:v>
                </c:pt>
                <c:pt idx="464">
                  <c:v>111.86</c:v>
                </c:pt>
                <c:pt idx="465">
                  <c:v>110.21</c:v>
                </c:pt>
                <c:pt idx="466">
                  <c:v>111.79</c:v>
                </c:pt>
                <c:pt idx="467">
                  <c:v>111.6</c:v>
                </c:pt>
                <c:pt idx="468">
                  <c:v>112.12</c:v>
                </c:pt>
                <c:pt idx="469">
                  <c:v>109.5</c:v>
                </c:pt>
                <c:pt idx="470">
                  <c:v>110.78</c:v>
                </c:pt>
                <c:pt idx="471">
                  <c:v>111.31</c:v>
                </c:pt>
                <c:pt idx="472">
                  <c:v>110.78</c:v>
                </c:pt>
                <c:pt idx="473">
                  <c:v>110.38</c:v>
                </c:pt>
                <c:pt idx="474">
                  <c:v>109.58</c:v>
                </c:pt>
                <c:pt idx="475">
                  <c:v>110.3</c:v>
                </c:pt>
                <c:pt idx="476">
                  <c:v>109.06</c:v>
                </c:pt>
                <c:pt idx="477">
                  <c:v>112.44</c:v>
                </c:pt>
                <c:pt idx="478">
                  <c:v>114.71</c:v>
                </c:pt>
                <c:pt idx="479">
                  <c:v>115</c:v>
                </c:pt>
                <c:pt idx="480">
                  <c:v>114.32</c:v>
                </c:pt>
                <c:pt idx="481">
                  <c:v>113.4</c:v>
                </c:pt>
                <c:pt idx="482">
                  <c:v>115.21</c:v>
                </c:pt>
                <c:pt idx="483">
                  <c:v>113.45</c:v>
                </c:pt>
                <c:pt idx="484">
                  <c:v>113.92</c:v>
                </c:pt>
                <c:pt idx="485">
                  <c:v>116.41</c:v>
                </c:pt>
                <c:pt idx="486">
                  <c:v>116.28</c:v>
                </c:pt>
                <c:pt idx="487">
                  <c:v>115.31</c:v>
                </c:pt>
                <c:pt idx="488">
                  <c:v>114.21</c:v>
                </c:pt>
                <c:pt idx="489">
                  <c:v>112.57</c:v>
                </c:pt>
                <c:pt idx="490">
                  <c:v>110.15</c:v>
                </c:pt>
                <c:pt idx="491">
                  <c:v>112.31</c:v>
                </c:pt>
                <c:pt idx="492">
                  <c:v>109.27</c:v>
                </c:pt>
                <c:pt idx="493">
                  <c:v>110.37</c:v>
                </c:pt>
                <c:pt idx="494">
                  <c:v>112.34</c:v>
                </c:pt>
                <c:pt idx="495">
                  <c:v>107.72</c:v>
                </c:pt>
                <c:pt idx="496">
                  <c:v>112.76</c:v>
                </c:pt>
                <c:pt idx="497">
                  <c:v>113.29</c:v>
                </c:pt>
                <c:pt idx="498">
                  <c:v>112.92</c:v>
                </c:pt>
                <c:pt idx="499">
                  <c:v>109.69</c:v>
                </c:pt>
                <c:pt idx="500">
                  <c:v>103.74</c:v>
                </c:pt>
                <c:pt idx="501">
                  <c:v>103.12</c:v>
                </c:pt>
                <c:pt idx="502">
                  <c:v>105.76</c:v>
                </c:pt>
                <c:pt idx="503">
                  <c:v>112.65</c:v>
                </c:pt>
                <c:pt idx="504">
                  <c:v>115.01</c:v>
                </c:pt>
                <c:pt idx="505">
                  <c:v>116.5</c:v>
                </c:pt>
                <c:pt idx="506">
                  <c:v>117.16</c:v>
                </c:pt>
                <c:pt idx="507">
                  <c:v>115.96</c:v>
                </c:pt>
                <c:pt idx="508">
                  <c:v>115.15</c:v>
                </c:pt>
                <c:pt idx="509">
                  <c:v>115.24</c:v>
                </c:pt>
                <c:pt idx="510">
                  <c:v>113.49</c:v>
                </c:pt>
                <c:pt idx="511">
                  <c:v>119.72</c:v>
                </c:pt>
                <c:pt idx="512">
                  <c:v>115.52</c:v>
                </c:pt>
                <c:pt idx="513">
                  <c:v>115.13</c:v>
                </c:pt>
                <c:pt idx="514">
                  <c:v>115.4</c:v>
                </c:pt>
                <c:pt idx="515">
                  <c:v>114.64</c:v>
                </c:pt>
                <c:pt idx="516">
                  <c:v>118.44</c:v>
                </c:pt>
                <c:pt idx="517">
                  <c:v>121.3</c:v>
                </c:pt>
                <c:pt idx="518">
                  <c:v>122.37</c:v>
                </c:pt>
                <c:pt idx="519">
                  <c:v>122.99</c:v>
                </c:pt>
                <c:pt idx="520">
                  <c:v>123.38</c:v>
                </c:pt>
                <c:pt idx="521">
                  <c:v>122.77</c:v>
                </c:pt>
                <c:pt idx="522">
                  <c:v>124.5</c:v>
                </c:pt>
                <c:pt idx="523">
                  <c:v>125.16</c:v>
                </c:pt>
                <c:pt idx="524">
                  <c:v>125.22</c:v>
                </c:pt>
                <c:pt idx="525">
                  <c:v>130.75</c:v>
                </c:pt>
                <c:pt idx="526">
                  <c:v>132.07</c:v>
                </c:pt>
                <c:pt idx="527">
                  <c:v>129.62</c:v>
                </c:pt>
                <c:pt idx="528">
                  <c:v>128.51</c:v>
                </c:pt>
                <c:pt idx="529">
                  <c:v>126.82</c:v>
                </c:pt>
                <c:pt idx="530">
                  <c:v>125.61</c:v>
                </c:pt>
                <c:pt idx="531">
                  <c:v>125.66</c:v>
                </c:pt>
                <c:pt idx="532">
                  <c:v>123.28</c:v>
                </c:pt>
                <c:pt idx="533">
                  <c:v>120.07</c:v>
                </c:pt>
                <c:pt idx="534">
                  <c:v>122.57</c:v>
                </c:pt>
                <c:pt idx="535">
                  <c:v>125.69</c:v>
                </c:pt>
                <c:pt idx="536">
                  <c:v>126</c:v>
                </c:pt>
                <c:pt idx="537">
                  <c:v>126.44</c:v>
                </c:pt>
                <c:pt idx="538">
                  <c:v>126.6</c:v>
                </c:pt>
                <c:pt idx="539">
                  <c:v>125.42</c:v>
                </c:pt>
                <c:pt idx="540">
                  <c:v>124.53</c:v>
                </c:pt>
                <c:pt idx="541">
                  <c:v>126.75</c:v>
                </c:pt>
                <c:pt idx="542">
                  <c:v>127.5</c:v>
                </c:pt>
                <c:pt idx="543">
                  <c:v>128.11</c:v>
                </c:pt>
                <c:pt idx="544">
                  <c:v>127.03</c:v>
                </c:pt>
                <c:pt idx="545">
                  <c:v>127.61</c:v>
                </c:pt>
                <c:pt idx="546">
                  <c:v>126.6</c:v>
                </c:pt>
                <c:pt idx="547">
                  <c:v>127.88</c:v>
                </c:pt>
                <c:pt idx="548">
                  <c:v>127.3</c:v>
                </c:pt>
                <c:pt idx="549">
                  <c:v>127.6</c:v>
                </c:pt>
                <c:pt idx="550">
                  <c:v>126.92</c:v>
                </c:pt>
                <c:pt idx="551">
                  <c:v>127.17</c:v>
                </c:pt>
                <c:pt idx="552">
                  <c:v>128.59</c:v>
                </c:pt>
                <c:pt idx="553">
                  <c:v>128.88</c:v>
                </c:pt>
                <c:pt idx="554">
                  <c:v>127.42</c:v>
                </c:pt>
                <c:pt idx="555">
                  <c:v>127.8</c:v>
                </c:pt>
                <c:pt idx="556">
                  <c:v>128.65</c:v>
                </c:pt>
                <c:pt idx="557">
                  <c:v>129.36</c:v>
                </c:pt>
                <c:pt idx="558">
                  <c:v>130.12</c:v>
                </c:pt>
                <c:pt idx="559">
                  <c:v>129.96</c:v>
                </c:pt>
                <c:pt idx="560">
                  <c:v>130.54</c:v>
                </c:pt>
                <c:pt idx="561">
                  <c:v>130.28</c:v>
                </c:pt>
                <c:pt idx="562">
                  <c:v>131.78</c:v>
                </c:pt>
                <c:pt idx="563">
                  <c:v>132.04</c:v>
                </c:pt>
                <c:pt idx="564">
                  <c:v>129.62</c:v>
                </c:pt>
                <c:pt idx="565">
                  <c:v>132.54</c:v>
                </c:pt>
                <c:pt idx="566">
                  <c:v>131.39</c:v>
                </c:pt>
                <c:pt idx="567">
                  <c:v>130.06</c:v>
                </c:pt>
                <c:pt idx="568">
                  <c:v>130.07</c:v>
                </c:pt>
                <c:pt idx="569">
                  <c:v>130.19</c:v>
                </c:pt>
                <c:pt idx="570">
                  <c:v>128.77</c:v>
                </c:pt>
                <c:pt idx="571">
                  <c:v>128.95</c:v>
                </c:pt>
                <c:pt idx="572">
                  <c:v>126.01</c:v>
                </c:pt>
                <c:pt idx="573">
                  <c:v>125.86</c:v>
                </c:pt>
                <c:pt idx="574">
                  <c:v>126.32</c:v>
                </c:pt>
                <c:pt idx="575">
                  <c:v>127.62</c:v>
                </c:pt>
                <c:pt idx="576">
                  <c:v>125.26</c:v>
                </c:pt>
                <c:pt idx="577">
                  <c:v>125.01</c:v>
                </c:pt>
                <c:pt idx="578">
                  <c:v>125.8</c:v>
                </c:pt>
                <c:pt idx="579">
                  <c:v>128.7</c:v>
                </c:pt>
                <c:pt idx="580">
                  <c:v>128.95</c:v>
                </c:pt>
                <c:pt idx="581">
                  <c:v>125.15</c:v>
                </c:pt>
                <c:pt idx="582">
                  <c:v>128.64</c:v>
                </c:pt>
                <c:pt idx="583">
                  <c:v>130.56</c:v>
                </c:pt>
                <c:pt idx="584">
                  <c:v>132.65</c:v>
                </c:pt>
                <c:pt idx="585">
                  <c:v>130.28</c:v>
                </c:pt>
                <c:pt idx="586">
                  <c:v>129.67</c:v>
                </c:pt>
                <c:pt idx="587">
                  <c:v>128.62</c:v>
                </c:pt>
                <c:pt idx="588">
                  <c:v>126.91</c:v>
                </c:pt>
                <c:pt idx="589">
                  <c:v>127.6</c:v>
                </c:pt>
                <c:pt idx="590">
                  <c:v>124.75</c:v>
                </c:pt>
                <c:pt idx="591">
                  <c:v>126.17</c:v>
                </c:pt>
                <c:pt idx="592">
                  <c:v>126.78</c:v>
                </c:pt>
                <c:pt idx="593">
                  <c:v>126.3</c:v>
                </c:pt>
                <c:pt idx="594">
                  <c:v>126.85</c:v>
                </c:pt>
                <c:pt idx="595">
                  <c:v>127.1</c:v>
                </c:pt>
                <c:pt idx="596">
                  <c:v>126.56</c:v>
                </c:pt>
                <c:pt idx="597">
                  <c:v>125.6</c:v>
                </c:pt>
                <c:pt idx="598">
                  <c:v>126.01</c:v>
                </c:pt>
                <c:pt idx="599">
                  <c:v>127.35</c:v>
                </c:pt>
                <c:pt idx="600">
                  <c:v>125.32</c:v>
                </c:pt>
                <c:pt idx="601">
                  <c:v>124.25</c:v>
                </c:pt>
                <c:pt idx="602">
                  <c:v>124.43</c:v>
                </c:pt>
                <c:pt idx="603">
                  <c:v>126.37</c:v>
                </c:pt>
                <c:pt idx="604">
                  <c:v>123.25</c:v>
                </c:pt>
                <c:pt idx="605">
                  <c:v>124.24</c:v>
                </c:pt>
                <c:pt idx="606">
                  <c:v>123.38</c:v>
                </c:pt>
                <c:pt idx="607">
                  <c:v>126.69</c:v>
                </c:pt>
                <c:pt idx="608">
                  <c:v>127.21</c:v>
                </c:pt>
                <c:pt idx="609">
                  <c:v>125.9</c:v>
                </c:pt>
                <c:pt idx="610">
                  <c:v>127.5</c:v>
                </c:pt>
                <c:pt idx="611">
                  <c:v>128.47</c:v>
                </c:pt>
                <c:pt idx="612">
                  <c:v>127.04</c:v>
                </c:pt>
                <c:pt idx="613">
                  <c:v>124.95</c:v>
                </c:pt>
                <c:pt idx="614">
                  <c:v>123.59</c:v>
                </c:pt>
                <c:pt idx="615">
                  <c:v>124.45</c:v>
                </c:pt>
                <c:pt idx="616">
                  <c:v>122.24</c:v>
                </c:pt>
                <c:pt idx="617">
                  <c:v>124.51</c:v>
                </c:pt>
                <c:pt idx="618">
                  <c:v>127.14</c:v>
                </c:pt>
                <c:pt idx="619">
                  <c:v>126.6</c:v>
                </c:pt>
                <c:pt idx="620">
                  <c:v>126.41</c:v>
                </c:pt>
                <c:pt idx="621">
                  <c:v>128.54</c:v>
                </c:pt>
                <c:pt idx="622">
                  <c:v>129.36</c:v>
                </c:pt>
                <c:pt idx="623">
                  <c:v>129.09</c:v>
                </c:pt>
                <c:pt idx="624">
                  <c:v>128.46</c:v>
                </c:pt>
                <c:pt idx="625">
                  <c:v>130.42</c:v>
                </c:pt>
                <c:pt idx="626">
                  <c:v>128.79</c:v>
                </c:pt>
                <c:pt idx="627">
                  <c:v>132.17</c:v>
                </c:pt>
                <c:pt idx="628">
                  <c:v>133</c:v>
                </c:pt>
                <c:pt idx="629">
                  <c:v>129.5</c:v>
                </c:pt>
                <c:pt idx="630">
                  <c:v>128.45</c:v>
                </c:pt>
                <c:pt idx="631">
                  <c:v>128.72</c:v>
                </c:pt>
                <c:pt idx="632">
                  <c:v>127.83</c:v>
                </c:pt>
                <c:pt idx="633">
                  <c:v>127.08</c:v>
                </c:pt>
                <c:pt idx="634">
                  <c:v>126.46</c:v>
                </c:pt>
                <c:pt idx="635">
                  <c:v>124.88</c:v>
                </c:pt>
                <c:pt idx="636">
                  <c:v>122.02</c:v>
                </c:pt>
                <c:pt idx="637">
                  <c:v>119.72</c:v>
                </c:pt>
                <c:pt idx="638">
                  <c:v>118.93</c:v>
                </c:pt>
                <c:pt idx="639">
                  <c:v>119.94</c:v>
                </c:pt>
                <c:pt idx="640">
                  <c:v>119.56</c:v>
                </c:pt>
                <c:pt idx="641">
                  <c:v>118.65</c:v>
                </c:pt>
                <c:pt idx="642">
                  <c:v>118.63</c:v>
                </c:pt>
                <c:pt idx="643">
                  <c:v>117.16</c:v>
                </c:pt>
                <c:pt idx="644">
                  <c:v>118.9</c:v>
                </c:pt>
                <c:pt idx="645">
                  <c:v>115.31</c:v>
                </c:pt>
                <c:pt idx="646">
                  <c:v>109.14</c:v>
                </c:pt>
                <c:pt idx="647">
                  <c:v>113.1</c:v>
                </c:pt>
                <c:pt idx="648">
                  <c:v>112.98</c:v>
                </c:pt>
                <c:pt idx="649">
                  <c:v>112.4</c:v>
                </c:pt>
                <c:pt idx="650">
                  <c:v>109.55</c:v>
                </c:pt>
                <c:pt idx="651">
                  <c:v>108.72</c:v>
                </c:pt>
                <c:pt idx="652">
                  <c:v>105.99</c:v>
                </c:pt>
                <c:pt idx="653">
                  <c:v>106.82</c:v>
                </c:pt>
                <c:pt idx="654">
                  <c:v>109.8</c:v>
                </c:pt>
                <c:pt idx="655">
                  <c:v>110.22</c:v>
                </c:pt>
                <c:pt idx="656">
                  <c:v>109.25</c:v>
                </c:pt>
                <c:pt idx="657">
                  <c:v>112.01</c:v>
                </c:pt>
                <c:pt idx="658">
                  <c:v>111.89</c:v>
                </c:pt>
                <c:pt idx="659">
                  <c:v>107.75</c:v>
                </c:pt>
                <c:pt idx="660">
                  <c:v>106.26</c:v>
                </c:pt>
                <c:pt idx="661">
                  <c:v>106.25</c:v>
                </c:pt>
                <c:pt idx="662">
                  <c:v>109.33</c:v>
                </c:pt>
                <c:pt idx="663">
                  <c:v>110.38</c:v>
                </c:pt>
                <c:pt idx="664">
                  <c:v>112.52</c:v>
                </c:pt>
                <c:pt idx="665">
                  <c:v>113.91</c:v>
                </c:pt>
                <c:pt idx="666">
                  <c:v>113.99</c:v>
                </c:pt>
                <c:pt idx="667">
                  <c:v>112.01</c:v>
                </c:pt>
                <c:pt idx="668">
                  <c:v>112.54</c:v>
                </c:pt>
                <c:pt idx="669">
                  <c:v>112.94</c:v>
                </c:pt>
                <c:pt idx="670">
                  <c:v>111.78</c:v>
                </c:pt>
                <c:pt idx="671">
                  <c:v>112.65</c:v>
                </c:pt>
                <c:pt idx="672">
                  <c:v>109.41</c:v>
                </c:pt>
                <c:pt idx="673">
                  <c:v>106.74</c:v>
                </c:pt>
                <c:pt idx="674">
                  <c:v>108.22</c:v>
                </c:pt>
                <c:pt idx="675">
                  <c:v>109.73</c:v>
                </c:pt>
                <c:pt idx="676">
                  <c:v>111.62</c:v>
                </c:pt>
                <c:pt idx="677">
                  <c:v>111.95</c:v>
                </c:pt>
                <c:pt idx="678">
                  <c:v>114.12</c:v>
                </c:pt>
                <c:pt idx="679">
                  <c:v>112.4</c:v>
                </c:pt>
                <c:pt idx="680">
                  <c:v>115</c:v>
                </c:pt>
                <c:pt idx="681">
                  <c:v>115.49</c:v>
                </c:pt>
                <c:pt idx="682">
                  <c:v>115.93</c:v>
                </c:pt>
                <c:pt idx="683">
                  <c:v>114.63</c:v>
                </c:pt>
                <c:pt idx="684">
                  <c:v>115.07</c:v>
                </c:pt>
                <c:pt idx="685">
                  <c:v>118.93</c:v>
                </c:pt>
                <c:pt idx="686">
                  <c:v>119</c:v>
                </c:pt>
                <c:pt idx="687">
                  <c:v>117.6</c:v>
                </c:pt>
                <c:pt idx="688">
                  <c:v>118.62</c:v>
                </c:pt>
                <c:pt idx="689">
                  <c:v>116.47</c:v>
                </c:pt>
                <c:pt idx="690">
                  <c:v>116.31</c:v>
                </c:pt>
                <c:pt idx="691">
                  <c:v>114.67</c:v>
                </c:pt>
                <c:pt idx="692">
                  <c:v>115.47</c:v>
                </c:pt>
                <c:pt idx="693">
                  <c:v>113.99</c:v>
                </c:pt>
                <c:pt idx="694">
                  <c:v>114.18</c:v>
                </c:pt>
                <c:pt idx="695">
                  <c:v>112.82</c:v>
                </c:pt>
                <c:pt idx="696">
                  <c:v>111.25</c:v>
                </c:pt>
                <c:pt idx="697">
                  <c:v>109.7</c:v>
                </c:pt>
                <c:pt idx="698">
                  <c:v>108.83</c:v>
                </c:pt>
                <c:pt idx="699">
                  <c:v>109.01</c:v>
                </c:pt>
                <c:pt idx="700">
                  <c:v>108.7</c:v>
                </c:pt>
                <c:pt idx="701">
                  <c:v>108.86</c:v>
                </c:pt>
                <c:pt idx="702">
                  <c:v>108.6</c:v>
                </c:pt>
                <c:pt idx="703">
                  <c:v>109.4</c:v>
                </c:pt>
                <c:pt idx="704">
                  <c:v>108</c:v>
                </c:pt>
                <c:pt idx="705">
                  <c:v>106.98</c:v>
                </c:pt>
                <c:pt idx="706">
                  <c:v>107.34</c:v>
                </c:pt>
                <c:pt idx="707">
                  <c:v>106.74</c:v>
                </c:pt>
                <c:pt idx="708">
                  <c:v>105.11</c:v>
                </c:pt>
                <c:pt idx="709">
                  <c:v>105.22</c:v>
                </c:pt>
                <c:pt idx="710">
                  <c:v>104.83</c:v>
                </c:pt>
                <c:pt idx="711">
                  <c:v>102.99</c:v>
                </c:pt>
                <c:pt idx="712">
                  <c:v>102.47</c:v>
                </c:pt>
                <c:pt idx="713">
                  <c:v>99.76</c:v>
                </c:pt>
                <c:pt idx="714">
                  <c:v>97.67</c:v>
                </c:pt>
                <c:pt idx="715">
                  <c:v>96.26</c:v>
                </c:pt>
                <c:pt idx="716">
                  <c:v>97.54</c:v>
                </c:pt>
                <c:pt idx="717">
                  <c:v>98.75</c:v>
                </c:pt>
                <c:pt idx="718">
                  <c:v>99.81</c:v>
                </c:pt>
                <c:pt idx="719">
                  <c:v>100.73</c:v>
                </c:pt>
                <c:pt idx="720">
                  <c:v>101.02</c:v>
                </c:pt>
                <c:pt idx="721">
                  <c:v>100.8</c:v>
                </c:pt>
                <c:pt idx="722">
                  <c:v>98.75</c:v>
                </c:pt>
                <c:pt idx="723">
                  <c:v>99.62</c:v>
                </c:pt>
                <c:pt idx="724">
                  <c:v>99.62</c:v>
                </c:pt>
                <c:pt idx="725">
                  <c:v>99.9</c:v>
                </c:pt>
                <c:pt idx="726">
                  <c:v>99.18</c:v>
                </c:pt>
                <c:pt idx="727">
                  <c:v>100.75</c:v>
                </c:pt>
                <c:pt idx="728">
                  <c:v>100.11</c:v>
                </c:pt>
                <c:pt idx="729">
                  <c:v>100.75</c:v>
                </c:pt>
                <c:pt idx="730">
                  <c:v>97.87</c:v>
                </c:pt>
                <c:pt idx="731">
                  <c:v>101.75</c:v>
                </c:pt>
                <c:pt idx="732">
                  <c:v>102.64</c:v>
                </c:pt>
                <c:pt idx="733">
                  <c:v>101.06</c:v>
                </c:pt>
                <c:pt idx="734">
                  <c:v>100.96</c:v>
                </c:pt>
                <c:pt idx="735">
                  <c:v>101.79</c:v>
                </c:pt>
                <c:pt idx="736">
                  <c:v>101.58</c:v>
                </c:pt>
                <c:pt idx="737">
                  <c:v>100.86</c:v>
                </c:pt>
                <c:pt idx="738">
                  <c:v>101.63</c:v>
                </c:pt>
                <c:pt idx="739">
                  <c:v>101.66</c:v>
                </c:pt>
                <c:pt idx="740">
                  <c:v>101.43</c:v>
                </c:pt>
                <c:pt idx="741">
                  <c:v>101</c:v>
                </c:pt>
                <c:pt idx="742">
                  <c:v>97.99</c:v>
                </c:pt>
                <c:pt idx="743">
                  <c:v>98.36</c:v>
                </c:pt>
                <c:pt idx="744">
                  <c:v>98.97</c:v>
                </c:pt>
                <c:pt idx="745">
                  <c:v>98.12</c:v>
                </c:pt>
                <c:pt idx="746">
                  <c:v>98.94</c:v>
                </c:pt>
                <c:pt idx="747">
                  <c:v>103.3</c:v>
                </c:pt>
                <c:pt idx="748">
                  <c:v>102.5</c:v>
                </c:pt>
                <c:pt idx="749">
                  <c:v>102.25</c:v>
                </c:pt>
                <c:pt idx="750">
                  <c:v>102.13</c:v>
                </c:pt>
                <c:pt idx="751">
                  <c:v>100.89</c:v>
                </c:pt>
                <c:pt idx="752">
                  <c:v>101.54</c:v>
                </c:pt>
                <c:pt idx="753">
                  <c:v>101.32</c:v>
                </c:pt>
                <c:pt idx="754">
                  <c:v>100.58</c:v>
                </c:pt>
                <c:pt idx="755">
                  <c:v>100.57</c:v>
                </c:pt>
                <c:pt idx="756">
                  <c:v>100.53</c:v>
                </c:pt>
                <c:pt idx="757">
                  <c:v>99.16</c:v>
                </c:pt>
                <c:pt idx="758">
                  <c:v>97.98</c:v>
                </c:pt>
                <c:pt idx="759">
                  <c:v>97.5</c:v>
                </c:pt>
                <c:pt idx="760">
                  <c:v>97.24</c:v>
                </c:pt>
                <c:pt idx="761">
                  <c:v>95.97</c:v>
                </c:pt>
                <c:pt idx="762">
                  <c:v>95.99</c:v>
                </c:pt>
                <c:pt idx="763">
                  <c:v>94.74</c:v>
                </c:pt>
                <c:pt idx="764">
                  <c:v>94.48</c:v>
                </c:pt>
                <c:pt idx="765">
                  <c:v>94.96</c:v>
                </c:pt>
                <c:pt idx="766">
                  <c:v>95.12</c:v>
                </c:pt>
                <c:pt idx="767">
                  <c:v>95.59</c:v>
                </c:pt>
                <c:pt idx="768">
                  <c:v>96.13</c:v>
                </c:pt>
                <c:pt idx="769">
                  <c:v>95.6</c:v>
                </c:pt>
                <c:pt idx="770">
                  <c:v>98.15</c:v>
                </c:pt>
                <c:pt idx="771">
                  <c:v>98.38</c:v>
                </c:pt>
                <c:pt idx="772">
                  <c:v>99.02</c:v>
                </c:pt>
                <c:pt idx="773">
                  <c:v>97.67</c:v>
                </c:pt>
                <c:pt idx="774">
                  <c:v>97.03</c:v>
                </c:pt>
                <c:pt idx="775">
                  <c:v>97.19</c:v>
                </c:pt>
                <c:pt idx="776">
                  <c:v>94.72</c:v>
                </c:pt>
                <c:pt idx="777">
                  <c:v>93.94</c:v>
                </c:pt>
                <c:pt idx="778">
                  <c:v>94.43</c:v>
                </c:pt>
                <c:pt idx="779">
                  <c:v>93.09</c:v>
                </c:pt>
                <c:pt idx="780">
                  <c:v>94.78</c:v>
                </c:pt>
                <c:pt idx="781">
                  <c:v>95.32</c:v>
                </c:pt>
                <c:pt idx="782">
                  <c:v>96.45</c:v>
                </c:pt>
                <c:pt idx="783">
                  <c:v>95.22</c:v>
                </c:pt>
                <c:pt idx="784">
                  <c:v>95.04</c:v>
                </c:pt>
                <c:pt idx="785">
                  <c:v>95.39</c:v>
                </c:pt>
                <c:pt idx="786">
                  <c:v>95.35</c:v>
                </c:pt>
                <c:pt idx="787">
                  <c:v>95.97</c:v>
                </c:pt>
                <c:pt idx="788">
                  <c:v>94.03</c:v>
                </c:pt>
                <c:pt idx="789">
                  <c:v>93.48</c:v>
                </c:pt>
                <c:pt idx="790">
                  <c:v>93.52</c:v>
                </c:pt>
                <c:pt idx="791">
                  <c:v>92.93</c:v>
                </c:pt>
                <c:pt idx="792">
                  <c:v>91.98</c:v>
                </c:pt>
                <c:pt idx="793">
                  <c:v>90.9</c:v>
                </c:pt>
                <c:pt idx="794">
                  <c:v>90.36</c:v>
                </c:pt>
                <c:pt idx="795">
                  <c:v>90.28</c:v>
                </c:pt>
                <c:pt idx="796">
                  <c:v>90.83</c:v>
                </c:pt>
                <c:pt idx="797">
                  <c:v>90.91</c:v>
                </c:pt>
                <c:pt idx="798">
                  <c:v>91.86</c:v>
                </c:pt>
                <c:pt idx="799">
                  <c:v>92.18</c:v>
                </c:pt>
                <c:pt idx="800">
                  <c:v>92.08</c:v>
                </c:pt>
                <c:pt idx="801">
                  <c:v>92.2</c:v>
                </c:pt>
                <c:pt idx="802">
                  <c:v>91.28</c:v>
                </c:pt>
                <c:pt idx="803">
                  <c:v>92.29</c:v>
                </c:pt>
                <c:pt idx="804">
                  <c:v>93.86</c:v>
                </c:pt>
                <c:pt idx="805">
                  <c:v>94.25</c:v>
                </c:pt>
                <c:pt idx="806">
                  <c:v>93.7</c:v>
                </c:pt>
                <c:pt idx="807">
                  <c:v>92.22</c:v>
                </c:pt>
                <c:pt idx="808">
                  <c:v>92.48</c:v>
                </c:pt>
                <c:pt idx="809">
                  <c:v>92.12</c:v>
                </c:pt>
                <c:pt idx="810">
                  <c:v>91.08</c:v>
                </c:pt>
                <c:pt idx="811">
                  <c:v>89.81</c:v>
                </c:pt>
                <c:pt idx="812">
                  <c:v>90.43</c:v>
                </c:pt>
                <c:pt idx="813">
                  <c:v>90.77</c:v>
                </c:pt>
                <c:pt idx="814">
                  <c:v>89.14</c:v>
                </c:pt>
                <c:pt idx="815">
                  <c:v>89.38</c:v>
                </c:pt>
                <c:pt idx="816">
                  <c:v>87.73</c:v>
                </c:pt>
                <c:pt idx="817">
                  <c:v>86.75</c:v>
                </c:pt>
                <c:pt idx="818">
                  <c:v>86.62</c:v>
                </c:pt>
                <c:pt idx="819">
                  <c:v>86.39</c:v>
                </c:pt>
                <c:pt idx="820">
                  <c:v>86.37</c:v>
                </c:pt>
                <c:pt idx="821">
                  <c:v>85.36</c:v>
                </c:pt>
                <c:pt idx="822">
                  <c:v>84.12</c:v>
                </c:pt>
                <c:pt idx="823">
                  <c:v>84.84</c:v>
                </c:pt>
                <c:pt idx="824">
                  <c:v>84.82</c:v>
                </c:pt>
                <c:pt idx="825">
                  <c:v>84.69</c:v>
                </c:pt>
                <c:pt idx="826">
                  <c:v>83.65</c:v>
                </c:pt>
                <c:pt idx="827">
                  <c:v>84</c:v>
                </c:pt>
                <c:pt idx="828">
                  <c:v>84.62</c:v>
                </c:pt>
                <c:pt idx="829">
                  <c:v>84.92</c:v>
                </c:pt>
                <c:pt idx="830">
                  <c:v>85.85</c:v>
                </c:pt>
                <c:pt idx="831">
                  <c:v>84.65</c:v>
                </c:pt>
                <c:pt idx="832">
                  <c:v>84.5</c:v>
                </c:pt>
                <c:pt idx="833">
                  <c:v>84.3</c:v>
                </c:pt>
                <c:pt idx="834">
                  <c:v>84.62</c:v>
                </c:pt>
                <c:pt idx="835">
                  <c:v>84.87</c:v>
                </c:pt>
                <c:pt idx="836">
                  <c:v>81.71</c:v>
                </c:pt>
                <c:pt idx="837">
                  <c:v>81.11</c:v>
                </c:pt>
                <c:pt idx="838">
                  <c:v>74.96</c:v>
                </c:pt>
                <c:pt idx="839">
                  <c:v>75.96</c:v>
                </c:pt>
                <c:pt idx="840">
                  <c:v>75.88</c:v>
                </c:pt>
                <c:pt idx="841">
                  <c:v>74.99</c:v>
                </c:pt>
                <c:pt idx="842">
                  <c:v>74.14</c:v>
                </c:pt>
                <c:pt idx="843">
                  <c:v>73.99</c:v>
                </c:pt>
                <c:pt idx="844">
                  <c:v>74.53</c:v>
                </c:pt>
                <c:pt idx="845">
                  <c:v>74.23</c:v>
                </c:pt>
                <c:pt idx="846">
                  <c:v>74.78</c:v>
                </c:pt>
                <c:pt idx="847">
                  <c:v>75.76</c:v>
                </c:pt>
                <c:pt idx="848">
                  <c:v>74.78</c:v>
                </c:pt>
                <c:pt idx="849">
                  <c:v>74.78</c:v>
                </c:pt>
                <c:pt idx="850">
                  <c:v>75.97</c:v>
                </c:pt>
                <c:pt idx="851">
                  <c:v>76.97</c:v>
                </c:pt>
                <c:pt idx="852">
                  <c:v>77.51</c:v>
                </c:pt>
                <c:pt idx="853">
                  <c:v>77.38</c:v>
                </c:pt>
                <c:pt idx="854">
                  <c:v>76.68</c:v>
                </c:pt>
                <c:pt idx="855">
                  <c:v>76.69</c:v>
                </c:pt>
                <c:pt idx="856">
                  <c:v>76.78</c:v>
                </c:pt>
                <c:pt idx="857">
                  <c:v>77.11</c:v>
                </c:pt>
                <c:pt idx="858">
                  <c:v>77.86</c:v>
                </c:pt>
                <c:pt idx="859">
                  <c:v>77.03</c:v>
                </c:pt>
                <c:pt idx="860">
                  <c:v>76.12</c:v>
                </c:pt>
                <c:pt idx="861">
                  <c:v>75.53</c:v>
                </c:pt>
                <c:pt idx="862">
                  <c:v>75.89</c:v>
                </c:pt>
                <c:pt idx="863">
                  <c:v>75.91</c:v>
                </c:pt>
                <c:pt idx="864">
                  <c:v>75.25</c:v>
                </c:pt>
                <c:pt idx="865">
                  <c:v>74.96</c:v>
                </c:pt>
                <c:pt idx="866">
                  <c:v>75.81</c:v>
                </c:pt>
                <c:pt idx="867">
                  <c:v>76.66</c:v>
                </c:pt>
                <c:pt idx="868">
                  <c:v>76.58</c:v>
                </c:pt>
                <c:pt idx="869">
                  <c:v>75.85</c:v>
                </c:pt>
                <c:pt idx="870">
                  <c:v>75.78</c:v>
                </c:pt>
                <c:pt idx="871">
                  <c:v>75.82</c:v>
                </c:pt>
                <c:pt idx="872">
                  <c:v>76.05</c:v>
                </c:pt>
                <c:pt idx="873">
                  <c:v>75.89</c:v>
                </c:pt>
                <c:pt idx="874">
                  <c:v>75.39</c:v>
                </c:pt>
                <c:pt idx="875">
                  <c:v>75.18</c:v>
                </c:pt>
                <c:pt idx="876">
                  <c:v>75.38</c:v>
                </c:pt>
                <c:pt idx="877">
                  <c:v>73.91</c:v>
                </c:pt>
                <c:pt idx="878">
                  <c:v>74.58</c:v>
                </c:pt>
                <c:pt idx="879">
                  <c:v>75.36</c:v>
                </c:pt>
                <c:pt idx="880">
                  <c:v>75.04</c:v>
                </c:pt>
                <c:pt idx="881">
                  <c:v>75.88</c:v>
                </c:pt>
                <c:pt idx="882">
                  <c:v>76.77</c:v>
                </c:pt>
                <c:pt idx="883">
                  <c:v>78</c:v>
                </c:pt>
                <c:pt idx="884">
                  <c:v>77.71</c:v>
                </c:pt>
                <c:pt idx="885">
                  <c:v>77.78</c:v>
                </c:pt>
                <c:pt idx="886">
                  <c:v>76.56</c:v>
                </c:pt>
                <c:pt idx="887">
                  <c:v>76.57</c:v>
                </c:pt>
                <c:pt idx="888">
                  <c:v>75.57</c:v>
                </c:pt>
                <c:pt idx="889">
                  <c:v>74.24</c:v>
                </c:pt>
                <c:pt idx="890">
                  <c:v>73.22</c:v>
                </c:pt>
                <c:pt idx="891">
                  <c:v>73.23</c:v>
                </c:pt>
                <c:pt idx="892">
                  <c:v>72.68</c:v>
                </c:pt>
                <c:pt idx="893">
                  <c:v>71.65</c:v>
                </c:pt>
                <c:pt idx="894">
                  <c:v>71.51</c:v>
                </c:pt>
                <c:pt idx="895">
                  <c:v>71.4</c:v>
                </c:pt>
                <c:pt idx="896">
                  <c:v>71.54</c:v>
                </c:pt>
                <c:pt idx="897">
                  <c:v>72.36</c:v>
                </c:pt>
                <c:pt idx="898">
                  <c:v>78.64</c:v>
                </c:pt>
                <c:pt idx="899">
                  <c:v>78.01</c:v>
                </c:pt>
                <c:pt idx="900">
                  <c:v>79.45</c:v>
                </c:pt>
                <c:pt idx="901">
                  <c:v>78.79</c:v>
                </c:pt>
                <c:pt idx="902">
                  <c:v>78.44</c:v>
                </c:pt>
                <c:pt idx="903">
                  <c:v>77.24</c:v>
                </c:pt>
                <c:pt idx="904">
                  <c:v>79.18</c:v>
                </c:pt>
                <c:pt idx="905">
                  <c:v>79.62</c:v>
                </c:pt>
                <c:pt idx="906">
                  <c:v>78.06</c:v>
                </c:pt>
                <c:pt idx="907">
                  <c:v>76.53</c:v>
                </c:pt>
                <c:pt idx="908">
                  <c:v>76.13</c:v>
                </c:pt>
                <c:pt idx="909">
                  <c:v>76.65</c:v>
                </c:pt>
                <c:pt idx="910">
                  <c:v>77.64</c:v>
                </c:pt>
                <c:pt idx="911">
                  <c:v>77.15</c:v>
                </c:pt>
                <c:pt idx="912">
                  <c:v>77.7</c:v>
                </c:pt>
                <c:pt idx="913">
                  <c:v>77.28</c:v>
                </c:pt>
                <c:pt idx="914">
                  <c:v>79.02</c:v>
                </c:pt>
                <c:pt idx="915">
                  <c:v>80.15</c:v>
                </c:pt>
                <c:pt idx="916">
                  <c:v>79.22</c:v>
                </c:pt>
                <c:pt idx="917">
                  <c:v>80.01</c:v>
                </c:pt>
                <c:pt idx="918">
                  <c:v>80.56</c:v>
                </c:pt>
                <c:pt idx="919">
                  <c:v>81.1</c:v>
                </c:pt>
                <c:pt idx="920">
                  <c:v>81.44</c:v>
                </c:pt>
                <c:pt idx="921">
                  <c:v>78.43</c:v>
                </c:pt>
                <c:pt idx="922">
                  <c:v>77.78</c:v>
                </c:pt>
                <c:pt idx="923">
                  <c:v>78.68</c:v>
                </c:pt>
                <c:pt idx="924">
                  <c:v>79.28</c:v>
                </c:pt>
                <c:pt idx="925">
                  <c:v>79.64</c:v>
                </c:pt>
                <c:pt idx="926">
                  <c:v>79.2</c:v>
                </c:pt>
                <c:pt idx="927">
                  <c:v>80.08</c:v>
                </c:pt>
                <c:pt idx="928">
                  <c:v>80.19</c:v>
                </c:pt>
                <c:pt idx="929">
                  <c:v>80.79</c:v>
                </c:pt>
                <c:pt idx="930">
                  <c:v>80.92</c:v>
                </c:pt>
                <c:pt idx="931">
                  <c:v>80</c:v>
                </c:pt>
                <c:pt idx="932">
                  <c:v>81.13</c:v>
                </c:pt>
                <c:pt idx="933">
                  <c:v>80.71</c:v>
                </c:pt>
                <c:pt idx="934">
                  <c:v>80.9</c:v>
                </c:pt>
                <c:pt idx="935">
                  <c:v>78.75</c:v>
                </c:pt>
                <c:pt idx="936">
                  <c:v>79.44</c:v>
                </c:pt>
                <c:pt idx="937">
                  <c:v>77.99</c:v>
                </c:pt>
                <c:pt idx="938">
                  <c:v>76.2</c:v>
                </c:pt>
                <c:pt idx="939">
                  <c:v>74.82</c:v>
                </c:pt>
                <c:pt idx="940">
                  <c:v>74.26</c:v>
                </c:pt>
                <c:pt idx="941">
                  <c:v>74.45</c:v>
                </c:pt>
                <c:pt idx="942">
                  <c:v>73.57</c:v>
                </c:pt>
                <c:pt idx="943">
                  <c:v>74.22</c:v>
                </c:pt>
                <c:pt idx="944">
                  <c:v>74.09</c:v>
                </c:pt>
                <c:pt idx="945">
                  <c:v>75</c:v>
                </c:pt>
                <c:pt idx="946">
                  <c:v>75.45</c:v>
                </c:pt>
                <c:pt idx="947">
                  <c:v>74.38</c:v>
                </c:pt>
                <c:pt idx="948">
                  <c:v>74.29</c:v>
                </c:pt>
                <c:pt idx="949">
                  <c:v>74.15</c:v>
                </c:pt>
                <c:pt idx="950">
                  <c:v>74.37</c:v>
                </c:pt>
                <c:pt idx="951">
                  <c:v>73.21</c:v>
                </c:pt>
                <c:pt idx="952">
                  <c:v>74.42</c:v>
                </c:pt>
                <c:pt idx="953">
                  <c:v>75.06</c:v>
                </c:pt>
                <c:pt idx="954">
                  <c:v>75.25</c:v>
                </c:pt>
                <c:pt idx="955">
                  <c:v>74.29</c:v>
                </c:pt>
                <c:pt idx="956">
                  <c:v>74.67</c:v>
                </c:pt>
                <c:pt idx="957">
                  <c:v>74.98</c:v>
                </c:pt>
                <c:pt idx="958">
                  <c:v>73.81</c:v>
                </c:pt>
                <c:pt idx="959">
                  <c:v>75.7</c:v>
                </c:pt>
                <c:pt idx="960">
                  <c:v>75.14</c:v>
                </c:pt>
                <c:pt idx="961">
                  <c:v>75.99</c:v>
                </c:pt>
                <c:pt idx="962">
                  <c:v>74.99</c:v>
                </c:pt>
                <c:pt idx="963">
                  <c:v>74.27</c:v>
                </c:pt>
                <c:pt idx="964">
                  <c:v>74.48</c:v>
                </c:pt>
                <c:pt idx="965">
                  <c:v>72.7</c:v>
                </c:pt>
                <c:pt idx="966">
                  <c:v>72.07</c:v>
                </c:pt>
                <c:pt idx="967">
                  <c:v>71.59</c:v>
                </c:pt>
                <c:pt idx="968">
                  <c:v>71.24</c:v>
                </c:pt>
                <c:pt idx="969">
                  <c:v>70.86</c:v>
                </c:pt>
                <c:pt idx="970">
                  <c:v>70.4</c:v>
                </c:pt>
                <c:pt idx="971">
                  <c:v>69.95</c:v>
                </c:pt>
                <c:pt idx="972">
                  <c:v>69.51</c:v>
                </c:pt>
                <c:pt idx="973">
                  <c:v>68.71</c:v>
                </c:pt>
                <c:pt idx="974">
                  <c:v>69.68</c:v>
                </c:pt>
                <c:pt idx="975">
                  <c:v>69</c:v>
                </c:pt>
                <c:pt idx="976">
                  <c:v>69.06</c:v>
                </c:pt>
                <c:pt idx="977">
                  <c:v>69.94</c:v>
                </c:pt>
                <c:pt idx="978">
                  <c:v>69.71</c:v>
                </c:pt>
                <c:pt idx="979">
                  <c:v>68.11</c:v>
                </c:pt>
                <c:pt idx="980">
                  <c:v>68.96</c:v>
                </c:pt>
                <c:pt idx="981">
                  <c:v>69.46</c:v>
                </c:pt>
                <c:pt idx="982">
                  <c:v>68.79</c:v>
                </c:pt>
                <c:pt idx="983">
                  <c:v>69.87</c:v>
                </c:pt>
                <c:pt idx="984">
                  <c:v>70.09</c:v>
                </c:pt>
                <c:pt idx="985">
                  <c:v>66.77</c:v>
                </c:pt>
                <c:pt idx="986">
                  <c:v>67.47</c:v>
                </c:pt>
                <c:pt idx="987">
                  <c:v>66.38</c:v>
                </c:pt>
                <c:pt idx="988">
                  <c:v>65.05</c:v>
                </c:pt>
                <c:pt idx="989">
                  <c:v>64.3</c:v>
                </c:pt>
                <c:pt idx="990">
                  <c:v>66.41</c:v>
                </c:pt>
                <c:pt idx="991">
                  <c:v>67.53</c:v>
                </c:pt>
                <c:pt idx="992">
                  <c:v>66.82</c:v>
                </c:pt>
                <c:pt idx="993">
                  <c:v>70.66</c:v>
                </c:pt>
                <c:pt idx="994">
                  <c:v>72.31</c:v>
                </c:pt>
                <c:pt idx="995">
                  <c:v>71.17</c:v>
                </c:pt>
                <c:pt idx="996">
                  <c:v>70.75</c:v>
                </c:pt>
                <c:pt idx="997">
                  <c:v>71.24</c:v>
                </c:pt>
                <c:pt idx="998">
                  <c:v>69.8</c:v>
                </c:pt>
                <c:pt idx="999">
                  <c:v>69.6</c:v>
                </c:pt>
                <c:pt idx="1000">
                  <c:v>70.24</c:v>
                </c:pt>
                <c:pt idx="1001">
                  <c:v>70.13</c:v>
                </c:pt>
                <c:pt idx="1002">
                  <c:v>69.8</c:v>
                </c:pt>
                <c:pt idx="1003">
                  <c:v>71.85</c:v>
                </c:pt>
                <c:pt idx="1004">
                  <c:v>71.57</c:v>
                </c:pt>
              </c:numCache>
            </c:numRef>
          </c:val>
          <c:smooth val="0"/>
        </c:ser>
        <c:hiLowLines>
          <c:spPr>
            <a:ln>
              <a:noFill/>
            </a:ln>
          </c:spPr>
        </c:hiLowLines>
        <c:marker val="0"/>
        <c:axId val="11027685"/>
        <c:axId val="85058717"/>
      </c:lineChart>
      <c:catAx>
        <c:axId val="11027685"/>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5058717"/>
        <c:crosses val="autoZero"/>
        <c:auto val="1"/>
        <c:lblAlgn val="ctr"/>
        <c:lblOffset val="100"/>
      </c:catAx>
      <c:valAx>
        <c:axId val="85058717"/>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11027685"/>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 - 1 Year</a:t>
            </a:r>
          </a:p>
        </c:rich>
      </c:tx>
      <c:overlay val="0"/>
    </c:title>
    <c:autoTitleDeleted val="0"/>
    <c:plotArea>
      <c:lineChart>
        <c:grouping val="standard"/>
        <c:varyColors val="0"/>
        <c:ser>
          <c:idx val="0"/>
          <c:order val="0"/>
          <c:tx>
            <c:strRef>
              <c:f>"Close Data - 1 Year"</c:f>
              <c:strCache>
                <c:ptCount val="1"/>
                <c:pt idx="0">
                  <c:v>Close Data - 1 Year</c:v>
                </c:pt>
              </c:strCache>
            </c:strRef>
          </c:tx>
          <c:spPr>
            <a:solidFill>
              <a:srgbClr val="4a7ebb"/>
            </a:solidFill>
            <a:ln w="47520">
              <a:solidFill>
                <a:srgbClr val="4a7ebb"/>
              </a:solidFill>
              <a:round/>
            </a:ln>
          </c:spPr>
          <c:marker>
            <c:symbol val="none"/>
          </c:marker>
          <c:dLbls>
            <c:dLbl>
              <c:idx val="251"/>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Analysis!$AE$7:$AE$258</c:f>
              <c:strCache>
                <c:ptCount val="252"/>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pt idx="187">
                  <c:v>18.11.2016</c:v>
                </c:pt>
                <c:pt idx="188">
                  <c:v>17.11.2016</c:v>
                </c:pt>
                <c:pt idx="189">
                  <c:v>16.11.2016</c:v>
                </c:pt>
                <c:pt idx="190">
                  <c:v>15.11.2016</c:v>
                </c:pt>
                <c:pt idx="191">
                  <c:v>14.11.2016</c:v>
                </c:pt>
                <c:pt idx="192">
                  <c:v>11.11.2016</c:v>
                </c:pt>
                <c:pt idx="193">
                  <c:v>10.11.2016</c:v>
                </c:pt>
                <c:pt idx="194">
                  <c:v>09.11.2016</c:v>
                </c:pt>
                <c:pt idx="195">
                  <c:v>08.11.2016</c:v>
                </c:pt>
                <c:pt idx="196">
                  <c:v>07.11.2016</c:v>
                </c:pt>
                <c:pt idx="197">
                  <c:v>04.11.2016</c:v>
                </c:pt>
                <c:pt idx="198">
                  <c:v>03.11.2016</c:v>
                </c:pt>
                <c:pt idx="199">
                  <c:v>02.11.2016</c:v>
                </c:pt>
                <c:pt idx="200">
                  <c:v>01.11.2016</c:v>
                </c:pt>
                <c:pt idx="201">
                  <c:v>31.10.2016</c:v>
                </c:pt>
                <c:pt idx="202">
                  <c:v>28.10.2016</c:v>
                </c:pt>
                <c:pt idx="203">
                  <c:v>27.10.2016</c:v>
                </c:pt>
                <c:pt idx="204">
                  <c:v>26.10.2016</c:v>
                </c:pt>
                <c:pt idx="205">
                  <c:v>25.10.2016</c:v>
                </c:pt>
                <c:pt idx="206">
                  <c:v>24.10.2016</c:v>
                </c:pt>
                <c:pt idx="207">
                  <c:v>21.10.2016</c:v>
                </c:pt>
                <c:pt idx="208">
                  <c:v>20.10.2016</c:v>
                </c:pt>
                <c:pt idx="209">
                  <c:v>19.10.2016</c:v>
                </c:pt>
                <c:pt idx="210">
                  <c:v>18.10.2016</c:v>
                </c:pt>
                <c:pt idx="211">
                  <c:v>17.10.2016</c:v>
                </c:pt>
                <c:pt idx="212">
                  <c:v>14.10.2016</c:v>
                </c:pt>
                <c:pt idx="213">
                  <c:v>13.10.2016</c:v>
                </c:pt>
                <c:pt idx="214">
                  <c:v>12.10.2016</c:v>
                </c:pt>
                <c:pt idx="215">
                  <c:v>11.10.2016</c:v>
                </c:pt>
                <c:pt idx="216">
                  <c:v>10.10.2016</c:v>
                </c:pt>
                <c:pt idx="217">
                  <c:v>07.10.2016</c:v>
                </c:pt>
                <c:pt idx="218">
                  <c:v>06.10.2016</c:v>
                </c:pt>
                <c:pt idx="219">
                  <c:v>05.10.2016</c:v>
                </c:pt>
                <c:pt idx="220">
                  <c:v>04.10.2016</c:v>
                </c:pt>
                <c:pt idx="221">
                  <c:v>03.10.2016</c:v>
                </c:pt>
                <c:pt idx="222">
                  <c:v>30.09.2016</c:v>
                </c:pt>
                <c:pt idx="223">
                  <c:v>29.09.2016</c:v>
                </c:pt>
                <c:pt idx="224">
                  <c:v>28.09.2016</c:v>
                </c:pt>
                <c:pt idx="225">
                  <c:v>27.09.2016</c:v>
                </c:pt>
                <c:pt idx="226">
                  <c:v>26.09.2016</c:v>
                </c:pt>
                <c:pt idx="227">
                  <c:v>23.09.2016</c:v>
                </c:pt>
                <c:pt idx="228">
                  <c:v>22.09.2016</c:v>
                </c:pt>
                <c:pt idx="229">
                  <c:v>21.09.2016</c:v>
                </c:pt>
                <c:pt idx="230">
                  <c:v>20.09.2016</c:v>
                </c:pt>
                <c:pt idx="231">
                  <c:v>19.09.2016</c:v>
                </c:pt>
                <c:pt idx="232">
                  <c:v>16.09.2016</c:v>
                </c:pt>
                <c:pt idx="233">
                  <c:v>15.09.2016</c:v>
                </c:pt>
                <c:pt idx="234">
                  <c:v>14.09.2016</c:v>
                </c:pt>
                <c:pt idx="235">
                  <c:v>13.09.2016</c:v>
                </c:pt>
                <c:pt idx="236">
                  <c:v>12.09.2016</c:v>
                </c:pt>
                <c:pt idx="237">
                  <c:v>09.09.2016</c:v>
                </c:pt>
                <c:pt idx="238">
                  <c:v>08.09.2016</c:v>
                </c:pt>
                <c:pt idx="239">
                  <c:v>07.09.2016</c:v>
                </c:pt>
                <c:pt idx="240">
                  <c:v>06.09.2016</c:v>
                </c:pt>
                <c:pt idx="241">
                  <c:v>02.09.2016</c:v>
                </c:pt>
                <c:pt idx="242">
                  <c:v>01.09.2016</c:v>
                </c:pt>
                <c:pt idx="243">
                  <c:v>31.08.2016</c:v>
                </c:pt>
                <c:pt idx="244">
                  <c:v>30.08.2016</c:v>
                </c:pt>
                <c:pt idx="245">
                  <c:v>29.08.2016</c:v>
                </c:pt>
                <c:pt idx="246">
                  <c:v>26.08.2016</c:v>
                </c:pt>
                <c:pt idx="247">
                  <c:v>25.08.2016</c:v>
                </c:pt>
                <c:pt idx="248">
                  <c:v>24.08.2016</c:v>
                </c:pt>
                <c:pt idx="249">
                  <c:v>23.08.2016</c:v>
                </c:pt>
                <c:pt idx="250">
                  <c:v>22.08.2016</c:v>
                </c:pt>
                <c:pt idx="251">
                  <c:v>19.08.2016</c:v>
                </c:pt>
              </c:strCache>
            </c:strRef>
          </c:cat>
          <c:val>
            <c:numRef>
              <c:f>Analysis!$AJ$7:$AJ$258</c:f>
              <c:numCache>
                <c:formatCode>General</c:formatCode>
                <c:ptCount val="252"/>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pt idx="187">
                  <c:v>110.06</c:v>
                </c:pt>
                <c:pt idx="188">
                  <c:v>109.95</c:v>
                </c:pt>
                <c:pt idx="189">
                  <c:v>109.99</c:v>
                </c:pt>
                <c:pt idx="190">
                  <c:v>107.11</c:v>
                </c:pt>
                <c:pt idx="191">
                  <c:v>105.71</c:v>
                </c:pt>
                <c:pt idx="192">
                  <c:v>108.43</c:v>
                </c:pt>
                <c:pt idx="193">
                  <c:v>107.79</c:v>
                </c:pt>
                <c:pt idx="194">
                  <c:v>110.88</c:v>
                </c:pt>
                <c:pt idx="195">
                  <c:v>111.06</c:v>
                </c:pt>
                <c:pt idx="196">
                  <c:v>110.41</c:v>
                </c:pt>
                <c:pt idx="197">
                  <c:v>108.84</c:v>
                </c:pt>
                <c:pt idx="198">
                  <c:v>109.83</c:v>
                </c:pt>
                <c:pt idx="199">
                  <c:v>111.59</c:v>
                </c:pt>
                <c:pt idx="200">
                  <c:v>111.49</c:v>
                </c:pt>
                <c:pt idx="201">
                  <c:v>113.54</c:v>
                </c:pt>
                <c:pt idx="202">
                  <c:v>113.72</c:v>
                </c:pt>
                <c:pt idx="203">
                  <c:v>114.48</c:v>
                </c:pt>
                <c:pt idx="204">
                  <c:v>115.59</c:v>
                </c:pt>
                <c:pt idx="205">
                  <c:v>118.25</c:v>
                </c:pt>
                <c:pt idx="206">
                  <c:v>117.65</c:v>
                </c:pt>
                <c:pt idx="207">
                  <c:v>116.6</c:v>
                </c:pt>
                <c:pt idx="208">
                  <c:v>117.06</c:v>
                </c:pt>
                <c:pt idx="209">
                  <c:v>117.12</c:v>
                </c:pt>
                <c:pt idx="210">
                  <c:v>117.47</c:v>
                </c:pt>
                <c:pt idx="211">
                  <c:v>117.55</c:v>
                </c:pt>
                <c:pt idx="212">
                  <c:v>117.63</c:v>
                </c:pt>
                <c:pt idx="213">
                  <c:v>116.98</c:v>
                </c:pt>
                <c:pt idx="214">
                  <c:v>117.34</c:v>
                </c:pt>
                <c:pt idx="215">
                  <c:v>116.3</c:v>
                </c:pt>
                <c:pt idx="216">
                  <c:v>116.05</c:v>
                </c:pt>
                <c:pt idx="217">
                  <c:v>114.06</c:v>
                </c:pt>
                <c:pt idx="218">
                  <c:v>113.89</c:v>
                </c:pt>
                <c:pt idx="219">
                  <c:v>113.05</c:v>
                </c:pt>
                <c:pt idx="220">
                  <c:v>113</c:v>
                </c:pt>
                <c:pt idx="221">
                  <c:v>112.52</c:v>
                </c:pt>
                <c:pt idx="222">
                  <c:v>113.05</c:v>
                </c:pt>
                <c:pt idx="223">
                  <c:v>112.18</c:v>
                </c:pt>
                <c:pt idx="224">
                  <c:v>113.95</c:v>
                </c:pt>
                <c:pt idx="225">
                  <c:v>113.09</c:v>
                </c:pt>
                <c:pt idx="226">
                  <c:v>112.88</c:v>
                </c:pt>
                <c:pt idx="227">
                  <c:v>112.71</c:v>
                </c:pt>
                <c:pt idx="228">
                  <c:v>114.62</c:v>
                </c:pt>
                <c:pt idx="229">
                  <c:v>113.55</c:v>
                </c:pt>
                <c:pt idx="230">
                  <c:v>113.57</c:v>
                </c:pt>
                <c:pt idx="231">
                  <c:v>113.58</c:v>
                </c:pt>
                <c:pt idx="232">
                  <c:v>114.92</c:v>
                </c:pt>
                <c:pt idx="233">
                  <c:v>115.57</c:v>
                </c:pt>
                <c:pt idx="234">
                  <c:v>111.77</c:v>
                </c:pt>
                <c:pt idx="235">
                  <c:v>107.95</c:v>
                </c:pt>
                <c:pt idx="236">
                  <c:v>105.44</c:v>
                </c:pt>
                <c:pt idx="237">
                  <c:v>103.13</c:v>
                </c:pt>
                <c:pt idx="238">
                  <c:v>105.52</c:v>
                </c:pt>
                <c:pt idx="239">
                  <c:v>108.36</c:v>
                </c:pt>
                <c:pt idx="240">
                  <c:v>107.7</c:v>
                </c:pt>
                <c:pt idx="241">
                  <c:v>107.73</c:v>
                </c:pt>
                <c:pt idx="242">
                  <c:v>106.73</c:v>
                </c:pt>
                <c:pt idx="243">
                  <c:v>106.1</c:v>
                </c:pt>
                <c:pt idx="244">
                  <c:v>106</c:v>
                </c:pt>
                <c:pt idx="245">
                  <c:v>106.82</c:v>
                </c:pt>
                <c:pt idx="246">
                  <c:v>106.94</c:v>
                </c:pt>
                <c:pt idx="247">
                  <c:v>107.57</c:v>
                </c:pt>
                <c:pt idx="248">
                  <c:v>108.03</c:v>
                </c:pt>
                <c:pt idx="249">
                  <c:v>108.85</c:v>
                </c:pt>
                <c:pt idx="250">
                  <c:v>108.51</c:v>
                </c:pt>
                <c:pt idx="251">
                  <c:v>109.36</c:v>
                </c:pt>
              </c:numCache>
            </c:numRef>
          </c:val>
          <c:smooth val="0"/>
        </c:ser>
        <c:hiLowLines>
          <c:spPr>
            <a:ln>
              <a:noFill/>
            </a:ln>
          </c:spPr>
        </c:hiLowLines>
        <c:marker val="0"/>
        <c:axId val="91314189"/>
        <c:axId val="44232233"/>
      </c:lineChart>
      <c:catAx>
        <c:axId val="91314189"/>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44232233"/>
        <c:crosses val="autoZero"/>
        <c:auto val="1"/>
        <c:lblAlgn val="ctr"/>
        <c:lblOffset val="100"/>
      </c:catAx>
      <c:valAx>
        <c:axId val="44232233"/>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91314189"/>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Close Data - 9 Month</a:t>
            </a:r>
          </a:p>
        </c:rich>
      </c:tx>
      <c:overlay val="0"/>
    </c:title>
    <c:autoTitleDeleted val="0"/>
    <c:plotArea>
      <c:lineChart>
        <c:grouping val="standard"/>
        <c:varyColors val="0"/>
        <c:ser>
          <c:idx val="0"/>
          <c:order val="0"/>
          <c:tx>
            <c:strRef>
              <c:f>"Close Data - 9 Month"</c:f>
              <c:strCache>
                <c:ptCount val="1"/>
                <c:pt idx="0">
                  <c:v>Close Data - 9 Month</c:v>
                </c:pt>
              </c:strCache>
            </c:strRef>
          </c:tx>
          <c:spPr>
            <a:solidFill>
              <a:srgbClr val="4a7ebb"/>
            </a:solidFill>
            <a:ln w="47520">
              <a:solidFill>
                <a:srgbClr val="4a7ebb"/>
              </a:solidFill>
              <a:round/>
            </a:ln>
          </c:spPr>
          <c:marker>
            <c:symbol val="none"/>
          </c:marker>
          <c:dLbls>
            <c:dLbl>
              <c:idx val="186"/>
              <c:dLblPos val="r"/>
              <c:showLegendKey val="0"/>
              <c:showVal val="1"/>
              <c:showCatName val="0"/>
              <c:showSerName val="0"/>
              <c:showPercent val="0"/>
            </c:dLbl>
            <c:dLblPos val="r"/>
            <c:showLegendKey val="0"/>
            <c:showVal val="0"/>
            <c:showCatName val="0"/>
            <c:showSerName val="0"/>
            <c:showPercent val="0"/>
            <c:showLeaderLines val="0"/>
          </c:dLbls>
          <c:trendline>
            <c:spPr>
              <a:ln w="9360">
                <a:solidFill>
                  <a:srgbClr val="000000"/>
                </a:solidFill>
                <a:round/>
              </a:ln>
            </c:spPr>
            <c:trendlineType val="linear"/>
            <c:forward val="0"/>
            <c:backward val="0"/>
            <c:dispRSqr val="1"/>
            <c:dispEq val="1"/>
          </c:trendline>
          <c:cat>
            <c:strRef>
              <c:f>Analysis!$AE$7:$AE$193</c:f>
              <c:strCache>
                <c:ptCount val="187"/>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pt idx="31">
                  <c:v>06.07.2017</c:v>
                </c:pt>
                <c:pt idx="32">
                  <c:v>05.07.2017</c:v>
                </c:pt>
                <c:pt idx="33">
                  <c:v>03.07.2017</c:v>
                </c:pt>
                <c:pt idx="34">
                  <c:v>30.06.2017</c:v>
                </c:pt>
                <c:pt idx="35">
                  <c:v>29.06.2017</c:v>
                </c:pt>
                <c:pt idx="36">
                  <c:v>28.06.2017</c:v>
                </c:pt>
                <c:pt idx="37">
                  <c:v>27.06.2017</c:v>
                </c:pt>
                <c:pt idx="38">
                  <c:v>26.06.2017</c:v>
                </c:pt>
                <c:pt idx="39">
                  <c:v>23.06.2017</c:v>
                </c:pt>
                <c:pt idx="40">
                  <c:v>22.06.2017</c:v>
                </c:pt>
                <c:pt idx="41">
                  <c:v>21.06.2017</c:v>
                </c:pt>
                <c:pt idx="42">
                  <c:v>20.06.2017</c:v>
                </c:pt>
                <c:pt idx="43">
                  <c:v>19.06.2017</c:v>
                </c:pt>
                <c:pt idx="44">
                  <c:v>16.06.2017</c:v>
                </c:pt>
                <c:pt idx="45">
                  <c:v>15.06.2017</c:v>
                </c:pt>
                <c:pt idx="46">
                  <c:v>14.06.2017</c:v>
                </c:pt>
                <c:pt idx="47">
                  <c:v>13.06.2017</c:v>
                </c:pt>
                <c:pt idx="48">
                  <c:v>12.06.2017</c:v>
                </c:pt>
                <c:pt idx="49">
                  <c:v>09.06.2017</c:v>
                </c:pt>
                <c:pt idx="50">
                  <c:v>08.06.2017</c:v>
                </c:pt>
                <c:pt idx="51">
                  <c:v>07.06.2017</c:v>
                </c:pt>
                <c:pt idx="52">
                  <c:v>06.06.2017</c:v>
                </c:pt>
                <c:pt idx="53">
                  <c:v>05.06.2017</c:v>
                </c:pt>
                <c:pt idx="54">
                  <c:v>02.06.2017</c:v>
                </c:pt>
                <c:pt idx="55">
                  <c:v>01.06.2017</c:v>
                </c:pt>
                <c:pt idx="56">
                  <c:v>31.05.2017</c:v>
                </c:pt>
                <c:pt idx="57">
                  <c:v>30.05.2017</c:v>
                </c:pt>
                <c:pt idx="58">
                  <c:v>26.05.2017</c:v>
                </c:pt>
                <c:pt idx="59">
                  <c:v>25.05.2017</c:v>
                </c:pt>
                <c:pt idx="60">
                  <c:v>24.05.2017</c:v>
                </c:pt>
                <c:pt idx="61">
                  <c:v>23.05.2017</c:v>
                </c:pt>
                <c:pt idx="62">
                  <c:v>22.05.2017</c:v>
                </c:pt>
                <c:pt idx="63">
                  <c:v>19.05.2017</c:v>
                </c:pt>
                <c:pt idx="64">
                  <c:v>18.05.2017</c:v>
                </c:pt>
                <c:pt idx="65">
                  <c:v>17.05.2017</c:v>
                </c:pt>
                <c:pt idx="66">
                  <c:v>16.05.2017</c:v>
                </c:pt>
                <c:pt idx="67">
                  <c:v>15.05.2017</c:v>
                </c:pt>
                <c:pt idx="68">
                  <c:v>12.05.2017</c:v>
                </c:pt>
                <c:pt idx="69">
                  <c:v>11.05.2017</c:v>
                </c:pt>
                <c:pt idx="70">
                  <c:v>10.05.2017</c:v>
                </c:pt>
                <c:pt idx="71">
                  <c:v>09.05.2017</c:v>
                </c:pt>
                <c:pt idx="72">
                  <c:v>08.05.2017</c:v>
                </c:pt>
                <c:pt idx="73">
                  <c:v>05.05.2017</c:v>
                </c:pt>
                <c:pt idx="74">
                  <c:v>04.05.2017</c:v>
                </c:pt>
                <c:pt idx="75">
                  <c:v>03.05.2017</c:v>
                </c:pt>
                <c:pt idx="76">
                  <c:v>02.05.2017</c:v>
                </c:pt>
                <c:pt idx="77">
                  <c:v>01.05.2017</c:v>
                </c:pt>
                <c:pt idx="78">
                  <c:v>28.04.2017</c:v>
                </c:pt>
                <c:pt idx="79">
                  <c:v>27.04.2017</c:v>
                </c:pt>
                <c:pt idx="80">
                  <c:v>26.04.2017</c:v>
                </c:pt>
                <c:pt idx="81">
                  <c:v>25.04.2017</c:v>
                </c:pt>
                <c:pt idx="82">
                  <c:v>24.04.2017</c:v>
                </c:pt>
                <c:pt idx="83">
                  <c:v>21.04.2017</c:v>
                </c:pt>
                <c:pt idx="84">
                  <c:v>20.04.2017</c:v>
                </c:pt>
                <c:pt idx="85">
                  <c:v>19.04.2017</c:v>
                </c:pt>
                <c:pt idx="86">
                  <c:v>18.04.2017</c:v>
                </c:pt>
                <c:pt idx="87">
                  <c:v>17.04.2017</c:v>
                </c:pt>
                <c:pt idx="88">
                  <c:v>13.04.2017</c:v>
                </c:pt>
                <c:pt idx="89">
                  <c:v>12.04.2017</c:v>
                </c:pt>
                <c:pt idx="90">
                  <c:v>11.04.2017</c:v>
                </c:pt>
                <c:pt idx="91">
                  <c:v>10.04.2017</c:v>
                </c:pt>
                <c:pt idx="92">
                  <c:v>07.04.2017</c:v>
                </c:pt>
                <c:pt idx="93">
                  <c:v>06.04.2017</c:v>
                </c:pt>
                <c:pt idx="94">
                  <c:v>05.04.2017</c:v>
                </c:pt>
                <c:pt idx="95">
                  <c:v>04.04.2017</c:v>
                </c:pt>
                <c:pt idx="96">
                  <c:v>03.04.2017</c:v>
                </c:pt>
                <c:pt idx="97">
                  <c:v>31.03.2017</c:v>
                </c:pt>
                <c:pt idx="98">
                  <c:v>30.03.2017</c:v>
                </c:pt>
                <c:pt idx="99">
                  <c:v>29.03.2017</c:v>
                </c:pt>
                <c:pt idx="100">
                  <c:v>28.03.2017</c:v>
                </c:pt>
                <c:pt idx="101">
                  <c:v>27.03.2017</c:v>
                </c:pt>
                <c:pt idx="102">
                  <c:v>24.03.2017</c:v>
                </c:pt>
                <c:pt idx="103">
                  <c:v>23.03.2017</c:v>
                </c:pt>
                <c:pt idx="104">
                  <c:v>22.03.2017</c:v>
                </c:pt>
                <c:pt idx="105">
                  <c:v>21.03.2017</c:v>
                </c:pt>
                <c:pt idx="106">
                  <c:v>20.03.2017</c:v>
                </c:pt>
                <c:pt idx="107">
                  <c:v>17.03.2017</c:v>
                </c:pt>
                <c:pt idx="108">
                  <c:v>16.03.2017</c:v>
                </c:pt>
                <c:pt idx="109">
                  <c:v>15.03.2017</c:v>
                </c:pt>
                <c:pt idx="110">
                  <c:v>14.03.2017</c:v>
                </c:pt>
                <c:pt idx="111">
                  <c:v>13.03.2017</c:v>
                </c:pt>
                <c:pt idx="112">
                  <c:v>10.03.2017</c:v>
                </c:pt>
                <c:pt idx="113">
                  <c:v>09.03.2017</c:v>
                </c:pt>
                <c:pt idx="114">
                  <c:v>08.03.2017</c:v>
                </c:pt>
                <c:pt idx="115">
                  <c:v>07.03.2017</c:v>
                </c:pt>
                <c:pt idx="116">
                  <c:v>06.03.2017</c:v>
                </c:pt>
                <c:pt idx="117">
                  <c:v>03.03.2017</c:v>
                </c:pt>
                <c:pt idx="118">
                  <c:v>02.03.2017</c:v>
                </c:pt>
                <c:pt idx="119">
                  <c:v>01.03.2017</c:v>
                </c:pt>
                <c:pt idx="120">
                  <c:v>28.02.2017</c:v>
                </c:pt>
                <c:pt idx="121">
                  <c:v>27.02.2017</c:v>
                </c:pt>
                <c:pt idx="122">
                  <c:v>24.02.2017</c:v>
                </c:pt>
                <c:pt idx="123">
                  <c:v>23.02.2017</c:v>
                </c:pt>
                <c:pt idx="124">
                  <c:v>22.02.2017</c:v>
                </c:pt>
                <c:pt idx="125">
                  <c:v>21.02.2017</c:v>
                </c:pt>
                <c:pt idx="126">
                  <c:v>17.02.2017</c:v>
                </c:pt>
                <c:pt idx="127">
                  <c:v>16.02.2017</c:v>
                </c:pt>
                <c:pt idx="128">
                  <c:v>15.02.2017</c:v>
                </c:pt>
                <c:pt idx="129">
                  <c:v>14.02.2017</c:v>
                </c:pt>
                <c:pt idx="130">
                  <c:v>13.02.2017</c:v>
                </c:pt>
                <c:pt idx="131">
                  <c:v>10.02.2017</c:v>
                </c:pt>
                <c:pt idx="132">
                  <c:v>09.02.2017</c:v>
                </c:pt>
                <c:pt idx="133">
                  <c:v>08.02.2017</c:v>
                </c:pt>
                <c:pt idx="134">
                  <c:v>07.02.2017</c:v>
                </c:pt>
                <c:pt idx="135">
                  <c:v>06.02.2017</c:v>
                </c:pt>
                <c:pt idx="136">
                  <c:v>03.02.2017</c:v>
                </c:pt>
                <c:pt idx="137">
                  <c:v>02.02.2017</c:v>
                </c:pt>
                <c:pt idx="138">
                  <c:v>01.02.2017</c:v>
                </c:pt>
                <c:pt idx="139">
                  <c:v>31.01.2017</c:v>
                </c:pt>
                <c:pt idx="140">
                  <c:v>30.01.2017</c:v>
                </c:pt>
                <c:pt idx="141">
                  <c:v>27.01.2017</c:v>
                </c:pt>
                <c:pt idx="142">
                  <c:v>26.01.2017</c:v>
                </c:pt>
                <c:pt idx="143">
                  <c:v>25.01.2017</c:v>
                </c:pt>
                <c:pt idx="144">
                  <c:v>24.01.2017</c:v>
                </c:pt>
                <c:pt idx="145">
                  <c:v>23.01.2017</c:v>
                </c:pt>
                <c:pt idx="146">
                  <c:v>20.01.2017</c:v>
                </c:pt>
                <c:pt idx="147">
                  <c:v>19.01.2017</c:v>
                </c:pt>
                <c:pt idx="148">
                  <c:v>18.01.2017</c:v>
                </c:pt>
                <c:pt idx="149">
                  <c:v>17.01.2017</c:v>
                </c:pt>
                <c:pt idx="150">
                  <c:v>13.01.2017</c:v>
                </c:pt>
                <c:pt idx="151">
                  <c:v>12.01.2017</c:v>
                </c:pt>
                <c:pt idx="152">
                  <c:v>11.01.2017</c:v>
                </c:pt>
                <c:pt idx="153">
                  <c:v>10.01.2017</c:v>
                </c:pt>
                <c:pt idx="154">
                  <c:v>09.01.2017</c:v>
                </c:pt>
                <c:pt idx="155">
                  <c:v>06.01.2017</c:v>
                </c:pt>
                <c:pt idx="156">
                  <c:v>05.01.2017</c:v>
                </c:pt>
                <c:pt idx="157">
                  <c:v>04.01.2017</c:v>
                </c:pt>
                <c:pt idx="158">
                  <c:v>03.01.2017</c:v>
                </c:pt>
                <c:pt idx="159">
                  <c:v>30.12.2016</c:v>
                </c:pt>
                <c:pt idx="160">
                  <c:v>29.12.2016</c:v>
                </c:pt>
                <c:pt idx="161">
                  <c:v>28.12.2016</c:v>
                </c:pt>
                <c:pt idx="162">
                  <c:v>27.12.2016</c:v>
                </c:pt>
                <c:pt idx="163">
                  <c:v>23.12.2016</c:v>
                </c:pt>
                <c:pt idx="164">
                  <c:v>22.12.2016</c:v>
                </c:pt>
                <c:pt idx="165">
                  <c:v>21.12.2016</c:v>
                </c:pt>
                <c:pt idx="166">
                  <c:v>20.12.2016</c:v>
                </c:pt>
                <c:pt idx="167">
                  <c:v>19.12.2016</c:v>
                </c:pt>
                <c:pt idx="168">
                  <c:v>16.12.2016</c:v>
                </c:pt>
                <c:pt idx="169">
                  <c:v>15.12.2016</c:v>
                </c:pt>
                <c:pt idx="170">
                  <c:v>14.12.2016</c:v>
                </c:pt>
                <c:pt idx="171">
                  <c:v>13.12.2016</c:v>
                </c:pt>
                <c:pt idx="172">
                  <c:v>12.12.2016</c:v>
                </c:pt>
                <c:pt idx="173">
                  <c:v>09.12.2016</c:v>
                </c:pt>
                <c:pt idx="174">
                  <c:v>08.12.2016</c:v>
                </c:pt>
                <c:pt idx="175">
                  <c:v>07.12.2016</c:v>
                </c:pt>
                <c:pt idx="176">
                  <c:v>06.12.2016</c:v>
                </c:pt>
                <c:pt idx="177">
                  <c:v>05.12.2016</c:v>
                </c:pt>
                <c:pt idx="178">
                  <c:v>02.12.2016</c:v>
                </c:pt>
                <c:pt idx="179">
                  <c:v>01.12.2016</c:v>
                </c:pt>
                <c:pt idx="180">
                  <c:v>30.11.2016</c:v>
                </c:pt>
                <c:pt idx="181">
                  <c:v>29.11.2016</c:v>
                </c:pt>
                <c:pt idx="182">
                  <c:v>28.11.2016</c:v>
                </c:pt>
                <c:pt idx="183">
                  <c:v>25.11.2016</c:v>
                </c:pt>
                <c:pt idx="184">
                  <c:v>23.11.2016</c:v>
                </c:pt>
                <c:pt idx="185">
                  <c:v>22.11.2016</c:v>
                </c:pt>
                <c:pt idx="186">
                  <c:v>21.11.2016</c:v>
                </c:pt>
              </c:strCache>
            </c:strRef>
          </c:cat>
          <c:val>
            <c:numRef>
              <c:f>Analysis!$AJ$7:$AJ$193</c:f>
              <c:numCache>
                <c:formatCode>General</c:formatCode>
                <c:ptCount val="187"/>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pt idx="31">
                  <c:v>142.73</c:v>
                </c:pt>
                <c:pt idx="32">
                  <c:v>144.09</c:v>
                </c:pt>
                <c:pt idx="33">
                  <c:v>143.5</c:v>
                </c:pt>
                <c:pt idx="34">
                  <c:v>144.02</c:v>
                </c:pt>
                <c:pt idx="35">
                  <c:v>143.68</c:v>
                </c:pt>
                <c:pt idx="36">
                  <c:v>145.83</c:v>
                </c:pt>
                <c:pt idx="37">
                  <c:v>143.73</c:v>
                </c:pt>
                <c:pt idx="38">
                  <c:v>145.82</c:v>
                </c:pt>
                <c:pt idx="39">
                  <c:v>146.28</c:v>
                </c:pt>
                <c:pt idx="40">
                  <c:v>145.63</c:v>
                </c:pt>
                <c:pt idx="41">
                  <c:v>145.87</c:v>
                </c:pt>
                <c:pt idx="42">
                  <c:v>145.01</c:v>
                </c:pt>
                <c:pt idx="43">
                  <c:v>146.34</c:v>
                </c:pt>
                <c:pt idx="44">
                  <c:v>142.27</c:v>
                </c:pt>
                <c:pt idx="45">
                  <c:v>144.29</c:v>
                </c:pt>
                <c:pt idx="46">
                  <c:v>145.16</c:v>
                </c:pt>
                <c:pt idx="47">
                  <c:v>146.59</c:v>
                </c:pt>
                <c:pt idx="48">
                  <c:v>145.42</c:v>
                </c:pt>
                <c:pt idx="49">
                  <c:v>148.98</c:v>
                </c:pt>
                <c:pt idx="50">
                  <c:v>154.99</c:v>
                </c:pt>
                <c:pt idx="51">
                  <c:v>155.37</c:v>
                </c:pt>
                <c:pt idx="52">
                  <c:v>154.45</c:v>
                </c:pt>
                <c:pt idx="53">
                  <c:v>153.93</c:v>
                </c:pt>
                <c:pt idx="54">
                  <c:v>155.45</c:v>
                </c:pt>
                <c:pt idx="55">
                  <c:v>153.18</c:v>
                </c:pt>
                <c:pt idx="56">
                  <c:v>152.76</c:v>
                </c:pt>
                <c:pt idx="57">
                  <c:v>153.67</c:v>
                </c:pt>
                <c:pt idx="58">
                  <c:v>153.61</c:v>
                </c:pt>
                <c:pt idx="59">
                  <c:v>153.87</c:v>
                </c:pt>
                <c:pt idx="60">
                  <c:v>153.34</c:v>
                </c:pt>
                <c:pt idx="61">
                  <c:v>153.8</c:v>
                </c:pt>
                <c:pt idx="62">
                  <c:v>153.99</c:v>
                </c:pt>
                <c:pt idx="63">
                  <c:v>153.06</c:v>
                </c:pt>
                <c:pt idx="64">
                  <c:v>152.54</c:v>
                </c:pt>
                <c:pt idx="65">
                  <c:v>150.25</c:v>
                </c:pt>
                <c:pt idx="66">
                  <c:v>155.47</c:v>
                </c:pt>
                <c:pt idx="67">
                  <c:v>155.7</c:v>
                </c:pt>
                <c:pt idx="68">
                  <c:v>156.1</c:v>
                </c:pt>
                <c:pt idx="69">
                  <c:v>153.95</c:v>
                </c:pt>
                <c:pt idx="70">
                  <c:v>153.26</c:v>
                </c:pt>
                <c:pt idx="71">
                  <c:v>153.99</c:v>
                </c:pt>
                <c:pt idx="72">
                  <c:v>153.01</c:v>
                </c:pt>
                <c:pt idx="73">
                  <c:v>148.96</c:v>
                </c:pt>
                <c:pt idx="74">
                  <c:v>146.53</c:v>
                </c:pt>
                <c:pt idx="75">
                  <c:v>147.06</c:v>
                </c:pt>
                <c:pt idx="76">
                  <c:v>147.51</c:v>
                </c:pt>
                <c:pt idx="77">
                  <c:v>146.58</c:v>
                </c:pt>
                <c:pt idx="78">
                  <c:v>143.65</c:v>
                </c:pt>
                <c:pt idx="79">
                  <c:v>143.79</c:v>
                </c:pt>
                <c:pt idx="80">
                  <c:v>143.68</c:v>
                </c:pt>
                <c:pt idx="81">
                  <c:v>144.53</c:v>
                </c:pt>
                <c:pt idx="82">
                  <c:v>143.64</c:v>
                </c:pt>
                <c:pt idx="83">
                  <c:v>142.27</c:v>
                </c:pt>
                <c:pt idx="84">
                  <c:v>142.44</c:v>
                </c:pt>
                <c:pt idx="85">
                  <c:v>140.68</c:v>
                </c:pt>
                <c:pt idx="86">
                  <c:v>141.2</c:v>
                </c:pt>
                <c:pt idx="87">
                  <c:v>141.83</c:v>
                </c:pt>
                <c:pt idx="88">
                  <c:v>141.05</c:v>
                </c:pt>
                <c:pt idx="89">
                  <c:v>141.8</c:v>
                </c:pt>
                <c:pt idx="90">
                  <c:v>141.63</c:v>
                </c:pt>
                <c:pt idx="91">
                  <c:v>143.17</c:v>
                </c:pt>
                <c:pt idx="92">
                  <c:v>143.34</c:v>
                </c:pt>
                <c:pt idx="93">
                  <c:v>143.66</c:v>
                </c:pt>
                <c:pt idx="94">
                  <c:v>144.02</c:v>
                </c:pt>
                <c:pt idx="95">
                  <c:v>144.77</c:v>
                </c:pt>
                <c:pt idx="96">
                  <c:v>143.7</c:v>
                </c:pt>
                <c:pt idx="97">
                  <c:v>143.66</c:v>
                </c:pt>
                <c:pt idx="98">
                  <c:v>143.93</c:v>
                </c:pt>
                <c:pt idx="99">
                  <c:v>144.12</c:v>
                </c:pt>
                <c:pt idx="100">
                  <c:v>143.8</c:v>
                </c:pt>
                <c:pt idx="101">
                  <c:v>140.88</c:v>
                </c:pt>
                <c:pt idx="102">
                  <c:v>140.64</c:v>
                </c:pt>
                <c:pt idx="103">
                  <c:v>140.92</c:v>
                </c:pt>
                <c:pt idx="104">
                  <c:v>141.42</c:v>
                </c:pt>
                <c:pt idx="105">
                  <c:v>139.84</c:v>
                </c:pt>
                <c:pt idx="106">
                  <c:v>141.46</c:v>
                </c:pt>
                <c:pt idx="107">
                  <c:v>139.99</c:v>
                </c:pt>
                <c:pt idx="108">
                  <c:v>140.69</c:v>
                </c:pt>
                <c:pt idx="109">
                  <c:v>140.46</c:v>
                </c:pt>
                <c:pt idx="110">
                  <c:v>138.99</c:v>
                </c:pt>
                <c:pt idx="111">
                  <c:v>139.2</c:v>
                </c:pt>
                <c:pt idx="112">
                  <c:v>139.14</c:v>
                </c:pt>
                <c:pt idx="113">
                  <c:v>138.68</c:v>
                </c:pt>
                <c:pt idx="114">
                  <c:v>139</c:v>
                </c:pt>
                <c:pt idx="115">
                  <c:v>139.52</c:v>
                </c:pt>
                <c:pt idx="116">
                  <c:v>139.34</c:v>
                </c:pt>
                <c:pt idx="117">
                  <c:v>139.78</c:v>
                </c:pt>
                <c:pt idx="118">
                  <c:v>138.96</c:v>
                </c:pt>
                <c:pt idx="119">
                  <c:v>139.79</c:v>
                </c:pt>
                <c:pt idx="120">
                  <c:v>136.99</c:v>
                </c:pt>
                <c:pt idx="121">
                  <c:v>136.93</c:v>
                </c:pt>
                <c:pt idx="122">
                  <c:v>136.66</c:v>
                </c:pt>
                <c:pt idx="123">
                  <c:v>136.53</c:v>
                </c:pt>
                <c:pt idx="124">
                  <c:v>137.11</c:v>
                </c:pt>
                <c:pt idx="125">
                  <c:v>136.7</c:v>
                </c:pt>
                <c:pt idx="126">
                  <c:v>135.72</c:v>
                </c:pt>
                <c:pt idx="127">
                  <c:v>135.34</c:v>
                </c:pt>
                <c:pt idx="128">
                  <c:v>135.51</c:v>
                </c:pt>
                <c:pt idx="129">
                  <c:v>135.02</c:v>
                </c:pt>
                <c:pt idx="130">
                  <c:v>133.29</c:v>
                </c:pt>
                <c:pt idx="131">
                  <c:v>132.12</c:v>
                </c:pt>
                <c:pt idx="132">
                  <c:v>132.42</c:v>
                </c:pt>
                <c:pt idx="133">
                  <c:v>132.04</c:v>
                </c:pt>
                <c:pt idx="134">
                  <c:v>131.53</c:v>
                </c:pt>
                <c:pt idx="135">
                  <c:v>130.29</c:v>
                </c:pt>
                <c:pt idx="136">
                  <c:v>129.08</c:v>
                </c:pt>
                <c:pt idx="137">
                  <c:v>128.53</c:v>
                </c:pt>
                <c:pt idx="138">
                  <c:v>128.75</c:v>
                </c:pt>
                <c:pt idx="139">
                  <c:v>121.35</c:v>
                </c:pt>
                <c:pt idx="140">
                  <c:v>121.63</c:v>
                </c:pt>
                <c:pt idx="141">
                  <c:v>121.95</c:v>
                </c:pt>
                <c:pt idx="142">
                  <c:v>121.94</c:v>
                </c:pt>
                <c:pt idx="143">
                  <c:v>121.88</c:v>
                </c:pt>
                <c:pt idx="144">
                  <c:v>119.97</c:v>
                </c:pt>
                <c:pt idx="145">
                  <c:v>120.08</c:v>
                </c:pt>
                <c:pt idx="146">
                  <c:v>120</c:v>
                </c:pt>
                <c:pt idx="147">
                  <c:v>119.78</c:v>
                </c:pt>
                <c:pt idx="148">
                  <c:v>119.99</c:v>
                </c:pt>
                <c:pt idx="149">
                  <c:v>120</c:v>
                </c:pt>
                <c:pt idx="150">
                  <c:v>119.04</c:v>
                </c:pt>
                <c:pt idx="151">
                  <c:v>119.25</c:v>
                </c:pt>
                <c:pt idx="152">
                  <c:v>119.75</c:v>
                </c:pt>
                <c:pt idx="153">
                  <c:v>119.11</c:v>
                </c:pt>
                <c:pt idx="154">
                  <c:v>118.99</c:v>
                </c:pt>
                <c:pt idx="155">
                  <c:v>117.91</c:v>
                </c:pt>
                <c:pt idx="156">
                  <c:v>116.61</c:v>
                </c:pt>
                <c:pt idx="157">
                  <c:v>116.02</c:v>
                </c:pt>
                <c:pt idx="158">
                  <c:v>116.15</c:v>
                </c:pt>
                <c:pt idx="159">
                  <c:v>115.82</c:v>
                </c:pt>
                <c:pt idx="160">
                  <c:v>116.73</c:v>
                </c:pt>
                <c:pt idx="161">
                  <c:v>116.76</c:v>
                </c:pt>
                <c:pt idx="162">
                  <c:v>117.26</c:v>
                </c:pt>
                <c:pt idx="163">
                  <c:v>116.52</c:v>
                </c:pt>
                <c:pt idx="164">
                  <c:v>116.29</c:v>
                </c:pt>
                <c:pt idx="165">
                  <c:v>117.06</c:v>
                </c:pt>
                <c:pt idx="166">
                  <c:v>116.95</c:v>
                </c:pt>
                <c:pt idx="167">
                  <c:v>116.64</c:v>
                </c:pt>
                <c:pt idx="168">
                  <c:v>115.97</c:v>
                </c:pt>
                <c:pt idx="169">
                  <c:v>115.82</c:v>
                </c:pt>
                <c:pt idx="170">
                  <c:v>115.19</c:v>
                </c:pt>
                <c:pt idx="171">
                  <c:v>115.19</c:v>
                </c:pt>
                <c:pt idx="172">
                  <c:v>113.3</c:v>
                </c:pt>
                <c:pt idx="173">
                  <c:v>113.95</c:v>
                </c:pt>
                <c:pt idx="174">
                  <c:v>112.12</c:v>
                </c:pt>
                <c:pt idx="175">
                  <c:v>111.03</c:v>
                </c:pt>
                <c:pt idx="176">
                  <c:v>109.95</c:v>
                </c:pt>
                <c:pt idx="177">
                  <c:v>109.11</c:v>
                </c:pt>
                <c:pt idx="178">
                  <c:v>109.9</c:v>
                </c:pt>
                <c:pt idx="179">
                  <c:v>109.49</c:v>
                </c:pt>
                <c:pt idx="180">
                  <c:v>110.52</c:v>
                </c:pt>
                <c:pt idx="181">
                  <c:v>111.46</c:v>
                </c:pt>
                <c:pt idx="182">
                  <c:v>111.57</c:v>
                </c:pt>
                <c:pt idx="183">
                  <c:v>111.79</c:v>
                </c:pt>
                <c:pt idx="184">
                  <c:v>111.23</c:v>
                </c:pt>
                <c:pt idx="185">
                  <c:v>111.8</c:v>
                </c:pt>
                <c:pt idx="186">
                  <c:v>111.73</c:v>
                </c:pt>
              </c:numCache>
            </c:numRef>
          </c:val>
          <c:smooth val="0"/>
        </c:ser>
        <c:hiLowLines>
          <c:spPr>
            <a:ln>
              <a:noFill/>
            </a:ln>
          </c:spPr>
        </c:hiLowLines>
        <c:marker val="0"/>
        <c:axId val="97451119"/>
        <c:axId val="5172734"/>
      </c:lineChart>
      <c:catAx>
        <c:axId val="97451119"/>
        <c:scaling>
          <c:orientation val="minMax"/>
        </c:scaling>
        <c:delete val="0"/>
        <c:axPos val="b"/>
        <c:numFmt formatCode="DD/MM/YYYY" sourceLinked="1"/>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5172734"/>
        <c:crosses val="autoZero"/>
        <c:auto val="1"/>
        <c:lblAlgn val="ctr"/>
        <c:lblOffset val="100"/>
      </c:catAx>
      <c:valAx>
        <c:axId val="5172734"/>
        <c:scaling>
          <c:orientation val="minMax"/>
        </c:scaling>
        <c:delete val="0"/>
        <c:axPos val="l"/>
        <c:majorGridlines>
          <c:spPr>
            <a:ln w="9360">
              <a:solidFill>
                <a:srgbClr val="878787"/>
              </a:solidFill>
              <a:round/>
            </a:ln>
          </c:spPr>
        </c:majorGridlines>
        <c:title>
          <c:tx>
            <c:rich>
              <a:bodyPr rot="0"/>
              <a:lstStyle/>
              <a:p>
                <a:pPr>
                  <a:defRPr b="1" sz="1000" spc="-1" strike="noStrike">
                    <a:solidFill>
                      <a:srgbClr val="000000"/>
                    </a:solidFill>
                    <a:uFill>
                      <a:solidFill>
                        <a:srgbClr val="ffffff"/>
                      </a:solidFill>
                    </a:uFill>
                    <a:latin typeface="Calibri"/>
                  </a:defRPr>
                </a:pPr>
                <a:r>
                  <a:rPr b="1" sz="1000" spc="-1" strike="noStrike">
                    <a:solidFill>
                      <a:srgbClr val="000000"/>
                    </a:solidFill>
                    <a:uFill>
                      <a:solidFill>
                        <a:srgbClr val="ffffff"/>
                      </a:solidFill>
                    </a:uFill>
                    <a:latin typeface="Calibri"/>
                  </a:rPr>
                  <a:t>Axis Title</a:t>
                </a:r>
              </a:p>
            </c:rich>
          </c:tx>
          <c:overlay val="0"/>
        </c:title>
        <c:numFmt formatCode="General" sourceLinked="0"/>
        <c:majorTickMark val="none"/>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97451119"/>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Volume Difference</a:t>
            </a:r>
          </a:p>
        </c:rich>
      </c:tx>
      <c:overlay val="0"/>
    </c:title>
    <c:autoTitleDeleted val="0"/>
    <c:plotArea>
      <c:lineChart>
        <c:grouping val="standard"/>
        <c:varyColors val="0"/>
        <c:ser>
          <c:idx val="0"/>
          <c:order val="0"/>
          <c:tx>
            <c:strRef>
              <c:f>"Volume Difference"</c:f>
              <c:strCache>
                <c:ptCount val="1"/>
                <c:pt idx="0">
                  <c:v>Volume Difference</c:v>
                </c:pt>
              </c:strCache>
            </c:strRef>
          </c:tx>
          <c:spPr>
            <a:solidFill>
              <a:srgbClr val="8ea5ca"/>
            </a:solidFill>
            <a:ln w="12600">
              <a:solidFill>
                <a:srgbClr val="8ea5ca"/>
              </a:solidFill>
              <a:round/>
            </a:ln>
          </c:spPr>
          <c:marker>
            <c:symbol val="none"/>
          </c:marker>
          <c:dLbls>
            <c:dLblPos val="r"/>
            <c:showLegendKey val="0"/>
            <c:showVal val="0"/>
            <c:showCatName val="0"/>
            <c:showSerName val="0"/>
            <c:showPercent val="0"/>
            <c:showLeaderLines val="0"/>
          </c:dLbls>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Analysis!$AN$7:$AN$37</c:f>
              <c:numCache>
                <c:formatCode>General</c:formatCode>
                <c:ptCount val="31"/>
                <c:pt idx="0">
                  <c:v/>
                </c:pt>
                <c:pt idx="1">
                  <c:v>2.10202979073616</c:v>
                </c:pt>
                <c:pt idx="2">
                  <c:v>-0.971945544769853</c:v>
                </c:pt>
                <c:pt idx="3">
                  <c:v>6.08805481477364</c:v>
                </c:pt>
                <c:pt idx="4">
                  <c:v>-33.1909835375682</c:v>
                </c:pt>
                <c:pt idx="5">
                  <c:v>15.7456940401939</c:v>
                </c:pt>
                <c:pt idx="6">
                  <c:v>35.6511118333122</c:v>
                </c:pt>
                <c:pt idx="7">
                  <c:v>-56.149574862245</c:v>
                </c:pt>
                <c:pt idx="8">
                  <c:v>27.8252083583293</c:v>
                </c:pt>
                <c:pt idx="9">
                  <c:v>-65.5480776893947</c:v>
                </c:pt>
                <c:pt idx="10">
                  <c:v>-6.37392234146433</c:v>
                </c:pt>
                <c:pt idx="11">
                  <c:v>24.1258168342701</c:v>
                </c:pt>
                <c:pt idx="12">
                  <c:v>61.2545955777216</c:v>
                </c:pt>
                <c:pt idx="13">
                  <c:v>-97.736724152141</c:v>
                </c:pt>
                <c:pt idx="14">
                  <c:v>-78.2162026250232</c:v>
                </c:pt>
                <c:pt idx="15">
                  <c:v>-15.2917396441069</c:v>
                </c:pt>
                <c:pt idx="16">
                  <c:v>46.9963222761237</c:v>
                </c:pt>
                <c:pt idx="17">
                  <c:v>-105.794549390591</c:v>
                </c:pt>
                <c:pt idx="18">
                  <c:v>16.2988866195126</c:v>
                </c:pt>
                <c:pt idx="19">
                  <c:v>12.2793856277997</c:v>
                </c:pt>
                <c:pt idx="20">
                  <c:v>18.1294978826883</c:v>
                </c:pt>
                <c:pt idx="21">
                  <c:v>-52.2443380638594</c:v>
                </c:pt>
                <c:pt idx="22">
                  <c:v>17.584602835286</c:v>
                </c:pt>
                <c:pt idx="23">
                  <c:v>-17.0922410423715</c:v>
                </c:pt>
                <c:pt idx="24">
                  <c:v>24.900392780267</c:v>
                </c:pt>
                <c:pt idx="25">
                  <c:v>-18.1868860818572</c:v>
                </c:pt>
                <c:pt idx="26">
                  <c:v>20.1088812804985</c:v>
                </c:pt>
                <c:pt idx="27">
                  <c:v>-1.26542738810917</c:v>
                </c:pt>
                <c:pt idx="28">
                  <c:v>-25.7945824644386</c:v>
                </c:pt>
                <c:pt idx="29">
                  <c:v>6.20559759316884</c:v>
                </c:pt>
                <c:pt idx="30">
                  <c:v>-9.83726867687631</c:v>
                </c:pt>
              </c:numCache>
            </c:numRef>
          </c:val>
          <c:smooth val="0"/>
        </c:ser>
        <c:hiLowLines>
          <c:spPr>
            <a:ln>
              <a:noFill/>
            </a:ln>
          </c:spPr>
        </c:hiLowLines>
        <c:marker val="0"/>
        <c:axId val="14101012"/>
        <c:axId val="21092503"/>
      </c:lineChart>
      <c:catAx>
        <c:axId val="14101012"/>
        <c:scaling>
          <c:orientation val="minMax"/>
        </c:scaling>
        <c:delete val="0"/>
        <c:axPos val="b"/>
        <c:numFmt formatCode="DD/MM/YYYY"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21092503"/>
        <c:crosses val="autoZero"/>
        <c:auto val="1"/>
        <c:lblAlgn val="ctr"/>
        <c:lblOffset val="100"/>
      </c:catAx>
      <c:valAx>
        <c:axId val="21092503"/>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14101012"/>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plotArea>
      <c:barChart>
        <c:barDir val="col"/>
        <c:grouping val="clustered"/>
        <c:varyColors val="0"/>
        <c:ser>
          <c:idx val="0"/>
          <c:order val="0"/>
          <c:tx>
            <c:strRef>
              <c:f>Analysis!$AG$6</c:f>
              <c:strCache>
                <c:ptCount val="1"/>
                <c:pt idx="0">
                  <c:v>Volume</c:v>
                </c:pt>
              </c:strCache>
            </c:strRef>
          </c:tx>
          <c:spPr>
            <a:noFill/>
            <a:ln w="47520">
              <a:noFill/>
            </a:ln>
          </c:spPr>
          <c:invertIfNegative val="0"/>
          <c:dLbls>
            <c:dLblPos val="outEnd"/>
            <c:showLegendKey val="0"/>
            <c:showVal val="0"/>
            <c:showCatName val="0"/>
            <c:showSerName val="0"/>
            <c:showPercent val="0"/>
            <c:showLeaderLines val="0"/>
          </c:dLbls>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Analysis!$AG$7:$AG$37</c:f>
              <c:numCache>
                <c:formatCode>General</c:formatCode>
                <c:ptCount val="31"/>
                <c:pt idx="0">
                  <c:v>27353246</c:v>
                </c:pt>
                <c:pt idx="1">
                  <c:v>27940565</c:v>
                </c:pt>
                <c:pt idx="2">
                  <c:v>27671612</c:v>
                </c:pt>
                <c:pt idx="3">
                  <c:v>29465487</c:v>
                </c:pt>
                <c:pt idx="4">
                  <c:v>22122734</c:v>
                </c:pt>
                <c:pt idx="5">
                  <c:v>26257096</c:v>
                </c:pt>
                <c:pt idx="6">
                  <c:v>40804273</c:v>
                </c:pt>
                <c:pt idx="7">
                  <c:v>26131530</c:v>
                </c:pt>
                <c:pt idx="8">
                  <c:v>36205896</c:v>
                </c:pt>
                <c:pt idx="9">
                  <c:v>21870321</c:v>
                </c:pt>
                <c:pt idx="10">
                  <c:v>20559852</c:v>
                </c:pt>
                <c:pt idx="11">
                  <c:v>27097296</c:v>
                </c:pt>
                <c:pt idx="12">
                  <c:v>69936800</c:v>
                </c:pt>
                <c:pt idx="13">
                  <c:v>35368645</c:v>
                </c:pt>
                <c:pt idx="14">
                  <c:v>19845920</c:v>
                </c:pt>
                <c:pt idx="15">
                  <c:v>17213653</c:v>
                </c:pt>
                <c:pt idx="16">
                  <c:v>32476337</c:v>
                </c:pt>
                <c:pt idx="17">
                  <c:v>15780951</c:v>
                </c:pt>
                <c:pt idx="18">
                  <c:v>18853932</c:v>
                </c:pt>
                <c:pt idx="19">
                  <c:v>21493160</c:v>
                </c:pt>
                <c:pt idx="20">
                  <c:v>26252630</c:v>
                </c:pt>
                <c:pt idx="21">
                  <c:v>17243748</c:v>
                </c:pt>
                <c:pt idx="22">
                  <c:v>20922969</c:v>
                </c:pt>
                <c:pt idx="23">
                  <c:v>17868792</c:v>
                </c:pt>
                <c:pt idx="24">
                  <c:v>23793456</c:v>
                </c:pt>
                <c:pt idx="25">
                  <c:v>20132061</c:v>
                </c:pt>
                <c:pt idx="26">
                  <c:v>25199373</c:v>
                </c:pt>
                <c:pt idx="27">
                  <c:v>24884478</c:v>
                </c:pt>
                <c:pt idx="28">
                  <c:v>19781836</c:v>
                </c:pt>
                <c:pt idx="29">
                  <c:v>21090636</c:v>
                </c:pt>
                <c:pt idx="30">
                  <c:v>19201712</c:v>
                </c:pt>
              </c:numCache>
            </c:numRef>
          </c:val>
        </c:ser>
        <c:gapWidth val="150"/>
        <c:overlap val="0"/>
        <c:axId val="8709491"/>
        <c:axId val="91965591"/>
      </c:barChart>
      <c:stockChart>
        <c:ser>
          <c:idx val="2"/>
          <c:order val="2"/>
          <c:tx>
            <c:strRef>
              <c:f>Analysis!$AH$6</c:f>
              <c:strCache>
                <c:ptCount val="1"/>
                <c:pt idx="0">
                  <c:v>High</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Analysis!$AH$7:$AH$37</c:f>
              <c:numCache>
                <c:formatCode>General</c:formatCode>
                <c:ptCount val="31"/>
                <c:pt idx="0">
                  <c:v>159.5</c:v>
                </c:pt>
                <c:pt idx="1">
                  <c:v>160.71</c:v>
                </c:pt>
                <c:pt idx="2">
                  <c:v>162.51</c:v>
                </c:pt>
                <c:pt idx="3">
                  <c:v>162.2</c:v>
                </c:pt>
                <c:pt idx="4">
                  <c:v>160.21</c:v>
                </c:pt>
                <c:pt idx="5">
                  <c:v>158.57</c:v>
                </c:pt>
                <c:pt idx="6">
                  <c:v>160</c:v>
                </c:pt>
                <c:pt idx="7">
                  <c:v>161.27</c:v>
                </c:pt>
                <c:pt idx="8">
                  <c:v>161.83</c:v>
                </c:pt>
                <c:pt idx="9">
                  <c:v>158.92</c:v>
                </c:pt>
                <c:pt idx="10">
                  <c:v>157.4</c:v>
                </c:pt>
                <c:pt idx="11">
                  <c:v>157.21</c:v>
                </c:pt>
                <c:pt idx="12">
                  <c:v>159.75</c:v>
                </c:pt>
                <c:pt idx="13">
                  <c:v>150.22</c:v>
                </c:pt>
                <c:pt idx="14">
                  <c:v>150.33</c:v>
                </c:pt>
                <c:pt idx="15">
                  <c:v>150.23</c:v>
                </c:pt>
                <c:pt idx="16">
                  <c:v>153.99</c:v>
                </c:pt>
                <c:pt idx="17">
                  <c:v>153.93</c:v>
                </c:pt>
                <c:pt idx="18">
                  <c:v>153.84</c:v>
                </c:pt>
                <c:pt idx="19">
                  <c:v>152.44</c:v>
                </c:pt>
                <c:pt idx="20">
                  <c:v>150.44</c:v>
                </c:pt>
                <c:pt idx="21">
                  <c:v>151.74</c:v>
                </c:pt>
                <c:pt idx="22">
                  <c:v>151.42</c:v>
                </c:pt>
                <c:pt idx="23">
                  <c:v>150.13</c:v>
                </c:pt>
                <c:pt idx="24">
                  <c:v>150.9</c:v>
                </c:pt>
                <c:pt idx="25">
                  <c:v>149.33</c:v>
                </c:pt>
                <c:pt idx="26">
                  <c:v>148.49</c:v>
                </c:pt>
                <c:pt idx="27">
                  <c:v>146.18</c:v>
                </c:pt>
                <c:pt idx="28">
                  <c:v>145.85</c:v>
                </c:pt>
                <c:pt idx="29">
                  <c:v>145.95</c:v>
                </c:pt>
                <c:pt idx="30">
                  <c:v>144.75</c:v>
                </c:pt>
              </c:numCache>
            </c:numRef>
          </c:val>
        </c:ser>
        <c:ser>
          <c:idx val="3"/>
          <c:order val="3"/>
          <c:tx>
            <c:strRef>
              <c:f>Analysis!$AI$6</c:f>
              <c:strCache>
                <c:ptCount val="1"/>
                <c:pt idx="0">
                  <c:v>Low</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Analysis!$AI$7:$AI$37</c:f>
              <c:numCache>
                <c:formatCode>General</c:formatCode>
                <c:ptCount val="31"/>
                <c:pt idx="0">
                  <c:v>156.72</c:v>
                </c:pt>
                <c:pt idx="1">
                  <c:v>157.84</c:v>
                </c:pt>
                <c:pt idx="2">
                  <c:v>160.15</c:v>
                </c:pt>
                <c:pt idx="3">
                  <c:v>160.14</c:v>
                </c:pt>
                <c:pt idx="4">
                  <c:v>158.75</c:v>
                </c:pt>
                <c:pt idx="5">
                  <c:v>156.07</c:v>
                </c:pt>
                <c:pt idx="6">
                  <c:v>154.63</c:v>
                </c:pt>
                <c:pt idx="7">
                  <c:v>159.11</c:v>
                </c:pt>
                <c:pt idx="8">
                  <c:v>158.27</c:v>
                </c:pt>
                <c:pt idx="9">
                  <c:v>156.67</c:v>
                </c:pt>
                <c:pt idx="10">
                  <c:v>155.69</c:v>
                </c:pt>
                <c:pt idx="11">
                  <c:v>155.02</c:v>
                </c:pt>
                <c:pt idx="12">
                  <c:v>156.16</c:v>
                </c:pt>
                <c:pt idx="13">
                  <c:v>148.41</c:v>
                </c:pt>
                <c:pt idx="14">
                  <c:v>148.13</c:v>
                </c:pt>
                <c:pt idx="15">
                  <c:v>149.19</c:v>
                </c:pt>
                <c:pt idx="16">
                  <c:v>147.3</c:v>
                </c:pt>
                <c:pt idx="17">
                  <c:v>153.06</c:v>
                </c:pt>
                <c:pt idx="18">
                  <c:v>151.8</c:v>
                </c:pt>
                <c:pt idx="19">
                  <c:v>149.9</c:v>
                </c:pt>
                <c:pt idx="20">
                  <c:v>148.88</c:v>
                </c:pt>
                <c:pt idx="21">
                  <c:v>150.19</c:v>
                </c:pt>
                <c:pt idx="22">
                  <c:v>149.95</c:v>
                </c:pt>
                <c:pt idx="23">
                  <c:v>148.67</c:v>
                </c:pt>
                <c:pt idx="24">
                  <c:v>148.57</c:v>
                </c:pt>
                <c:pt idx="25">
                  <c:v>147.33</c:v>
                </c:pt>
                <c:pt idx="26">
                  <c:v>145.44</c:v>
                </c:pt>
                <c:pt idx="27">
                  <c:v>144.82</c:v>
                </c:pt>
                <c:pt idx="28">
                  <c:v>144.38</c:v>
                </c:pt>
                <c:pt idx="29">
                  <c:v>143.37</c:v>
                </c:pt>
                <c:pt idx="30">
                  <c:v>142.9</c:v>
                </c:pt>
              </c:numCache>
            </c:numRef>
          </c:val>
        </c:ser>
        <c:ser>
          <c:idx val="4"/>
          <c:order val="4"/>
          <c:tx>
            <c:strRef>
              <c:f>Analysis!$AJ$6</c:f>
              <c:strCache>
                <c:ptCount val="1"/>
                <c:pt idx="0">
                  <c:v>Close</c:v>
                </c:pt>
              </c:strCache>
            </c:strRef>
          </c:tx>
          <c:cat>
            <c:strRef>
              <c:f>Analysis!$AE$7:$AE$37</c:f>
              <c:strCache>
                <c:ptCount val="31"/>
                <c:pt idx="0">
                  <c:v>18.08.2017</c:v>
                </c:pt>
                <c:pt idx="1">
                  <c:v>17.08.2017</c:v>
                </c:pt>
                <c:pt idx="2">
                  <c:v>16.08.2017</c:v>
                </c:pt>
                <c:pt idx="3">
                  <c:v>15.08.2017</c:v>
                </c:pt>
                <c:pt idx="4">
                  <c:v>14.08.2017</c:v>
                </c:pt>
                <c:pt idx="5">
                  <c:v>11.08.2017</c:v>
                </c:pt>
                <c:pt idx="6">
                  <c:v>10.08.2017</c:v>
                </c:pt>
                <c:pt idx="7">
                  <c:v>09.08.2017</c:v>
                </c:pt>
                <c:pt idx="8">
                  <c:v>08.08.2017</c:v>
                </c:pt>
                <c:pt idx="9">
                  <c:v>07.08.2017</c:v>
                </c:pt>
                <c:pt idx="10">
                  <c:v>04.08.2017</c:v>
                </c:pt>
                <c:pt idx="11">
                  <c:v>03.08.2017</c:v>
                </c:pt>
                <c:pt idx="12">
                  <c:v>02.08.2017</c:v>
                </c:pt>
                <c:pt idx="13">
                  <c:v>01.08.2017</c:v>
                </c:pt>
                <c:pt idx="14">
                  <c:v>31.07.2017</c:v>
                </c:pt>
                <c:pt idx="15">
                  <c:v>28.07.2017</c:v>
                </c:pt>
                <c:pt idx="16">
                  <c:v>27.07.2017</c:v>
                </c:pt>
                <c:pt idx="17">
                  <c:v>26.07.2017</c:v>
                </c:pt>
                <c:pt idx="18">
                  <c:v>25.07.2017</c:v>
                </c:pt>
                <c:pt idx="19">
                  <c:v>24.07.2017</c:v>
                </c:pt>
                <c:pt idx="20">
                  <c:v>21.07.2017</c:v>
                </c:pt>
                <c:pt idx="21">
                  <c:v>20.07.2017</c:v>
                </c:pt>
                <c:pt idx="22">
                  <c:v>19.07.2017</c:v>
                </c:pt>
                <c:pt idx="23">
                  <c:v>18.07.2017</c:v>
                </c:pt>
                <c:pt idx="24">
                  <c:v>17.07.2017</c:v>
                </c:pt>
                <c:pt idx="25">
                  <c:v>14.07.2017</c:v>
                </c:pt>
                <c:pt idx="26">
                  <c:v>13.07.2017</c:v>
                </c:pt>
                <c:pt idx="27">
                  <c:v>12.07.2017</c:v>
                </c:pt>
                <c:pt idx="28">
                  <c:v>11.07.2017</c:v>
                </c:pt>
                <c:pt idx="29">
                  <c:v>10.07.2017</c:v>
                </c:pt>
                <c:pt idx="30">
                  <c:v>07.07.2017</c:v>
                </c:pt>
              </c:strCache>
            </c:strRef>
          </c:cat>
          <c:val>
            <c:numRef>
              <c:f>Analysis!$AJ$7:$AJ$37</c:f>
              <c:numCache>
                <c:formatCode>General</c:formatCode>
                <c:ptCount val="31"/>
                <c:pt idx="0">
                  <c:v>157.5</c:v>
                </c:pt>
                <c:pt idx="1">
                  <c:v>157.86</c:v>
                </c:pt>
                <c:pt idx="2">
                  <c:v>160.95</c:v>
                </c:pt>
                <c:pt idx="3">
                  <c:v>161.6</c:v>
                </c:pt>
                <c:pt idx="4">
                  <c:v>159.85</c:v>
                </c:pt>
                <c:pt idx="5">
                  <c:v>157.48</c:v>
                </c:pt>
                <c:pt idx="6">
                  <c:v>155.32</c:v>
                </c:pt>
                <c:pt idx="7">
                  <c:v>161.06</c:v>
                </c:pt>
                <c:pt idx="8">
                  <c:v>160.08</c:v>
                </c:pt>
                <c:pt idx="9">
                  <c:v>158.81</c:v>
                </c:pt>
                <c:pt idx="10">
                  <c:v>156.39</c:v>
                </c:pt>
                <c:pt idx="11">
                  <c:v>155.57</c:v>
                </c:pt>
                <c:pt idx="12">
                  <c:v>157.14</c:v>
                </c:pt>
                <c:pt idx="13">
                  <c:v>150.05</c:v>
                </c:pt>
                <c:pt idx="14">
                  <c:v>148.73</c:v>
                </c:pt>
                <c:pt idx="15">
                  <c:v>149.5</c:v>
                </c:pt>
                <c:pt idx="16">
                  <c:v>150.56</c:v>
                </c:pt>
                <c:pt idx="17">
                  <c:v>153.46</c:v>
                </c:pt>
                <c:pt idx="18">
                  <c:v>152.74</c:v>
                </c:pt>
                <c:pt idx="19">
                  <c:v>152.09</c:v>
                </c:pt>
                <c:pt idx="20">
                  <c:v>150.27</c:v>
                </c:pt>
                <c:pt idx="21">
                  <c:v>150.34</c:v>
                </c:pt>
                <c:pt idx="22">
                  <c:v>151.02</c:v>
                </c:pt>
                <c:pt idx="23">
                  <c:v>150.08</c:v>
                </c:pt>
                <c:pt idx="24">
                  <c:v>149.56</c:v>
                </c:pt>
                <c:pt idx="25">
                  <c:v>149.04</c:v>
                </c:pt>
                <c:pt idx="26">
                  <c:v>147.77</c:v>
                </c:pt>
                <c:pt idx="27">
                  <c:v>145.74</c:v>
                </c:pt>
                <c:pt idx="28">
                  <c:v>145.53</c:v>
                </c:pt>
                <c:pt idx="29">
                  <c:v>145.06</c:v>
                </c:pt>
                <c:pt idx="30">
                  <c:v>144.18</c:v>
                </c:pt>
              </c:numCache>
            </c:numRef>
          </c:val>
        </c:ser>
        <c:hiLowLines>
          <c:spPr>
            <a:solidFill>
              <a:srgbClr val="000000"/>
            </a:solidFill>
            <a:ln w="9360">
              <a:solidFill>
                <a:srgbClr val="000000"/>
              </a:solidFill>
              <a:bevel/>
            </a:ln>
          </c:spPr>
        </c:hiLowLines>
        <c:upDownBars>
          <c:gapWidth val="150"/>
          <c:upBars>
            <c:spPr>
              <a:solidFill>
                <a:srgbClr val="ffffff"/>
              </a:solidFill>
              <a:ln>
                <a:solidFill>
                  <a:srgbClr val="000000"/>
                </a:solidFill>
              </a:ln>
            </c:spPr>
          </c:upBars>
          <c:downBars>
            <c:spPr>
              <a:solidFill>
                <a:srgbClr val="000000"/>
              </a:solidFill>
              <a:ln>
                <a:solidFill>
                  <a:srgbClr val="b3b3b3"/>
                </a:solidFill>
              </a:ln>
            </c:spPr>
          </c:downBars>
        </c:upDownBars>
        <c:axId val="38260469"/>
        <c:axId val="6870144"/>
      </c:stockChart>
      <c:dateAx>
        <c:axId val="8709491"/>
        <c:scaling>
          <c:orientation val="minMax"/>
        </c:scaling>
        <c:delete val="0"/>
        <c:axPos val="b"/>
        <c:numFmt formatCode="DD/MM/YYYY"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91965591"/>
        <c:crosses val="autoZero"/>
        <c:auto val="1"/>
        <c:lblOffset val="100"/>
      </c:dateAx>
      <c:valAx>
        <c:axId val="91965591"/>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709491"/>
        <c:crosses val="autoZero"/>
      </c:valAx>
      <c:dateAx>
        <c:axId val="38260469"/>
        <c:scaling>
          <c:orientation val="minMax"/>
        </c:scaling>
        <c:delete val="1"/>
        <c:axPos val="t"/>
        <c:numFmt formatCode="DD/MM/YYYY"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6870144"/>
        <c:crosses val="autoZero"/>
        <c:auto val="1"/>
        <c:lblOffset val="100"/>
      </c:dateAx>
      <c:valAx>
        <c:axId val="6870144"/>
        <c:scaling>
          <c:orientation val="minMax"/>
        </c:scaling>
        <c:delete val="0"/>
        <c:axPos val="r"/>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38260469"/>
        <c:crosses val="max"/>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Price Every 3 weeks for a year</a:t>
            </a:r>
          </a:p>
        </c:rich>
      </c:tx>
      <c:overlay val="0"/>
    </c:title>
    <c:autoTitleDeleted val="0"/>
    <c:plotArea>
      <c:lineChart>
        <c:grouping val="standard"/>
        <c:varyColors val="0"/>
        <c:ser>
          <c:idx val="0"/>
          <c:order val="0"/>
          <c:spPr>
            <a:solidFill>
              <a:srgbClr val="4f81bd"/>
            </a:solidFill>
            <a:ln w="28440">
              <a:solidFill>
                <a:srgbClr val="4f81bd"/>
              </a:solidFill>
              <a:round/>
            </a:ln>
          </c:spPr>
          <c:marker>
            <c:symbol val="none"/>
          </c:marker>
          <c:dLbls>
            <c:dLblPos val="r"/>
            <c:showLegendKey val="0"/>
            <c:showVal val="0"/>
            <c:showCatName val="0"/>
            <c:showSerName val="0"/>
            <c:showPercent val="0"/>
            <c:showLeaderLines val="0"/>
          </c:dLbls>
          <c:trendline>
            <c:spPr>
              <a:ln w="19080">
                <a:solidFill>
                  <a:srgbClr val="4f81bd"/>
                </a:solidFill>
                <a:round/>
              </a:ln>
            </c:spPr>
            <c:trendlineType val="linear"/>
            <c:forward val="0"/>
            <c:backward val="0"/>
            <c:dispRSqr val="0"/>
            <c:dispEq val="0"/>
          </c:trendline>
          <c:cat>
            <c:strRef>
              <c:f>Analysis!$BR$7:$CI$7</c:f>
              <c:strCache>
                <c:ptCount val="18"/>
                <c:pt idx="0">
                  <c:v>3</c:v>
                </c:pt>
                <c:pt idx="1">
                  <c:v>6</c:v>
                </c:pt>
                <c:pt idx="2">
                  <c:v>9</c:v>
                </c:pt>
                <c:pt idx="3">
                  <c:v>12</c:v>
                </c:pt>
                <c:pt idx="4">
                  <c:v>15</c:v>
                </c:pt>
                <c:pt idx="5">
                  <c:v>18</c:v>
                </c:pt>
                <c:pt idx="6">
                  <c:v>21</c:v>
                </c:pt>
                <c:pt idx="7">
                  <c:v>24</c:v>
                </c:pt>
                <c:pt idx="8">
                  <c:v>27</c:v>
                </c:pt>
                <c:pt idx="9">
                  <c:v>30</c:v>
                </c:pt>
                <c:pt idx="10">
                  <c:v>33</c:v>
                </c:pt>
                <c:pt idx="11">
                  <c:v>36</c:v>
                </c:pt>
                <c:pt idx="12">
                  <c:v>39</c:v>
                </c:pt>
                <c:pt idx="13">
                  <c:v>42</c:v>
                </c:pt>
                <c:pt idx="14">
                  <c:v>45</c:v>
                </c:pt>
                <c:pt idx="15">
                  <c:v>48</c:v>
                </c:pt>
                <c:pt idx="16">
                  <c:v>51</c:v>
                </c:pt>
                <c:pt idx="17">
                  <c:v>54</c:v>
                </c:pt>
              </c:strCache>
            </c:strRef>
          </c:cat>
          <c:val>
            <c:numRef>
              <c:f>Analysis!$BR$8:$CI$8</c:f>
              <c:numCache>
                <c:formatCode>General</c:formatCode>
                <c:ptCount val="18"/>
                <c:pt idx="0">
                  <c:v>151.580093892502</c:v>
                </c:pt>
                <c:pt idx="1">
                  <c:v>148.629064973692</c:v>
                </c:pt>
                <c:pt idx="2">
                  <c:v>147.690469807317</c:v>
                </c:pt>
                <c:pt idx="3">
                  <c:v>154.175786957976</c:v>
                </c:pt>
                <c:pt idx="4">
                  <c:v>152.482491885217</c:v>
                </c:pt>
                <c:pt idx="5">
                  <c:v>147.544996072445</c:v>
                </c:pt>
                <c:pt idx="6">
                  <c:v>150.429189780073</c:v>
                </c:pt>
                <c:pt idx="7">
                  <c:v>142.697316139695</c:v>
                </c:pt>
                <c:pt idx="8">
                  <c:v>142.707835432971</c:v>
                </c:pt>
                <c:pt idx="9">
                  <c:v>143.921353320252</c:v>
                </c:pt>
                <c:pt idx="10">
                  <c:v>142.79827795493</c:v>
                </c:pt>
                <c:pt idx="11">
                  <c:v>134.360270678455</c:v>
                </c:pt>
                <c:pt idx="12">
                  <c:v>134.728075880579</c:v>
                </c:pt>
                <c:pt idx="13">
                  <c:v>130.781363469159</c:v>
                </c:pt>
                <c:pt idx="14">
                  <c:v>127.451546754005</c:v>
                </c:pt>
                <c:pt idx="15">
                  <c:v>123.261429826446</c:v>
                </c:pt>
                <c:pt idx="16">
                  <c:v>117.51333925516</c:v>
                </c:pt>
                <c:pt idx="17">
                  <c:v>127.557882541259</c:v>
                </c:pt>
              </c:numCache>
            </c:numRef>
          </c:val>
          <c:smooth val="0"/>
        </c:ser>
        <c:hiLowLines>
          <c:spPr>
            <a:ln>
              <a:noFill/>
            </a:ln>
          </c:spPr>
        </c:hiLowLines>
        <c:marker val="0"/>
        <c:axId val="35319569"/>
        <c:axId val="52669881"/>
      </c:lineChart>
      <c:catAx>
        <c:axId val="35319569"/>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52669881"/>
        <c:crosses val="autoZero"/>
        <c:auto val="1"/>
        <c:lblAlgn val="ctr"/>
        <c:lblOffset val="100"/>
      </c:catAx>
      <c:valAx>
        <c:axId val="52669881"/>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35319569"/>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uFill>
                  <a:solidFill>
                    <a:srgbClr val="ffffff"/>
                  </a:solidFill>
                </a:uFill>
                <a:latin typeface="Calibri"/>
              </a:defRPr>
            </a:pPr>
            <a:r>
              <a:rPr b="0" sz="1400" spc="-1" strike="noStrike">
                <a:solidFill>
                  <a:srgbClr val="595959"/>
                </a:solidFill>
                <a:uFill>
                  <a:solidFill>
                    <a:srgbClr val="ffffff"/>
                  </a:solidFill>
                </a:uFill>
                <a:latin typeface="Calibri"/>
              </a:rPr>
              <a:t>Chart Title</a:t>
            </a:r>
          </a:p>
        </c:rich>
      </c:tx>
      <c:overlay val="0"/>
    </c:title>
    <c:autoTitleDeleted val="0"/>
    <c:plotArea>
      <c:barChart>
        <c:barDir val="col"/>
        <c:grouping val="clustered"/>
        <c:varyColors val="0"/>
        <c:ser>
          <c:idx val="0"/>
          <c:order val="0"/>
          <c:spPr>
            <a:solidFill>
              <a:srgbClr val="4f81bd"/>
            </a:solidFill>
            <a:ln>
              <a:noFill/>
            </a:ln>
          </c:spPr>
          <c:invertIfNegative val="0"/>
          <c:dLbls>
            <c:dLblPos val="outEnd"/>
            <c:showLegendKey val="0"/>
            <c:showVal val="0"/>
            <c:showCatName val="0"/>
            <c:showSerName val="0"/>
            <c:showPercent val="0"/>
            <c:showLeaderLines val="0"/>
          </c:dLbls>
          <c:cat>
            <c:strRef>
              <c:f>Analysis!$BR$19:$BR$29</c:f>
              <c:strCache>
                <c:ptCount val="11"/>
                <c:pt idx="0">
                  <c:v>117,51333925516</c:v>
                </c:pt>
                <c:pt idx="1">
                  <c:v>117,51333925516</c:v>
                </c:pt>
                <c:pt idx="2">
                  <c:v>117,51333925516</c:v>
                </c:pt>
                <c:pt idx="3">
                  <c:v>117,51333925516</c:v>
                </c:pt>
                <c:pt idx="4">
                  <c:v>117,51333925516</c:v>
                </c:pt>
                <c:pt idx="5">
                  <c:v>117,51333925516</c:v>
                </c:pt>
                <c:pt idx="6">
                  <c:v>117,51333925516</c:v>
                </c:pt>
                <c:pt idx="7">
                  <c:v>117,51333925516</c:v>
                </c:pt>
                <c:pt idx="8">
                  <c:v>117,51333925516</c:v>
                </c:pt>
                <c:pt idx="9">
                  <c:v>117,51333925516</c:v>
                </c:pt>
                <c:pt idx="10">
                  <c:v>117,51333925516</c:v>
                </c:pt>
              </c:strCache>
            </c:strRef>
          </c:cat>
          <c:val>
            <c:numRef>
              <c:f>Analysis!$BS$19:$BS$29</c:f>
              <c:numCache>
                <c:formatCode>General</c:formatCode>
                <c:ptCount val="11"/>
                <c:pt idx="0">
                  <c:v>100</c:v>
                </c:pt>
                <c:pt idx="1">
                  <c:v>0</c:v>
                </c:pt>
                <c:pt idx="2">
                  <c:v>0</c:v>
                </c:pt>
                <c:pt idx="3">
                  <c:v>0</c:v>
                </c:pt>
                <c:pt idx="4">
                  <c:v>0</c:v>
                </c:pt>
                <c:pt idx="5">
                  <c:v>0</c:v>
                </c:pt>
                <c:pt idx="6">
                  <c:v>0</c:v>
                </c:pt>
                <c:pt idx="7">
                  <c:v>0</c:v>
                </c:pt>
                <c:pt idx="8">
                  <c:v>0</c:v>
                </c:pt>
                <c:pt idx="9">
                  <c:v>0</c:v>
                </c:pt>
                <c:pt idx="10">
                  <c:v>0</c:v>
                </c:pt>
              </c:numCache>
            </c:numRef>
          </c:val>
        </c:ser>
        <c:gapWidth val="219"/>
        <c:overlap val="-27"/>
        <c:axId val="56506978"/>
        <c:axId val="80642852"/>
      </c:barChart>
      <c:catAx>
        <c:axId val="56506978"/>
        <c:scaling>
          <c:orientation val="minMax"/>
        </c:scaling>
        <c:delete val="0"/>
        <c:axPos val="b"/>
        <c:numFmt formatCode="General" sourceLinked="1"/>
        <c:majorTickMark val="none"/>
        <c:minorTickMark val="none"/>
        <c:tickLblPos val="nextTo"/>
        <c:spPr>
          <a:ln w="9360">
            <a:solidFill>
              <a:srgbClr val="d9d9d9"/>
            </a:solidFill>
            <a:round/>
          </a:ln>
        </c:spPr>
        <c:txPr>
          <a:bodyPr/>
          <a:p>
            <a:pPr>
              <a:defRPr b="0" sz="900" spc="-1" strike="noStrike">
                <a:solidFill>
                  <a:srgbClr val="595959"/>
                </a:solidFill>
                <a:uFill>
                  <a:solidFill>
                    <a:srgbClr val="ffffff"/>
                  </a:solidFill>
                </a:uFill>
                <a:latin typeface="Calibri"/>
              </a:defRPr>
            </a:pPr>
          </a:p>
        </c:txPr>
        <c:crossAx val="80642852"/>
        <c:crosses val="autoZero"/>
        <c:auto val="1"/>
        <c:lblAlgn val="ctr"/>
        <c:lblOffset val="100"/>
      </c:catAx>
      <c:valAx>
        <c:axId val="80642852"/>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p>
            <a:pPr>
              <a:defRPr b="0" sz="900" spc="-1" strike="noStrike">
                <a:solidFill>
                  <a:srgbClr val="595959"/>
                </a:solidFill>
                <a:uFill>
                  <a:solidFill>
                    <a:srgbClr val="ffffff"/>
                  </a:solidFill>
                </a:uFill>
                <a:latin typeface="Calibri"/>
              </a:defRPr>
            </a:pPr>
          </a:p>
        </c:txPr>
        <c:crossAx val="56506978"/>
        <c:crosses val="autoZero"/>
      </c:valAx>
      <c:spPr>
        <a:noFill/>
        <a:ln>
          <a:noFill/>
        </a:ln>
      </c:spPr>
    </c:plotArea>
    <c:plotVisOnly val="1"/>
    <c:dispBlanksAs val="gap"/>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Number of indicators in the time period</a:t>
            </a:r>
          </a:p>
        </c:rich>
      </c:tx>
      <c:overlay val="0"/>
    </c:title>
    <c:autoTitleDeleted val="0"/>
    <c:plotArea>
      <c:barChart>
        <c:barDir val="col"/>
        <c:grouping val="clustered"/>
        <c:varyColors val="0"/>
        <c:ser>
          <c:idx val="0"/>
          <c:order val="0"/>
          <c:tx>
            <c:strRef>
              <c:f>Analysis!$AT$1</c:f>
              <c:strCache>
                <c:ptCount val="1"/>
                <c:pt idx="0">
                  <c:v>BULLISH</c:v>
                </c:pt>
              </c:strCache>
            </c:strRef>
          </c:tx>
          <c:spPr>
            <a:noFill/>
            <a:ln>
              <a:noFill/>
            </a:ln>
          </c:spPr>
          <c:invertIfNegative val="0"/>
          <c:dLbls>
            <c:dLblPos val="outEnd"/>
            <c:showLegendKey val="0"/>
            <c:showVal val="0"/>
            <c:showCatName val="0"/>
            <c:showSerName val="0"/>
            <c:showPercent val="0"/>
            <c:showLeaderLines val="0"/>
          </c:dLbls>
          <c:cat>
            <c:strRef>
              <c:f>Analysis!$AN$2:$AS$5</c:f>
              <c:strCache>
                <c:ptCount val="8"/>
                <c:pt idx="0">
                  <c:v>3 months</c:v>
                </c:pt>
                <c:pt idx="1">
                  <c:v>9 months</c:v>
                </c:pt>
                <c:pt idx="2">
                  <c:v>1 year</c:v>
                </c:pt>
                <c:pt idx="3">
                  <c:v>4 years</c:v>
                </c:pt>
                <c:pt idx="4">
                  <c:v/>
                </c:pt>
                <c:pt idx="5">
                  <c:v/>
                </c:pt>
                <c:pt idx="6">
                  <c:v/>
                </c:pt>
                <c:pt idx="7">
                  <c:v/>
                </c:pt>
              </c:strCache>
            </c:strRef>
          </c:cat>
          <c:val>
            <c:numRef>
              <c:f>Analysis!$AT$2:$AT$5</c:f>
              <c:numCache>
                <c:formatCode>General</c:formatCode>
                <c:ptCount val="4"/>
                <c:pt idx="0">
                  <c:v>9</c:v>
                </c:pt>
                <c:pt idx="1">
                  <c:v>18</c:v>
                </c:pt>
                <c:pt idx="2">
                  <c:v>23</c:v>
                </c:pt>
                <c:pt idx="3">
                  <c:v>86</c:v>
                </c:pt>
              </c:numCache>
            </c:numRef>
          </c:val>
        </c:ser>
        <c:ser>
          <c:idx val="1"/>
          <c:order val="1"/>
          <c:tx>
            <c:strRef>
              <c:f>Analysis!$AU$1</c:f>
              <c:strCache>
                <c:ptCount val="1"/>
                <c:pt idx="0">
                  <c:v>BEARISH</c:v>
                </c:pt>
              </c:strCache>
            </c:strRef>
          </c:tx>
          <c:spPr>
            <a:noFill/>
            <a:ln>
              <a:noFill/>
            </a:ln>
          </c:spPr>
          <c:invertIfNegative val="0"/>
          <c:dLbls>
            <c:dLblPos val="outEnd"/>
            <c:showLegendKey val="0"/>
            <c:showVal val="0"/>
            <c:showCatName val="0"/>
            <c:showSerName val="0"/>
            <c:showPercent val="0"/>
            <c:showLeaderLines val="0"/>
          </c:dLbls>
          <c:cat>
            <c:strRef>
              <c:f>Analysis!$AN$2:$AS$5</c:f>
              <c:strCache>
                <c:ptCount val="8"/>
                <c:pt idx="0">
                  <c:v>3 months</c:v>
                </c:pt>
                <c:pt idx="1">
                  <c:v>9 months</c:v>
                </c:pt>
                <c:pt idx="2">
                  <c:v>1 year</c:v>
                </c:pt>
                <c:pt idx="3">
                  <c:v>4 years</c:v>
                </c:pt>
                <c:pt idx="4">
                  <c:v/>
                </c:pt>
                <c:pt idx="5">
                  <c:v/>
                </c:pt>
                <c:pt idx="6">
                  <c:v/>
                </c:pt>
                <c:pt idx="7">
                  <c:v/>
                </c:pt>
              </c:strCache>
            </c:strRef>
          </c:cat>
          <c:val>
            <c:numRef>
              <c:f>Analysis!$AU$2:$AU$5</c:f>
              <c:numCache>
                <c:formatCode>General</c:formatCode>
                <c:ptCount val="4"/>
                <c:pt idx="0">
                  <c:v>15</c:v>
                </c:pt>
                <c:pt idx="1">
                  <c:v>33</c:v>
                </c:pt>
                <c:pt idx="2">
                  <c:v>46</c:v>
                </c:pt>
                <c:pt idx="3">
                  <c:v>165</c:v>
                </c:pt>
              </c:numCache>
            </c:numRef>
          </c:val>
        </c:ser>
        <c:gapWidth val="150"/>
        <c:overlap val="0"/>
        <c:axId val="84524945"/>
        <c:axId val="84617668"/>
      </c:barChart>
      <c:catAx>
        <c:axId val="84524945"/>
        <c:scaling>
          <c:orientation val="minMax"/>
        </c:scaling>
        <c:delete val="0"/>
        <c:axPos val="b"/>
        <c:numFmt formatCode="General" sourceLinked="1"/>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4617668"/>
        <c:crosses val="autoZero"/>
        <c:auto val="1"/>
        <c:lblAlgn val="ctr"/>
        <c:lblOffset val="100"/>
      </c:catAx>
      <c:valAx>
        <c:axId val="84617668"/>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4524945"/>
        <c:crosses val="autoZero"/>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
</Relationships>
</file>

<file path=xl/drawings/_rels/drawing2.xml.rels><?xml version="1.0" encoding="UTF-8"?>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 Id="rId4" Type="http://schemas.openxmlformats.org/officeDocument/2006/relationships/chart" Target="../charts/chart6.xml"/><Relationship Id="rId5" Type="http://schemas.openxmlformats.org/officeDocument/2006/relationships/chart" Target="../charts/chart7.xml"/><Relationship Id="rId6" Type="http://schemas.openxmlformats.org/officeDocument/2006/relationships/chart" Target="../charts/chart8.xml"/><Relationship Id="rId7" Type="http://schemas.openxmlformats.org/officeDocument/2006/relationships/chart" Target="../charts/chart9.xml"/><Relationship Id="rId8"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50760</xdr:colOff>
      <xdr:row>6</xdr:row>
      <xdr:rowOff>118800</xdr:rowOff>
    </xdr:from>
    <xdr:to>
      <xdr:col>25</xdr:col>
      <xdr:colOff>290880</xdr:colOff>
      <xdr:row>30</xdr:row>
      <xdr:rowOff>6480</xdr:rowOff>
    </xdr:to>
    <xdr:graphicFrame>
      <xdr:nvGraphicFramePr>
        <xdr:cNvPr id="0" name="Chart 3"/>
        <xdr:cNvGraphicFramePr/>
      </xdr:nvGraphicFramePr>
      <xdr:xfrm>
        <a:off x="10470960" y="1431720"/>
        <a:ext cx="10631880" cy="4459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38160</xdr:colOff>
      <xdr:row>30</xdr:row>
      <xdr:rowOff>106200</xdr:rowOff>
    </xdr:from>
    <xdr:to>
      <xdr:col>25</xdr:col>
      <xdr:colOff>303840</xdr:colOff>
      <xdr:row>51</xdr:row>
      <xdr:rowOff>66960</xdr:rowOff>
    </xdr:to>
    <xdr:graphicFrame>
      <xdr:nvGraphicFramePr>
        <xdr:cNvPr id="1" name="Chart 4"/>
        <xdr:cNvGraphicFramePr/>
      </xdr:nvGraphicFramePr>
      <xdr:xfrm>
        <a:off x="10458360" y="5991120"/>
        <a:ext cx="10657440" cy="45615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51</xdr:col>
      <xdr:colOff>12600</xdr:colOff>
      <xdr:row>13</xdr:row>
      <xdr:rowOff>178200</xdr:rowOff>
    </xdr:from>
    <xdr:to>
      <xdr:col>52</xdr:col>
      <xdr:colOff>456480</xdr:colOff>
      <xdr:row>34</xdr:row>
      <xdr:rowOff>469080</xdr:rowOff>
    </xdr:to>
    <xdr:graphicFrame>
      <xdr:nvGraphicFramePr>
        <xdr:cNvPr id="2" name="Chart 1"/>
        <xdr:cNvGraphicFramePr/>
      </xdr:nvGraphicFramePr>
      <xdr:xfrm>
        <a:off x="17252640" y="10778040"/>
        <a:ext cx="8654400" cy="121233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51</xdr:col>
      <xdr:colOff>25560</xdr:colOff>
      <xdr:row>40</xdr:row>
      <xdr:rowOff>89280</xdr:rowOff>
    </xdr:from>
    <xdr:to>
      <xdr:col>52</xdr:col>
      <xdr:colOff>510840</xdr:colOff>
      <xdr:row>64</xdr:row>
      <xdr:rowOff>138960</xdr:rowOff>
    </xdr:to>
    <xdr:graphicFrame>
      <xdr:nvGraphicFramePr>
        <xdr:cNvPr id="3" name="Chart 2"/>
        <xdr:cNvGraphicFramePr/>
      </xdr:nvGraphicFramePr>
      <xdr:xfrm>
        <a:off x="17265600" y="25903080"/>
        <a:ext cx="8695800" cy="95745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51</xdr:col>
      <xdr:colOff>63360</xdr:colOff>
      <xdr:row>70</xdr:row>
      <xdr:rowOff>63360</xdr:rowOff>
    </xdr:from>
    <xdr:to>
      <xdr:col>52</xdr:col>
      <xdr:colOff>443520</xdr:colOff>
      <xdr:row>92</xdr:row>
      <xdr:rowOff>138600</xdr:rowOff>
    </xdr:to>
    <xdr:graphicFrame>
      <xdr:nvGraphicFramePr>
        <xdr:cNvPr id="4" name="Chart 3"/>
        <xdr:cNvGraphicFramePr/>
      </xdr:nvGraphicFramePr>
      <xdr:xfrm>
        <a:off x="17303400" y="36612000"/>
        <a:ext cx="8590680" cy="43614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58</xdr:col>
      <xdr:colOff>228600</xdr:colOff>
      <xdr:row>7</xdr:row>
      <xdr:rowOff>101520</xdr:rowOff>
    </xdr:from>
    <xdr:to>
      <xdr:col>62</xdr:col>
      <xdr:colOff>352440</xdr:colOff>
      <xdr:row>20</xdr:row>
      <xdr:rowOff>126000</xdr:rowOff>
    </xdr:to>
    <xdr:graphicFrame>
      <xdr:nvGraphicFramePr>
        <xdr:cNvPr id="5" name="Chart 4"/>
        <xdr:cNvGraphicFramePr/>
      </xdr:nvGraphicFramePr>
      <xdr:xfrm>
        <a:off x="33527880" y="6969600"/>
        <a:ext cx="12820680" cy="759744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58</xdr:col>
      <xdr:colOff>228600</xdr:colOff>
      <xdr:row>20</xdr:row>
      <xdr:rowOff>330120</xdr:rowOff>
    </xdr:from>
    <xdr:to>
      <xdr:col>62</xdr:col>
      <xdr:colOff>454320</xdr:colOff>
      <xdr:row>46</xdr:row>
      <xdr:rowOff>240480</xdr:rowOff>
    </xdr:to>
    <xdr:graphicFrame>
      <xdr:nvGraphicFramePr>
        <xdr:cNvPr id="6" name="Chart 5"/>
        <xdr:cNvGraphicFramePr/>
      </xdr:nvGraphicFramePr>
      <xdr:xfrm>
        <a:off x="33527880" y="14771160"/>
        <a:ext cx="12922560" cy="1465488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69</xdr:col>
      <xdr:colOff>720</xdr:colOff>
      <xdr:row>8</xdr:row>
      <xdr:rowOff>403920</xdr:rowOff>
    </xdr:from>
    <xdr:to>
      <xdr:col>83</xdr:col>
      <xdr:colOff>749520</xdr:colOff>
      <xdr:row>16</xdr:row>
      <xdr:rowOff>446400</xdr:rowOff>
    </xdr:to>
    <xdr:graphicFrame>
      <xdr:nvGraphicFramePr>
        <xdr:cNvPr id="7" name="Chart 6"/>
        <xdr:cNvGraphicFramePr/>
      </xdr:nvGraphicFramePr>
      <xdr:xfrm>
        <a:off x="67523400" y="8136720"/>
        <a:ext cx="11493000" cy="464328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71</xdr:col>
      <xdr:colOff>470520</xdr:colOff>
      <xdr:row>17</xdr:row>
      <xdr:rowOff>417960</xdr:rowOff>
    </xdr:from>
    <xdr:to>
      <xdr:col>83</xdr:col>
      <xdr:colOff>59760</xdr:colOff>
      <xdr:row>29</xdr:row>
      <xdr:rowOff>5760</xdr:rowOff>
    </xdr:to>
    <xdr:graphicFrame>
      <xdr:nvGraphicFramePr>
        <xdr:cNvPr id="8" name="Chart 7"/>
        <xdr:cNvGraphicFramePr/>
      </xdr:nvGraphicFramePr>
      <xdr:xfrm>
        <a:off x="69517080" y="13341960"/>
        <a:ext cx="8809560" cy="624816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59400</xdr:colOff>
      <xdr:row>1</xdr:row>
      <xdr:rowOff>136800</xdr:rowOff>
    </xdr:from>
    <xdr:to>
      <xdr:col>38</xdr:col>
      <xdr:colOff>734760</xdr:colOff>
      <xdr:row>5</xdr:row>
      <xdr:rowOff>23760</xdr:rowOff>
    </xdr:to>
    <xdr:graphicFrame>
      <xdr:nvGraphicFramePr>
        <xdr:cNvPr id="9" name="Chart 11"/>
        <xdr:cNvGraphicFramePr/>
      </xdr:nvGraphicFramePr>
      <xdr:xfrm>
        <a:off x="4021560" y="565200"/>
        <a:ext cx="6771600" cy="479052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hyperlink" Target="https://www.youtube.com/watch?v=RtCvcP43C1U" TargetMode="External"/>
</Relationships>
</file>

<file path=xl/worksheets/sheet1.xml><?xml version="1.0" encoding="utf-8"?>
<worksheet xmlns="http://schemas.openxmlformats.org/spreadsheetml/2006/main" xmlns:r="http://schemas.openxmlformats.org/officeDocument/2006/relationships">
  <sheetPr filterMode="false">
    <tabColor rgb="FF008000"/>
    <pageSetUpPr fitToPage="false"/>
  </sheetPr>
  <dimension ref="A1:AC106"/>
  <sheetViews>
    <sheetView showFormulas="false" showGridLines="false" showRowColHeaders="true" showZeros="true" rightToLeft="false" tabSelected="true" showOutlineSymbols="true" defaultGridColor="true" view="normal" topLeftCell="A1" colorId="64" zoomScale="76" zoomScaleNormal="76" zoomScalePageLayoutView="100" workbookViewId="0">
      <selection pane="topLeft" activeCell="E25" activeCellId="0" sqref="E25"/>
    </sheetView>
  </sheetViews>
  <sheetFormatPr defaultRowHeight="12.75"/>
  <cols>
    <col collapsed="false" hidden="false" max="1" min="1" style="0" width="32.9387755102041"/>
    <col collapsed="false" hidden="false" max="2" min="2" style="0" width="28.6173469387755"/>
    <col collapsed="false" hidden="false" max="3" min="3" style="0" width="15.6581632653061"/>
    <col collapsed="false" hidden="false" max="4" min="4" style="0" width="17.1428571428571"/>
    <col collapsed="false" hidden="false" max="5" min="5" style="0" width="18.0867346938776"/>
    <col collapsed="false" hidden="false" max="6" min="6" style="1" width="15.6581632653061"/>
    <col collapsed="false" hidden="false" max="7" min="7" style="0" width="8.23469387755102"/>
    <col collapsed="false" hidden="false" max="8" min="8" style="0" width="11.3418367346939"/>
    <col collapsed="false" hidden="false" max="9" min="9" style="0" width="19.4387755102041"/>
    <col collapsed="false" hidden="false" max="12" min="10" style="0" width="7.96428571428571"/>
    <col collapsed="false" hidden="false" max="14" min="13" style="0" width="8.23469387755102"/>
    <col collapsed="false" hidden="false" max="20" min="15" style="0" width="7.96428571428571"/>
    <col collapsed="false" hidden="false" max="21" min="21" style="0" width="7.83163265306122"/>
    <col collapsed="false" hidden="false" max="28" min="22" style="0" width="7.96428571428571"/>
    <col collapsed="false" hidden="false" max="29" min="29" style="0" width="11.3418367346939"/>
    <col collapsed="false" hidden="false" max="30" min="30" style="0" width="7.02040816326531"/>
    <col collapsed="false" hidden="false" max="31" min="31" style="0" width="11.3418367346939"/>
    <col collapsed="false" hidden="false" max="1025" min="32" style="0" width="10.8010204081633"/>
  </cols>
  <sheetData>
    <row r="1" customFormat="false" ht="20.25" hidden="false" customHeight="false" outlineLevel="0" collapsed="false">
      <c r="A1" s="2" t="s">
        <v>0</v>
      </c>
      <c r="B1" s="3" t="s">
        <v>1</v>
      </c>
    </row>
    <row r="2" customFormat="false" ht="16.5" hidden="false" customHeight="false" outlineLevel="0" collapsed="false">
      <c r="B2" s="3"/>
    </row>
    <row r="3" customFormat="false" ht="22.5" hidden="false" customHeight="false" outlineLevel="0" collapsed="false">
      <c r="B3" s="4" t="s">
        <v>2</v>
      </c>
      <c r="C3" s="3" t="s">
        <v>3</v>
      </c>
      <c r="I3" s="5" t="s">
        <v>4</v>
      </c>
      <c r="J3" s="6"/>
      <c r="K3" s="6"/>
      <c r="L3" s="6"/>
      <c r="M3" s="7"/>
      <c r="N3" s="6"/>
      <c r="O3" s="6"/>
      <c r="P3" s="6"/>
      <c r="Q3" s="6"/>
      <c r="R3" s="6"/>
      <c r="S3" s="6"/>
      <c r="T3" s="6"/>
      <c r="U3" s="6"/>
      <c r="V3" s="6"/>
      <c r="W3" s="6"/>
      <c r="X3" s="6"/>
      <c r="Y3" s="6"/>
      <c r="Z3" s="6"/>
      <c r="AA3" s="6"/>
      <c r="AB3" s="6"/>
    </row>
    <row r="4" customFormat="false" ht="18.55" hidden="false" customHeight="false" outlineLevel="0" collapsed="false">
      <c r="A4" s="8" t="s">
        <v>5</v>
      </c>
      <c r="B4" s="9"/>
      <c r="C4" s="0" t="s">
        <v>6</v>
      </c>
      <c r="D4" s="10"/>
      <c r="I4" s="6" t="str">
        <f aca="false">Analysis!$BP$6</f>
        <v>Simulated demands</v>
      </c>
      <c r="J4" s="6"/>
      <c r="K4" s="6"/>
      <c r="L4" s="6"/>
      <c r="M4" s="7"/>
      <c r="N4" s="6"/>
      <c r="O4" s="6"/>
      <c r="P4" s="6"/>
      <c r="Q4" s="6"/>
      <c r="R4" s="6"/>
      <c r="S4" s="6"/>
      <c r="T4" s="6"/>
      <c r="U4" s="6"/>
      <c r="V4" s="6"/>
      <c r="W4" s="6"/>
      <c r="X4" s="6"/>
      <c r="Y4" s="6"/>
      <c r="Z4" s="6"/>
      <c r="AA4" s="6"/>
      <c r="AB4" s="6"/>
    </row>
    <row r="5" customFormat="false" ht="12.8" hidden="false" customHeight="false" outlineLevel="0" collapsed="false">
      <c r="B5" s="11"/>
      <c r="D5" s="0" t="s">
        <v>7</v>
      </c>
      <c r="I5" s="6" t="str">
        <f aca="false">Analysis!BP7</f>
        <v>3 weeks</v>
      </c>
      <c r="J5" s="12" t="n">
        <f aca="false">Analysis!BQ7</f>
        <v>0</v>
      </c>
      <c r="K5" s="12" t="n">
        <f aca="false">Analysis!BR7</f>
        <v>3</v>
      </c>
      <c r="L5" s="12" t="n">
        <f aca="false">Analysis!BS7</f>
        <v>6</v>
      </c>
      <c r="M5" s="13" t="n">
        <f aca="false">Analysis!BT7</f>
        <v>9</v>
      </c>
      <c r="N5" s="12" t="n">
        <f aca="false">Analysis!BU7</f>
        <v>12</v>
      </c>
      <c r="O5" s="12" t="n">
        <f aca="false">Analysis!BV7</f>
        <v>15</v>
      </c>
      <c r="P5" s="12" t="n">
        <f aca="false">Analysis!BW7</f>
        <v>18</v>
      </c>
      <c r="Q5" s="12" t="n">
        <f aca="false">Analysis!BX7</f>
        <v>21</v>
      </c>
      <c r="R5" s="12" t="n">
        <f aca="false">Analysis!BY7</f>
        <v>24</v>
      </c>
      <c r="S5" s="12" t="n">
        <f aca="false">Analysis!BZ7</f>
        <v>27</v>
      </c>
      <c r="T5" s="12" t="n">
        <f aca="false">Analysis!CA7</f>
        <v>30</v>
      </c>
      <c r="U5" s="12" t="n">
        <f aca="false">Analysis!CB7</f>
        <v>33</v>
      </c>
      <c r="V5" s="12" t="n">
        <f aca="false">Analysis!CC7</f>
        <v>36</v>
      </c>
      <c r="W5" s="12" t="n">
        <f aca="false">Analysis!CD7</f>
        <v>39</v>
      </c>
      <c r="X5" s="12" t="n">
        <f aca="false">Analysis!CE7</f>
        <v>42</v>
      </c>
      <c r="Y5" s="12" t="n">
        <f aca="false">Analysis!CF7</f>
        <v>45</v>
      </c>
      <c r="Z5" s="12" t="n">
        <f aca="false">Analysis!CG7</f>
        <v>48</v>
      </c>
      <c r="AA5" s="12" t="n">
        <f aca="false">Analysis!CH7</f>
        <v>51</v>
      </c>
      <c r="AB5" s="12" t="n">
        <f aca="false">Analysis!CI7</f>
        <v>54</v>
      </c>
    </row>
    <row r="6" customFormat="false" ht="12.8" hidden="false" customHeight="false" outlineLevel="0" collapsed="false">
      <c r="B6" s="11"/>
      <c r="I6" s="6" t="str">
        <f aca="false">Analysis!BP8</f>
        <v>Pricing</v>
      </c>
      <c r="J6" s="14" t="n">
        <f aca="false">Analysis!BQ8</f>
        <v>157.5</v>
      </c>
      <c r="K6" s="14" t="n">
        <f aca="false">Analysis!BR8</f>
        <v>151.580093892502</v>
      </c>
      <c r="L6" s="14" t="n">
        <f aca="false">Analysis!BS8</f>
        <v>148.629064973692</v>
      </c>
      <c r="M6" s="15" t="n">
        <f aca="false">Analysis!BT8</f>
        <v>147.690469807317</v>
      </c>
      <c r="N6" s="14" t="n">
        <f aca="false">Analysis!BU8</f>
        <v>154.175786957976</v>
      </c>
      <c r="O6" s="14" t="n">
        <f aca="false">Analysis!BV8</f>
        <v>152.482491885217</v>
      </c>
      <c r="P6" s="14" t="n">
        <f aca="false">Analysis!BW8</f>
        <v>147.544996072445</v>
      </c>
      <c r="Q6" s="14" t="n">
        <f aca="false">Analysis!BX8</f>
        <v>150.429189780073</v>
      </c>
      <c r="R6" s="14" t="n">
        <f aca="false">Analysis!BY8</f>
        <v>142.697316139695</v>
      </c>
      <c r="S6" s="14" t="n">
        <f aca="false">Analysis!BZ8</f>
        <v>142.707835432971</v>
      </c>
      <c r="T6" s="14" t="n">
        <f aca="false">Analysis!CA8</f>
        <v>143.921353320252</v>
      </c>
      <c r="U6" s="14" t="n">
        <f aca="false">Analysis!CB8</f>
        <v>142.79827795493</v>
      </c>
      <c r="V6" s="14" t="n">
        <f aca="false">Analysis!CC8</f>
        <v>134.360270678455</v>
      </c>
      <c r="W6" s="14" t="n">
        <f aca="false">Analysis!CD8</f>
        <v>134.728075880579</v>
      </c>
      <c r="X6" s="14" t="n">
        <f aca="false">Analysis!CE8</f>
        <v>130.781363469159</v>
      </c>
      <c r="Y6" s="14" t="n">
        <f aca="false">Analysis!CF8</f>
        <v>127.451546754005</v>
      </c>
      <c r="Z6" s="14" t="n">
        <f aca="false">Analysis!CG8</f>
        <v>123.261429826446</v>
      </c>
      <c r="AA6" s="14" t="n">
        <f aca="false">Analysis!CH8</f>
        <v>117.51333925516</v>
      </c>
      <c r="AB6" s="14" t="n">
        <f aca="false">Analysis!CI8</f>
        <v>127.557882541259</v>
      </c>
    </row>
    <row r="7" customFormat="false" ht="12.75" hidden="false" customHeight="false" outlineLevel="0" collapsed="false">
      <c r="J7" s="1"/>
      <c r="K7" s="1"/>
      <c r="L7" s="1"/>
      <c r="M7" s="1"/>
      <c r="N7" s="1"/>
      <c r="O7" s="1"/>
      <c r="Z7" s="0" t="n">
        <f aca="false">Analysis!CG9</f>
        <v>1</v>
      </c>
      <c r="AA7" s="16" t="n">
        <f aca="false">Analysis!CH9</f>
        <v>117.51333925516</v>
      </c>
      <c r="AB7" s="0" t="str">
        <f aca="false">Analysis!CI9</f>
        <v>MEAN</v>
      </c>
      <c r="AC7" s="16" t="n">
        <f aca="false">Analysis!CJ9</f>
        <v>117.51333925516</v>
      </c>
    </row>
    <row r="8" customFormat="false" ht="22.5" hidden="false" customHeight="false" outlineLevel="0" collapsed="false">
      <c r="B8" s="4" t="s">
        <v>8</v>
      </c>
      <c r="J8" s="1"/>
      <c r="K8" s="1"/>
      <c r="L8" s="1"/>
      <c r="M8" s="1"/>
      <c r="N8" s="1"/>
      <c r="O8" s="1"/>
      <c r="Z8" s="0" t="n">
        <f aca="false">Analysis!CG10</f>
        <v>2</v>
      </c>
      <c r="AA8" s="16" t="n">
        <f aca="false">Analysis!CH10</f>
        <v>117.51333925516</v>
      </c>
      <c r="AB8" s="0" t="str">
        <f aca="false">Analysis!CI10</f>
        <v>STDEV</v>
      </c>
      <c r="AC8" s="17" t="n">
        <f aca="false">Analysis!CJ10</f>
        <v>0</v>
      </c>
    </row>
    <row r="9" customFormat="false" ht="12.75" hidden="false" customHeight="false" outlineLevel="0" collapsed="false">
      <c r="K9" s="1"/>
      <c r="L9" s="1"/>
      <c r="M9" s="1"/>
      <c r="N9" s="1"/>
      <c r="O9" s="1"/>
      <c r="Z9" s="0" t="n">
        <f aca="false">Analysis!CG11</f>
        <v>3</v>
      </c>
      <c r="AA9" s="16" t="n">
        <f aca="false">Analysis!CH11</f>
        <v>117.51333925516</v>
      </c>
    </row>
    <row r="10" customFormat="false" ht="15.75" hidden="false" customHeight="false" outlineLevel="0" collapsed="false">
      <c r="A10" s="18" t="s">
        <v>9</v>
      </c>
      <c r="K10" s="1"/>
      <c r="L10" s="1"/>
      <c r="M10" s="1"/>
      <c r="N10" s="1"/>
      <c r="O10" s="1"/>
      <c r="Z10" s="0" t="n">
        <f aca="false">Analysis!CG12</f>
        <v>4</v>
      </c>
      <c r="AA10" s="16" t="n">
        <f aca="false">Analysis!CH12</f>
        <v>117.51333925516</v>
      </c>
    </row>
    <row r="11" customFormat="false" ht="12.75" hidden="false" customHeight="false" outlineLevel="0" collapsed="false">
      <c r="K11" s="1"/>
      <c r="L11" s="1"/>
      <c r="M11" s="1"/>
      <c r="N11" s="1"/>
      <c r="O11" s="1"/>
      <c r="Z11" s="0" t="n">
        <f aca="false">Analysis!CG13</f>
        <v>5</v>
      </c>
      <c r="AA11" s="16" t="n">
        <f aca="false">Analysis!CH13</f>
        <v>117.51333925516</v>
      </c>
    </row>
    <row r="12" customFormat="false" ht="12.75" hidden="false" customHeight="false" outlineLevel="0" collapsed="false">
      <c r="K12" s="1"/>
      <c r="L12" s="1"/>
      <c r="M12" s="1"/>
      <c r="N12" s="1"/>
      <c r="O12" s="1"/>
      <c r="Z12" s="0" t="n">
        <f aca="false">Analysis!CG14</f>
        <v>6</v>
      </c>
      <c r="AA12" s="16" t="n">
        <f aca="false">Analysis!CH14</f>
        <v>117.51333925516</v>
      </c>
    </row>
    <row r="13" customFormat="false" ht="22.5" hidden="false" customHeight="false" outlineLevel="0" collapsed="false">
      <c r="A13" s="18" t="s">
        <v>10</v>
      </c>
      <c r="B13" s="4" t="s">
        <v>11</v>
      </c>
      <c r="K13" s="1"/>
      <c r="L13" s="1"/>
      <c r="M13" s="1"/>
      <c r="N13" s="1"/>
      <c r="O13" s="1"/>
      <c r="Z13" s="0" t="n">
        <f aca="false">Analysis!CG15</f>
        <v>7</v>
      </c>
      <c r="AA13" s="16" t="n">
        <f aca="false">Analysis!CH15</f>
        <v>117.51333925516</v>
      </c>
    </row>
    <row r="14" customFormat="false" ht="12.75" hidden="false" customHeight="false" outlineLevel="0" collapsed="false">
      <c r="K14" s="1"/>
      <c r="L14" s="1"/>
      <c r="M14" s="1"/>
      <c r="N14" s="1"/>
      <c r="O14" s="1"/>
      <c r="Z14" s="0" t="n">
        <f aca="false">Analysis!CG16</f>
        <v>8</v>
      </c>
      <c r="AA14" s="16" t="n">
        <f aca="false">Analysis!CH16</f>
        <v>117.51333925516</v>
      </c>
    </row>
    <row r="15" customFormat="false" ht="22.5" hidden="false" customHeight="false" outlineLevel="0" collapsed="false">
      <c r="B15" s="4" t="s">
        <v>12</v>
      </c>
      <c r="C15" s="3" t="s">
        <v>13</v>
      </c>
      <c r="J15" s="1"/>
      <c r="K15" s="1"/>
      <c r="L15" s="1"/>
      <c r="M15" s="1"/>
      <c r="N15" s="1"/>
      <c r="O15" s="1"/>
      <c r="Z15" s="0" t="n">
        <f aca="false">Analysis!CG17</f>
        <v>9</v>
      </c>
      <c r="AA15" s="16" t="n">
        <f aca="false">Analysis!CH17</f>
        <v>117.51333925516</v>
      </c>
    </row>
    <row r="16" customFormat="false" ht="18" hidden="false" customHeight="true" outlineLevel="0" collapsed="false">
      <c r="C16" s="19" t="s">
        <v>14</v>
      </c>
      <c r="D16" s="19"/>
      <c r="E16" s="20"/>
      <c r="F16" s="21" t="s">
        <v>15</v>
      </c>
      <c r="G16" s="21"/>
      <c r="H16" s="22"/>
      <c r="J16" s="1"/>
      <c r="Z16" s="0" t="n">
        <f aca="false">Analysis!CG18</f>
        <v>10</v>
      </c>
      <c r="AA16" s="16" t="n">
        <f aca="false">Analysis!CH18</f>
        <v>117.51333925516</v>
      </c>
    </row>
    <row r="17" customFormat="false" ht="13.5" hidden="false" customHeight="false" outlineLevel="0" collapsed="false">
      <c r="B17" s="23"/>
      <c r="C17" s="24" t="str">
        <f aca="false">Analysis!AT1</f>
        <v>BULLISH</v>
      </c>
      <c r="D17" s="24" t="str">
        <f aca="false">Analysis!AU1</f>
        <v>BEARISH</v>
      </c>
      <c r="E17" s="24" t="s">
        <v>16</v>
      </c>
      <c r="F17" s="25" t="str">
        <f aca="false">Analysis!AV1</f>
        <v>BULLISH</v>
      </c>
      <c r="G17" s="26" t="str">
        <f aca="false">Analysis!AW1</f>
        <v>BEARISH</v>
      </c>
      <c r="H17" s="24" t="s">
        <v>16</v>
      </c>
      <c r="J17" s="1"/>
      <c r="Z17" s="0" t="n">
        <f aca="false">Analysis!CG19</f>
        <v>11</v>
      </c>
      <c r="AA17" s="16" t="n">
        <f aca="false">Analysis!CH19</f>
        <v>117.51333925516</v>
      </c>
    </row>
    <row r="18" customFormat="false" ht="12.75" hidden="false" customHeight="false" outlineLevel="0" collapsed="false">
      <c r="B18" s="27" t="str">
        <f aca="false">Analysis!AN2</f>
        <v>3 months</v>
      </c>
      <c r="C18" s="28" t="n">
        <f aca="false">Analysis!AT2</f>
        <v>9</v>
      </c>
      <c r="D18" s="28" t="n">
        <f aca="false">Analysis!AU2</f>
        <v>15</v>
      </c>
      <c r="E18" s="29" t="n">
        <f aca="false">C18/(D18+C18)</f>
        <v>0.375</v>
      </c>
      <c r="F18" s="30" t="n">
        <f aca="false">Analysis!AV2</f>
        <v>4</v>
      </c>
      <c r="G18" s="28" t="n">
        <f aca="false">Analysis!AW2</f>
        <v>13</v>
      </c>
      <c r="H18" s="29" t="n">
        <f aca="false">F18/(G18+F18)</f>
        <v>0.235294117647059</v>
      </c>
      <c r="J18" s="1"/>
      <c r="Z18" s="0" t="n">
        <f aca="false">Analysis!CG20</f>
        <v>12</v>
      </c>
      <c r="AA18" s="16" t="n">
        <f aca="false">Analysis!CH20</f>
        <v>117.51333925516</v>
      </c>
    </row>
    <row r="19" customFormat="false" ht="12.75" hidden="false" customHeight="false" outlineLevel="0" collapsed="false">
      <c r="B19" s="23" t="str">
        <f aca="false">Analysis!AN3</f>
        <v>9 months</v>
      </c>
      <c r="C19" s="28" t="n">
        <f aca="false">Analysis!AT3</f>
        <v>18</v>
      </c>
      <c r="D19" s="28" t="n">
        <f aca="false">Analysis!AU3</f>
        <v>33</v>
      </c>
      <c r="E19" s="29" t="n">
        <f aca="false">C19/(D19+C19)</f>
        <v>0.352941176470588</v>
      </c>
      <c r="F19" s="31" t="n">
        <f aca="false">Analysis!AV3</f>
        <v>13</v>
      </c>
      <c r="G19" s="28" t="n">
        <f aca="false">Analysis!AW3</f>
        <v>35</v>
      </c>
      <c r="H19" s="29" t="n">
        <f aca="false">F19/(G19+F19)</f>
        <v>0.270833333333333</v>
      </c>
      <c r="J19" s="1"/>
      <c r="Z19" s="0" t="n">
        <f aca="false">Analysis!CG21</f>
        <v>13</v>
      </c>
      <c r="AA19" s="16" t="n">
        <f aca="false">Analysis!CH21</f>
        <v>117.51333925516</v>
      </c>
    </row>
    <row r="20" customFormat="false" ht="12.75" hidden="false" customHeight="false" outlineLevel="0" collapsed="false">
      <c r="B20" s="23" t="str">
        <f aca="false">Analysis!AN4</f>
        <v>1 year</v>
      </c>
      <c r="C20" s="28" t="n">
        <f aca="false">Analysis!AT4</f>
        <v>23</v>
      </c>
      <c r="D20" s="28" t="n">
        <f aca="false">Analysis!AU4</f>
        <v>46</v>
      </c>
      <c r="E20" s="29" t="n">
        <f aca="false">C20/(D20+C20)</f>
        <v>0.333333333333333</v>
      </c>
      <c r="F20" s="31" t="n">
        <f aca="false">Analysis!AV4</f>
        <v>31</v>
      </c>
      <c r="G20" s="28" t="n">
        <f aca="false">Analysis!AW4</f>
        <v>71</v>
      </c>
      <c r="H20" s="29" t="n">
        <f aca="false">F20/(G20+F20)</f>
        <v>0.303921568627451</v>
      </c>
      <c r="J20" s="1"/>
      <c r="Z20" s="0" t="n">
        <f aca="false">Analysis!CG22</f>
        <v>14</v>
      </c>
      <c r="AA20" s="16" t="n">
        <f aca="false">Analysis!CH22</f>
        <v>117.51333925516</v>
      </c>
    </row>
    <row r="21" customFormat="false" ht="12.75" hidden="false" customHeight="false" outlineLevel="0" collapsed="false">
      <c r="B21" s="32" t="str">
        <f aca="false">Analysis!AN5</f>
        <v>4 years</v>
      </c>
      <c r="C21" s="28" t="n">
        <f aca="false">Analysis!AT5</f>
        <v>86</v>
      </c>
      <c r="D21" s="28" t="n">
        <f aca="false">Analysis!AU5</f>
        <v>165</v>
      </c>
      <c r="E21" s="29" t="n">
        <f aca="false">C21/(D21+C21)</f>
        <v>0.342629482071713</v>
      </c>
      <c r="F21" s="33"/>
      <c r="J21" s="1"/>
      <c r="Z21" s="0" t="n">
        <f aca="false">Analysis!CG23</f>
        <v>15</v>
      </c>
      <c r="AA21" s="16" t="n">
        <f aca="false">Analysis!CH23</f>
        <v>117.51333925516</v>
      </c>
    </row>
    <row r="22" customFormat="false" ht="15.75" hidden="false" customHeight="false" outlineLevel="0" collapsed="false">
      <c r="A22" s="18" t="s">
        <v>17</v>
      </c>
      <c r="B22" s="34" t="s">
        <v>18</v>
      </c>
      <c r="Z22" s="0" t="n">
        <f aca="false">Analysis!CG24</f>
        <v>16</v>
      </c>
      <c r="AA22" s="16" t="n">
        <f aca="false">Analysis!CH24</f>
        <v>117.51333925516</v>
      </c>
    </row>
    <row r="23" customFormat="false" ht="12.75" hidden="false" customHeight="false" outlineLevel="0" collapsed="false">
      <c r="Z23" s="0" t="n">
        <f aca="false">Analysis!CG25</f>
        <v>17</v>
      </c>
      <c r="AA23" s="16" t="n">
        <f aca="false">Analysis!CH25</f>
        <v>117.51333925516</v>
      </c>
    </row>
    <row r="24" customFormat="false" ht="12.75" hidden="false" customHeight="false" outlineLevel="0" collapsed="false">
      <c r="Z24" s="0" t="n">
        <f aca="false">Analysis!CG26</f>
        <v>18</v>
      </c>
      <c r="AA24" s="16" t="n">
        <f aca="false">Analysis!CH26</f>
        <v>117.51333925516</v>
      </c>
    </row>
    <row r="25" customFormat="false" ht="22.5" hidden="false" customHeight="false" outlineLevel="0" collapsed="false">
      <c r="B25" s="4" t="s">
        <v>12</v>
      </c>
      <c r="C25" s="3" t="s">
        <v>19</v>
      </c>
      <c r="Z25" s="0" t="n">
        <f aca="false">Analysis!CG27</f>
        <v>19</v>
      </c>
      <c r="AA25" s="16" t="n">
        <f aca="false">Analysis!CH27</f>
        <v>117.51333925516</v>
      </c>
    </row>
    <row r="26" customFormat="false" ht="15.75" hidden="false" customHeight="false" outlineLevel="0" collapsed="false">
      <c r="A26" s="18" t="s">
        <v>17</v>
      </c>
      <c r="B26" s="34" t="s">
        <v>20</v>
      </c>
      <c r="Z26" s="0" t="n">
        <f aca="false">Analysis!CG28</f>
        <v>20</v>
      </c>
      <c r="AA26" s="16" t="n">
        <f aca="false">Analysis!CH28</f>
        <v>117.51333925516</v>
      </c>
    </row>
    <row r="27" customFormat="false" ht="12.75" hidden="false" customHeight="false" outlineLevel="0" collapsed="false">
      <c r="Z27" s="0" t="n">
        <f aca="false">Analysis!CG29</f>
        <v>21</v>
      </c>
      <c r="AA27" s="16" t="n">
        <f aca="false">Analysis!CH29</f>
        <v>117.51333925516</v>
      </c>
    </row>
    <row r="28" customFormat="false" ht="12.75" hidden="false" customHeight="false" outlineLevel="0" collapsed="false">
      <c r="G28" s="35"/>
      <c r="H28" s="35"/>
      <c r="J28" s="36"/>
      <c r="Z28" s="0" t="n">
        <f aca="false">Analysis!CG30</f>
        <v>22</v>
      </c>
      <c r="AA28" s="16" t="n">
        <f aca="false">Analysis!CH30</f>
        <v>117.51333925516</v>
      </c>
    </row>
    <row r="29" customFormat="false" ht="12.75" hidden="false" customHeight="false" outlineLevel="0" collapsed="false">
      <c r="B29" s="0" t="s">
        <v>21</v>
      </c>
      <c r="G29" s="35"/>
      <c r="H29" s="35"/>
      <c r="J29" s="36"/>
      <c r="Z29" s="0" t="n">
        <f aca="false">Analysis!CG31</f>
        <v>23</v>
      </c>
      <c r="AA29" s="16" t="n">
        <f aca="false">Analysis!CH31</f>
        <v>117.51333925516</v>
      </c>
    </row>
    <row r="30" customFormat="false" ht="12.75" hidden="false" customHeight="false" outlineLevel="0" collapsed="false">
      <c r="J30" s="36"/>
      <c r="Z30" s="0" t="n">
        <f aca="false">Analysis!CG32</f>
        <v>24</v>
      </c>
      <c r="AA30" s="16" t="n">
        <f aca="false">Analysis!CH32</f>
        <v>117.51333925516</v>
      </c>
    </row>
    <row r="31" customFormat="false" ht="12.75" hidden="false" customHeight="false" outlineLevel="0" collapsed="false">
      <c r="J31" s="36"/>
      <c r="Z31" s="0" t="n">
        <f aca="false">Analysis!CG33</f>
        <v>25</v>
      </c>
      <c r="AA31" s="16" t="n">
        <f aca="false">Analysis!CH33</f>
        <v>117.51333925516</v>
      </c>
    </row>
    <row r="32" customFormat="false" ht="12.75" hidden="false" customHeight="false" outlineLevel="0" collapsed="false">
      <c r="B32" s="0" t="str">
        <f aca="false">Analysis!AZ37</f>
        <v>Over a 4 year span</v>
      </c>
      <c r="G32" s="35"/>
      <c r="H32" s="35"/>
      <c r="J32" s="36"/>
      <c r="L32" s="37"/>
      <c r="Z32" s="0" t="n">
        <f aca="false">Analysis!CG34</f>
        <v>26</v>
      </c>
      <c r="AA32" s="16" t="n">
        <f aca="false">Analysis!CH34</f>
        <v>117.51333925516</v>
      </c>
    </row>
    <row r="33" customFormat="false" ht="12.75" hidden="false" customHeight="false" outlineLevel="0" collapsed="false">
      <c r="B33" s="0" t="str">
        <f aca="false">Analysis!AZ38</f>
        <v>Slope</v>
      </c>
      <c r="C33" s="17" t="n">
        <f aca="false">Analysis!BA38</f>
        <v>0.0403233916953127</v>
      </c>
      <c r="G33" s="35"/>
      <c r="H33" s="35"/>
      <c r="J33" s="36"/>
      <c r="M33" s="38"/>
      <c r="Z33" s="0" t="n">
        <f aca="false">Analysis!CG35</f>
        <v>27</v>
      </c>
      <c r="AA33" s="16" t="n">
        <f aca="false">Analysis!CH35</f>
        <v>117.51333925516</v>
      </c>
    </row>
    <row r="34" customFormat="false" ht="12.75" hidden="false" customHeight="false" outlineLevel="0" collapsed="false">
      <c r="B34" s="0" t="str">
        <f aca="false">Analysis!AZ39</f>
        <v>R-square</v>
      </c>
      <c r="C34" s="17" t="n">
        <f aca="false">Analysis!BA39</f>
        <v>0.587772660666313</v>
      </c>
      <c r="G34" s="35"/>
      <c r="H34" s="35"/>
      <c r="J34" s="36"/>
      <c r="M34" s="38"/>
      <c r="Z34" s="0" t="n">
        <f aca="false">Analysis!CG36</f>
        <v>28</v>
      </c>
      <c r="AA34" s="16" t="n">
        <f aca="false">Analysis!CH36</f>
        <v>117.51333925516</v>
      </c>
    </row>
    <row r="35" customFormat="false" ht="12.75" hidden="false" customHeight="false" outlineLevel="0" collapsed="false">
      <c r="G35" s="35"/>
      <c r="H35" s="35"/>
      <c r="J35" s="36"/>
      <c r="M35" s="38"/>
      <c r="Z35" s="0" t="n">
        <f aca="false">Analysis!CG37</f>
        <v>29</v>
      </c>
      <c r="AA35" s="16" t="n">
        <f aca="false">Analysis!CH37</f>
        <v>117.51333925516</v>
      </c>
    </row>
    <row r="36" customFormat="false" ht="12.75" hidden="false" customHeight="false" outlineLevel="0" collapsed="false">
      <c r="B36" s="0" t="str">
        <f aca="false">Analysis!AZ67</f>
        <v>Over a 1 year span</v>
      </c>
      <c r="G36" s="35"/>
      <c r="H36" s="35"/>
      <c r="J36" s="36"/>
      <c r="M36" s="38"/>
      <c r="Z36" s="0" t="n">
        <f aca="false">Analysis!CG38</f>
        <v>30</v>
      </c>
      <c r="AA36" s="16" t="n">
        <f aca="false">Analysis!CH38</f>
        <v>117.51333925516</v>
      </c>
    </row>
    <row r="37" customFormat="false" ht="12.75" hidden="false" customHeight="false" outlineLevel="0" collapsed="false">
      <c r="B37" s="0" t="str">
        <f aca="false">Analysis!AZ68</f>
        <v>Slope</v>
      </c>
      <c r="C37" s="17" t="n">
        <f aca="false">Analysis!BA68</f>
        <v>0.154118230242688</v>
      </c>
      <c r="G37" s="35"/>
      <c r="H37" s="35"/>
      <c r="J37" s="36"/>
      <c r="M37" s="38"/>
      <c r="Z37" s="0" t="n">
        <f aca="false">Analysis!CG39</f>
        <v>31</v>
      </c>
      <c r="AA37" s="16" t="n">
        <f aca="false">Analysis!CH39</f>
        <v>117.51333925516</v>
      </c>
    </row>
    <row r="38" customFormat="false" ht="12.75" hidden="false" customHeight="false" outlineLevel="0" collapsed="false">
      <c r="B38" s="0" t="str">
        <f aca="false">Analysis!AZ69</f>
        <v>R-square</v>
      </c>
      <c r="C38" s="17" t="n">
        <f aca="false">Analysis!BA69</f>
        <v>0.892972111681393</v>
      </c>
      <c r="G38" s="35"/>
      <c r="H38" s="35"/>
      <c r="J38" s="36"/>
      <c r="M38" s="38"/>
      <c r="Z38" s="0" t="n">
        <f aca="false">Analysis!CG40</f>
        <v>32</v>
      </c>
      <c r="AA38" s="16" t="n">
        <f aca="false">Analysis!CH40</f>
        <v>117.51333925516</v>
      </c>
    </row>
    <row r="39" customFormat="false" ht="24" hidden="false" customHeight="true" outlineLevel="0" collapsed="false">
      <c r="G39" s="35"/>
      <c r="H39" s="35"/>
      <c r="J39" s="36"/>
      <c r="M39" s="38"/>
      <c r="Z39" s="0" t="n">
        <f aca="false">Analysis!CG41</f>
        <v>33</v>
      </c>
      <c r="AA39" s="16" t="n">
        <f aca="false">Analysis!CH41</f>
        <v>117.51333925516</v>
      </c>
    </row>
    <row r="40" customFormat="false" ht="30" hidden="false" customHeight="true" outlineLevel="0" collapsed="false">
      <c r="B40" s="39" t="str">
        <f aca="false">Analysis!AZ96</f>
        <v>Over a 9 month span</v>
      </c>
      <c r="C40" s="40"/>
      <c r="G40" s="35"/>
      <c r="H40" s="35"/>
      <c r="J40" s="36"/>
      <c r="M40" s="38"/>
      <c r="Z40" s="0" t="n">
        <f aca="false">Analysis!CG42</f>
        <v>34</v>
      </c>
      <c r="AA40" s="16" t="n">
        <f aca="false">Analysis!CH42</f>
        <v>117.51333925516</v>
      </c>
    </row>
    <row r="41" customFormat="false" ht="12.75" hidden="false" customHeight="false" outlineLevel="0" collapsed="false">
      <c r="B41" s="41" t="str">
        <f aca="false">Analysis!AZ97</f>
        <v>Slope</v>
      </c>
      <c r="C41" s="42" t="n">
        <f aca="false">Analysis!BA97</f>
        <v>0.172441848182165</v>
      </c>
      <c r="G41" s="35"/>
      <c r="H41" s="35"/>
      <c r="J41" s="36"/>
      <c r="M41" s="38"/>
      <c r="Z41" s="0" t="n">
        <f aca="false">Analysis!CG43</f>
        <v>35</v>
      </c>
      <c r="AA41" s="16" t="n">
        <f aca="false">Analysis!CH43</f>
        <v>117.51333925516</v>
      </c>
    </row>
    <row r="42" customFormat="false" ht="12.75" hidden="false" customHeight="false" outlineLevel="0" collapsed="false">
      <c r="B42" s="41" t="str">
        <f aca="false">Analysis!AZ98</f>
        <v>R-square</v>
      </c>
      <c r="C42" s="42" t="n">
        <f aca="false">Analysis!BA98</f>
        <v>0.8526380792264</v>
      </c>
      <c r="M42" s="38"/>
      <c r="Z42" s="0" t="n">
        <f aca="false">Analysis!CG44</f>
        <v>36</v>
      </c>
      <c r="AA42" s="16" t="n">
        <f aca="false">Analysis!CH44</f>
        <v>117.51333925516</v>
      </c>
    </row>
    <row r="43" customFormat="false" ht="12.75" hidden="false" customHeight="false" outlineLevel="0" collapsed="false">
      <c r="M43" s="38"/>
      <c r="Z43" s="0" t="n">
        <f aca="false">Analysis!CG45</f>
        <v>37</v>
      </c>
      <c r="AA43" s="16" t="n">
        <f aca="false">Analysis!CH45</f>
        <v>117.51333925516</v>
      </c>
    </row>
    <row r="44" customFormat="false" ht="12.75" hidden="false" customHeight="false" outlineLevel="0" collapsed="false">
      <c r="Z44" s="0" t="n">
        <f aca="false">Analysis!CG46</f>
        <v>38</v>
      </c>
      <c r="AA44" s="16" t="n">
        <f aca="false">Analysis!CH46</f>
        <v>117.51333925516</v>
      </c>
    </row>
    <row r="45" customFormat="false" ht="12.75" hidden="false" customHeight="false" outlineLevel="0" collapsed="false">
      <c r="Z45" s="0" t="n">
        <f aca="false">Analysis!CG47</f>
        <v>39</v>
      </c>
      <c r="AA45" s="16" t="n">
        <f aca="false">Analysis!CH47</f>
        <v>117.51333925516</v>
      </c>
    </row>
    <row r="46" customFormat="false" ht="12.75" hidden="false" customHeight="false" outlineLevel="0" collapsed="false">
      <c r="Z46" s="0" t="n">
        <f aca="false">Analysis!CG48</f>
        <v>40</v>
      </c>
      <c r="AA46" s="16" t="n">
        <f aca="false">Analysis!CH48</f>
        <v>117.51333925516</v>
      </c>
    </row>
    <row r="47" customFormat="false" ht="22.5" hidden="false" customHeight="false" outlineLevel="0" collapsed="false">
      <c r="B47" s="4" t="s">
        <v>22</v>
      </c>
      <c r="C47" s="3" t="s">
        <v>23</v>
      </c>
      <c r="Z47" s="0" t="n">
        <f aca="false">Analysis!CG49</f>
        <v>41</v>
      </c>
      <c r="AA47" s="16" t="n">
        <f aca="false">Analysis!CH49</f>
        <v>117.51333925516</v>
      </c>
    </row>
    <row r="48" customFormat="false" ht="39" hidden="false" customHeight="false" outlineLevel="0" collapsed="false">
      <c r="B48" s="20" t="str">
        <f aca="false">Analysis!BK3</f>
        <v> </v>
      </c>
      <c r="C48" s="1"/>
      <c r="D48" s="1" t="str">
        <f aca="false">Analysis!BM14</f>
        <v>Change in price based on the month volatility</v>
      </c>
      <c r="E48" s="1" t="str">
        <f aca="false">Analysis!BN14</f>
        <v>Change in price based on the Year volatility</v>
      </c>
      <c r="Z48" s="0" t="n">
        <f aca="false">Analysis!CG50</f>
        <v>42</v>
      </c>
      <c r="AA48" s="16" t="n">
        <f aca="false">Analysis!CH50</f>
        <v>117.51333925516</v>
      </c>
    </row>
    <row r="49" customFormat="false" ht="15.75" hidden="false" customHeight="false" outlineLevel="0" collapsed="false">
      <c r="B49" s="20" t="str">
        <f aca="false">Analysis!BK4</f>
        <v> </v>
      </c>
      <c r="C49" s="1" t="str">
        <f aca="false">Analysis!BL15</f>
        <v>Current Close</v>
      </c>
      <c r="D49" s="43" t="n">
        <f aca="false">Analysis!BM15</f>
        <v>157.5</v>
      </c>
      <c r="E49" s="44"/>
      <c r="Z49" s="0" t="n">
        <f aca="false">Analysis!CG51</f>
        <v>43</v>
      </c>
      <c r="AA49" s="16" t="n">
        <f aca="false">Analysis!CH51</f>
        <v>117.51333925516</v>
      </c>
    </row>
    <row r="50" customFormat="false" ht="26.25" hidden="false" customHeight="false" outlineLevel="0" collapsed="false">
      <c r="B50" s="20" t="str">
        <f aca="false">Analysis!BK5</f>
        <v> </v>
      </c>
      <c r="C50" s="1" t="str">
        <f aca="false">Analysis!BL16</f>
        <v>Upward Price based on 30 days</v>
      </c>
      <c r="D50" s="43" t="n">
        <f aca="false">Analysis!BM16</f>
        <v>163.726023642819</v>
      </c>
      <c r="E50" s="43" t="n">
        <f aca="false">Analysis!BN16</f>
        <v>186.144220013002</v>
      </c>
      <c r="F50" s="1" t="s">
        <v>24</v>
      </c>
      <c r="Z50" s="0" t="n">
        <f aca="false">Analysis!CG52</f>
        <v>44</v>
      </c>
      <c r="AA50" s="16" t="n">
        <f aca="false">Analysis!CH52</f>
        <v>117.51333925516</v>
      </c>
    </row>
    <row r="51" customFormat="false" ht="26.25" hidden="false" customHeight="false" outlineLevel="0" collapsed="false">
      <c r="B51" s="20" t="str">
        <f aca="false">Analysis!BK6</f>
        <v> </v>
      </c>
      <c r="C51" s="1" t="str">
        <f aca="false">Analysis!BL17</f>
        <v>Downward Price based on 30 days</v>
      </c>
      <c r="D51" s="43" t="n">
        <f aca="false">Analysis!BM17</f>
        <v>151.273976357181</v>
      </c>
      <c r="E51" s="43" t="n">
        <f aca="false">Analysis!BN17</f>
        <v>128.855779986998</v>
      </c>
      <c r="F51" s="1" t="s">
        <v>25</v>
      </c>
      <c r="Z51" s="0" t="n">
        <f aca="false">Analysis!CG53</f>
        <v>45</v>
      </c>
      <c r="AA51" s="16" t="n">
        <f aca="false">Analysis!CH53</f>
        <v>117.51333925516</v>
      </c>
    </row>
    <row r="52" customFormat="false" ht="15.75" hidden="false" customHeight="false" outlineLevel="0" collapsed="false">
      <c r="B52" s="20" t="str">
        <f aca="false">Analysis!BK7</f>
        <v> </v>
      </c>
      <c r="Z52" s="0" t="n">
        <f aca="false">Analysis!CG54</f>
        <v>46</v>
      </c>
      <c r="AA52" s="16" t="n">
        <f aca="false">Analysis!CH54</f>
        <v>117.51333925516</v>
      </c>
    </row>
    <row r="53" customFormat="false" ht="15.75" hidden="false" customHeight="false" outlineLevel="0" collapsed="false">
      <c r="B53" s="20" t="str">
        <f aca="false">Analysis!BK8</f>
        <v> </v>
      </c>
      <c r="Z53" s="0" t="n">
        <f aca="false">Analysis!CG55</f>
        <v>47</v>
      </c>
      <c r="AA53" s="16" t="n">
        <f aca="false">Analysis!CH55</f>
        <v>117.51333925516</v>
      </c>
    </row>
    <row r="54" customFormat="false" ht="15.75" hidden="false" customHeight="false" outlineLevel="0" collapsed="false">
      <c r="B54" s="20" t="str">
        <f aca="false">Analysis!BK9</f>
        <v>Call Option ITM close to ATM</v>
      </c>
      <c r="Z54" s="0" t="n">
        <f aca="false">Analysis!CG56</f>
        <v>48</v>
      </c>
      <c r="AA54" s="16" t="n">
        <f aca="false">Analysis!CH56</f>
        <v>117.51333925516</v>
      </c>
    </row>
    <row r="55" customFormat="false" ht="15.75" hidden="false" customHeight="false" outlineLevel="0" collapsed="false">
      <c r="B55" s="20" t="str">
        <f aca="false">Analysis!BK10</f>
        <v> </v>
      </c>
      <c r="Z55" s="0" t="n">
        <f aca="false">Analysis!CG57</f>
        <v>49</v>
      </c>
      <c r="AA55" s="16" t="n">
        <f aca="false">Analysis!CH57</f>
        <v>117.51333925516</v>
      </c>
    </row>
    <row r="56" customFormat="false" ht="15.75" hidden="false" customHeight="false" outlineLevel="0" collapsed="false">
      <c r="B56" s="20" t="str">
        <f aca="false">Analysis!BK11</f>
        <v> </v>
      </c>
      <c r="Z56" s="0" t="n">
        <f aca="false">Analysis!CG58</f>
        <v>50</v>
      </c>
      <c r="AA56" s="16" t="n">
        <f aca="false">Analysis!CH58</f>
        <v>117.51333925516</v>
      </c>
    </row>
    <row r="57" customFormat="false" ht="15.75" hidden="false" customHeight="false" outlineLevel="0" collapsed="false">
      <c r="B57" s="20" t="str">
        <f aca="false">Analysis!BK12</f>
        <v> </v>
      </c>
      <c r="Z57" s="0" t="n">
        <f aca="false">Analysis!CG59</f>
        <v>51</v>
      </c>
      <c r="AA57" s="16" t="n">
        <f aca="false">Analysis!CH59</f>
        <v>117.51333925516</v>
      </c>
    </row>
    <row r="58" customFormat="false" ht="15.75" hidden="false" customHeight="false" outlineLevel="0" collapsed="false">
      <c r="B58" s="20" t="str">
        <f aca="false">Analysis!BK13</f>
        <v> </v>
      </c>
      <c r="Z58" s="0" t="n">
        <f aca="false">Analysis!CG60</f>
        <v>52</v>
      </c>
      <c r="AA58" s="16" t="n">
        <f aca="false">Analysis!CH60</f>
        <v>117.51333925516</v>
      </c>
    </row>
    <row r="59" customFormat="false" ht="15.75" hidden="false" customHeight="false" outlineLevel="0" collapsed="false">
      <c r="B59" s="20" t="str">
        <f aca="false">Analysis!BK14</f>
        <v> </v>
      </c>
      <c r="Z59" s="0" t="n">
        <f aca="false">Analysis!CG61</f>
        <v>53</v>
      </c>
      <c r="AA59" s="16" t="n">
        <f aca="false">Analysis!CH61</f>
        <v>117.51333925516</v>
      </c>
    </row>
    <row r="60" customFormat="false" ht="15.75" hidden="false" customHeight="false" outlineLevel="0" collapsed="false">
      <c r="B60" s="20" t="str">
        <f aca="false">Analysis!BK15</f>
        <v> </v>
      </c>
      <c r="Z60" s="0" t="n">
        <f aca="false">Analysis!CG62</f>
        <v>54</v>
      </c>
      <c r="AA60" s="16" t="n">
        <f aca="false">Analysis!CH62</f>
        <v>117.51333925516</v>
      </c>
    </row>
    <row r="61" customFormat="false" ht="12.75" hidden="false" customHeight="false" outlineLevel="0" collapsed="false">
      <c r="Z61" s="0" t="n">
        <f aca="false">Analysis!CG63</f>
        <v>55</v>
      </c>
      <c r="AA61" s="16" t="n">
        <f aca="false">Analysis!CH63</f>
        <v>117.51333925516</v>
      </c>
    </row>
    <row r="62" customFormat="false" ht="15.75" hidden="false" customHeight="false" outlineLevel="0" collapsed="false">
      <c r="Z62" s="0" t="n">
        <f aca="false">Analysis!CG64</f>
        <v>56</v>
      </c>
      <c r="AA62" s="16" t="n">
        <f aca="false">Analysis!CH64</f>
        <v>117.51333925516</v>
      </c>
    </row>
    <row r="63" customFormat="false" ht="15.75" hidden="false" customHeight="false" outlineLevel="0" collapsed="false">
      <c r="Z63" s="0" t="n">
        <f aca="false">Analysis!CG65</f>
        <v>57</v>
      </c>
      <c r="AA63" s="16" t="n">
        <f aca="false">Analysis!CH65</f>
        <v>117.51333925516</v>
      </c>
    </row>
    <row r="64" customFormat="false" ht="15.75" hidden="false" customHeight="false" outlineLevel="0" collapsed="false">
      <c r="Z64" s="0" t="n">
        <f aca="false">Analysis!CG66</f>
        <v>58</v>
      </c>
      <c r="AA64" s="16" t="n">
        <f aca="false">Analysis!CH66</f>
        <v>117.51333925516</v>
      </c>
    </row>
    <row r="65" customFormat="false" ht="15.75" hidden="false" customHeight="false" outlineLevel="0" collapsed="false">
      <c r="Z65" s="0" t="n">
        <f aca="false">Analysis!CG67</f>
        <v>59</v>
      </c>
      <c r="AA65" s="16" t="n">
        <f aca="false">Analysis!CH67</f>
        <v>117.51333925516</v>
      </c>
    </row>
    <row r="66" customFormat="false" ht="15.75" hidden="false" customHeight="false" outlineLevel="0" collapsed="false">
      <c r="Z66" s="0" t="n">
        <f aca="false">Analysis!CG68</f>
        <v>60</v>
      </c>
      <c r="AA66" s="16" t="n">
        <f aca="false">Analysis!CH68</f>
        <v>117.51333925516</v>
      </c>
    </row>
    <row r="67" customFormat="false" ht="15.75" hidden="false" customHeight="false" outlineLevel="0" collapsed="false">
      <c r="Z67" s="0" t="n">
        <f aca="false">Analysis!CG69</f>
        <v>61</v>
      </c>
      <c r="AA67" s="16" t="n">
        <f aca="false">Analysis!CH69</f>
        <v>117.51333925516</v>
      </c>
    </row>
    <row r="68" customFormat="false" ht="15.75" hidden="false" customHeight="false" outlineLevel="0" collapsed="false">
      <c r="Z68" s="0" t="n">
        <f aca="false">Analysis!CG70</f>
        <v>62</v>
      </c>
      <c r="AA68" s="16" t="n">
        <f aca="false">Analysis!CH70</f>
        <v>117.51333925516</v>
      </c>
    </row>
    <row r="69" customFormat="false" ht="15.75" hidden="false" customHeight="false" outlineLevel="0" collapsed="false">
      <c r="Z69" s="0" t="n">
        <f aca="false">Analysis!CG71</f>
        <v>63</v>
      </c>
      <c r="AA69" s="16" t="n">
        <f aca="false">Analysis!CH71</f>
        <v>117.51333925516</v>
      </c>
    </row>
    <row r="70" customFormat="false" ht="15.75" hidden="false" customHeight="false" outlineLevel="0" collapsed="false">
      <c r="Z70" s="0" t="n">
        <f aca="false">Analysis!CG72</f>
        <v>64</v>
      </c>
      <c r="AA70" s="16" t="n">
        <f aca="false">Analysis!CH72</f>
        <v>117.51333925516</v>
      </c>
    </row>
    <row r="71" customFormat="false" ht="15.75" hidden="false" customHeight="false" outlineLevel="0" collapsed="false">
      <c r="Z71" s="0" t="n">
        <f aca="false">Analysis!CG73</f>
        <v>65</v>
      </c>
      <c r="AA71" s="16" t="n">
        <f aca="false">Analysis!CH73</f>
        <v>117.51333925516</v>
      </c>
    </row>
    <row r="72" customFormat="false" ht="15.75" hidden="false" customHeight="false" outlineLevel="0" collapsed="false">
      <c r="Z72" s="0" t="n">
        <f aca="false">Analysis!CG74</f>
        <v>66</v>
      </c>
      <c r="AA72" s="16" t="n">
        <f aca="false">Analysis!CH74</f>
        <v>117.51333925516</v>
      </c>
    </row>
    <row r="73" customFormat="false" ht="15.75" hidden="false" customHeight="false" outlineLevel="0" collapsed="false">
      <c r="Z73" s="0" t="n">
        <f aca="false">Analysis!CG75</f>
        <v>67</v>
      </c>
      <c r="AA73" s="16" t="n">
        <f aca="false">Analysis!CH75</f>
        <v>117.51333925516</v>
      </c>
    </row>
    <row r="74" customFormat="false" ht="15.75" hidden="false" customHeight="false" outlineLevel="0" collapsed="false">
      <c r="Z74" s="0" t="n">
        <f aca="false">Analysis!CG76</f>
        <v>68</v>
      </c>
      <c r="AA74" s="16" t="n">
        <f aca="false">Analysis!CH76</f>
        <v>117.51333925516</v>
      </c>
    </row>
    <row r="75" customFormat="false" ht="15.75" hidden="false" customHeight="false" outlineLevel="0" collapsed="false">
      <c r="Z75" s="0" t="n">
        <f aca="false">Analysis!CG77</f>
        <v>69</v>
      </c>
      <c r="AA75" s="16" t="n">
        <f aca="false">Analysis!CH77</f>
        <v>117.51333925516</v>
      </c>
    </row>
    <row r="76" customFormat="false" ht="15.75" hidden="false" customHeight="false" outlineLevel="0" collapsed="false">
      <c r="Z76" s="0" t="n">
        <f aca="false">Analysis!CG78</f>
        <v>70</v>
      </c>
      <c r="AA76" s="16" t="n">
        <f aca="false">Analysis!CH78</f>
        <v>117.51333925516</v>
      </c>
    </row>
    <row r="77" customFormat="false" ht="15.75" hidden="false" customHeight="false" outlineLevel="0" collapsed="false">
      <c r="Z77" s="0" t="n">
        <f aca="false">Analysis!CG79</f>
        <v>71</v>
      </c>
      <c r="AA77" s="16" t="n">
        <f aca="false">Analysis!CH79</f>
        <v>117.51333925516</v>
      </c>
    </row>
    <row r="78" customFormat="false" ht="15.75" hidden="false" customHeight="false" outlineLevel="0" collapsed="false">
      <c r="Z78" s="0" t="n">
        <f aca="false">Analysis!CG80</f>
        <v>72</v>
      </c>
      <c r="AA78" s="16" t="n">
        <f aca="false">Analysis!CH80</f>
        <v>117.51333925516</v>
      </c>
    </row>
    <row r="79" customFormat="false" ht="15.75" hidden="false" customHeight="false" outlineLevel="0" collapsed="false">
      <c r="Z79" s="0" t="n">
        <f aca="false">Analysis!CG81</f>
        <v>73</v>
      </c>
      <c r="AA79" s="16" t="n">
        <f aca="false">Analysis!CH81</f>
        <v>117.51333925516</v>
      </c>
    </row>
    <row r="80" customFormat="false" ht="15.75" hidden="false" customHeight="false" outlineLevel="0" collapsed="false">
      <c r="Z80" s="0" t="n">
        <f aca="false">Analysis!CG82</f>
        <v>74</v>
      </c>
      <c r="AA80" s="16" t="n">
        <f aca="false">Analysis!CH82</f>
        <v>117.51333925516</v>
      </c>
    </row>
    <row r="81" customFormat="false" ht="15.75" hidden="false" customHeight="false" outlineLevel="0" collapsed="false">
      <c r="Z81" s="0" t="n">
        <f aca="false">Analysis!CG83</f>
        <v>75</v>
      </c>
      <c r="AA81" s="16" t="n">
        <f aca="false">Analysis!CH83</f>
        <v>117.51333925516</v>
      </c>
    </row>
    <row r="82" customFormat="false" ht="12.75" hidden="false" customHeight="false" outlineLevel="0" collapsed="false">
      <c r="Z82" s="0" t="n">
        <f aca="false">Analysis!CG84</f>
        <v>76</v>
      </c>
      <c r="AA82" s="16" t="n">
        <f aca="false">Analysis!CH84</f>
        <v>117.51333925516</v>
      </c>
    </row>
    <row r="83" customFormat="false" ht="12.75" hidden="false" customHeight="false" outlineLevel="0" collapsed="false">
      <c r="Z83" s="0" t="n">
        <f aca="false">Analysis!CG85</f>
        <v>77</v>
      </c>
      <c r="AA83" s="16" t="n">
        <f aca="false">Analysis!CH85</f>
        <v>117.51333925516</v>
      </c>
    </row>
    <row r="84" customFormat="false" ht="12.75" hidden="false" customHeight="false" outlineLevel="0" collapsed="false">
      <c r="Z84" s="0" t="n">
        <f aca="false">Analysis!CG86</f>
        <v>78</v>
      </c>
      <c r="AA84" s="16" t="n">
        <f aca="false">Analysis!CH86</f>
        <v>117.51333925516</v>
      </c>
    </row>
    <row r="85" customFormat="false" ht="12.75" hidden="false" customHeight="false" outlineLevel="0" collapsed="false">
      <c r="Z85" s="0" t="n">
        <f aca="false">Analysis!CG87</f>
        <v>79</v>
      </c>
      <c r="AA85" s="16" t="n">
        <f aca="false">Analysis!CH87</f>
        <v>117.51333925516</v>
      </c>
    </row>
    <row r="86" customFormat="false" ht="12.75" hidden="false" customHeight="false" outlineLevel="0" collapsed="false">
      <c r="Z86" s="0" t="n">
        <f aca="false">Analysis!CG88</f>
        <v>80</v>
      </c>
      <c r="AA86" s="16" t="n">
        <f aca="false">Analysis!CH88</f>
        <v>117.51333925516</v>
      </c>
    </row>
    <row r="87" customFormat="false" ht="12.75" hidden="false" customHeight="false" outlineLevel="0" collapsed="false">
      <c r="Z87" s="0" t="n">
        <f aca="false">Analysis!CG89</f>
        <v>81</v>
      </c>
      <c r="AA87" s="16" t="n">
        <f aca="false">Analysis!CH89</f>
        <v>117.51333925516</v>
      </c>
    </row>
    <row r="88" customFormat="false" ht="12.75" hidden="false" customHeight="false" outlineLevel="0" collapsed="false">
      <c r="Z88" s="0" t="n">
        <f aca="false">Analysis!CG90</f>
        <v>82</v>
      </c>
      <c r="AA88" s="16" t="n">
        <f aca="false">Analysis!CH90</f>
        <v>117.51333925516</v>
      </c>
    </row>
    <row r="89" customFormat="false" ht="12.75" hidden="false" customHeight="false" outlineLevel="0" collapsed="false">
      <c r="Z89" s="0" t="n">
        <f aca="false">Analysis!CG91</f>
        <v>83</v>
      </c>
      <c r="AA89" s="16" t="n">
        <f aca="false">Analysis!CH91</f>
        <v>117.51333925516</v>
      </c>
    </row>
    <row r="90" customFormat="false" ht="12.75" hidden="false" customHeight="false" outlineLevel="0" collapsed="false">
      <c r="Z90" s="0" t="n">
        <f aca="false">Analysis!CG92</f>
        <v>84</v>
      </c>
      <c r="AA90" s="16" t="n">
        <f aca="false">Analysis!CH92</f>
        <v>117.51333925516</v>
      </c>
    </row>
    <row r="91" customFormat="false" ht="12.75" hidden="false" customHeight="false" outlineLevel="0" collapsed="false">
      <c r="Z91" s="0" t="n">
        <f aca="false">Analysis!CG93</f>
        <v>85</v>
      </c>
      <c r="AA91" s="16" t="n">
        <f aca="false">Analysis!CH93</f>
        <v>117.51333925516</v>
      </c>
    </row>
    <row r="92" customFormat="false" ht="12.75" hidden="false" customHeight="false" outlineLevel="0" collapsed="false">
      <c r="Z92" s="0" t="n">
        <f aca="false">Analysis!CG94</f>
        <v>86</v>
      </c>
      <c r="AA92" s="16" t="n">
        <f aca="false">Analysis!CH94</f>
        <v>117.51333925516</v>
      </c>
    </row>
    <row r="93" customFormat="false" ht="12.75" hidden="false" customHeight="false" outlineLevel="0" collapsed="false">
      <c r="Z93" s="0" t="n">
        <f aca="false">Analysis!CG95</f>
        <v>87</v>
      </c>
      <c r="AA93" s="16" t="n">
        <f aca="false">Analysis!CH95</f>
        <v>117.51333925516</v>
      </c>
    </row>
    <row r="94" customFormat="false" ht="12.75" hidden="false" customHeight="false" outlineLevel="0" collapsed="false">
      <c r="Z94" s="0" t="n">
        <f aca="false">Analysis!CG96</f>
        <v>88</v>
      </c>
      <c r="AA94" s="16" t="n">
        <f aca="false">Analysis!CH96</f>
        <v>117.51333925516</v>
      </c>
    </row>
    <row r="95" customFormat="false" ht="12.75" hidden="false" customHeight="false" outlineLevel="0" collapsed="false">
      <c r="Z95" s="0" t="n">
        <f aca="false">Analysis!CG97</f>
        <v>89</v>
      </c>
      <c r="AA95" s="16" t="n">
        <f aca="false">Analysis!CH97</f>
        <v>117.51333925516</v>
      </c>
    </row>
    <row r="96" customFormat="false" ht="12.75" hidden="false" customHeight="false" outlineLevel="0" collapsed="false">
      <c r="Z96" s="0" t="n">
        <f aca="false">Analysis!CG98</f>
        <v>90</v>
      </c>
      <c r="AA96" s="16" t="n">
        <f aca="false">Analysis!CH98</f>
        <v>117.51333925516</v>
      </c>
    </row>
    <row r="97" customFormat="false" ht="12.75" hidden="false" customHeight="false" outlineLevel="0" collapsed="false">
      <c r="Z97" s="0" t="n">
        <f aca="false">Analysis!CG99</f>
        <v>91</v>
      </c>
      <c r="AA97" s="16" t="n">
        <f aca="false">Analysis!CH99</f>
        <v>117.51333925516</v>
      </c>
    </row>
    <row r="98" customFormat="false" ht="12.75" hidden="false" customHeight="false" outlineLevel="0" collapsed="false">
      <c r="Z98" s="0" t="n">
        <f aca="false">Analysis!CG100</f>
        <v>92</v>
      </c>
      <c r="AA98" s="16" t="n">
        <f aca="false">Analysis!CH100</f>
        <v>117.51333925516</v>
      </c>
    </row>
    <row r="99" customFormat="false" ht="12.75" hidden="false" customHeight="false" outlineLevel="0" collapsed="false">
      <c r="Z99" s="0" t="n">
        <f aca="false">Analysis!CG101</f>
        <v>93</v>
      </c>
      <c r="AA99" s="16" t="n">
        <f aca="false">Analysis!CH101</f>
        <v>117.51333925516</v>
      </c>
    </row>
    <row r="100" customFormat="false" ht="12.75" hidden="false" customHeight="false" outlineLevel="0" collapsed="false">
      <c r="Z100" s="0" t="n">
        <f aca="false">Analysis!CG102</f>
        <v>94</v>
      </c>
      <c r="AA100" s="16" t="n">
        <f aca="false">Analysis!CH102</f>
        <v>117.51333925516</v>
      </c>
    </row>
    <row r="101" customFormat="false" ht="12.75" hidden="false" customHeight="false" outlineLevel="0" collapsed="false">
      <c r="Z101" s="0" t="n">
        <f aca="false">Analysis!CG103</f>
        <v>95</v>
      </c>
      <c r="AA101" s="16" t="n">
        <f aca="false">Analysis!CH103</f>
        <v>117.51333925516</v>
      </c>
    </row>
    <row r="102" customFormat="false" ht="12.75" hidden="false" customHeight="false" outlineLevel="0" collapsed="false">
      <c r="Z102" s="0" t="n">
        <f aca="false">Analysis!CG104</f>
        <v>96</v>
      </c>
      <c r="AA102" s="16" t="n">
        <f aca="false">Analysis!CH104</f>
        <v>117.51333925516</v>
      </c>
    </row>
    <row r="103" customFormat="false" ht="12.75" hidden="false" customHeight="false" outlineLevel="0" collapsed="false">
      <c r="Z103" s="0" t="n">
        <f aca="false">Analysis!CG105</f>
        <v>97</v>
      </c>
      <c r="AA103" s="16" t="n">
        <f aca="false">Analysis!CH105</f>
        <v>117.51333925516</v>
      </c>
    </row>
    <row r="104" customFormat="false" ht="12.75" hidden="false" customHeight="false" outlineLevel="0" collapsed="false">
      <c r="Z104" s="0" t="n">
        <f aca="false">Analysis!CG106</f>
        <v>98</v>
      </c>
      <c r="AA104" s="16" t="n">
        <f aca="false">Analysis!CH106</f>
        <v>117.51333925516</v>
      </c>
    </row>
    <row r="105" customFormat="false" ht="12.75" hidden="false" customHeight="false" outlineLevel="0" collapsed="false">
      <c r="Z105" s="0" t="n">
        <f aca="false">Analysis!CG107</f>
        <v>99</v>
      </c>
      <c r="AA105" s="16" t="n">
        <f aca="false">Analysis!CH107</f>
        <v>117.51333925516</v>
      </c>
    </row>
    <row r="106" customFormat="false" ht="12.75" hidden="false" customHeight="false" outlineLevel="0" collapsed="false">
      <c r="Z106" s="0" t="n">
        <f aca="false">Analysis!CG108</f>
        <v>100</v>
      </c>
      <c r="AA106" s="16" t="n">
        <f aca="false">Analysis!CH108</f>
        <v>117.51333925516</v>
      </c>
    </row>
  </sheetData>
  <mergeCells count="2">
    <mergeCell ref="C16:D16"/>
    <mergeCell ref="F16:G16"/>
  </mergeCells>
  <conditionalFormatting sqref="B26">
    <cfRule type="containsText" priority="2" aboveAverage="0" equalAverage="0" bottom="0" percent="0" rank="0" text="Down - Regression is low" dxfId="0"/>
    <cfRule type="containsText" priority="3" aboveAverage="0" equalAverage="0" bottom="0" percent="0" rank="0" text="Down - Regression is ok" dxfId="1"/>
    <cfRule type="containsText" priority="4" aboveAverage="0" equalAverage="0" bottom="0" percent="0" rank="0" text="Down - Regression is great" dxfId="2"/>
    <cfRule type="containsText" priority="5" aboveAverage="0" equalAverage="0" bottom="0" percent="0" rank="0" text="Up - Regression is great" dxfId="3"/>
    <cfRule type="containsText" priority="6" aboveAverage="0" equalAverage="0" bottom="0" percent="0" rank="0" text="Up - Regression is ok" dxfId="4"/>
    <cfRule type="containsText" priority="7" aboveAverage="0" equalAverage="0" bottom="0" percent="0" rank="0" text="Up - Regression is low" dxfId="5"/>
    <cfRule type="containsText" priority="8" aboveAverage="0" equalAverage="0" bottom="0" percent="0" rank="0" text="Neutral" dxfId="6"/>
    <cfRule type="containsText" priority="9" aboveAverage="0" equalAverage="0" bottom="0" percent="0" rank="0" text="Down" dxfId="7"/>
    <cfRule type="containsText" priority="10" aboveAverage="0" equalAverage="0" bottom="0" percent="0" rank="0" text="Up" dxfId="8"/>
  </conditionalFormatting>
  <conditionalFormatting sqref="C34">
    <cfRule type="iconSet" priority="11">
      <iconSet iconSet="3TrafficLights1">
        <cfvo type="percent" val="0"/>
        <cfvo type="num" val="0.33"/>
        <cfvo type="num" val="0.67"/>
      </iconSet>
    </cfRule>
  </conditionalFormatting>
  <conditionalFormatting sqref="C38">
    <cfRule type="iconSet" priority="12">
      <iconSet iconSet="3TrafficLights1">
        <cfvo type="percent" val="0"/>
        <cfvo type="num" val="0.33"/>
        <cfvo type="num" val="0.67"/>
      </iconSet>
    </cfRule>
  </conditionalFormatting>
  <conditionalFormatting sqref="C42">
    <cfRule type="iconSet" priority="13">
      <iconSet iconSet="3TrafficLights1">
        <cfvo type="percent" val="0"/>
        <cfvo type="num" val="0.33"/>
        <cfvo type="num" val="0.67"/>
      </iconSet>
    </cfRule>
  </conditionalFormatting>
  <conditionalFormatting sqref="B22">
    <cfRule type="containsText" priority="14" aboveAverage="0" equalAverage="0" bottom="0" percent="0" rank="0" text="Neutral" dxfId="9"/>
    <cfRule type="containsText" priority="15" aboveAverage="0" equalAverage="0" bottom="0" percent="0" rank="0" text="Down" dxfId="10"/>
    <cfRule type="containsText" priority="16" aboveAverage="0" equalAverage="0" bottom="0" percent="0" rank="0" text="Up" dxfId="11"/>
  </conditionalFormatting>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tabColor rgb="FFFFFF00"/>
    <pageSetUpPr fitToPage="true"/>
  </sheetPr>
  <dimension ref="1:1042"/>
  <sheetViews>
    <sheetView showFormulas="false" showGridLines="true" showRowColHeaders="true" showZeros="true" rightToLeft="false" tabSelected="false" showOutlineSymbols="true" defaultGridColor="true" view="normal" topLeftCell="A1" colorId="64" zoomScale="76" zoomScaleNormal="76" zoomScalePageLayoutView="100" workbookViewId="0">
      <selection pane="topLeft" activeCell="AF7" activeCellId="0" sqref="AF7"/>
    </sheetView>
  </sheetViews>
  <sheetFormatPr defaultRowHeight="15.75"/>
  <cols>
    <col collapsed="false" hidden="false" max="1" min="1" style="23" width="27.5408163265306"/>
    <col collapsed="false" hidden="true" max="2" min="2" style="45" width="0"/>
    <col collapsed="false" hidden="true" max="5" min="3" style="46" width="0"/>
    <col collapsed="false" hidden="false" max="6" min="6" style="0" width="17.8214285714286"/>
    <col collapsed="false" hidden="true" max="29" min="7" style="0" width="0"/>
    <col collapsed="false" hidden="false" max="30" min="30" style="0" width="10.8010204081633"/>
    <col collapsed="false" hidden="false" max="40" min="31" style="23" width="10.8010204081633"/>
    <col collapsed="false" hidden="true" max="44" min="41" style="23" width="0"/>
    <col collapsed="false" hidden="false" max="45" min="45" style="23" width="10.9336734693878"/>
    <col collapsed="false" hidden="false" max="50" min="46" style="47" width="10.8010204081633"/>
    <col collapsed="false" hidden="false" max="51" min="51" style="23" width="15.2551020408163"/>
    <col collapsed="false" hidden="false" max="52" min="52" style="23" width="116.362244897959"/>
    <col collapsed="false" hidden="false" max="53" min="53" style="23" width="13.0918367346939"/>
    <col collapsed="false" hidden="false" max="54" min="54" style="23" width="16.3316326530612"/>
    <col collapsed="false" hidden="false" max="55" min="55" style="23" width="18.6275510204082"/>
    <col collapsed="false" hidden="false" max="56" min="56" style="23" width="30.2397959183673"/>
    <col collapsed="false" hidden="false" max="57" min="57" style="23" width="19.8418367346939"/>
    <col collapsed="false" hidden="false" max="59" min="58" style="23" width="13.0918367346939"/>
    <col collapsed="false" hidden="false" max="60" min="60" style="23" width="53.5918367346939"/>
    <col collapsed="false" hidden="false" max="61" min="61" style="23" width="19.9795918367347"/>
    <col collapsed="false" hidden="false" max="62" min="62" style="23" width="93.280612244898"/>
    <col collapsed="false" hidden="false" max="63" min="63" style="48" width="78.8367346938775"/>
    <col collapsed="false" hidden="false" max="64" min="64" style="23" width="26.3214285714286"/>
    <col collapsed="false" hidden="false" max="65" min="65" style="23" width="86.2602040816327"/>
    <col collapsed="false" hidden="false" max="66" min="66" style="23" width="35.3673469387755"/>
    <col collapsed="false" hidden="false" max="68" min="67" style="23" width="16.469387755102"/>
    <col collapsed="false" hidden="false" max="69" min="69" style="23" width="45.3571428571429"/>
    <col collapsed="false" hidden="false" max="71" min="70" style="23" width="10.8010204081633"/>
    <col collapsed="false" hidden="false" max="72" min="72" style="23" width="11.3418367346939"/>
    <col collapsed="false" hidden="false" max="73" min="73" style="23" width="10.8010204081633"/>
    <col collapsed="false" hidden="false" max="74" min="74" style="23" width="11.3418367346939"/>
    <col collapsed="false" hidden="false" max="94" min="75" style="23" width="10.8010204081633"/>
    <col collapsed="false" hidden="false" max="96" min="95" style="23" width="42.25"/>
    <col collapsed="false" hidden="false" max="272" min="97" style="23" width="10.8010204081633"/>
    <col collapsed="false" hidden="false" max="1025" min="273" style="23" width="8.23469387755102"/>
  </cols>
  <sheetData>
    <row r="1" customFormat="false" ht="33.75" hidden="false" customHeight="true" outlineLevel="0" collapsed="false">
      <c r="A1" s="49" t="s">
        <v>26</v>
      </c>
      <c r="B1" s="50" t="s">
        <v>27</v>
      </c>
      <c r="C1" s="50"/>
      <c r="D1" s="50"/>
      <c r="E1" s="50"/>
      <c r="F1" s="50"/>
      <c r="G1" s="50"/>
      <c r="H1" s="50"/>
      <c r="I1" s="50"/>
      <c r="J1" s="50"/>
      <c r="K1" s="50"/>
      <c r="L1" s="50"/>
      <c r="M1" s="50"/>
      <c r="N1" s="50"/>
      <c r="AE1" s="51" t="s">
        <v>28</v>
      </c>
      <c r="AF1" s="51"/>
      <c r="AG1" s="51"/>
      <c r="AH1" s="51"/>
      <c r="AI1" s="51"/>
      <c r="AJ1" s="51"/>
      <c r="AK1" s="51"/>
      <c r="AL1" s="51"/>
      <c r="AM1" s="51"/>
      <c r="AT1" s="47" t="s">
        <v>29</v>
      </c>
      <c r="AU1" s="47" t="s">
        <v>30</v>
      </c>
      <c r="AV1" s="47" t="s">
        <v>29</v>
      </c>
      <c r="AW1" s="47" t="s">
        <v>30</v>
      </c>
      <c r="AZ1" s="51" t="s">
        <v>31</v>
      </c>
      <c r="BH1" s="52" t="s">
        <v>32</v>
      </c>
      <c r="BK1" s="52" t="s">
        <v>33</v>
      </c>
      <c r="BM1" s="51" t="s">
        <v>34</v>
      </c>
      <c r="BQ1" s="53" t="s">
        <v>35</v>
      </c>
      <c r="BR1" s="54" t="s">
        <v>36</v>
      </c>
      <c r="BS1" s="54"/>
      <c r="BT1" s="54"/>
      <c r="BU1" s="54"/>
      <c r="BV1" s="54"/>
      <c r="BW1" s="54"/>
      <c r="BX1" s="54"/>
      <c r="BY1" s="54"/>
      <c r="BZ1" s="54"/>
      <c r="CA1" s="54"/>
      <c r="CB1" s="54"/>
      <c r="CC1" s="54"/>
      <c r="CD1" s="54"/>
      <c r="CE1" s="54"/>
      <c r="CF1" s="54"/>
      <c r="CG1" s="54"/>
      <c r="CH1" s="54"/>
      <c r="CI1" s="54"/>
      <c r="CJ1" s="54"/>
      <c r="CK1" s="55"/>
      <c r="CL1" s="55"/>
      <c r="CM1" s="55"/>
    </row>
    <row r="2" s="27" customFormat="true" ht="94.5" hidden="false" customHeight="false" outlineLevel="0" collapsed="false">
      <c r="A2" s="56" t="s">
        <v>37</v>
      </c>
      <c r="B2" s="57"/>
      <c r="C2" s="57"/>
      <c r="D2" s="57"/>
      <c r="E2" s="57"/>
      <c r="F2" s="57"/>
      <c r="G2" s="57"/>
      <c r="H2" s="0"/>
      <c r="I2" s="0"/>
      <c r="J2" s="0"/>
      <c r="K2" s="0"/>
      <c r="L2" s="0"/>
      <c r="M2" s="0"/>
      <c r="N2" s="0"/>
      <c r="O2" s="0"/>
      <c r="P2" s="0"/>
      <c r="Q2" s="0"/>
      <c r="R2" s="0"/>
      <c r="S2" s="0"/>
      <c r="T2" s="0"/>
      <c r="U2" s="0"/>
      <c r="V2" s="0"/>
      <c r="W2" s="0"/>
      <c r="X2" s="0"/>
      <c r="Y2" s="0"/>
      <c r="Z2" s="0"/>
      <c r="AA2" s="0"/>
      <c r="AB2" s="0"/>
      <c r="AC2" s="0"/>
      <c r="AD2" s="0"/>
      <c r="AN2" s="27" t="s">
        <v>38</v>
      </c>
      <c r="AT2" s="58" t="n">
        <f aca="false">COUNTIF(AT6:AT100, "BULLISH")</f>
        <v>9</v>
      </c>
      <c r="AU2" s="58" t="n">
        <f aca="false">COUNTIF(AU6:AU100, "BEARISH")</f>
        <v>15</v>
      </c>
      <c r="AV2" s="59" t="n">
        <f aca="false">COUNTIF(AT950:AT1013, "BULLISH")</f>
        <v>4</v>
      </c>
      <c r="AW2" s="60" t="n">
        <f aca="false">COUNTIF(AU950:AU1013, "BEARISH")</f>
        <v>13</v>
      </c>
      <c r="AX2" s="47"/>
      <c r="AZ2" s="61" t="s">
        <v>39</v>
      </c>
      <c r="BH2" s="62" t="s">
        <v>40</v>
      </c>
      <c r="BK2" s="63" t="s">
        <v>41</v>
      </c>
      <c r="BM2" s="55" t="s">
        <v>42</v>
      </c>
      <c r="BQ2" s="64" t="s">
        <v>43</v>
      </c>
      <c r="BR2" s="27" t="n">
        <v>0</v>
      </c>
    </row>
    <row r="3" customFormat="false" ht="56.1" hidden="false" customHeight="true" outlineLevel="0" collapsed="false">
      <c r="A3" s="65" t="s">
        <v>44</v>
      </c>
      <c r="F3" s="33"/>
      <c r="G3" s="33"/>
      <c r="H3" s="33"/>
      <c r="I3" s="33"/>
      <c r="J3" s="33"/>
      <c r="K3" s="24"/>
      <c r="L3" s="24"/>
      <c r="M3" s="24"/>
      <c r="N3" s="66"/>
      <c r="AN3" s="23" t="s">
        <v>45</v>
      </c>
      <c r="AT3" s="58" t="n">
        <f aca="false">COUNTIF(AT6:AT195, "BULLISH")</f>
        <v>18</v>
      </c>
      <c r="AU3" s="58" t="n">
        <f aca="false">COUNTIF(AU6:AU195, "BEARISH")</f>
        <v>33</v>
      </c>
      <c r="AV3" s="59" t="n">
        <f aca="false">COUNTIF(AT824:AT1013, "BULLISH")</f>
        <v>13</v>
      </c>
      <c r="AW3" s="60" t="n">
        <f aca="false">COUNTIF(AU824:AU1013, "BEARISH")</f>
        <v>35</v>
      </c>
      <c r="AZ3" s="67" t="s">
        <v>46</v>
      </c>
      <c r="BH3" s="62" t="s">
        <v>47</v>
      </c>
      <c r="BK3" s="68" t="str">
        <f aca="false">IF(AND(AZ6="Up - Regression is great",BH6="Up - Bullish"),"Call Option Try OTM"," ")</f>
        <v> </v>
      </c>
      <c r="BM3" s="67" t="s">
        <v>48</v>
      </c>
      <c r="BQ3" s="64" t="s">
        <v>49</v>
      </c>
      <c r="BR3" s="60" t="n">
        <f aca="false">BC45</f>
        <v>131.43</v>
      </c>
    </row>
    <row r="4" customFormat="false" ht="189.75" hidden="false" customHeight="false" outlineLevel="0" collapsed="false">
      <c r="A4" s="69" t="s">
        <v>50</v>
      </c>
      <c r="F4" s="33"/>
      <c r="G4" s="33"/>
      <c r="H4" s="33"/>
      <c r="I4" s="33"/>
      <c r="J4" s="33"/>
      <c r="K4" s="24"/>
      <c r="L4" s="24"/>
      <c r="M4" s="24"/>
      <c r="N4" s="66"/>
      <c r="AN4" s="23" t="s">
        <v>51</v>
      </c>
      <c r="AT4" s="58" t="n">
        <f aca="false">COUNTIF(AT6:AT259, "BULLISH")</f>
        <v>23</v>
      </c>
      <c r="AU4" s="58" t="n">
        <f aca="false">COUNTIF(AU7:AU259, "BEARISH")</f>
        <v>46</v>
      </c>
      <c r="AV4" s="59" t="n">
        <f aca="false">COUNTIF(AT615:AT1015, "BULLISH")</f>
        <v>31</v>
      </c>
      <c r="AW4" s="60" t="n">
        <f aca="false">COUNTIF(AU615:AU1015, "BEARISH")</f>
        <v>71</v>
      </c>
      <c r="AZ4" s="70" t="s">
        <v>52</v>
      </c>
      <c r="BH4" s="71" t="s">
        <v>53</v>
      </c>
      <c r="BI4" s="46" t="s">
        <v>54</v>
      </c>
      <c r="BK4" s="72" t="str">
        <f aca="false">IF(AND(AZ6="Up - Regression is ok",BH6="Up - Bullish"),"Call Option ITM"," ")</f>
        <v> </v>
      </c>
      <c r="BM4" s="73"/>
      <c r="BQ4" s="23" t="s">
        <v>55</v>
      </c>
      <c r="BR4" s="60" t="n">
        <f aca="false">BL12</f>
        <v>3.9530308843296</v>
      </c>
    </row>
    <row r="5" s="40" customFormat="true" ht="45.75" hidden="false" customHeight="true" outlineLevel="0" collapsed="false">
      <c r="A5" s="74" t="s">
        <v>56</v>
      </c>
      <c r="B5" s="75" t="s">
        <v>57</v>
      </c>
      <c r="C5" s="75"/>
      <c r="D5" s="75"/>
      <c r="E5" s="75"/>
      <c r="F5" s="76"/>
      <c r="G5" s="76"/>
      <c r="H5" s="76"/>
      <c r="I5" s="76"/>
      <c r="J5" s="76"/>
      <c r="K5" s="76"/>
      <c r="L5" s="76"/>
      <c r="M5" s="76"/>
      <c r="N5" s="77"/>
      <c r="O5" s="0"/>
      <c r="P5" s="0"/>
      <c r="Q5" s="0"/>
      <c r="R5" s="0"/>
      <c r="S5" s="0"/>
      <c r="T5" s="0"/>
      <c r="U5" s="0"/>
      <c r="V5" s="0"/>
      <c r="W5" s="0"/>
      <c r="X5" s="0"/>
      <c r="Y5" s="0"/>
      <c r="Z5" s="0"/>
      <c r="AA5" s="0"/>
      <c r="AB5" s="0"/>
      <c r="AC5" s="0"/>
      <c r="AD5" s="0"/>
      <c r="AN5" s="32" t="s">
        <v>58</v>
      </c>
      <c r="AT5" s="58" t="n">
        <f aca="false">COUNTIF(AT7:AT1121, "BULLISH")</f>
        <v>86</v>
      </c>
      <c r="AU5" s="58" t="n">
        <f aca="false">COUNTIF(AU7:AU1121, "BEARISH")</f>
        <v>165</v>
      </c>
      <c r="AV5" s="47"/>
      <c r="AW5" s="47"/>
      <c r="AX5" s="47"/>
      <c r="AZ5" s="70" t="s">
        <v>59</v>
      </c>
      <c r="BK5" s="72" t="str">
        <f aca="false">IF(AND(AZ6="Up - Regression is low",BH6="Neutral"),"Call Option ITM close to ATM"," ")</f>
        <v> </v>
      </c>
      <c r="BM5" s="73"/>
    </row>
    <row r="6" customFormat="false" ht="69" hidden="false" customHeight="false" outlineLevel="0" collapsed="false">
      <c r="A6" s="78"/>
      <c r="B6" s="79" t="s">
        <v>60</v>
      </c>
      <c r="C6" s="80" t="s">
        <v>61</v>
      </c>
      <c r="D6" s="80" t="s">
        <v>62</v>
      </c>
      <c r="E6" s="80" t="s">
        <v>63</v>
      </c>
      <c r="F6" s="18" t="s">
        <v>64</v>
      </c>
      <c r="G6" s="18" t="s">
        <v>65</v>
      </c>
      <c r="H6" s="18" t="s">
        <v>66</v>
      </c>
      <c r="I6" s="18" t="s">
        <v>67</v>
      </c>
      <c r="J6" s="18" t="s">
        <v>68</v>
      </c>
      <c r="K6" s="18" t="s">
        <v>69</v>
      </c>
      <c r="L6" s="18" t="s">
        <v>70</v>
      </c>
      <c r="M6" s="18" t="s">
        <v>71</v>
      </c>
      <c r="N6" s="81" t="s">
        <v>72</v>
      </c>
      <c r="V6" s="57"/>
      <c r="W6" s="57"/>
      <c r="X6" s="57"/>
      <c r="Y6" s="57"/>
      <c r="Z6" s="57"/>
      <c r="AA6" s="57"/>
      <c r="AB6" s="57"/>
      <c r="AC6" s="57"/>
      <c r="AE6" s="0" t="str">
        <f aca="false">Data!A1</f>
        <v>ï»¿Date</v>
      </c>
      <c r="AF6" s="0" t="str">
        <f aca="false">Data!B1</f>
        <v>Open</v>
      </c>
      <c r="AG6" s="0" t="str">
        <f aca="false">Data!F1</f>
        <v>Volume</v>
      </c>
      <c r="AH6" s="0" t="str">
        <f aca="false">Data!C1</f>
        <v>High</v>
      </c>
      <c r="AI6" s="0" t="str">
        <f aca="false">Data!D1</f>
        <v>Low</v>
      </c>
      <c r="AJ6" s="0" t="str">
        <f aca="false">Data!E1</f>
        <v>Close</v>
      </c>
      <c r="AK6" s="0" t="str">
        <f aca="false">Data!F1</f>
        <v>Volume</v>
      </c>
      <c r="AL6" s="0" t="str">
        <f aca="false">AJ6</f>
        <v>Close</v>
      </c>
      <c r="AM6" s="1" t="s">
        <v>73</v>
      </c>
      <c r="AN6" s="82" t="s">
        <v>74</v>
      </c>
      <c r="AO6" s="82" t="s">
        <v>75</v>
      </c>
      <c r="AP6" s="82" t="s">
        <v>76</v>
      </c>
      <c r="AQ6" s="82" t="s">
        <v>77</v>
      </c>
      <c r="AR6" s="82" t="s">
        <v>78</v>
      </c>
      <c r="AS6" s="82" t="s">
        <v>79</v>
      </c>
      <c r="AT6" s="83"/>
      <c r="AU6" s="83"/>
      <c r="AV6" s="83"/>
      <c r="AW6" s="83"/>
      <c r="AX6" s="83"/>
      <c r="AY6" s="84" t="s">
        <v>17</v>
      </c>
      <c r="AZ6" s="22" t="str">
        <f aca="false">Summary!B26</f>
        <v>Up - Regression is great</v>
      </c>
      <c r="BA6" s="0"/>
      <c r="BB6" s="0"/>
      <c r="BC6" s="0"/>
      <c r="BD6" s="0"/>
      <c r="BE6" s="0"/>
      <c r="BF6" s="0"/>
      <c r="BG6" s="84" t="s">
        <v>17</v>
      </c>
      <c r="BH6" s="22" t="str">
        <f aca="false">Summary!B22</f>
        <v>Neutral</v>
      </c>
      <c r="BI6" s="0"/>
      <c r="BJ6" s="0"/>
      <c r="BK6" s="85" t="str">
        <f aca="false">IF(AND(AZ6="Down - Regression is low",BH6="Neutral"),"Put Option ITM close to ATM"," ")</f>
        <v> </v>
      </c>
      <c r="BL6" s="0"/>
      <c r="BM6" s="0"/>
      <c r="BP6" s="86" t="s">
        <v>80</v>
      </c>
      <c r="BR6" s="0"/>
      <c r="BS6" s="0"/>
      <c r="BT6" s="87"/>
      <c r="BU6" s="0"/>
      <c r="BV6" s="0"/>
      <c r="BW6" s="0"/>
      <c r="BX6" s="0"/>
      <c r="BY6" s="0"/>
      <c r="BZ6" s="0"/>
      <c r="CA6" s="0"/>
      <c r="CB6" s="0"/>
      <c r="CC6" s="0"/>
    </row>
    <row r="7" customFormat="false" ht="51.95" hidden="false" customHeight="true" outlineLevel="0" collapsed="false">
      <c r="A7" s="78"/>
      <c r="B7" s="88" t="s">
        <v>81</v>
      </c>
      <c r="C7" s="84" t="s">
        <v>17</v>
      </c>
      <c r="D7" s="84" t="s">
        <v>17</v>
      </c>
      <c r="E7" s="84" t="s">
        <v>17</v>
      </c>
      <c r="F7" s="88" t="s">
        <v>81</v>
      </c>
      <c r="G7" s="88" t="s">
        <v>81</v>
      </c>
      <c r="H7" s="88" t="s">
        <v>81</v>
      </c>
      <c r="I7" s="88" t="s">
        <v>81</v>
      </c>
      <c r="J7" s="88" t="s">
        <v>81</v>
      </c>
      <c r="K7" s="88" t="s">
        <v>81</v>
      </c>
      <c r="L7" s="88" t="s">
        <v>81</v>
      </c>
      <c r="M7" s="88" t="s">
        <v>81</v>
      </c>
      <c r="N7" s="89"/>
      <c r="AE7" s="90" t="n">
        <f aca="false">Data!A2</f>
        <v>42965</v>
      </c>
      <c r="AF7" s="17" t="n">
        <f aca="false">Data!B2</f>
        <v>157.86</v>
      </c>
      <c r="AG7" s="17" t="n">
        <f aca="false">Data!F2</f>
        <v>27353246</v>
      </c>
      <c r="AH7" s="17" t="n">
        <f aca="false">Data!C2</f>
        <v>159.5</v>
      </c>
      <c r="AI7" s="17" t="n">
        <f aca="false">Data!D2</f>
        <v>156.72</v>
      </c>
      <c r="AJ7" s="17" t="n">
        <f aca="false">Data!E2</f>
        <v>157.5</v>
      </c>
      <c r="AK7" s="17" t="n">
        <f aca="false">Data!F2</f>
        <v>27353246</v>
      </c>
      <c r="AL7" s="17" t="n">
        <f aca="false">AJ7</f>
        <v>157.5</v>
      </c>
      <c r="AM7" s="17"/>
      <c r="AN7" s="17"/>
      <c r="AO7" s="17"/>
      <c r="AP7" s="17"/>
      <c r="AQ7" s="17"/>
      <c r="AR7" s="17"/>
      <c r="AS7" s="17"/>
      <c r="AT7" s="91"/>
      <c r="AU7" s="91"/>
      <c r="AV7" s="86"/>
      <c r="AW7" s="86"/>
      <c r="AX7" s="86"/>
      <c r="AY7" s="0"/>
      <c r="AZ7" s="0" t="s">
        <v>82</v>
      </c>
      <c r="BA7" s="0"/>
      <c r="BB7" s="0"/>
      <c r="BC7" s="0"/>
      <c r="BD7" s="0" t="s">
        <v>83</v>
      </c>
      <c r="BE7" s="0" t="s">
        <v>84</v>
      </c>
      <c r="BF7" s="0" t="s">
        <v>85</v>
      </c>
      <c r="BG7" s="0"/>
      <c r="BH7" s="0"/>
      <c r="BI7" s="0"/>
      <c r="BJ7" s="0"/>
      <c r="BK7" s="85" t="str">
        <f aca="false">IF(AND(AZ6="Down - Regression is ok",BH6="Down - Bearish"),"Put Option ITM"," ")</f>
        <v> </v>
      </c>
      <c r="BL7" s="0" t="n">
        <f aca="false">STDEV(AM8:AM257)</f>
        <v>1.1411417225913</v>
      </c>
      <c r="BM7" s="0" t="s">
        <v>86</v>
      </c>
      <c r="BP7" s="0" t="s">
        <v>87</v>
      </c>
      <c r="BQ7" s="92" t="n">
        <v>0</v>
      </c>
      <c r="BR7" s="17" t="n">
        <v>3</v>
      </c>
      <c r="BS7" s="17" t="n">
        <v>6</v>
      </c>
      <c r="BT7" s="17" t="n">
        <v>9</v>
      </c>
      <c r="BU7" s="17" t="n">
        <v>12</v>
      </c>
      <c r="BV7" s="17" t="n">
        <v>15</v>
      </c>
      <c r="BW7" s="17" t="n">
        <v>18</v>
      </c>
      <c r="BX7" s="17" t="n">
        <v>21</v>
      </c>
      <c r="BY7" s="17" t="n">
        <v>24</v>
      </c>
      <c r="BZ7" s="17" t="n">
        <v>27</v>
      </c>
      <c r="CA7" s="17" t="n">
        <v>30</v>
      </c>
      <c r="CB7" s="17" t="n">
        <v>33</v>
      </c>
      <c r="CC7" s="17" t="n">
        <v>36</v>
      </c>
      <c r="CD7" s="17" t="n">
        <v>39</v>
      </c>
      <c r="CE7" s="17" t="n">
        <v>42</v>
      </c>
      <c r="CF7" s="17" t="n">
        <v>45</v>
      </c>
      <c r="CG7" s="17" t="n">
        <v>48</v>
      </c>
      <c r="CH7" s="17" t="n">
        <v>51</v>
      </c>
      <c r="CI7" s="17" t="n">
        <v>54</v>
      </c>
    </row>
    <row r="8" customFormat="false" ht="68.1" hidden="false" customHeight="true" outlineLevel="0" collapsed="false">
      <c r="A8" s="78"/>
      <c r="C8" s="93" t="s">
        <v>88</v>
      </c>
      <c r="D8" s="93" t="s">
        <v>89</v>
      </c>
      <c r="E8" s="93" t="s">
        <v>88</v>
      </c>
      <c r="F8" s="94" t="n">
        <f aca="false">$AJ$7</f>
        <v>157.5</v>
      </c>
      <c r="G8" s="94"/>
      <c r="H8" s="94" t="n">
        <v>1.07</v>
      </c>
      <c r="I8" s="94" t="n">
        <v>22.45</v>
      </c>
      <c r="J8" s="95" t="n">
        <v>589673</v>
      </c>
      <c r="K8" s="95" t="n">
        <v>494341</v>
      </c>
      <c r="L8" s="94"/>
      <c r="M8" s="94"/>
      <c r="N8" s="96" t="str">
        <f aca="false">IF(AND($H12="yes",$I12="yes",$J11="Heart and mind kick ass",$L11="This gets you a decent amount compared to industry standard",$C8="High"),"Great Buy, Stop Here","Not a straight stock buy, so move onto step 2 as option is more likely")</f>
        <v>Not a straight stock buy, so move onto step 2 as option is more likely</v>
      </c>
      <c r="AE8" s="90" t="n">
        <f aca="false">Data!A3</f>
        <v>42964</v>
      </c>
      <c r="AF8" s="17" t="n">
        <f aca="false">Data!B3</f>
        <v>160.52</v>
      </c>
      <c r="AG8" s="17" t="n">
        <f aca="false">Data!F3</f>
        <v>27940565</v>
      </c>
      <c r="AH8" s="17" t="n">
        <f aca="false">Data!C3</f>
        <v>160.71</v>
      </c>
      <c r="AI8" s="17" t="n">
        <f aca="false">Data!D3</f>
        <v>157.84</v>
      </c>
      <c r="AJ8" s="17" t="n">
        <f aca="false">Data!E3</f>
        <v>157.86</v>
      </c>
      <c r="AK8" s="17" t="n">
        <f aca="false">Data!F3</f>
        <v>27940565</v>
      </c>
      <c r="AL8" s="17" t="n">
        <f aca="false">AJ8</f>
        <v>157.86</v>
      </c>
      <c r="AM8" s="17" t="n">
        <f aca="false">(AL8-AL7)/AL8*100</f>
        <v>0.228050171037637</v>
      </c>
      <c r="AN8" s="17" t="n">
        <f aca="false">(AK8-AK7)/AK8*100</f>
        <v>2.10202979073616</v>
      </c>
      <c r="AO8" s="17" t="str">
        <f aca="false">IF(AN8&lt;-8,"FITS BITCH",IF(AN8&gt;-8,"no"))</f>
        <v>no</v>
      </c>
      <c r="AP8" s="17" t="str">
        <f aca="false">IF(AH9&lt;AH8,"FITS BITCH",IF(AH9&gt;AH8,"no"))</f>
        <v>no</v>
      </c>
      <c r="AQ8" s="17" t="str">
        <f aca="false">IF(AI9&lt;AI8,"FITS BITCH",IF(AI9&gt;AI8,"no"))</f>
        <v>no</v>
      </c>
      <c r="AR8" s="17" t="str">
        <f aca="false">IF(AJ8&lt;AH9,"FITS BITCH",IF(AJ8&gt;AH9,"no"))</f>
        <v>FITS BITCH</v>
      </c>
      <c r="AS8" s="17" t="str">
        <f aca="false">IF(AJ8&gt;AJ9,"FITS BITCH",IF(AJ8&lt;AJ9,"no"))</f>
        <v>no</v>
      </c>
      <c r="AT8" s="91" t="str">
        <f aca="false">IF(AND($AO8="FITS BITCH",$AP8="FITS BITCH",$AR8="FITS BITCH"),"BULLISH","")</f>
        <v/>
      </c>
      <c r="AU8" s="91" t="str">
        <f aca="false">IF(AND($AO8="FITS BITCH",$AQ8="FITS BITCH",$AS8="FITS BITCH"),"BEARISH","")</f>
        <v/>
      </c>
      <c r="AV8" s="86"/>
      <c r="AW8" s="86"/>
      <c r="AX8" s="86"/>
      <c r="AZ8" s="0" t="n">
        <f aca="false">MIN(AJ7:AJ27)</f>
        <v>148.73</v>
      </c>
      <c r="BA8" s="0"/>
      <c r="BB8" s="0" t="s">
        <v>90</v>
      </c>
      <c r="BC8" s="12" t="n">
        <f aca="false">MIN(AJ7:AJ28)</f>
        <v>148.73</v>
      </c>
      <c r="BD8" s="0" t="s">
        <v>91</v>
      </c>
      <c r="BE8" s="97" t="n">
        <f aca="false">BC10-3*BC12</f>
        <v>142.599279252766</v>
      </c>
      <c r="BF8" s="17" t="n">
        <f aca="false" t="array" ref="BF8:BF15">FREQUENCY(AJ7:AJ28,BE8:BE14)</f>
        <v>0</v>
      </c>
      <c r="BG8" s="0"/>
      <c r="BH8" s="0"/>
      <c r="BI8" s="0"/>
      <c r="BJ8" s="0"/>
      <c r="BK8" s="85" t="str">
        <f aca="false">IF(AND(AZ6="Down - Regression is great",BH6="Down - Bearish"),"Put Option try OTM"," ")</f>
        <v> </v>
      </c>
      <c r="BL8" s="0" t="n">
        <f aca="false">SQRT(254)</f>
        <v>15.9373774505092</v>
      </c>
      <c r="BM8" s="0" t="s">
        <v>92</v>
      </c>
      <c r="BP8" s="32" t="s">
        <v>93</v>
      </c>
      <c r="BQ8" s="98" t="n">
        <f aca="false">$F$8</f>
        <v>157.5</v>
      </c>
      <c r="BR8" s="98" t="n">
        <f aca="true">MAX(_xlfn.NORM.INV(RAND(),BQ8,$BR$4*BQ8/$BR$3),$BR$2)</f>
        <v>151.580093892502</v>
      </c>
      <c r="BS8" s="98" t="n">
        <f aca="true">MAX(_xlfn.NORM.INV(RAND(),BR8,$BR$4*BR8/$BR$3),$BR$2)</f>
        <v>148.629064973692</v>
      </c>
      <c r="BT8" s="98" t="n">
        <f aca="true">MAX(_xlfn.NORM.INV(RAND(),BS8,$BR$4*BS8/$BR$3),$BR$2)</f>
        <v>147.690469807317</v>
      </c>
      <c r="BU8" s="98" t="n">
        <f aca="true">MAX(_xlfn.NORM.INV(RAND(),BT8,$BR$4*BT8/$BR$3),$BR$2)</f>
        <v>154.175786957976</v>
      </c>
      <c r="BV8" s="98" t="n">
        <f aca="true">MAX(_xlfn.NORM.INV(RAND(),BU8,$BR$4*BU8/$BR$3),$BR$2)</f>
        <v>152.482491885217</v>
      </c>
      <c r="BW8" s="98" t="n">
        <f aca="true">MAX(_xlfn.NORM.INV(RAND(),BV8,$BR$4*BV8/$BR$3),$BR$2)</f>
        <v>147.544996072445</v>
      </c>
      <c r="BX8" s="98" t="n">
        <f aca="true">MAX(_xlfn.NORM.INV(RAND(),BW8,$BR$4*BW8/$BR$3),$BR$2)</f>
        <v>150.429189780073</v>
      </c>
      <c r="BY8" s="98" t="n">
        <f aca="true">MAX(_xlfn.NORM.INV(RAND(),BX8,$BR$4*BX8/$BR$3),$BR$2)</f>
        <v>142.697316139695</v>
      </c>
      <c r="BZ8" s="98" t="n">
        <f aca="true">MAX(_xlfn.NORM.INV(RAND(),BY8,$BR$4*BY8/$BR$3),$BR$2)</f>
        <v>142.707835432971</v>
      </c>
      <c r="CA8" s="98" t="n">
        <f aca="true">MAX(_xlfn.NORM.INV(RAND(),BZ8,$BR$4*BZ8/$BR$3),$BR$2)</f>
        <v>143.921353320252</v>
      </c>
      <c r="CB8" s="98" t="n">
        <f aca="true">MAX(_xlfn.NORM.INV(RAND(),CA8,$BR$4*CA8/$BR$3),$BR$2)</f>
        <v>142.79827795493</v>
      </c>
      <c r="CC8" s="98" t="n">
        <f aca="true">MAX(_xlfn.NORM.INV(RAND(),CB8,$BR$4*CB8/$BR$3),$BR$2)</f>
        <v>134.360270678455</v>
      </c>
      <c r="CD8" s="98" t="n">
        <f aca="true">MAX(_xlfn.NORM.INV(RAND(),CC8,$BR$4*CC8/$BR$3),$BR$2)</f>
        <v>134.728075880579</v>
      </c>
      <c r="CE8" s="98" t="n">
        <f aca="true">MAX(_xlfn.NORM.INV(RAND(),CD8,$BR$4*CD8/$BR$3),$BR$2)</f>
        <v>130.781363469159</v>
      </c>
      <c r="CF8" s="98" t="n">
        <f aca="true">MAX(_xlfn.NORM.INV(RAND(),CE8,$BR$4*CE8/$BR$3),$BR$2)</f>
        <v>127.451546754005</v>
      </c>
      <c r="CG8" s="98" t="n">
        <f aca="true">MAX(_xlfn.NORM.INV(RAND(),CF8,$BR$4*CF8/$BR$3),$BR$2)</f>
        <v>123.261429826446</v>
      </c>
      <c r="CH8" s="98" t="n">
        <f aca="true" t="array" ref="CH8:CH108">MAX(_xlfn.NORM.INV(RAND(),CG8,$BR$4*CG8/$BR$3),$BR$2)</f>
        <v>117.51333925516</v>
      </c>
      <c r="CI8" s="98" t="n">
        <f aca="true">MAX(_xlfn.NORM.INV(RAND(),CH8,$BR$4*CH8/$BR$3),$BR$2)</f>
        <v>127.557882541259</v>
      </c>
      <c r="CL8" s="99" t="n">
        <v>43118</v>
      </c>
      <c r="CM8" s="23" t="n">
        <f aca="false">$BA$68*CL8+$BA$70</f>
        <v>182.768563142716</v>
      </c>
    </row>
    <row r="9" customFormat="false" ht="45.75" hidden="false" customHeight="false" outlineLevel="0" collapsed="false">
      <c r="A9" s="78"/>
      <c r="C9" s="100"/>
      <c r="D9" s="93" t="s">
        <v>94</v>
      </c>
      <c r="E9" s="94"/>
      <c r="F9" s="94"/>
      <c r="G9" s="94"/>
      <c r="H9" s="94"/>
      <c r="I9" s="94" t="n">
        <v>28.02</v>
      </c>
      <c r="J9" s="94"/>
      <c r="K9" s="94"/>
      <c r="L9" s="94"/>
      <c r="M9" s="94"/>
      <c r="N9" s="94"/>
      <c r="AE9" s="90" t="n">
        <f aca="false">Data!A4</f>
        <v>42963</v>
      </c>
      <c r="AF9" s="17" t="n">
        <f aca="false">Data!B4</f>
        <v>161.94</v>
      </c>
      <c r="AG9" s="17" t="n">
        <f aca="false">Data!F4</f>
        <v>27671612</v>
      </c>
      <c r="AH9" s="17" t="n">
        <f aca="false">Data!C4</f>
        <v>162.51</v>
      </c>
      <c r="AI9" s="17" t="n">
        <f aca="false">Data!D4</f>
        <v>160.15</v>
      </c>
      <c r="AJ9" s="17" t="n">
        <f aca="false">Data!E4</f>
        <v>160.95</v>
      </c>
      <c r="AK9" s="17" t="n">
        <f aca="false">Data!F4</f>
        <v>27671612</v>
      </c>
      <c r="AL9" s="17" t="n">
        <f aca="false">AJ9</f>
        <v>160.95</v>
      </c>
      <c r="AM9" s="17" t="n">
        <f aca="false">(AL9-AL8)/AL9*100</f>
        <v>1.91985088536811</v>
      </c>
      <c r="AN9" s="17" t="n">
        <f aca="false">(AK9-AK8)/AK9*100</f>
        <v>-0.971945544769853</v>
      </c>
      <c r="AO9" s="17" t="str">
        <f aca="false">IF(AN9&lt;-8,"FITS BITCH",IF(AN9&gt;-8,"no"))</f>
        <v>no</v>
      </c>
      <c r="AP9" s="17" t="str">
        <f aca="false">IF(AH10&lt;AH9,"FITS BITCH",IF(AH10&gt;AH9,"no"))</f>
        <v>FITS BITCH</v>
      </c>
      <c r="AQ9" s="17" t="str">
        <f aca="false">IF(AI10&lt;AI9,"FITS BITCH",IF(AI10&gt;AI9,"no"))</f>
        <v>FITS BITCH</v>
      </c>
      <c r="AR9" s="17" t="str">
        <f aca="false">IF(AJ9&lt;AH10,"FITS BITCH",IF(AJ9&gt;AH10,"no"))</f>
        <v>FITS BITCH</v>
      </c>
      <c r="AS9" s="17" t="str">
        <f aca="false">IF(AJ9&gt;AJ10,"FITS BITCH",IF(AJ9&lt;AJ10,"no"))</f>
        <v>no</v>
      </c>
      <c r="AT9" s="91" t="str">
        <f aca="false">IF(AND($AO9="FITS BITCH",$AP9="FITS BITCH",$AR9="FITS BITCH"),"BULLISH","")</f>
        <v/>
      </c>
      <c r="AU9" s="91" t="str">
        <f aca="false">IF(AND($AO9="FITS BITCH",$AQ9="FITS BITCH",$AS9="FITS BITCH"),"BEARISH","")</f>
        <v/>
      </c>
      <c r="AV9" s="86"/>
      <c r="AW9" s="86"/>
      <c r="AX9" s="86"/>
      <c r="AZ9" s="0" t="n">
        <f aca="false">MIN(AJ8:AJ27)</f>
        <v>148.73</v>
      </c>
      <c r="BA9" s="0"/>
      <c r="BB9" s="0" t="s">
        <v>95</v>
      </c>
      <c r="BC9" s="12" t="n">
        <f aca="false">MAX(AJ7:AJ28)</f>
        <v>161.6</v>
      </c>
      <c r="BD9" s="0" t="s">
        <v>96</v>
      </c>
      <c r="BE9" s="97" t="n">
        <f aca="false">BC10-2*BC12</f>
        <v>146.844216471541</v>
      </c>
      <c r="BF9" s="17" t="n">
        <v>0</v>
      </c>
      <c r="BG9" s="0"/>
      <c r="BH9" s="0"/>
      <c r="BI9" s="0"/>
      <c r="BJ9" s="0"/>
      <c r="BK9" s="85" t="str">
        <f aca="false">IF(AND(AZ6="Up - Regression is great",BH6="Neutral"),"Call Option ITM close to ATM"," ")</f>
        <v>Call Option ITM close to ATM</v>
      </c>
      <c r="BL9" s="86" t="n">
        <f aca="false">BL8*BL7</f>
        <v>18.1868063574618</v>
      </c>
      <c r="BM9" s="0" t="s">
        <v>97</v>
      </c>
      <c r="CG9" s="40" t="n">
        <v>1</v>
      </c>
      <c r="CH9" s="98" t="n">
        <v>117.51333925516</v>
      </c>
      <c r="CI9" s="47" t="s">
        <v>98</v>
      </c>
      <c r="CJ9" s="98" t="n">
        <f aca="false">AVERAGE(CH9:CH108)</f>
        <v>117.51333925516</v>
      </c>
      <c r="CL9" s="99" t="n">
        <v>43117</v>
      </c>
      <c r="CM9" s="23" t="n">
        <f aca="false">$BA$68*CL9+$BA$70</f>
        <v>182.614444912473</v>
      </c>
    </row>
    <row r="10" customFormat="false" ht="45" hidden="false" customHeight="false" outlineLevel="0" collapsed="false">
      <c r="A10" s="78"/>
      <c r="C10" s="100"/>
      <c r="D10" s="93" t="s">
        <v>99</v>
      </c>
      <c r="E10" s="94"/>
      <c r="F10" s="94"/>
      <c r="G10" s="94"/>
      <c r="H10" s="94"/>
      <c r="I10" s="94" t="n">
        <f aca="false">SUM(I8:I9)/2</f>
        <v>25.235</v>
      </c>
      <c r="J10" s="94"/>
      <c r="K10" s="94"/>
      <c r="L10" s="94"/>
      <c r="M10" s="94"/>
      <c r="N10" s="94"/>
      <c r="AE10" s="90" t="n">
        <f aca="false">Data!A5</f>
        <v>42962</v>
      </c>
      <c r="AF10" s="17" t="n">
        <f aca="false">Data!B5</f>
        <v>160.66</v>
      </c>
      <c r="AG10" s="17" t="n">
        <f aca="false">Data!F5</f>
        <v>29465487</v>
      </c>
      <c r="AH10" s="17" t="n">
        <f aca="false">Data!C5</f>
        <v>162.2</v>
      </c>
      <c r="AI10" s="17" t="n">
        <f aca="false">Data!D5</f>
        <v>160.14</v>
      </c>
      <c r="AJ10" s="17" t="n">
        <f aca="false">Data!E5</f>
        <v>161.6</v>
      </c>
      <c r="AK10" s="17" t="n">
        <f aca="false">Data!F5</f>
        <v>29465487</v>
      </c>
      <c r="AL10" s="17" t="n">
        <f aca="false">AJ10</f>
        <v>161.6</v>
      </c>
      <c r="AM10" s="17" t="n">
        <f aca="false">(AL10-AL9)/AL10*100</f>
        <v>0.402227722772281</v>
      </c>
      <c r="AN10" s="17" t="n">
        <f aca="false">(AK10-AK9)/AK10*100</f>
        <v>6.08805481477364</v>
      </c>
      <c r="AO10" s="17" t="str">
        <f aca="false">IF(AN10&lt;-8,"FITS BITCH",IF(AN10&gt;-8,"no"))</f>
        <v>no</v>
      </c>
      <c r="AP10" s="17" t="str">
        <f aca="false">IF(AH11&lt;AH10,"FITS BITCH",IF(AH11&gt;AH10,"no"))</f>
        <v>FITS BITCH</v>
      </c>
      <c r="AQ10" s="17" t="str">
        <f aca="false">IF(AI11&lt;AI10,"FITS BITCH",IF(AI11&gt;AI10,"no"))</f>
        <v>FITS BITCH</v>
      </c>
      <c r="AR10" s="17" t="str">
        <f aca="false">IF(AJ10&lt;AH11,"FITS BITCH",IF(AJ10&gt;AH11,"no"))</f>
        <v>no</v>
      </c>
      <c r="AS10" s="17" t="str">
        <f aca="false">IF(AJ10&gt;AJ11,"FITS BITCH",IF(AJ10&lt;AJ11,"no"))</f>
        <v>FITS BITCH</v>
      </c>
      <c r="AT10" s="91" t="str">
        <f aca="false">IF(AND($AO10="FITS BITCH",$AP10="FITS BITCH",$AR10="FITS BITCH"),"BULLISH","")</f>
        <v/>
      </c>
      <c r="AU10" s="91" t="str">
        <f aca="false">IF(AND($AO10="FITS BITCH",$AQ10="FITS BITCH",$AS10="FITS BITCH"),"BEARISH","")</f>
        <v/>
      </c>
      <c r="AV10" s="86"/>
      <c r="AW10" s="86"/>
      <c r="AX10" s="86"/>
      <c r="AZ10" s="0" t="n">
        <f aca="false">MIN(AJ9:AJ27)</f>
        <v>148.73</v>
      </c>
      <c r="BA10" s="0"/>
      <c r="BB10" s="101" t="s">
        <v>100</v>
      </c>
      <c r="BC10" s="12" t="n">
        <f aca="false">AVERAGE(AJ7:AJ28)</f>
        <v>155.334090909091</v>
      </c>
      <c r="BD10" s="0" t="s">
        <v>101</v>
      </c>
      <c r="BE10" s="97" t="n">
        <f aca="false">BC10-BC12</f>
        <v>151.089153690316</v>
      </c>
      <c r="BF10" s="17" t="n">
        <v>6</v>
      </c>
      <c r="BG10" s="0"/>
      <c r="BH10" s="0"/>
      <c r="BI10" s="0"/>
      <c r="BJ10" s="0"/>
      <c r="BK10" s="85" t="str">
        <f aca="false">IF(AND(AZ6="Up - Regression is ok",BH6="Down - Bearish"),"Put Option ITM"," ")</f>
        <v> </v>
      </c>
      <c r="BL10" s="102" t="n">
        <f aca="false">BL9/BL8</f>
        <v>1.1411417225913</v>
      </c>
      <c r="BM10" s="0" t="s">
        <v>102</v>
      </c>
      <c r="BN10" s="103"/>
      <c r="CG10" s="40" t="n">
        <v>2</v>
      </c>
      <c r="CH10" s="98" t="n">
        <v>117.51333925516</v>
      </c>
      <c r="CI10" s="47" t="s">
        <v>103</v>
      </c>
      <c r="CJ10" s="98" t="n">
        <f aca="false">STDEV(CH9:CH108)</f>
        <v>0</v>
      </c>
      <c r="CL10" s="99" t="n">
        <v>43116</v>
      </c>
      <c r="CM10" s="23" t="n">
        <f aca="false">$BA$68*CL10+$BA$70</f>
        <v>182.460326682231</v>
      </c>
    </row>
    <row r="11" customFormat="false" ht="45" hidden="false" customHeight="false" outlineLevel="0" collapsed="false">
      <c r="A11" s="78"/>
      <c r="B11" s="104"/>
      <c r="C11" s="100"/>
      <c r="D11" s="100"/>
      <c r="E11" s="94"/>
      <c r="F11" s="94"/>
      <c r="G11" s="94"/>
      <c r="H11" s="105" t="str">
        <f aca="false">IF(H8&lt;1,"Low Volatility",IF(H8&gt;1,"High Volatility",IF(H8=1,"even")))</f>
        <v>High Volatility</v>
      </c>
      <c r="I11" s="105" t="str">
        <f aca="false">IF(F8&lt;I10,"current close is below 52 week avg",IF(F8&gt;I10,"current close is above 52 week avg"))</f>
        <v>current close is above 52 week avg</v>
      </c>
      <c r="J11" s="105" t="str">
        <f aca="false">IF(AND(J8&lt;K8,F8&lt;G8,F8&lt;I10),"Heart and mind aint there at all",IF(AND(J8&lt;K8,F8&lt;G8,F8&gt;I10),"Part mind No heart",IF(AND(J8&lt;K8,F8&gt;G8,F8&lt;I10),"Part mind No heart",IF(AND(J8&gt;K8,F8&gt;G8,F8&gt;I10),"Heart and mind kick ass",IF(AND(J8&lt;K8,F8&gt;G8,F8&gt;I10),"Mind is there",IF(AND(J8&gt;K8,F8&lt;G8,F8&lt;I10),"Heart is there","Heart and mind aint there at all"))))))</f>
        <v>Heart and mind kick ass</v>
      </c>
      <c r="K11" s="106"/>
      <c r="L11" s="105" t="n">
        <f aca="false">IF(M8&lt;L8,"Spend a lot of dollars to get 1",IF(M8&gt;L8,"This gets you a decent amount compared to industry standard"))</f>
        <v>0</v>
      </c>
      <c r="M11" s="94"/>
      <c r="N11" s="94"/>
      <c r="AE11" s="90" t="n">
        <f aca="false">Data!A6</f>
        <v>42961</v>
      </c>
      <c r="AF11" s="17" t="n">
        <f aca="false">Data!B6</f>
        <v>159.32</v>
      </c>
      <c r="AG11" s="17" t="n">
        <f aca="false">Data!F6</f>
        <v>22122734</v>
      </c>
      <c r="AH11" s="17" t="n">
        <f aca="false">Data!C6</f>
        <v>160.21</v>
      </c>
      <c r="AI11" s="17" t="n">
        <f aca="false">Data!D6</f>
        <v>158.75</v>
      </c>
      <c r="AJ11" s="17" t="n">
        <f aca="false">Data!E6</f>
        <v>159.85</v>
      </c>
      <c r="AK11" s="17" t="n">
        <f aca="false">Data!F6</f>
        <v>22122734</v>
      </c>
      <c r="AL11" s="17" t="n">
        <f aca="false">AJ11</f>
        <v>159.85</v>
      </c>
      <c r="AM11" s="17" t="n">
        <f aca="false">(AL11-AL10)/AL11*100</f>
        <v>-1.09477635283078</v>
      </c>
      <c r="AN11" s="17" t="n">
        <f aca="false">(AK11-AK10)/AK11*100</f>
        <v>-33.1909835375682</v>
      </c>
      <c r="AO11" s="17" t="str">
        <f aca="false">IF(AN11&lt;-8,"FITS BITCH",IF(AN11&gt;-8,"no"))</f>
        <v>FITS BITCH</v>
      </c>
      <c r="AP11" s="17" t="str">
        <f aca="false">IF(AH12&lt;AH11,"FITS BITCH",IF(AH12&gt;AH11,"no"))</f>
        <v>FITS BITCH</v>
      </c>
      <c r="AQ11" s="17" t="str">
        <f aca="false">IF(AI12&lt;AI11,"FITS BITCH",IF(AI12&gt;AI11,"no"))</f>
        <v>FITS BITCH</v>
      </c>
      <c r="AR11" s="17" t="str">
        <f aca="false">IF(AJ11&lt;AH12,"FITS BITCH",IF(AJ11&gt;AH12,"no"))</f>
        <v>no</v>
      </c>
      <c r="AS11" s="17" t="str">
        <f aca="false">IF(AJ11&gt;AJ12,"FITS BITCH",IF(AJ11&lt;AJ12,"no"))</f>
        <v>FITS BITCH</v>
      </c>
      <c r="AT11" s="91" t="str">
        <f aca="false">IF(AND($AO11="FITS BITCH",$AP11="FITS BITCH",$AR11="FITS BITCH"),"BULLISH","")</f>
        <v/>
      </c>
      <c r="AU11" s="91" t="str">
        <f aca="false">IF(AND($AO11="FITS BITCH",$AQ11="FITS BITCH",$AS11="FITS BITCH"),"BEARISH","")</f>
        <v>BEARISH</v>
      </c>
      <c r="AV11" s="86"/>
      <c r="AW11" s="86"/>
      <c r="AX11" s="86"/>
      <c r="AZ11" s="0" t="n">
        <f aca="false">AVERAGE(AZ8:AZ10)</f>
        <v>148.73</v>
      </c>
      <c r="BA11" s="0"/>
      <c r="BB11" s="101" t="s">
        <v>104</v>
      </c>
      <c r="BC11" s="12" t="n">
        <f aca="false">VAR(AJ7:AJ28)</f>
        <v>18.019491991342</v>
      </c>
      <c r="BD11" s="0" t="s">
        <v>105</v>
      </c>
      <c r="BE11" s="97" t="n">
        <f aca="false">BC10</f>
        <v>155.334090909091</v>
      </c>
      <c r="BF11" s="17" t="n">
        <v>4</v>
      </c>
      <c r="BG11" s="0"/>
      <c r="BH11" s="0"/>
      <c r="BI11" s="0"/>
      <c r="BJ11" s="0"/>
      <c r="BK11" s="85" t="str">
        <f aca="false">IF(AND(AZ6="Up - Regression is low",BH6="Down - Bearish"),"Put Option"," ")</f>
        <v> </v>
      </c>
      <c r="BL11" s="40" t="n">
        <f aca="false">SQRT(254/12)</f>
        <v>4.60072458061409</v>
      </c>
      <c r="BM11" s="0" t="s">
        <v>106</v>
      </c>
      <c r="CG11" s="40" t="n">
        <v>3</v>
      </c>
      <c r="CH11" s="98" t="n">
        <v>117.51333925516</v>
      </c>
      <c r="CL11" s="99" t="n">
        <v>43115</v>
      </c>
      <c r="CM11" s="23" t="n">
        <f aca="false">$BA$68*CL11+$BA$70</f>
        <v>182.306208451987</v>
      </c>
    </row>
    <row r="12" customFormat="false" ht="45" hidden="false" customHeight="false" outlineLevel="0" collapsed="false">
      <c r="A12" s="78"/>
      <c r="B12" s="107"/>
      <c r="C12" s="100"/>
      <c r="D12" s="100"/>
      <c r="E12" s="94"/>
      <c r="F12" s="94"/>
      <c r="G12" s="94"/>
      <c r="H12" s="105" t="str">
        <f aca="false">IF(H8&lt;1,"yes",IF(H8&gt;1,"no",IF(H8=1,"maybe")))</f>
        <v>no</v>
      </c>
      <c r="I12" s="105" t="str">
        <f aca="false">IF(F8&lt;I10,"no",IF(F8&gt;I10,"yes"))</f>
        <v>yes</v>
      </c>
      <c r="J12" s="106"/>
      <c r="K12" s="106"/>
      <c r="L12" s="106"/>
      <c r="M12" s="94"/>
      <c r="N12" s="94"/>
      <c r="AE12" s="90" t="n">
        <f aca="false">Data!A7</f>
        <v>42958</v>
      </c>
      <c r="AF12" s="17" t="n">
        <f aca="false">Data!B7</f>
        <v>156.6</v>
      </c>
      <c r="AG12" s="17" t="n">
        <f aca="false">Data!F7</f>
        <v>26257096</v>
      </c>
      <c r="AH12" s="17" t="n">
        <f aca="false">Data!C7</f>
        <v>158.57</v>
      </c>
      <c r="AI12" s="17" t="n">
        <f aca="false">Data!D7</f>
        <v>156.07</v>
      </c>
      <c r="AJ12" s="17" t="n">
        <f aca="false">Data!E7</f>
        <v>157.48</v>
      </c>
      <c r="AK12" s="17" t="n">
        <f aca="false">Data!F7</f>
        <v>26257096</v>
      </c>
      <c r="AL12" s="17" t="n">
        <f aca="false">AJ12</f>
        <v>157.48</v>
      </c>
      <c r="AM12" s="17" t="n">
        <f aca="false">(AL12-AL11)/AL12*100</f>
        <v>-1.50495300990602</v>
      </c>
      <c r="AN12" s="17" t="n">
        <f aca="false">(AK12-AK11)/AK12*100</f>
        <v>15.7456940401939</v>
      </c>
      <c r="AO12" s="17" t="str">
        <f aca="false">IF(AN12&lt;-8,"FITS BITCH",IF(AN12&gt;-8,"no"))</f>
        <v>no</v>
      </c>
      <c r="AP12" s="17" t="str">
        <f aca="false">IF(AH13&lt;AH12,"FITS BITCH",IF(AH13&gt;AH12,"no"))</f>
        <v>no</v>
      </c>
      <c r="AQ12" s="17" t="str">
        <f aca="false">IF(AI13&lt;AI12,"FITS BITCH",IF(AI13&gt;AI12,"no"))</f>
        <v>FITS BITCH</v>
      </c>
      <c r="AR12" s="17" t="str">
        <f aca="false">IF(AJ12&lt;AH13,"FITS BITCH",IF(AJ12&gt;AH13,"no"))</f>
        <v>FITS BITCH</v>
      </c>
      <c r="AS12" s="17" t="str">
        <f aca="false">IF(AJ12&gt;AJ13,"FITS BITCH",IF(AJ12&lt;AJ13,"no"))</f>
        <v>FITS BITCH</v>
      </c>
      <c r="AT12" s="91" t="str">
        <f aca="false">IF(AND($AO12="FITS BITCH",$AP12="FITS BITCH",$AR12="FITS BITCH"),"BULLISH","")</f>
        <v/>
      </c>
      <c r="AU12" s="91" t="str">
        <f aca="false">IF(AND($AO12="FITS BITCH",$AQ12="FITS BITCH",$AS12="FITS BITCH"),"BEARISH","")</f>
        <v/>
      </c>
      <c r="AV12" s="86"/>
      <c r="AW12" s="86"/>
      <c r="AX12" s="86"/>
      <c r="AZ12" s="0" t="n">
        <f aca="false">MAX(AJ7:AJ27)</f>
        <v>161.6</v>
      </c>
      <c r="BA12" s="0"/>
      <c r="BB12" s="101" t="s">
        <v>107</v>
      </c>
      <c r="BC12" s="12" t="n">
        <f aca="false">STDEV(AJ7:AJ28)</f>
        <v>4.24493721877509</v>
      </c>
      <c r="BD12" s="0" t="s">
        <v>108</v>
      </c>
      <c r="BE12" s="97" t="n">
        <f aca="false">BC10+BC12</f>
        <v>159.579028127866</v>
      </c>
      <c r="BF12" s="17" t="n">
        <v>7</v>
      </c>
      <c r="BG12" s="0"/>
      <c r="BH12" s="0"/>
      <c r="BI12" s="0"/>
      <c r="BJ12" s="0"/>
      <c r="BK12" s="85" t="str">
        <f aca="false">IF(AND(AZ6="Down - Regression is low",BH6="Up - Bullish"),"Call Option"," ")</f>
        <v> </v>
      </c>
      <c r="BL12" s="108" t="n">
        <f aca="false">BL9/BL11</f>
        <v>3.9530308843296</v>
      </c>
      <c r="BM12" s="0" t="s">
        <v>109</v>
      </c>
      <c r="CG12" s="40" t="n">
        <v>4</v>
      </c>
      <c r="CH12" s="98" t="n">
        <v>117.51333925516</v>
      </c>
      <c r="CL12" s="99" t="n">
        <v>43112</v>
      </c>
      <c r="CM12" s="23" t="n">
        <f aca="false">$BA$68*CL12+$BA$70</f>
        <v>181.843853761259</v>
      </c>
    </row>
    <row r="13" customFormat="false" ht="45" hidden="false" customHeight="false" outlineLevel="0" collapsed="false">
      <c r="A13" s="109"/>
      <c r="B13" s="104"/>
      <c r="C13" s="100"/>
      <c r="D13" s="100"/>
      <c r="E13" s="94"/>
      <c r="F13" s="94"/>
      <c r="G13" s="94"/>
      <c r="H13" s="94"/>
      <c r="I13" s="94"/>
      <c r="J13" s="94"/>
      <c r="K13" s="94"/>
      <c r="L13" s="94"/>
      <c r="M13" s="94"/>
      <c r="N13" s="94"/>
      <c r="AE13" s="90" t="n">
        <f aca="false">Data!A8</f>
        <v>42957</v>
      </c>
      <c r="AF13" s="17" t="n">
        <f aca="false">Data!B8</f>
        <v>159.9</v>
      </c>
      <c r="AG13" s="17" t="n">
        <f aca="false">Data!F8</f>
        <v>40804273</v>
      </c>
      <c r="AH13" s="17" t="n">
        <f aca="false">Data!C8</f>
        <v>160</v>
      </c>
      <c r="AI13" s="17" t="n">
        <f aca="false">Data!D8</f>
        <v>154.63</v>
      </c>
      <c r="AJ13" s="17" t="n">
        <f aca="false">Data!E8</f>
        <v>155.32</v>
      </c>
      <c r="AK13" s="17" t="n">
        <f aca="false">Data!F8</f>
        <v>40804273</v>
      </c>
      <c r="AL13" s="17" t="n">
        <f aca="false">AJ13</f>
        <v>155.32</v>
      </c>
      <c r="AM13" s="17" t="n">
        <f aca="false">(AL13-AL12)/AL13*100</f>
        <v>-1.3906773113572</v>
      </c>
      <c r="AN13" s="17" t="n">
        <f aca="false">(AK13-AK12)/AK13*100</f>
        <v>35.6511118333122</v>
      </c>
      <c r="AO13" s="17" t="str">
        <f aca="false">IF(AN13&lt;-8,"FITS BITCH",IF(AN13&gt;-8,"no"))</f>
        <v>no</v>
      </c>
      <c r="AP13" s="17" t="str">
        <f aca="false">IF(AH14&lt;AH13,"FITS BITCH",IF(AH14&gt;AH13,"no"))</f>
        <v>no</v>
      </c>
      <c r="AQ13" s="17" t="str">
        <f aca="false">IF(AI14&lt;AI13,"FITS BITCH",IF(AI14&gt;AI13,"no"))</f>
        <v>no</v>
      </c>
      <c r="AR13" s="17" t="str">
        <f aca="false">IF(AJ13&lt;AH14,"FITS BITCH",IF(AJ13&gt;AH14,"no"))</f>
        <v>FITS BITCH</v>
      </c>
      <c r="AS13" s="17" t="str">
        <f aca="false">IF(AJ13&gt;AJ14,"FITS BITCH",IF(AJ13&lt;AJ14,"no"))</f>
        <v>no</v>
      </c>
      <c r="AT13" s="91" t="str">
        <f aca="false">IF(AND($AO13="FITS BITCH",$AP13="FITS BITCH",$AR13="FITS BITCH"),"BULLISH","")</f>
        <v/>
      </c>
      <c r="AU13" s="91" t="str">
        <f aca="false">IF(AND($AO13="FITS BITCH",$AQ13="FITS BITCH",$AS13="FITS BITCH"),"BEARISH","")</f>
        <v/>
      </c>
      <c r="AV13" s="86"/>
      <c r="AW13" s="86"/>
      <c r="AX13" s="86"/>
      <c r="AY13" s="0"/>
      <c r="BA13" s="0"/>
      <c r="BB13" s="0"/>
      <c r="BC13" s="0"/>
      <c r="BD13" s="0" t="s">
        <v>110</v>
      </c>
      <c r="BE13" s="97" t="n">
        <f aca="false">BC10+2*BC12</f>
        <v>163.823965346641</v>
      </c>
      <c r="BF13" s="17" t="n">
        <v>5</v>
      </c>
      <c r="BG13" s="0"/>
      <c r="BH13" s="0"/>
      <c r="BI13" s="0"/>
      <c r="BJ13" s="0"/>
      <c r="BK13" s="85" t="str">
        <f aca="false">IF(AND(AZ6="Down - Regression is ok",BH6="Up - Bullish"),"Call Option ITM"," ")</f>
        <v> </v>
      </c>
      <c r="BL13" s="0"/>
      <c r="CG13" s="40" t="n">
        <v>5</v>
      </c>
      <c r="CH13" s="98" t="n">
        <v>117.51333925516</v>
      </c>
      <c r="CL13" s="99" t="n">
        <v>43111</v>
      </c>
      <c r="CM13" s="23" t="n">
        <f aca="false">$BA$68*CL13+$BA$70</f>
        <v>181.689735531017</v>
      </c>
    </row>
    <row r="14" customFormat="false" ht="45.75" hidden="false" customHeight="false" outlineLevel="0" collapsed="false">
      <c r="B14" s="0"/>
      <c r="C14" s="0"/>
      <c r="D14" s="0"/>
      <c r="E14" s="0"/>
      <c r="AE14" s="90" t="n">
        <f aca="false">Data!A9</f>
        <v>42956</v>
      </c>
      <c r="AF14" s="17" t="n">
        <f aca="false">Data!B9</f>
        <v>159.26</v>
      </c>
      <c r="AG14" s="17" t="n">
        <f aca="false">Data!F9</f>
        <v>26131530</v>
      </c>
      <c r="AH14" s="17" t="n">
        <f aca="false">Data!C9</f>
        <v>161.27</v>
      </c>
      <c r="AI14" s="17" t="n">
        <f aca="false">Data!D9</f>
        <v>159.11</v>
      </c>
      <c r="AJ14" s="17" t="n">
        <f aca="false">Data!E9</f>
        <v>161.06</v>
      </c>
      <c r="AK14" s="17" t="n">
        <f aca="false">Data!F9</f>
        <v>26131530</v>
      </c>
      <c r="AL14" s="17" t="n">
        <f aca="false">AJ14</f>
        <v>161.06</v>
      </c>
      <c r="AM14" s="17" t="n">
        <f aca="false">(AL14-AL13)/AL14*100</f>
        <v>3.56388923382591</v>
      </c>
      <c r="AN14" s="17" t="n">
        <f aca="false">(AK14-AK13)/AK14*100</f>
        <v>-56.149574862245</v>
      </c>
      <c r="AO14" s="17" t="str">
        <f aca="false">IF(AN14&lt;-8,"FITS BITCH",IF(AN14&gt;-8,"no"))</f>
        <v>FITS BITCH</v>
      </c>
      <c r="AP14" s="17" t="str">
        <f aca="false">IF(AH15&lt;AH14,"FITS BITCH",IF(AH15&gt;AH14,"no"))</f>
        <v>no</v>
      </c>
      <c r="AQ14" s="17" t="str">
        <f aca="false">IF(AI15&lt;AI14,"FITS BITCH",IF(AI15&gt;AI14,"no"))</f>
        <v>FITS BITCH</v>
      </c>
      <c r="AR14" s="17" t="str">
        <f aca="false">IF(AJ14&lt;AH15,"FITS BITCH",IF(AJ14&gt;AH15,"no"))</f>
        <v>FITS BITCH</v>
      </c>
      <c r="AS14" s="17" t="str">
        <f aca="false">IF(AJ14&gt;AJ15,"FITS BITCH",IF(AJ14&lt;AJ15,"no"))</f>
        <v>FITS BITCH</v>
      </c>
      <c r="AT14" s="91" t="str">
        <f aca="false">IF(AND($AO14="FITS BITCH",$AP14="FITS BITCH",$AR14="FITS BITCH"),"BULLISH","")</f>
        <v/>
      </c>
      <c r="AU14" s="91" t="str">
        <f aca="false">IF(AND($AO14="FITS BITCH",$AQ14="FITS BITCH",$AS14="FITS BITCH"),"BEARISH","")</f>
        <v>BEARISH</v>
      </c>
      <c r="AV14" s="86"/>
      <c r="AW14" s="86"/>
      <c r="AX14" s="86"/>
      <c r="AY14" s="0"/>
      <c r="AZ14" s="0"/>
      <c r="BA14" s="0"/>
      <c r="BB14" s="0"/>
      <c r="BC14" s="0"/>
      <c r="BD14" s="0" t="s">
        <v>111</v>
      </c>
      <c r="BE14" s="97" t="n">
        <f aca="false">BC10+3*BC12</f>
        <v>168.068902565416</v>
      </c>
      <c r="BF14" s="17" t="n">
        <v>0</v>
      </c>
      <c r="BG14" s="0"/>
      <c r="BH14" s="0"/>
      <c r="BI14" s="0"/>
      <c r="BJ14" s="0"/>
      <c r="BK14" s="85" t="str">
        <f aca="false">IF(AND(AZ6="Down - Regression is great",BH6="Neutral"),"Put Option ITM close to ATM"," ")</f>
        <v> </v>
      </c>
      <c r="BL14" s="0"/>
      <c r="BM14" s="110" t="s">
        <v>112</v>
      </c>
      <c r="BN14" s="110" t="s">
        <v>113</v>
      </c>
      <c r="BO14" s="111"/>
      <c r="CG14" s="40" t="n">
        <v>6</v>
      </c>
      <c r="CH14" s="98" t="n">
        <v>117.51333925516</v>
      </c>
      <c r="CL14" s="99" t="n">
        <v>43110</v>
      </c>
      <c r="CM14" s="23" t="n">
        <f aca="false">$BA$68*CL14+$BA$70</f>
        <v>181.535617300774</v>
      </c>
    </row>
    <row r="15" customFormat="false" ht="45" hidden="false" customHeight="false" outlineLevel="0" collapsed="false">
      <c r="B15" s="0"/>
      <c r="C15" s="0"/>
      <c r="D15" s="0"/>
      <c r="E15" s="0"/>
      <c r="AE15" s="90" t="n">
        <f aca="false">Data!A10</f>
        <v>42955</v>
      </c>
      <c r="AF15" s="17" t="n">
        <f aca="false">Data!B10</f>
        <v>158.6</v>
      </c>
      <c r="AG15" s="17" t="n">
        <f aca="false">Data!F10</f>
        <v>36205896</v>
      </c>
      <c r="AH15" s="17" t="n">
        <f aca="false">Data!C10</f>
        <v>161.83</v>
      </c>
      <c r="AI15" s="17" t="n">
        <f aca="false">Data!D10</f>
        <v>158.27</v>
      </c>
      <c r="AJ15" s="17" t="n">
        <f aca="false">Data!E10</f>
        <v>160.08</v>
      </c>
      <c r="AK15" s="17" t="n">
        <f aca="false">Data!F10</f>
        <v>36205896</v>
      </c>
      <c r="AL15" s="17" t="n">
        <f aca="false">AJ15</f>
        <v>160.08</v>
      </c>
      <c r="AM15" s="17" t="n">
        <f aca="false">(AL15-AL14)/AL15*100</f>
        <v>-0.612193903048469</v>
      </c>
      <c r="AN15" s="17" t="n">
        <f aca="false">(AK15-AK14)/AK15*100</f>
        <v>27.8252083583293</v>
      </c>
      <c r="AO15" s="17" t="str">
        <f aca="false">IF(AN15&lt;-8,"FITS BITCH",IF(AN15&gt;-8,"no"))</f>
        <v>no</v>
      </c>
      <c r="AP15" s="17" t="str">
        <f aca="false">IF(AH16&lt;AH15,"FITS BITCH",IF(AH16&gt;AH15,"no"))</f>
        <v>FITS BITCH</v>
      </c>
      <c r="AQ15" s="17" t="str">
        <f aca="false">IF(AI16&lt;AI15,"FITS BITCH",IF(AI16&gt;AI15,"no"))</f>
        <v>FITS BITCH</v>
      </c>
      <c r="AR15" s="17" t="str">
        <f aca="false">IF(AJ15&lt;AH16,"FITS BITCH",IF(AJ15&gt;AH16,"no"))</f>
        <v>no</v>
      </c>
      <c r="AS15" s="17" t="str">
        <f aca="false">IF(AJ15&gt;AJ16,"FITS BITCH",IF(AJ15&lt;AJ16,"no"))</f>
        <v>FITS BITCH</v>
      </c>
      <c r="AT15" s="91" t="str">
        <f aca="false">IF(AND($AO15="FITS BITCH",$AP15="FITS BITCH",$AR15="FITS BITCH"),"BULLISH","")</f>
        <v/>
      </c>
      <c r="AU15" s="91" t="str">
        <f aca="false">IF(AND($AO15="FITS BITCH",$AQ15="FITS BITCH",$AS15="FITS BITCH"),"BEARISH","")</f>
        <v/>
      </c>
      <c r="AV15" s="86"/>
      <c r="AW15" s="86"/>
      <c r="AX15" s="86"/>
      <c r="AY15" s="0"/>
      <c r="AZ15" s="0"/>
      <c r="BA15" s="0"/>
      <c r="BB15" s="0"/>
      <c r="BC15" s="0"/>
      <c r="BD15" s="0" t="s">
        <v>114</v>
      </c>
      <c r="BE15" s="0"/>
      <c r="BF15" s="17" t="n">
        <v>0</v>
      </c>
      <c r="BG15" s="0"/>
      <c r="BH15" s="0"/>
      <c r="BI15" s="0"/>
      <c r="BJ15" s="0"/>
      <c r="BK15" s="85" t="str">
        <f aca="false">IF(AND(AZ6="Up - Regression is great",BH6="Down - Bearish"),"Put Option ITM close to ATM"," ")</f>
        <v> </v>
      </c>
      <c r="BL15" s="112" t="s">
        <v>115</v>
      </c>
      <c r="BM15" s="6" t="n">
        <f aca="false">F8</f>
        <v>157.5</v>
      </c>
      <c r="CG15" s="40" t="n">
        <v>7</v>
      </c>
      <c r="CH15" s="98" t="n">
        <v>117.51333925516</v>
      </c>
      <c r="CL15" s="99" t="n">
        <v>43109</v>
      </c>
      <c r="CM15" s="23" t="n">
        <f aca="false">$BA$68*CL15+$BA$70</f>
        <v>181.381499070531</v>
      </c>
    </row>
    <row r="16" customFormat="false" ht="45.75" hidden="false" customHeight="false" outlineLevel="0" collapsed="false">
      <c r="B16" s="0"/>
      <c r="C16" s="0"/>
      <c r="D16" s="0"/>
      <c r="E16" s="0"/>
      <c r="AE16" s="90" t="n">
        <f aca="false">Data!A11</f>
        <v>42954</v>
      </c>
      <c r="AF16" s="17" t="n">
        <f aca="false">Data!B11</f>
        <v>157.06</v>
      </c>
      <c r="AG16" s="17" t="n">
        <f aca="false">Data!F11</f>
        <v>21870321</v>
      </c>
      <c r="AH16" s="17" t="n">
        <f aca="false">Data!C11</f>
        <v>158.92</v>
      </c>
      <c r="AI16" s="17" t="n">
        <f aca="false">Data!D11</f>
        <v>156.67</v>
      </c>
      <c r="AJ16" s="17" t="n">
        <f aca="false">Data!E11</f>
        <v>158.81</v>
      </c>
      <c r="AK16" s="17" t="n">
        <f aca="false">Data!F11</f>
        <v>21870321</v>
      </c>
      <c r="AL16" s="17" t="n">
        <f aca="false">AJ16</f>
        <v>158.81</v>
      </c>
      <c r="AM16" s="17" t="n">
        <f aca="false">(AL16-AL15)/AL16*100</f>
        <v>-0.799697752030735</v>
      </c>
      <c r="AN16" s="17" t="n">
        <f aca="false">(AK16-AK15)/AK16*100</f>
        <v>-65.5480776893947</v>
      </c>
      <c r="AO16" s="17" t="str">
        <f aca="false">IF(AN16&lt;-8,"FITS BITCH",IF(AN16&gt;-8,"no"))</f>
        <v>FITS BITCH</v>
      </c>
      <c r="AP16" s="17" t="str">
        <f aca="false">IF(AH17&lt;AH16,"FITS BITCH",IF(AH17&gt;AH16,"no"))</f>
        <v>FITS BITCH</v>
      </c>
      <c r="AQ16" s="17" t="str">
        <f aca="false">IF(AI17&lt;AI16,"FITS BITCH",IF(AI17&gt;AI16,"no"))</f>
        <v>FITS BITCH</v>
      </c>
      <c r="AR16" s="17" t="str">
        <f aca="false">IF(AJ16&lt;AH17,"FITS BITCH",IF(AJ16&gt;AH17,"no"))</f>
        <v>no</v>
      </c>
      <c r="AS16" s="17" t="str">
        <f aca="false">IF(AJ16&gt;AJ17,"FITS BITCH",IF(AJ16&lt;AJ17,"no"))</f>
        <v>FITS BITCH</v>
      </c>
      <c r="AT16" s="91" t="str">
        <f aca="false">IF(AND($AO16="FITS BITCH",$AP16="FITS BITCH",$AR16="FITS BITCH"),"BULLISH","")</f>
        <v/>
      </c>
      <c r="AU16" s="91" t="str">
        <f aca="false">IF(AND($AO16="FITS BITCH",$AQ16="FITS BITCH",$AS16="FITS BITCH"),"BEARISH","")</f>
        <v>BEARISH</v>
      </c>
      <c r="AV16" s="86"/>
      <c r="AW16" s="86"/>
      <c r="AX16" s="86"/>
      <c r="AY16" s="0"/>
      <c r="AZ16" s="0"/>
      <c r="BA16" s="0"/>
      <c r="BB16" s="86" t="s">
        <v>116</v>
      </c>
      <c r="BC16" s="0" t="s">
        <v>117</v>
      </c>
      <c r="BD16" s="113" t="n">
        <f aca="false">_xlfn.NORM.DIST($F$8,$BC$10,$BC$12,1)</f>
        <v>0.695056050495259</v>
      </c>
      <c r="BE16" s="0" t="s">
        <v>118</v>
      </c>
      <c r="BF16" s="17" t="n">
        <f aca="false">$F$8</f>
        <v>157.5</v>
      </c>
      <c r="BG16" s="0"/>
      <c r="BH16" s="0"/>
      <c r="BI16" s="0"/>
      <c r="BJ16" s="0"/>
      <c r="BK16" s="85"/>
      <c r="BL16" s="114" t="s">
        <v>119</v>
      </c>
      <c r="BM16" s="115" t="n">
        <f aca="false">BM15*(1+(BL12/100))</f>
        <v>163.726023642819</v>
      </c>
      <c r="BN16" s="115" t="n">
        <f aca="false">BM15*(1+(BL9/100))</f>
        <v>186.144220013002</v>
      </c>
      <c r="CG16" s="40" t="n">
        <v>8</v>
      </c>
      <c r="CH16" s="98" t="n">
        <v>117.51333925516</v>
      </c>
      <c r="CL16" s="99" t="n">
        <v>43108</v>
      </c>
      <c r="CM16" s="23" t="n">
        <f aca="false">$BA$68*CL16+$BA$70</f>
        <v>181.227380840289</v>
      </c>
    </row>
    <row r="17" customFormat="false" ht="46.5" hidden="false" customHeight="false" outlineLevel="0" collapsed="false">
      <c r="B17" s="0"/>
      <c r="C17" s="0"/>
      <c r="D17" s="0"/>
      <c r="E17" s="0"/>
      <c r="AE17" s="90" t="n">
        <f aca="false">Data!A12</f>
        <v>42951</v>
      </c>
      <c r="AF17" s="17" t="n">
        <f aca="false">Data!B12</f>
        <v>156.07</v>
      </c>
      <c r="AG17" s="17" t="n">
        <f aca="false">Data!F12</f>
        <v>20559852</v>
      </c>
      <c r="AH17" s="17" t="n">
        <f aca="false">Data!C12</f>
        <v>157.4</v>
      </c>
      <c r="AI17" s="17" t="n">
        <f aca="false">Data!D12</f>
        <v>155.69</v>
      </c>
      <c r="AJ17" s="17" t="n">
        <f aca="false">Data!E12</f>
        <v>156.39</v>
      </c>
      <c r="AK17" s="17" t="n">
        <f aca="false">Data!F12</f>
        <v>20559852</v>
      </c>
      <c r="AL17" s="17" t="n">
        <f aca="false">AJ17</f>
        <v>156.39</v>
      </c>
      <c r="AM17" s="17" t="n">
        <f aca="false">(AL17-AL16)/AL17*100</f>
        <v>-1.54741351748834</v>
      </c>
      <c r="AN17" s="17" t="n">
        <f aca="false">(AK17-AK16)/AK17*100</f>
        <v>-6.37392234146433</v>
      </c>
      <c r="AO17" s="17" t="str">
        <f aca="false">IF(AN17&lt;-8,"FITS BITCH",IF(AN17&gt;-8,"no"))</f>
        <v>no</v>
      </c>
      <c r="AP17" s="17" t="str">
        <f aca="false">IF(AH18&lt;AH17,"FITS BITCH",IF(AH18&gt;AH17,"no"))</f>
        <v>FITS BITCH</v>
      </c>
      <c r="AQ17" s="17" t="str">
        <f aca="false">IF(AI18&lt;AI17,"FITS BITCH",IF(AI18&gt;AI17,"no"))</f>
        <v>FITS BITCH</v>
      </c>
      <c r="AR17" s="17" t="str">
        <f aca="false">IF(AJ17&lt;AH18,"FITS BITCH",IF(AJ17&gt;AH18,"no"))</f>
        <v>FITS BITCH</v>
      </c>
      <c r="AS17" s="17" t="str">
        <f aca="false">IF(AJ17&gt;AJ18,"FITS BITCH",IF(AJ17&lt;AJ18,"no"))</f>
        <v>FITS BITCH</v>
      </c>
      <c r="AT17" s="91" t="str">
        <f aca="false">IF(AND($AO17="FITS BITCH",$AP17="FITS BITCH",$AR17="FITS BITCH"),"BULLISH","")</f>
        <v/>
      </c>
      <c r="AU17" s="91" t="str">
        <f aca="false">IF(AND($AO17="FITS BITCH",$AQ17="FITS BITCH",$AS17="FITS BITCH"),"BEARISH","")</f>
        <v/>
      </c>
      <c r="AV17" s="86"/>
      <c r="AW17" s="86"/>
      <c r="AX17" s="86"/>
      <c r="AY17" s="0"/>
      <c r="AZ17" s="0"/>
      <c r="BA17" s="0"/>
      <c r="BB17" s="0"/>
      <c r="BC17" s="0" t="s">
        <v>120</v>
      </c>
      <c r="BD17" s="116" t="n">
        <f aca="false">((COUNTIF(AJ7:AJ28,"&lt;"&amp;$F$8))/(COUNT(AJ7:AJ28)))</f>
        <v>0.636363636363636</v>
      </c>
      <c r="BE17" s="0" t="s">
        <v>121</v>
      </c>
      <c r="BF17" s="17" t="n">
        <f aca="false">$F$8</f>
        <v>157.5</v>
      </c>
      <c r="BG17" s="0"/>
      <c r="BH17" s="0"/>
      <c r="BI17" s="0"/>
      <c r="BJ17" s="0"/>
      <c r="BK17" s="85"/>
      <c r="BL17" s="114" t="s">
        <v>122</v>
      </c>
      <c r="BM17" s="115" t="n">
        <f aca="false">BM15*(1-(BL12/100))</f>
        <v>151.273976357181</v>
      </c>
      <c r="BN17" s="115" t="n">
        <f aca="false">BM15*(1-(BL9/100))</f>
        <v>128.855779986998</v>
      </c>
      <c r="CG17" s="40" t="n">
        <v>9</v>
      </c>
      <c r="CH17" s="98" t="n">
        <v>117.51333925516</v>
      </c>
      <c r="CL17" s="99" t="n">
        <v>43105</v>
      </c>
      <c r="CM17" s="23" t="n">
        <f aca="false">$BA$68*CL17+$BA$70</f>
        <v>180.765026149561</v>
      </c>
    </row>
    <row r="18" customFormat="false" ht="46.5" hidden="false" customHeight="false" outlineLevel="0" collapsed="false">
      <c r="B18" s="0"/>
      <c r="C18" s="0"/>
      <c r="D18" s="0"/>
      <c r="E18" s="0"/>
      <c r="AE18" s="90" t="n">
        <f aca="false">Data!A13</f>
        <v>42950</v>
      </c>
      <c r="AF18" s="17" t="n">
        <f aca="false">Data!B13</f>
        <v>157.05</v>
      </c>
      <c r="AG18" s="17" t="n">
        <f aca="false">Data!F13</f>
        <v>27097296</v>
      </c>
      <c r="AH18" s="17" t="n">
        <f aca="false">Data!C13</f>
        <v>157.21</v>
      </c>
      <c r="AI18" s="17" t="n">
        <f aca="false">Data!D13</f>
        <v>155.02</v>
      </c>
      <c r="AJ18" s="17" t="n">
        <f aca="false">Data!E13</f>
        <v>155.57</v>
      </c>
      <c r="AK18" s="17" t="n">
        <f aca="false">Data!F13</f>
        <v>27097296</v>
      </c>
      <c r="AL18" s="17" t="n">
        <f aca="false">AJ18</f>
        <v>155.57</v>
      </c>
      <c r="AM18" s="17" t="n">
        <f aca="false">(AL18-AL17)/AL18*100</f>
        <v>-0.527093912708101</v>
      </c>
      <c r="AN18" s="17" t="n">
        <f aca="false">(AK18-AK17)/AK18*100</f>
        <v>24.1258168342701</v>
      </c>
      <c r="AO18" s="17" t="str">
        <f aca="false">IF(AN18&lt;-8,"FITS BITCH",IF(AN18&gt;-8,"no"))</f>
        <v>no</v>
      </c>
      <c r="AP18" s="17" t="str">
        <f aca="false">IF(AH19&lt;AH18,"FITS BITCH",IF(AH19&gt;AH18,"no"))</f>
        <v>no</v>
      </c>
      <c r="AQ18" s="17" t="str">
        <f aca="false">IF(AI19&lt;AI18,"FITS BITCH",IF(AI19&gt;AI18,"no"))</f>
        <v>no</v>
      </c>
      <c r="AR18" s="17" t="str">
        <f aca="false">IF(AJ18&lt;AH19,"FITS BITCH",IF(AJ18&gt;AH19,"no"))</f>
        <v>FITS BITCH</v>
      </c>
      <c r="AS18" s="17" t="str">
        <f aca="false">IF(AJ18&gt;AJ19,"FITS BITCH",IF(AJ18&lt;AJ19,"no"))</f>
        <v>no</v>
      </c>
      <c r="AT18" s="91" t="str">
        <f aca="false">IF(AND($AO18="FITS BITCH",$AP18="FITS BITCH",$AR18="FITS BITCH"),"BULLISH","")</f>
        <v/>
      </c>
      <c r="AU18" s="91" t="str">
        <f aca="false">IF(AND($AO18="FITS BITCH",$AQ18="FITS BITCH",$AS18="FITS BITCH"),"BEARISH","")</f>
        <v/>
      </c>
      <c r="AV18" s="86"/>
      <c r="AW18" s="86"/>
      <c r="AX18" s="86"/>
      <c r="AY18" s="0"/>
      <c r="AZ18" s="0"/>
      <c r="BA18" s="0"/>
      <c r="BG18" s="0"/>
      <c r="BH18" s="0"/>
      <c r="BI18" s="0"/>
      <c r="BJ18" s="0"/>
      <c r="BK18" s="85"/>
      <c r="BM18" s="117" t="s">
        <v>123</v>
      </c>
      <c r="BR18" s="0" t="s">
        <v>124</v>
      </c>
      <c r="CG18" s="40" t="n">
        <v>10</v>
      </c>
      <c r="CH18" s="98" t="n">
        <v>117.51333925516</v>
      </c>
      <c r="CL18" s="99" t="n">
        <v>43104</v>
      </c>
      <c r="CM18" s="23" t="n">
        <f aca="false">$BA$68*CL18+$BA$70</f>
        <v>180.610907919317</v>
      </c>
    </row>
    <row r="19" customFormat="false" ht="45" hidden="false" customHeight="false" outlineLevel="0" collapsed="false">
      <c r="B19" s="0"/>
      <c r="C19" s="0"/>
      <c r="D19" s="0" t="n">
        <v>1</v>
      </c>
      <c r="E19" s="0"/>
      <c r="AE19" s="90" t="n">
        <f aca="false">Data!A14</f>
        <v>42949</v>
      </c>
      <c r="AF19" s="17" t="n">
        <f aca="false">Data!B14</f>
        <v>159.28</v>
      </c>
      <c r="AG19" s="17" t="n">
        <f aca="false">Data!F14</f>
        <v>69936800</v>
      </c>
      <c r="AH19" s="17" t="n">
        <f aca="false">Data!C14</f>
        <v>159.75</v>
      </c>
      <c r="AI19" s="17" t="n">
        <f aca="false">Data!D14</f>
        <v>156.16</v>
      </c>
      <c r="AJ19" s="17" t="n">
        <f aca="false">Data!E14</f>
        <v>157.14</v>
      </c>
      <c r="AK19" s="17" t="n">
        <f aca="false">Data!F14</f>
        <v>69936800</v>
      </c>
      <c r="AL19" s="17" t="n">
        <f aca="false">AJ19</f>
        <v>157.14</v>
      </c>
      <c r="AM19" s="17" t="n">
        <f aca="false">(AL19-AL18)/AL19*100</f>
        <v>0.999109074710445</v>
      </c>
      <c r="AN19" s="17" t="n">
        <f aca="false">(AK19-AK18)/AK19*100</f>
        <v>61.2545955777216</v>
      </c>
      <c r="AO19" s="17" t="str">
        <f aca="false">IF(AN19&lt;-8,"FITS BITCH",IF(AN19&gt;-8,"no"))</f>
        <v>no</v>
      </c>
      <c r="AP19" s="17" t="str">
        <f aca="false">IF(AH20&lt;AH19,"FITS BITCH",IF(AH20&gt;AH19,"no"))</f>
        <v>FITS BITCH</v>
      </c>
      <c r="AQ19" s="17" t="str">
        <f aca="false">IF(AI20&lt;AI19,"FITS BITCH",IF(AI20&gt;AI19,"no"))</f>
        <v>FITS BITCH</v>
      </c>
      <c r="AR19" s="17" t="str">
        <f aca="false">IF(AJ19&lt;AH20,"FITS BITCH",IF(AJ19&gt;AH20,"no"))</f>
        <v>no</v>
      </c>
      <c r="AS19" s="17" t="str">
        <f aca="false">IF(AJ19&gt;AJ20,"FITS BITCH",IF(AJ19&lt;AJ20,"no"))</f>
        <v>FITS BITCH</v>
      </c>
      <c r="AT19" s="91" t="str">
        <f aca="false">IF(AND($AO19="FITS BITCH",$AP19="FITS BITCH",$AR19="FITS BITCH"),"BULLISH","")</f>
        <v/>
      </c>
      <c r="AU19" s="91" t="str">
        <f aca="false">IF(AND($AO19="FITS BITCH",$AQ19="FITS BITCH",$AS19="FITS BITCH"),"BEARISH","")</f>
        <v/>
      </c>
      <c r="AV19" s="86"/>
      <c r="AW19" s="86"/>
      <c r="AX19" s="86"/>
      <c r="AY19" s="0"/>
      <c r="AZ19" s="0"/>
      <c r="BA19" s="0"/>
      <c r="BG19" s="0"/>
      <c r="BH19" s="0"/>
      <c r="BI19" s="0"/>
      <c r="BJ19" s="0"/>
      <c r="BK19" s="85"/>
      <c r="BL19" s="114" t="s">
        <v>119</v>
      </c>
      <c r="BM19" s="118" t="n">
        <f aca="false">BM15+((AZ12-AZ8)/2)</f>
        <v>163.935</v>
      </c>
      <c r="BQ19" s="80" t="s">
        <v>125</v>
      </c>
      <c r="BR19" s="0" t="n">
        <f aca="false">BR20-(6*CJ10)</f>
        <v>117.51333925516</v>
      </c>
      <c r="BS19" s="40" t="n">
        <f aca="false">COUNTIFS($CH$9:$CH$108,"&lt;="&amp;BR19)</f>
        <v>100</v>
      </c>
      <c r="CG19" s="40" t="n">
        <v>11</v>
      </c>
      <c r="CH19" s="98" t="n">
        <v>117.51333925516</v>
      </c>
      <c r="CL19" s="99" t="n">
        <v>43103</v>
      </c>
      <c r="CM19" s="23" t="n">
        <f aca="false">$BA$68*CL19+$BA$70</f>
        <v>180.456789689075</v>
      </c>
    </row>
    <row r="20" customFormat="false" ht="27.95" hidden="false" customHeight="true" outlineLevel="0" collapsed="false">
      <c r="A20" s="47"/>
      <c r="B20" s="0"/>
      <c r="C20" s="0"/>
      <c r="D20" s="0"/>
      <c r="E20" s="0"/>
      <c r="AE20" s="90" t="n">
        <f aca="false">Data!A15</f>
        <v>42948</v>
      </c>
      <c r="AF20" s="17" t="n">
        <f aca="false">Data!B15</f>
        <v>149.1</v>
      </c>
      <c r="AG20" s="17" t="n">
        <f aca="false">Data!F15</f>
        <v>35368645</v>
      </c>
      <c r="AH20" s="17" t="n">
        <f aca="false">Data!C15</f>
        <v>150.22</v>
      </c>
      <c r="AI20" s="17" t="n">
        <f aca="false">Data!D15</f>
        <v>148.41</v>
      </c>
      <c r="AJ20" s="17" t="n">
        <f aca="false">Data!E15</f>
        <v>150.05</v>
      </c>
      <c r="AK20" s="17" t="n">
        <f aca="false">Data!F15</f>
        <v>35368645</v>
      </c>
      <c r="AL20" s="17" t="n">
        <f aca="false">AJ20</f>
        <v>150.05</v>
      </c>
      <c r="AM20" s="17" t="n">
        <f aca="false">(AL20-AL19)/AL20*100</f>
        <v>-4.72509163612128</v>
      </c>
      <c r="AN20" s="17" t="n">
        <f aca="false">(AK20-AK19)/AK20*100</f>
        <v>-97.736724152141</v>
      </c>
      <c r="AO20" s="17" t="str">
        <f aca="false">IF(AN20&lt;-8,"FITS BITCH",IF(AN20&gt;-8,"no"))</f>
        <v>FITS BITCH</v>
      </c>
      <c r="AP20" s="17" t="str">
        <f aca="false">IF(AH21&lt;AH20,"FITS BITCH",IF(AH21&gt;AH20,"no"))</f>
        <v>no</v>
      </c>
      <c r="AQ20" s="17" t="str">
        <f aca="false">IF(AI21&lt;AI20,"FITS BITCH",IF(AI21&gt;AI20,"no"))</f>
        <v>FITS BITCH</v>
      </c>
      <c r="AR20" s="17" t="str">
        <f aca="false">IF(AJ20&lt;AH21,"FITS BITCH",IF(AJ20&gt;AH21,"no"))</f>
        <v>FITS BITCH</v>
      </c>
      <c r="AS20" s="17" t="str">
        <f aca="false">IF(AJ20&gt;AJ21,"FITS BITCH",IF(AJ20&lt;AJ21,"no"))</f>
        <v>FITS BITCH</v>
      </c>
      <c r="AT20" s="91" t="str">
        <f aca="false">IF(AND($AO20="FITS BITCH",$AP20="FITS BITCH",$AR20="FITS BITCH"),"BULLISH","")</f>
        <v/>
      </c>
      <c r="AU20" s="91" t="str">
        <f aca="false">IF(AND($AO20="FITS BITCH",$AQ20="FITS BITCH",$AS20="FITS BITCH"),"BEARISH","")</f>
        <v>BEARISH</v>
      </c>
      <c r="AV20" s="86"/>
      <c r="AW20" s="86"/>
      <c r="AX20" s="86"/>
      <c r="AY20" s="0"/>
      <c r="AZ20" s="0"/>
      <c r="BA20" s="0"/>
      <c r="BG20" s="0"/>
      <c r="BH20" s="0"/>
      <c r="BI20" s="0"/>
      <c r="BJ20" s="0"/>
      <c r="BK20" s="85"/>
      <c r="BL20" s="114" t="s">
        <v>122</v>
      </c>
      <c r="BM20" s="118" t="n">
        <f aca="false">BM15-((AZ12-AZ8)/2)</f>
        <v>151.065</v>
      </c>
      <c r="BR20" s="0" t="n">
        <f aca="false">BR21-(5*CJ10)</f>
        <v>117.51333925516</v>
      </c>
      <c r="BS20" s="40" t="n">
        <f aca="false">COUNTIFS($CH$9:$CH$108,"&lt;="&amp;BR20,$CH$9:$CH$108,"&gt;"&amp;BR19)</f>
        <v>0</v>
      </c>
      <c r="CG20" s="40" t="n">
        <v>12</v>
      </c>
      <c r="CH20" s="98" t="n">
        <v>117.51333925516</v>
      </c>
      <c r="CL20" s="99" t="n">
        <v>43102</v>
      </c>
      <c r="CM20" s="23" t="n">
        <f aca="false">$BA$68*CL20+$BA$70</f>
        <v>180.302671458832</v>
      </c>
    </row>
    <row r="21" customFormat="false" ht="45" hidden="false" customHeight="false" outlineLevel="0" collapsed="false">
      <c r="A21" s="32"/>
      <c r="B21" s="0"/>
      <c r="C21" s="0"/>
      <c r="D21" s="0"/>
      <c r="E21" s="0"/>
      <c r="AE21" s="90" t="n">
        <f aca="false">Data!A16</f>
        <v>42947</v>
      </c>
      <c r="AF21" s="17" t="n">
        <f aca="false">Data!B16</f>
        <v>149.9</v>
      </c>
      <c r="AG21" s="17" t="n">
        <f aca="false">Data!F16</f>
        <v>19845920</v>
      </c>
      <c r="AH21" s="17" t="n">
        <f aca="false">Data!C16</f>
        <v>150.33</v>
      </c>
      <c r="AI21" s="17" t="n">
        <f aca="false">Data!D16</f>
        <v>148.13</v>
      </c>
      <c r="AJ21" s="17" t="n">
        <f aca="false">Data!E16</f>
        <v>148.73</v>
      </c>
      <c r="AK21" s="17" t="n">
        <f aca="false">Data!F16</f>
        <v>19845920</v>
      </c>
      <c r="AL21" s="17" t="n">
        <f aca="false">AJ21</f>
        <v>148.73</v>
      </c>
      <c r="AM21" s="17" t="n">
        <f aca="false">(AL21-AL20)/AL21*100</f>
        <v>-0.887514287635327</v>
      </c>
      <c r="AN21" s="17" t="n">
        <f aca="false">(AK21-AK20)/AK21*100</f>
        <v>-78.2162026250232</v>
      </c>
      <c r="AO21" s="17" t="str">
        <f aca="false">IF(AN21&lt;-8,"FITS BITCH",IF(AN21&gt;-8,"no"))</f>
        <v>FITS BITCH</v>
      </c>
      <c r="AP21" s="17" t="str">
        <f aca="false">IF(AH22&lt;AH21,"FITS BITCH",IF(AH22&gt;AH21,"no"))</f>
        <v>FITS BITCH</v>
      </c>
      <c r="AQ21" s="17" t="str">
        <f aca="false">IF(AI22&lt;AI21,"FITS BITCH",IF(AI22&gt;AI21,"no"))</f>
        <v>no</v>
      </c>
      <c r="AR21" s="17" t="str">
        <f aca="false">IF(AJ21&lt;AH22,"FITS BITCH",IF(AJ21&gt;AH22,"no"))</f>
        <v>FITS BITCH</v>
      </c>
      <c r="AS21" s="17" t="str">
        <f aca="false">IF(AJ21&gt;AJ22,"FITS BITCH",IF(AJ21&lt;AJ22,"no"))</f>
        <v>no</v>
      </c>
      <c r="AT21" s="91" t="str">
        <f aca="false">IF(AND($AO21="FITS BITCH",$AP21="FITS BITCH",$AR21="FITS BITCH"),"BULLISH","")</f>
        <v>BULLISH</v>
      </c>
      <c r="AU21" s="91" t="str">
        <f aca="false">IF(AND($AO21="FITS BITCH",$AQ21="FITS BITCH",$AS21="FITS BITCH"),"BEARISH","")</f>
        <v/>
      </c>
      <c r="AV21" s="86"/>
      <c r="AW21" s="86"/>
      <c r="AX21" s="86"/>
      <c r="AY21" s="0"/>
      <c r="AZ21" s="0"/>
      <c r="BA21" s="0"/>
      <c r="BG21" s="0"/>
      <c r="BH21" s="0"/>
      <c r="BI21" s="0"/>
      <c r="BJ21" s="0"/>
      <c r="BK21" s="85"/>
      <c r="BL21" s="0"/>
      <c r="BR21" s="0" t="n">
        <f aca="false">BR22-(4*CJ10)</f>
        <v>117.51333925516</v>
      </c>
      <c r="BS21" s="40" t="n">
        <f aca="false">COUNTIFS($CH$9:$CH$108,"&lt;="&amp;BR21,$CH$9:$CH$108,"&gt;"&amp;BR20)</f>
        <v>0</v>
      </c>
      <c r="CG21" s="40" t="n">
        <v>13</v>
      </c>
      <c r="CH21" s="98" t="n">
        <v>117.51333925516</v>
      </c>
      <c r="CL21" s="99" t="n">
        <v>43101</v>
      </c>
      <c r="CM21" s="23" t="n">
        <f aca="false">$BA$68*CL21+$BA$70</f>
        <v>180.14855322859</v>
      </c>
    </row>
    <row r="22" customFormat="false" ht="45" hidden="false" customHeight="false" outlineLevel="0" collapsed="false">
      <c r="A22" s="32"/>
      <c r="B22" s="0"/>
      <c r="C22" s="0"/>
      <c r="D22" s="0"/>
      <c r="E22" s="0"/>
      <c r="AE22" s="90" t="n">
        <f aca="false">Data!A17</f>
        <v>42944</v>
      </c>
      <c r="AF22" s="17" t="n">
        <f aca="false">Data!B17</f>
        <v>149.89</v>
      </c>
      <c r="AG22" s="17" t="n">
        <f aca="false">Data!F17</f>
        <v>17213653</v>
      </c>
      <c r="AH22" s="17" t="n">
        <f aca="false">Data!C17</f>
        <v>150.23</v>
      </c>
      <c r="AI22" s="17" t="n">
        <f aca="false">Data!D17</f>
        <v>149.19</v>
      </c>
      <c r="AJ22" s="17" t="n">
        <f aca="false">Data!E17</f>
        <v>149.5</v>
      </c>
      <c r="AK22" s="17" t="n">
        <f aca="false">Data!F17</f>
        <v>17213653</v>
      </c>
      <c r="AL22" s="17" t="n">
        <f aca="false">AJ22</f>
        <v>149.5</v>
      </c>
      <c r="AM22" s="17" t="n">
        <f aca="false">(AL22-AL21)/AL22*100</f>
        <v>0.515050167224087</v>
      </c>
      <c r="AN22" s="17" t="n">
        <f aca="false">(AK22-AK21)/AK22*100</f>
        <v>-15.2917396441069</v>
      </c>
      <c r="AO22" s="17" t="str">
        <f aca="false">IF(AN22&lt;-8,"FITS BITCH",IF(AN22&gt;-8,"no"))</f>
        <v>FITS BITCH</v>
      </c>
      <c r="AP22" s="17" t="str">
        <f aca="false">IF(AH23&lt;AH22,"FITS BITCH",IF(AH23&gt;AH22,"no"))</f>
        <v>no</v>
      </c>
      <c r="AQ22" s="17" t="str">
        <f aca="false">IF(AI23&lt;AI22,"FITS BITCH",IF(AI23&gt;AI22,"no"))</f>
        <v>FITS BITCH</v>
      </c>
      <c r="AR22" s="17" t="str">
        <f aca="false">IF(AJ22&lt;AH23,"FITS BITCH",IF(AJ22&gt;AH23,"no"))</f>
        <v>FITS BITCH</v>
      </c>
      <c r="AS22" s="17" t="str">
        <f aca="false">IF(AJ22&gt;AJ23,"FITS BITCH",IF(AJ22&lt;AJ23,"no"))</f>
        <v>no</v>
      </c>
      <c r="AT22" s="91" t="str">
        <f aca="false">IF(AND($AO22="FITS BITCH",$AP22="FITS BITCH",$AR22="FITS BITCH"),"BULLISH","")</f>
        <v/>
      </c>
      <c r="AU22" s="91" t="str">
        <f aca="false">IF(AND($AO22="FITS BITCH",$AQ22="FITS BITCH",$AS22="FITS BITCH"),"BEARISH","")</f>
        <v/>
      </c>
      <c r="AV22" s="86"/>
      <c r="AW22" s="86"/>
      <c r="AX22" s="86"/>
      <c r="AY22" s="0"/>
      <c r="AZ22" s="0"/>
      <c r="BA22" s="0"/>
      <c r="BB22" s="0"/>
      <c r="BC22" s="0"/>
      <c r="BD22" s="0" t="s">
        <v>83</v>
      </c>
      <c r="BE22" s="0" t="s">
        <v>84</v>
      </c>
      <c r="BF22" s="0" t="s">
        <v>85</v>
      </c>
      <c r="BG22" s="0"/>
      <c r="BH22" s="0"/>
      <c r="BI22" s="0"/>
      <c r="BJ22" s="0"/>
      <c r="BK22" s="85"/>
      <c r="BL22" s="0"/>
      <c r="BR22" s="0" t="n">
        <f aca="false">BR23-(3*CJ10)</f>
        <v>117.51333925516</v>
      </c>
      <c r="BS22" s="40" t="n">
        <f aca="false">COUNTIFS($CH$9:$CH$108,"&lt;="&amp;BR22,$CH$9:$CH$108,"&gt;"&amp;BR21)</f>
        <v>0</v>
      </c>
      <c r="CG22" s="40" t="n">
        <v>14</v>
      </c>
      <c r="CH22" s="98" t="n">
        <v>117.51333925516</v>
      </c>
      <c r="CL22" s="99" t="n">
        <v>43098</v>
      </c>
      <c r="CM22" s="23" t="n">
        <f aca="false">$BA$68*CL22+$BA$70</f>
        <v>179.686198537862</v>
      </c>
    </row>
    <row r="23" customFormat="false" ht="45" hidden="false" customHeight="false" outlineLevel="0" collapsed="false">
      <c r="A23" s="32"/>
      <c r="B23" s="0"/>
      <c r="C23" s="0"/>
      <c r="D23" s="0"/>
      <c r="E23" s="0"/>
      <c r="AE23" s="90" t="n">
        <f aca="false">Data!A18</f>
        <v>42943</v>
      </c>
      <c r="AF23" s="17" t="n">
        <f aca="false">Data!B18</f>
        <v>153.75</v>
      </c>
      <c r="AG23" s="17" t="n">
        <f aca="false">Data!F18</f>
        <v>32476337</v>
      </c>
      <c r="AH23" s="17" t="n">
        <f aca="false">Data!C18</f>
        <v>153.99</v>
      </c>
      <c r="AI23" s="17" t="n">
        <f aca="false">Data!D18</f>
        <v>147.3</v>
      </c>
      <c r="AJ23" s="17" t="n">
        <f aca="false">Data!E18</f>
        <v>150.56</v>
      </c>
      <c r="AK23" s="17" t="n">
        <f aca="false">Data!F18</f>
        <v>32476337</v>
      </c>
      <c r="AL23" s="17" t="n">
        <f aca="false">AJ23</f>
        <v>150.56</v>
      </c>
      <c r="AM23" s="17" t="n">
        <f aca="false">(AL23-AL22)/AL23*100</f>
        <v>0.704038257173222</v>
      </c>
      <c r="AN23" s="17" t="n">
        <f aca="false">(AK23-AK22)/AK23*100</f>
        <v>46.9963222761237</v>
      </c>
      <c r="AO23" s="17" t="str">
        <f aca="false">IF(AN23&lt;-8,"FITS BITCH",IF(AN23&gt;-8,"no"))</f>
        <v>no</v>
      </c>
      <c r="AP23" s="17" t="str">
        <f aca="false">IF(AH24&lt;AH23,"FITS BITCH",IF(AH24&gt;AH23,"no"))</f>
        <v>FITS BITCH</v>
      </c>
      <c r="AQ23" s="17" t="str">
        <f aca="false">IF(AI24&lt;AI23,"FITS BITCH",IF(AI24&gt;AI23,"no"))</f>
        <v>no</v>
      </c>
      <c r="AR23" s="17" t="str">
        <f aca="false">IF(AJ23&lt;AH24,"FITS BITCH",IF(AJ23&gt;AH24,"no"))</f>
        <v>FITS BITCH</v>
      </c>
      <c r="AS23" s="17" t="str">
        <f aca="false">IF(AJ23&gt;AJ24,"FITS BITCH",IF(AJ23&lt;AJ24,"no"))</f>
        <v>no</v>
      </c>
      <c r="AT23" s="91" t="str">
        <f aca="false">IF(AND($AO23="FITS BITCH",$AP23="FITS BITCH",$AR23="FITS BITCH"),"BULLISH","")</f>
        <v/>
      </c>
      <c r="AU23" s="91" t="str">
        <f aca="false">IF(AND($AO23="FITS BITCH",$AQ23="FITS BITCH",$AS23="FITS BITCH"),"BEARISH","")</f>
        <v/>
      </c>
      <c r="AV23" s="86"/>
      <c r="AW23" s="86"/>
      <c r="AX23" s="86"/>
      <c r="AY23" s="0"/>
      <c r="AZ23" s="0"/>
      <c r="BA23" s="0"/>
      <c r="BB23" s="0" t="s">
        <v>90</v>
      </c>
      <c r="BC23" s="12" t="n">
        <f aca="false">MIN(AJ7:AJ1013)</f>
        <v>64.3</v>
      </c>
      <c r="BD23" s="0" t="s">
        <v>91</v>
      </c>
      <c r="BE23" s="97" t="n">
        <f aca="false">BC25-3*BC27</f>
        <v>41.9509053715766</v>
      </c>
      <c r="BF23" s="17" t="n">
        <f aca="false" t="array" ref="BF23:BF30">FREQUENCY(AJ7:AJ1013,BE23:BE29)</f>
        <v>0</v>
      </c>
      <c r="BG23" s="0"/>
      <c r="BH23" s="0"/>
      <c r="BI23" s="0"/>
      <c r="BJ23" s="0"/>
      <c r="BK23" s="85"/>
      <c r="BL23" s="0"/>
      <c r="BR23" s="0" t="n">
        <f aca="false">BR24-(2*CJ10)</f>
        <v>117.51333925516</v>
      </c>
      <c r="BS23" s="40" t="n">
        <f aca="false">COUNTIFS($CH$9:$CH$108,"&lt;="&amp;BR23,$CH$9:$CH$108,"&gt;"&amp;BR22)</f>
        <v>0</v>
      </c>
      <c r="CG23" s="40" t="n">
        <v>15</v>
      </c>
      <c r="CH23" s="98" t="n">
        <v>117.51333925516</v>
      </c>
      <c r="CL23" s="99" t="n">
        <v>43097</v>
      </c>
      <c r="CM23" s="23" t="n">
        <f aca="false">$BA$68*CL23+$BA$70</f>
        <v>179.532080307619</v>
      </c>
    </row>
    <row r="24" customFormat="false" ht="45" hidden="false" customHeight="false" outlineLevel="0" collapsed="false">
      <c r="A24" s="32"/>
      <c r="B24" s="0"/>
      <c r="C24" s="0"/>
      <c r="D24" s="0"/>
      <c r="E24" s="0"/>
      <c r="AE24" s="90" t="n">
        <f aca="false">Data!A19</f>
        <v>42942</v>
      </c>
      <c r="AF24" s="17" t="n">
        <f aca="false">Data!B19</f>
        <v>153.35</v>
      </c>
      <c r="AG24" s="17" t="n">
        <f aca="false">Data!F19</f>
        <v>15780951</v>
      </c>
      <c r="AH24" s="17" t="n">
        <f aca="false">Data!C19</f>
        <v>153.93</v>
      </c>
      <c r="AI24" s="17" t="n">
        <f aca="false">Data!D19</f>
        <v>153.06</v>
      </c>
      <c r="AJ24" s="17" t="n">
        <f aca="false">Data!E19</f>
        <v>153.46</v>
      </c>
      <c r="AK24" s="17" t="n">
        <f aca="false">Data!F19</f>
        <v>15780951</v>
      </c>
      <c r="AL24" s="17" t="n">
        <f aca="false">AJ24</f>
        <v>153.46</v>
      </c>
      <c r="AM24" s="17" t="n">
        <f aca="false">(AL24-AL23)/AL24*100</f>
        <v>1.88974325557149</v>
      </c>
      <c r="AN24" s="17" t="n">
        <f aca="false">(AK24-AK23)/AK24*100</f>
        <v>-105.794549390591</v>
      </c>
      <c r="AO24" s="17" t="str">
        <f aca="false">IF(AN24&lt;-8,"FITS BITCH",IF(AN24&gt;-8,"no"))</f>
        <v>FITS BITCH</v>
      </c>
      <c r="AP24" s="17" t="str">
        <f aca="false">IF(AH25&lt;AH24,"FITS BITCH",IF(AH25&gt;AH24,"no"))</f>
        <v>FITS BITCH</v>
      </c>
      <c r="AQ24" s="17" t="str">
        <f aca="false">IF(AI25&lt;AI24,"FITS BITCH",IF(AI25&gt;AI24,"no"))</f>
        <v>FITS BITCH</v>
      </c>
      <c r="AR24" s="17" t="str">
        <f aca="false">IF(AJ24&lt;AH25,"FITS BITCH",IF(AJ24&gt;AH25,"no"))</f>
        <v>FITS BITCH</v>
      </c>
      <c r="AS24" s="17" t="str">
        <f aca="false">IF(AJ24&gt;AJ25,"FITS BITCH",IF(AJ24&lt;AJ25,"no"))</f>
        <v>FITS BITCH</v>
      </c>
      <c r="AT24" s="91" t="str">
        <f aca="false">IF(AND($AO24="FITS BITCH",$AP24="FITS BITCH",$AR24="FITS BITCH"),"BULLISH","")</f>
        <v>BULLISH</v>
      </c>
      <c r="AU24" s="91" t="str">
        <f aca="false">IF(AND($AO24="FITS BITCH",$AQ24="FITS BITCH",$AS24="FITS BITCH"),"BEARISH","")</f>
        <v>BEARISH</v>
      </c>
      <c r="AV24" s="86"/>
      <c r="AW24" s="86"/>
      <c r="AX24" s="86"/>
      <c r="AY24" s="0"/>
      <c r="AZ24" s="0"/>
      <c r="BA24" s="0"/>
      <c r="BB24" s="0" t="s">
        <v>95</v>
      </c>
      <c r="BC24" s="12" t="n">
        <f aca="false">MAX(AJ7:AJ1013)</f>
        <v>161.6</v>
      </c>
      <c r="BD24" s="0" t="s">
        <v>96</v>
      </c>
      <c r="BE24" s="97" t="n">
        <f aca="false">BC25-2*BC27</f>
        <v>64.1453602841295</v>
      </c>
      <c r="BF24" s="17" t="n">
        <v>0</v>
      </c>
      <c r="BG24" s="0"/>
      <c r="BH24" s="0"/>
      <c r="BI24" s="0"/>
      <c r="BJ24" s="0"/>
      <c r="BK24" s="85"/>
      <c r="BL24" s="0"/>
      <c r="BR24" s="0" t="n">
        <f aca="false">BR25-CJ10</f>
        <v>117.51333925516</v>
      </c>
      <c r="BS24" s="40" t="n">
        <f aca="false">COUNTIFS($CH$9:$CH$108,"&lt;="&amp;BR24,$CH$9:$CH$108,"&gt;"&amp;BR23)</f>
        <v>0</v>
      </c>
      <c r="CG24" s="40" t="n">
        <v>16</v>
      </c>
      <c r="CH24" s="98" t="n">
        <v>117.51333925516</v>
      </c>
      <c r="CL24" s="99" t="n">
        <v>43096</v>
      </c>
      <c r="CM24" s="23" t="n">
        <f aca="false">$BA$68*CL24+$BA$70</f>
        <v>179.377962077377</v>
      </c>
    </row>
    <row r="25" customFormat="false" ht="45" hidden="false" customHeight="false" outlineLevel="0" collapsed="false">
      <c r="A25" s="32"/>
      <c r="B25" s="0"/>
      <c r="C25" s="0"/>
      <c r="D25" s="0"/>
      <c r="E25" s="0"/>
      <c r="AE25" s="90" t="n">
        <f aca="false">Data!A20</f>
        <v>42941</v>
      </c>
      <c r="AF25" s="17" t="n">
        <f aca="false">Data!B20</f>
        <v>151.8</v>
      </c>
      <c r="AG25" s="17" t="n">
        <f aca="false">Data!F20</f>
        <v>18853932</v>
      </c>
      <c r="AH25" s="17" t="n">
        <f aca="false">Data!C20</f>
        <v>153.84</v>
      </c>
      <c r="AI25" s="17" t="n">
        <f aca="false">Data!D20</f>
        <v>151.8</v>
      </c>
      <c r="AJ25" s="17" t="n">
        <f aca="false">Data!E20</f>
        <v>152.74</v>
      </c>
      <c r="AK25" s="17" t="n">
        <f aca="false">Data!F20</f>
        <v>18853932</v>
      </c>
      <c r="AL25" s="17" t="n">
        <f aca="false">AJ25</f>
        <v>152.74</v>
      </c>
      <c r="AM25" s="17" t="n">
        <f aca="false">(AL25-AL24)/AL25*100</f>
        <v>-0.471389288987822</v>
      </c>
      <c r="AN25" s="17" t="n">
        <f aca="false">(AK25-AK24)/AK25*100</f>
        <v>16.2988866195126</v>
      </c>
      <c r="AO25" s="17" t="str">
        <f aca="false">IF(AN25&lt;-8,"FITS BITCH",IF(AN25&gt;-8,"no"))</f>
        <v>no</v>
      </c>
      <c r="AP25" s="17" t="str">
        <f aca="false">IF(AH26&lt;AH25,"FITS BITCH",IF(AH26&gt;AH25,"no"))</f>
        <v>FITS BITCH</v>
      </c>
      <c r="AQ25" s="17" t="str">
        <f aca="false">IF(AI26&lt;AI25,"FITS BITCH",IF(AI26&gt;AI25,"no"))</f>
        <v>FITS BITCH</v>
      </c>
      <c r="AR25" s="17" t="str">
        <f aca="false">IF(AJ25&lt;AH26,"FITS BITCH",IF(AJ25&gt;AH26,"no"))</f>
        <v>no</v>
      </c>
      <c r="AS25" s="17" t="str">
        <f aca="false">IF(AJ25&gt;AJ26,"FITS BITCH",IF(AJ25&lt;AJ26,"no"))</f>
        <v>FITS BITCH</v>
      </c>
      <c r="AT25" s="91" t="str">
        <f aca="false">IF(AND($AO25="FITS BITCH",$AP25="FITS BITCH",$AR25="FITS BITCH"),"BULLISH","")</f>
        <v/>
      </c>
      <c r="AU25" s="91" t="str">
        <f aca="false">IF(AND($AO25="FITS BITCH",$AQ25="FITS BITCH",$AS25="FITS BITCH"),"BEARISH","")</f>
        <v/>
      </c>
      <c r="AV25" s="86"/>
      <c r="AW25" s="86"/>
      <c r="AX25" s="86"/>
      <c r="AY25" s="0"/>
      <c r="AZ25" s="0"/>
      <c r="BA25" s="0"/>
      <c r="BB25" s="101" t="s">
        <v>100</v>
      </c>
      <c r="BC25" s="12" t="n">
        <f aca="false">AVERAGE(AJ7:AJ1013)</f>
        <v>108.534270109235</v>
      </c>
      <c r="BD25" s="0" t="s">
        <v>101</v>
      </c>
      <c r="BE25" s="97" t="n">
        <f aca="false">BC25-BC27</f>
        <v>86.3398151966824</v>
      </c>
      <c r="BF25" s="17" t="n">
        <v>186</v>
      </c>
      <c r="BG25" s="0"/>
      <c r="BH25" s="0"/>
      <c r="BI25" s="0"/>
      <c r="BJ25" s="0"/>
      <c r="BK25" s="85"/>
      <c r="BL25" s="0"/>
      <c r="BM25" s="0"/>
      <c r="BN25" s="0"/>
      <c r="BR25" s="119" t="n">
        <f aca="false">CJ9</f>
        <v>117.51333925516</v>
      </c>
      <c r="BS25" s="40" t="n">
        <f aca="false">COUNTIFS($CH$9:$CH$108,"&lt;="&amp;BR25,$CH$9:$CH$108,"&gt;"&amp;BR24)</f>
        <v>0</v>
      </c>
      <c r="CG25" s="40" t="n">
        <v>17</v>
      </c>
      <c r="CH25" s="98" t="n">
        <v>117.51333925516</v>
      </c>
      <c r="CL25" s="99" t="n">
        <v>43095</v>
      </c>
      <c r="CM25" s="23" t="n">
        <f aca="false">$BA$68*CL25+$BA$70</f>
        <v>179.223843847134</v>
      </c>
    </row>
    <row r="26" customFormat="false" ht="45" hidden="false" customHeight="false" outlineLevel="0" collapsed="false">
      <c r="A26" s="32"/>
      <c r="B26" s="0"/>
      <c r="C26" s="0"/>
      <c r="D26" s="0"/>
      <c r="E26" s="0"/>
      <c r="AE26" s="90" t="n">
        <f aca="false">Data!A21</f>
        <v>42940</v>
      </c>
      <c r="AF26" s="17" t="n">
        <f aca="false">Data!B21</f>
        <v>150.58</v>
      </c>
      <c r="AG26" s="17" t="n">
        <f aca="false">Data!F21</f>
        <v>21493160</v>
      </c>
      <c r="AH26" s="17" t="n">
        <f aca="false">Data!C21</f>
        <v>152.44</v>
      </c>
      <c r="AI26" s="17" t="n">
        <f aca="false">Data!D21</f>
        <v>149.9</v>
      </c>
      <c r="AJ26" s="17" t="n">
        <f aca="false">Data!E21</f>
        <v>152.09</v>
      </c>
      <c r="AK26" s="17" t="n">
        <f aca="false">Data!F21</f>
        <v>21493160</v>
      </c>
      <c r="AL26" s="17" t="n">
        <f aca="false">AJ26</f>
        <v>152.09</v>
      </c>
      <c r="AM26" s="17" t="n">
        <f aca="false">(AL26-AL25)/AL26*100</f>
        <v>-0.427378525872842</v>
      </c>
      <c r="AN26" s="17" t="n">
        <f aca="false">(AK26-AK25)/AK26*100</f>
        <v>12.2793856277997</v>
      </c>
      <c r="AO26" s="17" t="str">
        <f aca="false">IF(AN26&lt;-8,"FITS BITCH",IF(AN26&gt;-8,"no"))</f>
        <v>no</v>
      </c>
      <c r="AP26" s="17" t="str">
        <f aca="false">IF(AH27&lt;AH26,"FITS BITCH",IF(AH27&gt;AH26,"no"))</f>
        <v>FITS BITCH</v>
      </c>
      <c r="AQ26" s="17" t="str">
        <f aca="false">IF(AI27&lt;AI26,"FITS BITCH",IF(AI27&gt;AI26,"no"))</f>
        <v>FITS BITCH</v>
      </c>
      <c r="AR26" s="17" t="str">
        <f aca="false">IF(AJ26&lt;AH27,"FITS BITCH",IF(AJ26&gt;AH27,"no"))</f>
        <v>no</v>
      </c>
      <c r="AS26" s="17" t="str">
        <f aca="false">IF(AJ26&gt;AJ27,"FITS BITCH",IF(AJ26&lt;AJ27,"no"))</f>
        <v>FITS BITCH</v>
      </c>
      <c r="AT26" s="91" t="str">
        <f aca="false">IF(AND($AO26="FITS BITCH",$AP26="FITS BITCH",$AR26="FITS BITCH"),"BULLISH","")</f>
        <v/>
      </c>
      <c r="AU26" s="91" t="str">
        <f aca="false">IF(AND($AO26="FITS BITCH",$AQ26="FITS BITCH",$AS26="FITS BITCH"),"BEARISH","")</f>
        <v/>
      </c>
      <c r="AV26" s="86"/>
      <c r="AW26" s="86"/>
      <c r="AX26" s="86"/>
      <c r="AY26" s="0"/>
      <c r="AZ26" s="0"/>
      <c r="BA26" s="0"/>
      <c r="BB26" s="101" t="s">
        <v>104</v>
      </c>
      <c r="BC26" s="12" t="n">
        <f aca="false">VAR(AJ7:AJ1013)</f>
        <v>492.593828865344</v>
      </c>
      <c r="BD26" s="0" t="s">
        <v>105</v>
      </c>
      <c r="BE26" s="97" t="n">
        <f aca="false">BC25</f>
        <v>108.534270109235</v>
      </c>
      <c r="BF26" s="17" t="n">
        <v>295</v>
      </c>
      <c r="BG26" s="0"/>
      <c r="BH26" s="0"/>
      <c r="BI26" s="0"/>
      <c r="BJ26" s="0"/>
      <c r="BK26" s="85"/>
      <c r="BL26" s="0"/>
      <c r="BM26" s="0"/>
      <c r="BN26" s="0"/>
      <c r="BR26" s="0" t="n">
        <f aca="false">BR25+CJ10</f>
        <v>117.51333925516</v>
      </c>
      <c r="BS26" s="40" t="n">
        <f aca="false">COUNTIFS($CH$9:$CH$108,"&lt;="&amp;BR26,$CH$9:$CH$108,"&gt;"&amp;BR25)</f>
        <v>0</v>
      </c>
      <c r="CG26" s="40" t="n">
        <v>18</v>
      </c>
      <c r="CH26" s="98" t="n">
        <v>117.51333925516</v>
      </c>
      <c r="CL26" s="99" t="n">
        <v>43094</v>
      </c>
      <c r="CM26" s="23" t="n">
        <f aca="false">$BA$68*CL26+$BA$70</f>
        <v>179.069725616891</v>
      </c>
    </row>
    <row r="27" customFormat="false" ht="45" hidden="false" customHeight="false" outlineLevel="0" collapsed="false">
      <c r="B27" s="0"/>
      <c r="C27" s="0"/>
      <c r="D27" s="0"/>
      <c r="E27" s="0"/>
      <c r="AE27" s="90" t="n">
        <f aca="false">Data!A22</f>
        <v>42937</v>
      </c>
      <c r="AF27" s="17" t="n">
        <f aca="false">Data!B22</f>
        <v>149.99</v>
      </c>
      <c r="AG27" s="17" t="n">
        <f aca="false">Data!F22</f>
        <v>26252630</v>
      </c>
      <c r="AH27" s="17" t="n">
        <f aca="false">Data!C22</f>
        <v>150.44</v>
      </c>
      <c r="AI27" s="17" t="n">
        <f aca="false">Data!D22</f>
        <v>148.88</v>
      </c>
      <c r="AJ27" s="17" t="n">
        <f aca="false">Data!E22</f>
        <v>150.27</v>
      </c>
      <c r="AK27" s="17" t="n">
        <f aca="false">Data!F22</f>
        <v>26252630</v>
      </c>
      <c r="AL27" s="17" t="n">
        <f aca="false">AJ27</f>
        <v>150.27</v>
      </c>
      <c r="AM27" s="17" t="n">
        <f aca="false">(AL27-AL26)/AL27*100</f>
        <v>-1.21115325746988</v>
      </c>
      <c r="AN27" s="17" t="n">
        <f aca="false">(AK27-AK26)/AK27*100</f>
        <v>18.1294978826883</v>
      </c>
      <c r="AO27" s="17" t="str">
        <f aca="false">IF(AN27&lt;-8,"FITS BITCH",IF(AN27&gt;-8,"no"))</f>
        <v>no</v>
      </c>
      <c r="AP27" s="17" t="str">
        <f aca="false">IF(AH28&lt;AH27,"FITS BITCH",IF(AH28&gt;AH27,"no"))</f>
        <v>no</v>
      </c>
      <c r="AQ27" s="17" t="str">
        <f aca="false">IF(AI28&lt;AI27,"FITS BITCH",IF(AI28&gt;AI27,"no"))</f>
        <v>no</v>
      </c>
      <c r="AR27" s="17" t="str">
        <f aca="false">IF(AJ27&lt;AH28,"FITS BITCH",IF(AJ27&gt;AH28,"no"))</f>
        <v>FITS BITCH</v>
      </c>
      <c r="AS27" s="17" t="str">
        <f aca="false">IF(AJ27&gt;AJ28,"FITS BITCH",IF(AJ27&lt;AJ28,"no"))</f>
        <v>no</v>
      </c>
      <c r="AT27" s="91" t="str">
        <f aca="false">IF(AND($AO27="FITS BITCH",$AP27="FITS BITCH",$AR27="FITS BITCH"),"BULLISH","")</f>
        <v/>
      </c>
      <c r="AU27" s="91" t="str">
        <f aca="false">IF(AND($AO27="FITS BITCH",$AQ27="FITS BITCH",$AS27="FITS BITCH"),"BEARISH","")</f>
        <v/>
      </c>
      <c r="AV27" s="86"/>
      <c r="AW27" s="86"/>
      <c r="AX27" s="86"/>
      <c r="AY27" s="0"/>
      <c r="AZ27" s="0"/>
      <c r="BA27" s="0"/>
      <c r="BB27" s="101" t="s">
        <v>107</v>
      </c>
      <c r="BC27" s="12" t="n">
        <f aca="false">STDEV(AJ7:AJ1013)</f>
        <v>22.1944549125529</v>
      </c>
      <c r="BD27" s="0" t="s">
        <v>108</v>
      </c>
      <c r="BE27" s="97" t="n">
        <f aca="false">BC25+BC27</f>
        <v>130.728725021788</v>
      </c>
      <c r="BF27" s="17" t="n">
        <v>382</v>
      </c>
      <c r="BG27" s="0"/>
      <c r="BH27" s="0"/>
      <c r="BI27" s="0"/>
      <c r="BJ27" s="0"/>
      <c r="BK27" s="85"/>
      <c r="BL27" s="0"/>
      <c r="BM27" s="0"/>
      <c r="BN27" s="0"/>
      <c r="BR27" s="0" t="n">
        <f aca="false">BR26+(2*CJ10)</f>
        <v>117.51333925516</v>
      </c>
      <c r="BS27" s="40" t="n">
        <f aca="false">COUNTIFS($CH$9:$CH$108,"&lt;="&amp;BR27,$CH$9:$CH$108,"&gt;"&amp;BR26)</f>
        <v>0</v>
      </c>
      <c r="CG27" s="40" t="n">
        <v>19</v>
      </c>
      <c r="CH27" s="98" t="n">
        <v>117.51333925516</v>
      </c>
      <c r="CL27" s="99" t="n">
        <v>43091</v>
      </c>
      <c r="CM27" s="23" t="n">
        <f aca="false">$BA$68*CL27+$BA$70</f>
        <v>178.607370926163</v>
      </c>
    </row>
    <row r="28" customFormat="false" ht="45" hidden="false" customHeight="false" outlineLevel="0" collapsed="false">
      <c r="A28" s="0"/>
      <c r="B28" s="0"/>
      <c r="C28" s="0"/>
      <c r="D28" s="0"/>
      <c r="E28" s="0"/>
      <c r="AE28" s="90" t="n">
        <f aca="false">Data!A23</f>
        <v>42936</v>
      </c>
      <c r="AF28" s="17" t="n">
        <f aca="false">Data!B23</f>
        <v>151.5</v>
      </c>
      <c r="AG28" s="17" t="n">
        <f aca="false">Data!F23</f>
        <v>17243748</v>
      </c>
      <c r="AH28" s="17" t="n">
        <f aca="false">Data!C23</f>
        <v>151.74</v>
      </c>
      <c r="AI28" s="17" t="n">
        <f aca="false">Data!D23</f>
        <v>150.19</v>
      </c>
      <c r="AJ28" s="17" t="n">
        <f aca="false">Data!E23</f>
        <v>150.34</v>
      </c>
      <c r="AK28" s="17" t="n">
        <f aca="false">Data!F23</f>
        <v>17243748</v>
      </c>
      <c r="AL28" s="17" t="n">
        <f aca="false">AJ28</f>
        <v>150.34</v>
      </c>
      <c r="AM28" s="17" t="n">
        <f aca="false">(AL28-AL27)/AL28*100</f>
        <v>0.0465611281096137</v>
      </c>
      <c r="AN28" s="17" t="n">
        <f aca="false">(AK28-AK27)/AK28*100</f>
        <v>-52.2443380638594</v>
      </c>
      <c r="AO28" s="17" t="str">
        <f aca="false">IF(AN28&lt;-8,"FITS BITCH",IF(AN28&gt;-8,"no"))</f>
        <v>FITS BITCH</v>
      </c>
      <c r="AP28" s="17" t="str">
        <f aca="false">IF(AH29&lt;AH28,"FITS BITCH",IF(AH29&gt;AH28,"no"))</f>
        <v>FITS BITCH</v>
      </c>
      <c r="AQ28" s="17" t="str">
        <f aca="false">IF(AI29&lt;AI28,"FITS BITCH",IF(AI29&gt;AI28,"no"))</f>
        <v>FITS BITCH</v>
      </c>
      <c r="AR28" s="17" t="str">
        <f aca="false">IF(AJ28&lt;AH29,"FITS BITCH",IF(AJ28&gt;AH29,"no"))</f>
        <v>FITS BITCH</v>
      </c>
      <c r="AS28" s="17" t="str">
        <f aca="false">IF(AJ28&gt;AJ29,"FITS BITCH",IF(AJ28&lt;AJ29,"no"))</f>
        <v>no</v>
      </c>
      <c r="AT28" s="91" t="str">
        <f aca="false">IF(AND($AO28="FITS BITCH",$AP28="FITS BITCH",$AR28="FITS BITCH"),"BULLISH","")</f>
        <v>BULLISH</v>
      </c>
      <c r="AU28" s="91" t="str">
        <f aca="false">IF(AND($AO28="FITS BITCH",$AQ28="FITS BITCH",$AS28="FITS BITCH"),"BEARISH","")</f>
        <v/>
      </c>
      <c r="AV28" s="86"/>
      <c r="AW28" s="86"/>
      <c r="AX28" s="86"/>
      <c r="AY28" s="0"/>
      <c r="AZ28" s="0"/>
      <c r="BA28" s="0"/>
      <c r="BB28" s="0"/>
      <c r="BC28" s="0"/>
      <c r="BD28" s="0" t="s">
        <v>110</v>
      </c>
      <c r="BE28" s="97" t="n">
        <f aca="false">BC25+2*BC27</f>
        <v>152.923179934341</v>
      </c>
      <c r="BF28" s="17" t="n">
        <v>110</v>
      </c>
      <c r="BG28" s="0"/>
      <c r="BH28" s="0"/>
      <c r="BI28" s="0"/>
      <c r="BJ28" s="0"/>
      <c r="BK28" s="85"/>
      <c r="BL28" s="0"/>
      <c r="BM28" s="0"/>
      <c r="BN28" s="0"/>
      <c r="BO28" s="120"/>
      <c r="BP28" s="0"/>
      <c r="BQ28" s="40"/>
      <c r="BR28" s="0" t="n">
        <f aca="false">BR27+(3*CJ10)</f>
        <v>117.51333925516</v>
      </c>
      <c r="BS28" s="40" t="n">
        <f aca="false">COUNTIFS($CH$9:$CH$108,"&lt;="&amp;BR28,$CH$9:$CH$108,"&gt;"&amp;BR27)</f>
        <v>0</v>
      </c>
      <c r="BT28" s="0"/>
      <c r="BU28" s="0"/>
      <c r="BV28" s="0"/>
      <c r="BW28" s="0"/>
      <c r="BX28" s="0"/>
      <c r="BY28" s="0"/>
      <c r="BZ28" s="0"/>
      <c r="CA28" s="0"/>
      <c r="CB28" s="0"/>
      <c r="CC28" s="0"/>
      <c r="CD28" s="0"/>
      <c r="CE28" s="0"/>
      <c r="CF28" s="0"/>
      <c r="CG28" s="40" t="n">
        <v>20</v>
      </c>
      <c r="CH28" s="17" t="n">
        <v>117.51333925516</v>
      </c>
      <c r="CI28" s="0"/>
      <c r="CJ28" s="0"/>
      <c r="CK28" s="0"/>
      <c r="CL28" s="99" t="n">
        <v>43090</v>
      </c>
      <c r="CM28" s="23" t="n">
        <f aca="false">$BA$68*CL28+$BA$70</f>
        <v>178.45325269592</v>
      </c>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s="111" customFormat="true" ht="45" hidden="false" customHeight="false" outlineLevel="0" collapsed="false">
      <c r="A29" s="0"/>
      <c r="B29" s="0"/>
      <c r="C29" s="0"/>
      <c r="D29" s="0"/>
      <c r="E29" s="0"/>
      <c r="F29" s="0"/>
      <c r="G29" s="0"/>
      <c r="H29" s="0"/>
      <c r="I29" s="0"/>
      <c r="J29" s="0"/>
      <c r="K29" s="0"/>
      <c r="L29" s="0"/>
      <c r="M29" s="0"/>
      <c r="N29" s="0"/>
      <c r="O29" s="0"/>
      <c r="P29" s="0"/>
      <c r="Q29" s="0"/>
      <c r="R29" s="0"/>
      <c r="S29" s="0"/>
      <c r="T29" s="0"/>
      <c r="U29" s="0"/>
      <c r="V29" s="0"/>
      <c r="W29" s="0"/>
      <c r="X29" s="0"/>
      <c r="Y29" s="0"/>
      <c r="Z29" s="0"/>
      <c r="AA29" s="0"/>
      <c r="AB29" s="0"/>
      <c r="AC29" s="0"/>
      <c r="AD29" s="0"/>
      <c r="AE29" s="90" t="n">
        <f aca="false">Data!A24</f>
        <v>42935</v>
      </c>
      <c r="AF29" s="17" t="n">
        <f aca="false">Data!B24</f>
        <v>150.48</v>
      </c>
      <c r="AG29" s="17" t="n">
        <f aca="false">Data!F24</f>
        <v>20922969</v>
      </c>
      <c r="AH29" s="17" t="n">
        <f aca="false">Data!C24</f>
        <v>151.42</v>
      </c>
      <c r="AI29" s="17" t="n">
        <f aca="false">Data!D24</f>
        <v>149.95</v>
      </c>
      <c r="AJ29" s="17" t="n">
        <f aca="false">Data!E24</f>
        <v>151.02</v>
      </c>
      <c r="AK29" s="17" t="n">
        <f aca="false">Data!F24</f>
        <v>20922969</v>
      </c>
      <c r="AL29" s="17" t="n">
        <f aca="false">AJ29</f>
        <v>151.02</v>
      </c>
      <c r="AM29" s="17" t="n">
        <f aca="false">(AL29-AL28)/AL29*100</f>
        <v>0.45027148722024</v>
      </c>
      <c r="AN29" s="17" t="n">
        <f aca="false">(AK29-AK28)/AK29*100</f>
        <v>17.584602835286</v>
      </c>
      <c r="AO29" s="17" t="str">
        <f aca="false">IF(AN29&lt;-8,"FITS BITCH",IF(AN29&gt;-8,"no"))</f>
        <v>no</v>
      </c>
      <c r="AP29" s="17" t="str">
        <f aca="false">IF(AH30&lt;AH29,"FITS BITCH",IF(AH30&gt;AH29,"no"))</f>
        <v>FITS BITCH</v>
      </c>
      <c r="AQ29" s="17" t="str">
        <f aca="false">IF(AI30&lt;AI29,"FITS BITCH",IF(AI30&gt;AI29,"no"))</f>
        <v>FITS BITCH</v>
      </c>
      <c r="AR29" s="17" t="str">
        <f aca="false">IF(AJ29&lt;AH30,"FITS BITCH",IF(AJ29&gt;AH30,"no"))</f>
        <v>no</v>
      </c>
      <c r="AS29" s="17" t="str">
        <f aca="false">IF(AJ29&gt;AJ30,"FITS BITCH",IF(AJ29&lt;AJ30,"no"))</f>
        <v>FITS BITCH</v>
      </c>
      <c r="AT29" s="91" t="str">
        <f aca="false">IF(AND($AO29="FITS BITCH",$AP29="FITS BITCH",$AR29="FITS BITCH"),"BULLISH","")</f>
        <v/>
      </c>
      <c r="AU29" s="91" t="str">
        <f aca="false">IF(AND($AO29="FITS BITCH",$AQ29="FITS BITCH",$AS29="FITS BITCH"),"BEARISH","")</f>
        <v/>
      </c>
      <c r="AV29" s="86"/>
      <c r="AW29" s="86"/>
      <c r="AX29" s="86"/>
      <c r="AY29" s="0"/>
      <c r="AZ29" s="0"/>
      <c r="BA29" s="0"/>
      <c r="BB29" s="0"/>
      <c r="BC29" s="0"/>
      <c r="BD29" s="0" t="s">
        <v>111</v>
      </c>
      <c r="BE29" s="97" t="n">
        <f aca="false">BC25+3*BC27</f>
        <v>175.117634846894</v>
      </c>
      <c r="BF29" s="17" t="n">
        <v>34</v>
      </c>
      <c r="BG29" s="0"/>
      <c r="BH29" s="0"/>
      <c r="BI29" s="0"/>
      <c r="BJ29" s="0"/>
      <c r="BK29" s="85"/>
      <c r="BL29" s="0"/>
      <c r="BM29" s="0"/>
      <c r="BN29" s="0"/>
      <c r="BQ29" s="40"/>
      <c r="BR29" s="0" t="n">
        <f aca="false">BR28+(4*CJ10)</f>
        <v>117.51333925516</v>
      </c>
      <c r="BS29" s="40" t="n">
        <f aca="false">COUNTIFS($CH$9:$CH$108,"&gt;"&amp;BR29)</f>
        <v>0</v>
      </c>
      <c r="CG29" s="40" t="n">
        <v>21</v>
      </c>
      <c r="CH29" s="121" t="n">
        <v>117.51333925516</v>
      </c>
      <c r="CL29" s="99" t="n">
        <v>43089</v>
      </c>
      <c r="CM29" s="23" t="n">
        <f aca="false">$BA$68*CL29+$BA$70</f>
        <v>178.299134465678</v>
      </c>
    </row>
    <row r="30" customFormat="false" ht="44.25" hidden="false" customHeight="false" outlineLevel="0" collapsed="false">
      <c r="A30" s="0"/>
      <c r="B30" s="0"/>
      <c r="C30" s="0"/>
      <c r="D30" s="0"/>
      <c r="E30" s="0"/>
      <c r="AE30" s="90" t="n">
        <f aca="false">Data!A25</f>
        <v>42934</v>
      </c>
      <c r="AF30" s="17" t="n">
        <f aca="false">Data!B25</f>
        <v>149.2</v>
      </c>
      <c r="AG30" s="17" t="n">
        <f aca="false">Data!F25</f>
        <v>17868792</v>
      </c>
      <c r="AH30" s="17" t="n">
        <f aca="false">Data!C25</f>
        <v>150.13</v>
      </c>
      <c r="AI30" s="17" t="n">
        <f aca="false">Data!D25</f>
        <v>148.67</v>
      </c>
      <c r="AJ30" s="17" t="n">
        <f aca="false">Data!E25</f>
        <v>150.08</v>
      </c>
      <c r="AK30" s="17" t="n">
        <f aca="false">Data!F25</f>
        <v>17868792</v>
      </c>
      <c r="AL30" s="17" t="n">
        <f aca="false">AJ30</f>
        <v>150.08</v>
      </c>
      <c r="AM30" s="17" t="n">
        <f aca="false">(AL30-AL29)/AL30*100</f>
        <v>-0.626332622601278</v>
      </c>
      <c r="AN30" s="17" t="n">
        <f aca="false">(AK30-AK29)/AK30*100</f>
        <v>-17.0922410423715</v>
      </c>
      <c r="AO30" s="17" t="str">
        <f aca="false">IF(AN30&lt;-8,"FITS BITCH",IF(AN30&gt;-8,"no"))</f>
        <v>FITS BITCH</v>
      </c>
      <c r="AP30" s="17" t="str">
        <f aca="false">IF(AH31&lt;AH30,"FITS BITCH",IF(AH31&gt;AH30,"no"))</f>
        <v>no</v>
      </c>
      <c r="AQ30" s="17" t="str">
        <f aca="false">IF(AI31&lt;AI30,"FITS BITCH",IF(AI31&gt;AI30,"no"))</f>
        <v>FITS BITCH</v>
      </c>
      <c r="AR30" s="17" t="str">
        <f aca="false">IF(AJ30&lt;AH31,"FITS BITCH",IF(AJ30&gt;AH31,"no"))</f>
        <v>FITS BITCH</v>
      </c>
      <c r="AS30" s="17" t="str">
        <f aca="false">IF(AJ30&gt;AJ31,"FITS BITCH",IF(AJ30&lt;AJ31,"no"))</f>
        <v>FITS BITCH</v>
      </c>
      <c r="AT30" s="91" t="str">
        <f aca="false">IF(AND($AO30="FITS BITCH",$AP30="FITS BITCH",$AR30="FITS BITCH"),"BULLISH","")</f>
        <v/>
      </c>
      <c r="AU30" s="91" t="str">
        <f aca="false">IF(AND($AO30="FITS BITCH",$AQ30="FITS BITCH",$AS30="FITS BITCH"),"BEARISH","")</f>
        <v>BEARISH</v>
      </c>
      <c r="AV30" s="86"/>
      <c r="AW30" s="86"/>
      <c r="AX30" s="86"/>
      <c r="AY30" s="0"/>
      <c r="AZ30" s="0"/>
      <c r="BA30" s="0"/>
      <c r="BB30" s="0"/>
      <c r="BC30" s="0"/>
      <c r="BD30" s="0" t="s">
        <v>114</v>
      </c>
      <c r="BE30" s="17"/>
      <c r="BF30" s="17" t="n">
        <v>0</v>
      </c>
      <c r="BG30" s="0"/>
      <c r="BH30" s="0"/>
      <c r="BI30" s="0"/>
      <c r="BJ30" s="0"/>
      <c r="BK30" s="122"/>
      <c r="BL30" s="0"/>
      <c r="BM30" s="0"/>
      <c r="BN30" s="0"/>
      <c r="BQ30" s="40"/>
      <c r="CG30" s="40" t="n">
        <v>22</v>
      </c>
      <c r="CH30" s="121" t="n">
        <v>117.51333925516</v>
      </c>
      <c r="CL30" s="99" t="n">
        <v>43088</v>
      </c>
      <c r="CM30" s="23" t="n">
        <f aca="false">$BA$68*CL30+$BA$70</f>
        <v>178.145016235435</v>
      </c>
    </row>
    <row r="31" customFormat="false" ht="44.25" hidden="false" customHeight="false" outlineLevel="0" collapsed="false">
      <c r="A31" s="0"/>
      <c r="B31" s="0"/>
      <c r="C31" s="0"/>
      <c r="D31" s="0"/>
      <c r="E31" s="0"/>
      <c r="AE31" s="90" t="n">
        <f aca="false">Data!A26</f>
        <v>42933</v>
      </c>
      <c r="AF31" s="17" t="n">
        <f aca="false">Data!B26</f>
        <v>148.82</v>
      </c>
      <c r="AG31" s="17" t="n">
        <f aca="false">Data!F26</f>
        <v>23793456</v>
      </c>
      <c r="AH31" s="17" t="n">
        <f aca="false">Data!C26</f>
        <v>150.9</v>
      </c>
      <c r="AI31" s="17" t="n">
        <f aca="false">Data!D26</f>
        <v>148.57</v>
      </c>
      <c r="AJ31" s="17" t="n">
        <f aca="false">Data!E26</f>
        <v>149.56</v>
      </c>
      <c r="AK31" s="17" t="n">
        <f aca="false">Data!F26</f>
        <v>23793456</v>
      </c>
      <c r="AL31" s="17" t="n">
        <f aca="false">AJ31</f>
        <v>149.56</v>
      </c>
      <c r="AM31" s="17" t="n">
        <f aca="false">(AL31-AL30)/AL31*100</f>
        <v>-0.347686547205142</v>
      </c>
      <c r="AN31" s="17" t="n">
        <f aca="false">(AK31-AK30)/AK31*100</f>
        <v>24.900392780267</v>
      </c>
      <c r="AO31" s="17" t="str">
        <f aca="false">IF(AN31&lt;-8,"FITS BITCH",IF(AN31&gt;-8,"no"))</f>
        <v>no</v>
      </c>
      <c r="AP31" s="17" t="str">
        <f aca="false">IF(AH32&lt;AH31,"FITS BITCH",IF(AH32&gt;AH31,"no"))</f>
        <v>FITS BITCH</v>
      </c>
      <c r="AQ31" s="17" t="str">
        <f aca="false">IF(AI32&lt;AI31,"FITS BITCH",IF(AI32&gt;AI31,"no"))</f>
        <v>FITS BITCH</v>
      </c>
      <c r="AR31" s="17" t="str">
        <f aca="false">IF(AJ31&lt;AH32,"FITS BITCH",IF(AJ31&gt;AH32,"no"))</f>
        <v>no</v>
      </c>
      <c r="AS31" s="17" t="str">
        <f aca="false">IF(AJ31&gt;AJ32,"FITS BITCH",IF(AJ31&lt;AJ32,"no"))</f>
        <v>FITS BITCH</v>
      </c>
      <c r="AT31" s="91" t="str">
        <f aca="false">IF(AND($AO31="FITS BITCH",$AP31="FITS BITCH",$AR31="FITS BITCH"),"BULLISH","")</f>
        <v/>
      </c>
      <c r="AU31" s="91" t="str">
        <f aca="false">IF(AND($AO31="FITS BITCH",$AQ31="FITS BITCH",$AS31="FITS BITCH"),"BEARISH","")</f>
        <v/>
      </c>
      <c r="AV31" s="86"/>
      <c r="AW31" s="86"/>
      <c r="AX31" s="86"/>
      <c r="AY31" s="0"/>
      <c r="AZ31" s="0"/>
      <c r="BA31" s="0"/>
      <c r="BB31" s="0"/>
      <c r="BC31" s="0"/>
      <c r="BD31" s="0"/>
      <c r="BE31" s="0"/>
      <c r="BF31" s="0"/>
      <c r="BG31" s="0"/>
      <c r="BH31" s="0"/>
      <c r="BI31" s="0"/>
      <c r="BJ31" s="0"/>
      <c r="BK31" s="122"/>
      <c r="BL31" s="0"/>
      <c r="BM31" s="0"/>
      <c r="BN31" s="0"/>
      <c r="BQ31" s="40"/>
      <c r="CG31" s="40" t="n">
        <v>23</v>
      </c>
      <c r="CH31" s="121" t="n">
        <v>117.51333925516</v>
      </c>
      <c r="CL31" s="99" t="n">
        <v>43087</v>
      </c>
      <c r="CM31" s="23" t="n">
        <f aca="false">$BA$68*CL31+$BA$70</f>
        <v>177.990898005192</v>
      </c>
    </row>
    <row r="32" customFormat="false" ht="45" hidden="false" customHeight="false" outlineLevel="0" collapsed="false">
      <c r="A32" s="0"/>
      <c r="B32" s="0"/>
      <c r="C32" s="0"/>
      <c r="D32" s="0"/>
      <c r="E32" s="0"/>
      <c r="AE32" s="90" t="n">
        <f aca="false">Data!A27</f>
        <v>42930</v>
      </c>
      <c r="AF32" s="17" t="n">
        <f aca="false">Data!B27</f>
        <v>147.97</v>
      </c>
      <c r="AG32" s="17" t="n">
        <f aca="false">Data!F27</f>
        <v>20132061</v>
      </c>
      <c r="AH32" s="17" t="n">
        <f aca="false">Data!C27</f>
        <v>149.33</v>
      </c>
      <c r="AI32" s="17" t="n">
        <f aca="false">Data!D27</f>
        <v>147.33</v>
      </c>
      <c r="AJ32" s="17" t="n">
        <f aca="false">Data!E27</f>
        <v>149.04</v>
      </c>
      <c r="AK32" s="17" t="n">
        <f aca="false">Data!F27</f>
        <v>20132061</v>
      </c>
      <c r="AL32" s="17" t="n">
        <f aca="false">AJ32</f>
        <v>149.04</v>
      </c>
      <c r="AM32" s="17" t="n">
        <f aca="false">(AL32-AL31)/AL32*100</f>
        <v>-0.34889962426195</v>
      </c>
      <c r="AN32" s="17" t="n">
        <f aca="false">(AK32-AK31)/AK32*100</f>
        <v>-18.1868860818572</v>
      </c>
      <c r="AO32" s="17" t="str">
        <f aca="false">IF(AN32&lt;-8,"FITS BITCH",IF(AN32&gt;-8,"no"))</f>
        <v>FITS BITCH</v>
      </c>
      <c r="AP32" s="17" t="str">
        <f aca="false">IF(AH33&lt;AH32,"FITS BITCH",IF(AH33&gt;AH32,"no"))</f>
        <v>FITS BITCH</v>
      </c>
      <c r="AQ32" s="17" t="str">
        <f aca="false">IF(AI33&lt;AI32,"FITS BITCH",IF(AI33&gt;AI32,"no"))</f>
        <v>FITS BITCH</v>
      </c>
      <c r="AR32" s="17" t="str">
        <f aca="false">IF(AJ32&lt;AH33,"FITS BITCH",IF(AJ32&gt;AH33,"no"))</f>
        <v>no</v>
      </c>
      <c r="AS32" s="17" t="str">
        <f aca="false">IF(AJ32&gt;AJ33,"FITS BITCH",IF(AJ32&lt;AJ33,"no"))</f>
        <v>FITS BITCH</v>
      </c>
      <c r="AT32" s="91" t="str">
        <f aca="false">IF(AND($AO32="FITS BITCH",$AP32="FITS BITCH",$AR32="FITS BITCH"),"BULLISH","")</f>
        <v/>
      </c>
      <c r="AU32" s="91" t="str">
        <f aca="false">IF(AND($AO32="FITS BITCH",$AQ32="FITS BITCH",$AS32="FITS BITCH"),"BEARISH","")</f>
        <v>BEARISH</v>
      </c>
      <c r="AV32" s="86"/>
      <c r="AW32" s="86"/>
      <c r="AX32" s="86"/>
      <c r="AY32" s="0"/>
      <c r="AZ32" s="0"/>
      <c r="BA32" s="0"/>
      <c r="BB32" s="86" t="s">
        <v>116</v>
      </c>
      <c r="BC32" s="0" t="s">
        <v>117</v>
      </c>
      <c r="BD32" s="123" t="n">
        <f aca="false">_xlfn.NORM.DIST($F$8,$BC$25,$BC$27,1)</f>
        <v>0.986315510342284</v>
      </c>
      <c r="BE32" s="0" t="s">
        <v>118</v>
      </c>
      <c r="BF32" s="0" t="n">
        <f aca="false">$F$8</f>
        <v>157.5</v>
      </c>
      <c r="BG32" s="0"/>
      <c r="BH32" s="0"/>
      <c r="BI32" s="0"/>
      <c r="BJ32" s="0"/>
      <c r="BK32" s="122"/>
      <c r="BL32" s="0"/>
      <c r="BM32" s="0"/>
      <c r="BN32" s="0"/>
      <c r="BQ32" s="40"/>
      <c r="CG32" s="40" t="n">
        <v>24</v>
      </c>
      <c r="CH32" s="121" t="n">
        <v>117.51333925516</v>
      </c>
      <c r="CL32" s="99" t="n">
        <v>43084</v>
      </c>
      <c r="CM32" s="23" t="n">
        <f aca="false">$BA$68*CL32+$BA$70</f>
        <v>177.528543314465</v>
      </c>
    </row>
    <row r="33" customFormat="false" ht="45.75" hidden="false" customHeight="false" outlineLevel="0" collapsed="false">
      <c r="A33" s="0"/>
      <c r="B33" s="0"/>
      <c r="C33" s="0"/>
      <c r="D33" s="0"/>
      <c r="E33" s="0"/>
      <c r="AE33" s="90" t="n">
        <f aca="false">Data!A28</f>
        <v>42929</v>
      </c>
      <c r="AF33" s="17" t="n">
        <f aca="false">Data!B28</f>
        <v>145.5</v>
      </c>
      <c r="AG33" s="17" t="n">
        <f aca="false">Data!F28</f>
        <v>25199373</v>
      </c>
      <c r="AH33" s="17" t="n">
        <f aca="false">Data!C28</f>
        <v>148.49</v>
      </c>
      <c r="AI33" s="17" t="n">
        <f aca="false">Data!D28</f>
        <v>145.44</v>
      </c>
      <c r="AJ33" s="17" t="n">
        <f aca="false">Data!E28</f>
        <v>147.77</v>
      </c>
      <c r="AK33" s="17" t="n">
        <f aca="false">Data!F28</f>
        <v>25199373</v>
      </c>
      <c r="AL33" s="17" t="n">
        <f aca="false">AJ33</f>
        <v>147.77</v>
      </c>
      <c r="AM33" s="17" t="n">
        <f aca="false">(AL33-AL32)/AL33*100</f>
        <v>-0.859443730121122</v>
      </c>
      <c r="AN33" s="17" t="n">
        <f aca="false">(AK33-AK32)/AK33*100</f>
        <v>20.1088812804985</v>
      </c>
      <c r="AO33" s="17" t="str">
        <f aca="false">IF(AN33&lt;-8,"FITS BITCH",IF(AN33&gt;-8,"no"))</f>
        <v>no</v>
      </c>
      <c r="AP33" s="17" t="str">
        <f aca="false">IF(AH34&lt;AH33,"FITS BITCH",IF(AH34&gt;AH33,"no"))</f>
        <v>FITS BITCH</v>
      </c>
      <c r="AQ33" s="17" t="str">
        <f aca="false">IF(AI34&lt;AI33,"FITS BITCH",IF(AI34&gt;AI33,"no"))</f>
        <v>FITS BITCH</v>
      </c>
      <c r="AR33" s="17" t="str">
        <f aca="false">IF(AJ33&lt;AH34,"FITS BITCH",IF(AJ33&gt;AH34,"no"))</f>
        <v>no</v>
      </c>
      <c r="AS33" s="17" t="str">
        <f aca="false">IF(AJ33&gt;AJ34,"FITS BITCH",IF(AJ33&lt;AJ34,"no"))</f>
        <v>FITS BITCH</v>
      </c>
      <c r="AT33" s="91" t="str">
        <f aca="false">IF(AND($AO33="FITS BITCH",$AP33="FITS BITCH",$AR33="FITS BITCH"),"BULLISH","")</f>
        <v/>
      </c>
      <c r="AU33" s="91" t="str">
        <f aca="false">IF(AND($AO33="FITS BITCH",$AQ33="FITS BITCH",$AS33="FITS BITCH"),"BEARISH","")</f>
        <v/>
      </c>
      <c r="AV33" s="86"/>
      <c r="AW33" s="86"/>
      <c r="AX33" s="86"/>
      <c r="AY33" s="0"/>
      <c r="AZ33" s="0"/>
      <c r="BA33" s="0"/>
      <c r="BB33" s="0"/>
      <c r="BC33" s="0" t="s">
        <v>120</v>
      </c>
      <c r="BD33" s="124" t="n">
        <f aca="false">((COUNTIF(AJ7:AJ1013,"&lt;"&amp;$F$8))/(COUNT(AJ7:AJ1013)))</f>
        <v>0.992055610724926</v>
      </c>
      <c r="BE33" s="0" t="s">
        <v>121</v>
      </c>
      <c r="BF33" s="0" t="n">
        <f aca="false">$F$8</f>
        <v>157.5</v>
      </c>
      <c r="BG33" s="0"/>
      <c r="BH33" s="0"/>
      <c r="BI33" s="0"/>
      <c r="BJ33" s="0"/>
      <c r="BK33" s="122"/>
      <c r="BL33" s="0"/>
      <c r="BM33" s="0"/>
      <c r="BN33" s="0"/>
      <c r="BO33" s="0"/>
      <c r="BP33" s="0"/>
      <c r="BQ33" s="40"/>
      <c r="BR33" s="0"/>
      <c r="BS33" s="0"/>
      <c r="BT33" s="0"/>
      <c r="BU33" s="0"/>
      <c r="BV33" s="0"/>
      <c r="BW33" s="0"/>
      <c r="BX33" s="0"/>
      <c r="BY33" s="0"/>
      <c r="BZ33" s="0"/>
      <c r="CA33" s="0"/>
      <c r="CB33" s="0"/>
      <c r="CC33" s="0"/>
      <c r="CD33" s="0"/>
      <c r="CE33" s="0"/>
      <c r="CF33" s="0"/>
      <c r="CG33" s="40" t="n">
        <v>25</v>
      </c>
      <c r="CH33" s="17" t="n">
        <v>117.51333925516</v>
      </c>
      <c r="CI33" s="0"/>
      <c r="CJ33" s="0"/>
      <c r="CK33" s="0"/>
      <c r="CL33" s="99" t="n">
        <v>43083</v>
      </c>
      <c r="CM33" s="23" t="n">
        <f aca="false">$BA$68*CL33+$BA$70</f>
        <v>177.374425084221</v>
      </c>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45" hidden="false" customHeight="false" outlineLevel="0" collapsed="false">
      <c r="A34" s="0"/>
      <c r="B34" s="0"/>
      <c r="C34" s="0"/>
      <c r="D34" s="0"/>
      <c r="E34" s="0"/>
      <c r="AE34" s="90" t="n">
        <f aca="false">Data!A29</f>
        <v>42928</v>
      </c>
      <c r="AF34" s="17" t="n">
        <f aca="false">Data!B29</f>
        <v>145.87</v>
      </c>
      <c r="AG34" s="17" t="n">
        <f aca="false">Data!F29</f>
        <v>24884478</v>
      </c>
      <c r="AH34" s="17" t="n">
        <f aca="false">Data!C29</f>
        <v>146.18</v>
      </c>
      <c r="AI34" s="17" t="n">
        <f aca="false">Data!D29</f>
        <v>144.82</v>
      </c>
      <c r="AJ34" s="17" t="n">
        <f aca="false">Data!E29</f>
        <v>145.74</v>
      </c>
      <c r="AK34" s="17" t="n">
        <f aca="false">Data!F29</f>
        <v>24884478</v>
      </c>
      <c r="AL34" s="17" t="n">
        <f aca="false">AJ34</f>
        <v>145.74</v>
      </c>
      <c r="AM34" s="17" t="n">
        <f aca="false">(AL34-AL33)/AL34*100</f>
        <v>-1.39289145052834</v>
      </c>
      <c r="AN34" s="17" t="n">
        <f aca="false">(AK34-AK33)/AK34*100</f>
        <v>-1.26542738810917</v>
      </c>
      <c r="AO34" s="17" t="str">
        <f aca="false">IF(AN34&lt;-8,"FITS BITCH",IF(AN34&gt;-8,"no"))</f>
        <v>no</v>
      </c>
      <c r="AP34" s="17" t="str">
        <f aca="false">IF(AH35&lt;AH34,"FITS BITCH",IF(AH35&gt;AH34,"no"))</f>
        <v>FITS BITCH</v>
      </c>
      <c r="AQ34" s="17" t="str">
        <f aca="false">IF(AI35&lt;AI34,"FITS BITCH",IF(AI35&gt;AI34,"no"))</f>
        <v>FITS BITCH</v>
      </c>
      <c r="AR34" s="17" t="str">
        <f aca="false">IF(AJ34&lt;AH35,"FITS BITCH",IF(AJ34&gt;AH35,"no"))</f>
        <v>FITS BITCH</v>
      </c>
      <c r="AS34" s="17" t="str">
        <f aca="false">IF(AJ34&gt;AJ35,"FITS BITCH",IF(AJ34&lt;AJ35,"no"))</f>
        <v>FITS BITCH</v>
      </c>
      <c r="AT34" s="91" t="str">
        <f aca="false">IF(AND($AO34="FITS BITCH",$AP34="FITS BITCH",$AR34="FITS BITCH"),"BULLISH","")</f>
        <v/>
      </c>
      <c r="AU34" s="91" t="str">
        <f aca="false">IF(AND($AO34="FITS BITCH",$AQ34="FITS BITCH",$AS34="FITS BITCH"),"BEARISH","")</f>
        <v/>
      </c>
      <c r="AV34" s="86"/>
      <c r="AW34" s="86"/>
      <c r="AX34" s="86"/>
      <c r="AY34" s="0"/>
      <c r="AZ34" s="0"/>
      <c r="BA34" s="0"/>
      <c r="BB34" s="0"/>
      <c r="BC34" s="0"/>
      <c r="BD34" s="0"/>
      <c r="BE34" s="0"/>
      <c r="BF34" s="0"/>
      <c r="BG34" s="0"/>
      <c r="BH34" s="0"/>
      <c r="BI34" s="0"/>
      <c r="BJ34" s="0"/>
      <c r="BK34" s="122"/>
      <c r="BQ34" s="40"/>
      <c r="CG34" s="40" t="n">
        <v>26</v>
      </c>
      <c r="CH34" s="17" t="n">
        <v>117.51333925516</v>
      </c>
      <c r="CL34" s="99" t="n">
        <v>43082</v>
      </c>
      <c r="CM34" s="23" t="n">
        <f aca="false">$BA$68*CL34+$BA$70</f>
        <v>177.220306853978</v>
      </c>
    </row>
    <row r="35" customFormat="false" ht="45" hidden="false" customHeight="false" outlineLevel="0" collapsed="false">
      <c r="A35" s="0"/>
      <c r="B35" s="0"/>
      <c r="C35" s="0"/>
      <c r="D35" s="0"/>
      <c r="E35" s="0"/>
      <c r="AE35" s="90" t="n">
        <f aca="false">Data!A30</f>
        <v>42927</v>
      </c>
      <c r="AF35" s="17" t="n">
        <f aca="false">Data!B30</f>
        <v>144.73</v>
      </c>
      <c r="AG35" s="17" t="n">
        <f aca="false">Data!F30</f>
        <v>19781836</v>
      </c>
      <c r="AH35" s="17" t="n">
        <f aca="false">Data!C30</f>
        <v>145.85</v>
      </c>
      <c r="AI35" s="17" t="n">
        <f aca="false">Data!D30</f>
        <v>144.38</v>
      </c>
      <c r="AJ35" s="17" t="n">
        <f aca="false">Data!E30</f>
        <v>145.53</v>
      </c>
      <c r="AK35" s="17" t="n">
        <f aca="false">Data!F30</f>
        <v>19781836</v>
      </c>
      <c r="AL35" s="17" t="n">
        <f aca="false">AJ35</f>
        <v>145.53</v>
      </c>
      <c r="AM35" s="17" t="n">
        <f aca="false">(AL35-AL34)/AL35*100</f>
        <v>-0.14430014430015</v>
      </c>
      <c r="AN35" s="17" t="n">
        <f aca="false">(AK35-AK34)/AK35*100</f>
        <v>-25.7945824644386</v>
      </c>
      <c r="AO35" s="17" t="str">
        <f aca="false">IF(AN35&lt;-8,"FITS BITCH",IF(AN35&gt;-8,"no"))</f>
        <v>FITS BITCH</v>
      </c>
      <c r="AP35" s="17" t="str">
        <f aca="false">IF(AH36&lt;AH35,"FITS BITCH",IF(AH36&gt;AH35,"no"))</f>
        <v>no</v>
      </c>
      <c r="AQ35" s="17" t="str">
        <f aca="false">IF(AI36&lt;AI35,"FITS BITCH",IF(AI36&gt;AI35,"no"))</f>
        <v>FITS BITCH</v>
      </c>
      <c r="AR35" s="17" t="str">
        <f aca="false">IF(AJ35&lt;AH36,"FITS BITCH",IF(AJ35&gt;AH36,"no"))</f>
        <v>FITS BITCH</v>
      </c>
      <c r="AS35" s="17" t="str">
        <f aca="false">IF(AJ35&gt;AJ36,"FITS BITCH",IF(AJ35&lt;AJ36,"no"))</f>
        <v>FITS BITCH</v>
      </c>
      <c r="AT35" s="91" t="str">
        <f aca="false">IF(AND($AO35="FITS BITCH",$AP35="FITS BITCH",$AR35="FITS BITCH"),"BULLISH","")</f>
        <v/>
      </c>
      <c r="AU35" s="91" t="str">
        <f aca="false">IF(AND($AO35="FITS BITCH",$AQ35="FITS BITCH",$AS35="FITS BITCH"),"BEARISH","")</f>
        <v>BEARISH</v>
      </c>
      <c r="AV35" s="86"/>
      <c r="AW35" s="86"/>
      <c r="AX35" s="86"/>
      <c r="AY35" s="0"/>
      <c r="AZ35" s="0"/>
      <c r="BA35" s="0"/>
      <c r="BB35" s="0"/>
      <c r="BC35" s="0"/>
      <c r="BD35" s="0"/>
      <c r="BE35" s="0"/>
      <c r="BF35" s="0"/>
      <c r="BG35" s="0"/>
      <c r="BH35" s="0"/>
      <c r="BI35" s="0"/>
      <c r="BJ35" s="0"/>
      <c r="BK35" s="122"/>
      <c r="BQ35" s="40"/>
      <c r="CG35" s="40" t="n">
        <v>27</v>
      </c>
      <c r="CH35" s="17" t="n">
        <v>117.51333925516</v>
      </c>
      <c r="CL35" s="99" t="n">
        <v>43081</v>
      </c>
      <c r="CM35" s="23" t="n">
        <f aca="false">$BA$68*CL35+$BA$70</f>
        <v>177.066188623736</v>
      </c>
    </row>
    <row r="36" s="40" customFormat="true" ht="44.25" hidden="false" customHeight="false" outlineLevel="0" collapsed="false">
      <c r="A36" s="0"/>
      <c r="B36" s="0"/>
      <c r="C36" s="0"/>
      <c r="D36" s="0"/>
      <c r="E36" s="0"/>
      <c r="F36" s="0"/>
      <c r="G36" s="0"/>
      <c r="H36" s="0"/>
      <c r="I36" s="0"/>
      <c r="J36" s="0"/>
      <c r="K36" s="0"/>
      <c r="L36" s="0"/>
      <c r="M36" s="0"/>
      <c r="N36" s="0"/>
      <c r="O36" s="0"/>
      <c r="P36" s="0"/>
      <c r="Q36" s="0"/>
      <c r="R36" s="0"/>
      <c r="S36" s="0"/>
      <c r="T36" s="0"/>
      <c r="U36" s="0"/>
      <c r="V36" s="0"/>
      <c r="W36" s="0"/>
      <c r="X36" s="0"/>
      <c r="Y36" s="0"/>
      <c r="Z36" s="0"/>
      <c r="AA36" s="0"/>
      <c r="AB36" s="0"/>
      <c r="AC36" s="0"/>
      <c r="AD36" s="0"/>
      <c r="AE36" s="90" t="n">
        <f aca="false">Data!A31</f>
        <v>42926</v>
      </c>
      <c r="AF36" s="17" t="n">
        <f aca="false">Data!B31</f>
        <v>144.11</v>
      </c>
      <c r="AG36" s="17" t="n">
        <f aca="false">Data!F31</f>
        <v>21090636</v>
      </c>
      <c r="AH36" s="17" t="n">
        <f aca="false">Data!C31</f>
        <v>145.95</v>
      </c>
      <c r="AI36" s="17" t="n">
        <f aca="false">Data!D31</f>
        <v>143.37</v>
      </c>
      <c r="AJ36" s="17" t="n">
        <f aca="false">Data!E31</f>
        <v>145.06</v>
      </c>
      <c r="AK36" s="17" t="n">
        <f aca="false">Data!F31</f>
        <v>21090636</v>
      </c>
      <c r="AL36" s="17" t="n">
        <f aca="false">AJ36</f>
        <v>145.06</v>
      </c>
      <c r="AM36" s="17" t="n">
        <f aca="false">(AL36-AL35)/AL36*100</f>
        <v>-0.324003860471528</v>
      </c>
      <c r="AN36" s="17" t="n">
        <f aca="false">(AK36-AK35)/AK36*100</f>
        <v>6.20559759316884</v>
      </c>
      <c r="AO36" s="17" t="str">
        <f aca="false">IF(AN36&lt;-8,"FITS BITCH",IF(AN36&gt;-8,"no"))</f>
        <v>no</v>
      </c>
      <c r="AP36" s="17" t="str">
        <f aca="false">IF(AH37&lt;AH36,"FITS BITCH",IF(AH37&gt;AH36,"no"))</f>
        <v>FITS BITCH</v>
      </c>
      <c r="AQ36" s="17" t="str">
        <f aca="false">IF(AI37&lt;AI36,"FITS BITCH",IF(AI37&gt;AI36,"no"))</f>
        <v>FITS BITCH</v>
      </c>
      <c r="AR36" s="17" t="str">
        <f aca="false">IF(AJ36&lt;AH37,"FITS BITCH",IF(AJ36&gt;AH37,"no"))</f>
        <v>no</v>
      </c>
      <c r="AS36" s="17" t="str">
        <f aca="false">IF(AJ36&gt;AJ37,"FITS BITCH",IF(AJ36&lt;AJ37,"no"))</f>
        <v>FITS BITCH</v>
      </c>
      <c r="AT36" s="91" t="str">
        <f aca="false">IF(AND($AO36="FITS BITCH",$AP36="FITS BITCH",$AR36="FITS BITCH"),"BULLISH","")</f>
        <v/>
      </c>
      <c r="AU36" s="91" t="str">
        <f aca="false">IF(AND($AO36="FITS BITCH",$AQ36="FITS BITCH",$AS36="FITS BITCH"),"BEARISH","")</f>
        <v/>
      </c>
      <c r="AV36" s="86"/>
      <c r="AW36" s="86"/>
      <c r="AX36" s="86"/>
      <c r="AY36" s="0"/>
      <c r="AZ36" s="84" t="s">
        <v>126</v>
      </c>
      <c r="BA36" s="0"/>
      <c r="BB36" s="0"/>
      <c r="BC36" s="0"/>
      <c r="BD36" s="0"/>
      <c r="BE36" s="0"/>
      <c r="BF36" s="0"/>
      <c r="BG36" s="0"/>
      <c r="BH36" s="0"/>
      <c r="BI36" s="0"/>
      <c r="BJ36" s="0"/>
      <c r="BK36" s="122"/>
      <c r="BL36" s="0"/>
      <c r="BM36" s="0"/>
      <c r="BN36" s="0"/>
      <c r="CG36" s="40" t="n">
        <v>28</v>
      </c>
      <c r="CH36" s="98" t="n">
        <v>117.51333925516</v>
      </c>
      <c r="CL36" s="99" t="n">
        <v>43080</v>
      </c>
      <c r="CM36" s="23" t="n">
        <f aca="false">$BA$68*CL36+$BA$70</f>
        <v>176.912070393493</v>
      </c>
    </row>
    <row r="37" customFormat="false" ht="44.25" hidden="false" customHeight="false" outlineLevel="0" collapsed="false">
      <c r="A37" s="0"/>
      <c r="B37" s="0"/>
      <c r="C37" s="0"/>
      <c r="D37" s="0"/>
      <c r="E37" s="0"/>
      <c r="AE37" s="90" t="n">
        <f aca="false">Data!A32</f>
        <v>42923</v>
      </c>
      <c r="AF37" s="17" t="n">
        <f aca="false">Data!B32</f>
        <v>142.9</v>
      </c>
      <c r="AG37" s="17" t="n">
        <f aca="false">Data!F32</f>
        <v>19201712</v>
      </c>
      <c r="AH37" s="17" t="n">
        <f aca="false">Data!C32</f>
        <v>144.75</v>
      </c>
      <c r="AI37" s="17" t="n">
        <f aca="false">Data!D32</f>
        <v>142.9</v>
      </c>
      <c r="AJ37" s="17" t="n">
        <f aca="false">Data!E32</f>
        <v>144.18</v>
      </c>
      <c r="AK37" s="17" t="n">
        <f aca="false">Data!F32</f>
        <v>19201712</v>
      </c>
      <c r="AL37" s="17" t="n">
        <f aca="false">AJ37</f>
        <v>144.18</v>
      </c>
      <c r="AM37" s="17" t="n">
        <f aca="false">(AL37-AL36)/AL37*100</f>
        <v>-0.610348175891244</v>
      </c>
      <c r="AN37" s="17" t="n">
        <f aca="false">(AK37-AK36)/AK37*100</f>
        <v>-9.83726867687631</v>
      </c>
      <c r="AO37" s="17" t="str">
        <f aca="false">IF(AN37&lt;-8,"FITS BITCH",IF(AN37&gt;-8,"no"))</f>
        <v>FITS BITCH</v>
      </c>
      <c r="AP37" s="17" t="str">
        <f aca="false">IF(AH38&lt;AH37,"FITS BITCH",IF(AH38&gt;AH37,"no"))</f>
        <v>FITS BITCH</v>
      </c>
      <c r="AQ37" s="17" t="str">
        <f aca="false">IF(AI38&lt;AI37,"FITS BITCH",IF(AI38&gt;AI37,"no"))</f>
        <v>FITS BITCH</v>
      </c>
      <c r="AR37" s="17" t="str">
        <f aca="false">IF(AJ37&lt;AH38,"FITS BITCH",IF(AJ37&gt;AH38,"no"))</f>
        <v>no</v>
      </c>
      <c r="AS37" s="17" t="str">
        <f aca="false">IF(AJ37&gt;AJ38,"FITS BITCH",IF(AJ37&lt;AJ38,"no"))</f>
        <v>FITS BITCH</v>
      </c>
      <c r="AT37" s="91" t="str">
        <f aca="false">IF(AND($AO37="FITS BITCH",$AP37="FITS BITCH",$AR37="FITS BITCH"),"BULLISH","")</f>
        <v/>
      </c>
      <c r="AU37" s="91" t="str">
        <f aca="false">IF(AND($AO37="FITS BITCH",$AQ37="FITS BITCH",$AS37="FITS BITCH"),"BEARISH","")</f>
        <v>BEARISH</v>
      </c>
      <c r="AV37" s="86"/>
      <c r="AW37" s="86"/>
      <c r="AX37" s="86"/>
      <c r="AY37" s="0"/>
      <c r="AZ37" s="125" t="s">
        <v>127</v>
      </c>
      <c r="BA37" s="0"/>
      <c r="BB37" s="0"/>
      <c r="BC37" s="0"/>
      <c r="BD37" s="0"/>
      <c r="BE37" s="0"/>
      <c r="BF37" s="0"/>
      <c r="BG37" s="0"/>
      <c r="BH37" s="0"/>
      <c r="BI37" s="0"/>
      <c r="BJ37" s="0"/>
      <c r="BK37" s="122"/>
      <c r="BL37" s="0"/>
      <c r="BM37" s="0"/>
      <c r="BN37" s="0"/>
      <c r="CG37" s="40" t="n">
        <v>29</v>
      </c>
      <c r="CH37" s="98" t="n">
        <v>117.51333925516</v>
      </c>
      <c r="CL37" s="99" t="n">
        <v>43077</v>
      </c>
      <c r="CM37" s="23" t="n">
        <f aca="false">$BA$68*CL37+$BA$70</f>
        <v>176.449715702765</v>
      </c>
    </row>
    <row r="38" customFormat="false" ht="44.25" hidden="false" customHeight="false" outlineLevel="0" collapsed="false">
      <c r="A38" s="0"/>
      <c r="B38" s="0"/>
      <c r="C38" s="0"/>
      <c r="D38" s="0"/>
      <c r="E38" s="0"/>
      <c r="AE38" s="90" t="n">
        <f aca="false">Data!A33</f>
        <v>42922</v>
      </c>
      <c r="AF38" s="17" t="n">
        <f aca="false">Data!B33</f>
        <v>143.02</v>
      </c>
      <c r="AG38" s="17" t="n">
        <f aca="false">Data!F33</f>
        <v>24128782</v>
      </c>
      <c r="AH38" s="17" t="n">
        <f aca="false">Data!C33</f>
        <v>143.5</v>
      </c>
      <c r="AI38" s="17" t="n">
        <f aca="false">Data!D33</f>
        <v>142.41</v>
      </c>
      <c r="AJ38" s="17" t="n">
        <f aca="false">Data!E33</f>
        <v>142.73</v>
      </c>
      <c r="AK38" s="17" t="n">
        <f aca="false">Data!F33</f>
        <v>24128782</v>
      </c>
      <c r="AL38" s="17" t="n">
        <f aca="false">AJ38</f>
        <v>142.73</v>
      </c>
      <c r="AM38" s="17" t="n">
        <f aca="false">(AL38-AL37)/AL38*100</f>
        <v>-1.01590415469769</v>
      </c>
      <c r="AN38" s="17" t="n">
        <f aca="false">(AK38-AK37)/AK38*100</f>
        <v>20.4198869217684</v>
      </c>
      <c r="AO38" s="17" t="str">
        <f aca="false">IF(AN38&lt;-8,"FITS BITCH",IF(AN38&gt;-8,"no"))</f>
        <v>no</v>
      </c>
      <c r="AP38" s="17" t="str">
        <f aca="false">IF(AH39&lt;AH38,"FITS BITCH",IF(AH39&gt;AH38,"no"))</f>
        <v>no</v>
      </c>
      <c r="AQ38" s="17" t="str">
        <f aca="false">IF(AI39&lt;AI38,"FITS BITCH",IF(AI39&gt;AI38,"no"))</f>
        <v>no</v>
      </c>
      <c r="AR38" s="17" t="str">
        <f aca="false">IF(AJ38&lt;AH39,"FITS BITCH",IF(AJ38&gt;AH39,"no"))</f>
        <v>FITS BITCH</v>
      </c>
      <c r="AS38" s="17" t="str">
        <f aca="false">IF(AJ38&gt;AJ39,"FITS BITCH",IF(AJ38&lt;AJ39,"no"))</f>
        <v>no</v>
      </c>
      <c r="AT38" s="91" t="str">
        <f aca="false">IF(AND($AO38="FITS BITCH",$AP38="FITS BITCH",$AR38="FITS BITCH"),"BULLISH","")</f>
        <v/>
      </c>
      <c r="AU38" s="91" t="str">
        <f aca="false">IF(AND($AO38="FITS BITCH",$AQ38="FITS BITCH",$AS38="FITS BITCH"),"BEARISH","")</f>
        <v/>
      </c>
      <c r="AV38" s="86"/>
      <c r="AW38" s="86"/>
      <c r="AX38" s="86"/>
      <c r="AY38" s="0"/>
      <c r="AZ38" s="41" t="s">
        <v>128</v>
      </c>
      <c r="BA38" s="42" t="n">
        <f aca="false">SLOPE(AJ7:AJ1015,AE7:AE1015)</f>
        <v>0.0403233916953127</v>
      </c>
      <c r="BB38" s="41"/>
      <c r="BC38" s="41"/>
      <c r="BD38" s="41"/>
      <c r="BE38" s="41"/>
      <c r="BF38" s="41"/>
      <c r="BG38" s="0"/>
      <c r="BH38" s="0"/>
      <c r="BI38" s="0"/>
      <c r="BJ38" s="0"/>
      <c r="BK38" s="122"/>
      <c r="BL38" s="0"/>
      <c r="BM38" s="0"/>
      <c r="BN38" s="0"/>
      <c r="CG38" s="40" t="n">
        <v>30</v>
      </c>
      <c r="CH38" s="98" t="n">
        <v>117.51333925516</v>
      </c>
      <c r="CL38" s="99" t="n">
        <v>43076</v>
      </c>
      <c r="CM38" s="23" t="n">
        <f aca="false">$BA$68*CL38+$BA$70</f>
        <v>176.295597472523</v>
      </c>
    </row>
    <row r="39" customFormat="false" ht="44.25" hidden="false" customHeight="false" outlineLevel="0" collapsed="false">
      <c r="A39" s="0"/>
      <c r="B39" s="0"/>
      <c r="C39" s="0"/>
      <c r="D39" s="0"/>
      <c r="E39" s="0"/>
      <c r="AE39" s="90" t="n">
        <f aca="false">Data!A34</f>
        <v>42921</v>
      </c>
      <c r="AF39" s="17" t="n">
        <f aca="false">Data!B34</f>
        <v>143.69</v>
      </c>
      <c r="AG39" s="17" t="n">
        <f aca="false">Data!F34</f>
        <v>21569557</v>
      </c>
      <c r="AH39" s="17" t="n">
        <f aca="false">Data!C34</f>
        <v>144.79</v>
      </c>
      <c r="AI39" s="17" t="n">
        <f aca="false">Data!D34</f>
        <v>142.72</v>
      </c>
      <c r="AJ39" s="17" t="n">
        <f aca="false">Data!E34</f>
        <v>144.09</v>
      </c>
      <c r="AK39" s="17" t="n">
        <f aca="false">Data!F34</f>
        <v>21569557</v>
      </c>
      <c r="AL39" s="17" t="n">
        <f aca="false">AJ39</f>
        <v>144.09</v>
      </c>
      <c r="AM39" s="17" t="n">
        <f aca="false">(AL39-AL38)/AL39*100</f>
        <v>0.943854535359854</v>
      </c>
      <c r="AN39" s="17" t="n">
        <f aca="false">(AK39-AK38)/AK39*100</f>
        <v>-11.8649863787189</v>
      </c>
      <c r="AO39" s="17" t="str">
        <f aca="false">IF(AN39&lt;-8,"FITS BITCH",IF(AN39&gt;-8,"no"))</f>
        <v>FITS BITCH</v>
      </c>
      <c r="AP39" s="17" t="str">
        <f aca="false">IF(AH40&lt;AH39,"FITS BITCH",IF(AH40&gt;AH39,"no"))</f>
        <v>no</v>
      </c>
      <c r="AQ39" s="17" t="str">
        <f aca="false">IF(AI40&lt;AI39,"FITS BITCH",IF(AI40&gt;AI39,"no"))</f>
        <v>no</v>
      </c>
      <c r="AR39" s="17" t="str">
        <f aca="false">IF(AJ39&lt;AH40,"FITS BITCH",IF(AJ39&gt;AH40,"no"))</f>
        <v>FITS BITCH</v>
      </c>
      <c r="AS39" s="17" t="str">
        <f aca="false">IF(AJ39&gt;AJ40,"FITS BITCH",IF(AJ39&lt;AJ40,"no"))</f>
        <v>FITS BITCH</v>
      </c>
      <c r="AT39" s="91" t="str">
        <f aca="false">IF(AND($AO39="FITS BITCH",$AP39="FITS BITCH",$AR39="FITS BITCH"),"BULLISH","")</f>
        <v/>
      </c>
      <c r="AU39" s="91" t="str">
        <f aca="false">IF(AND($AO39="FITS BITCH",$AQ39="FITS BITCH",$AS39="FITS BITCH"),"BEARISH","")</f>
        <v/>
      </c>
      <c r="AV39" s="86"/>
      <c r="AW39" s="86"/>
      <c r="AX39" s="86"/>
      <c r="AY39" s="0"/>
      <c r="AZ39" s="41" t="s">
        <v>129</v>
      </c>
      <c r="BA39" s="42" t="n">
        <f aca="false">RSQ(AJ7:AJ1015,AE7:AE1015)</f>
        <v>0.587772660666313</v>
      </c>
      <c r="BC39" s="41"/>
      <c r="BD39" s="41"/>
      <c r="BE39" s="41"/>
      <c r="BF39" s="41"/>
      <c r="BG39" s="0"/>
      <c r="BH39" s="0"/>
      <c r="BI39" s="0"/>
      <c r="BJ39" s="0"/>
      <c r="BK39" s="122"/>
      <c r="BL39" s="0"/>
      <c r="BM39" s="0"/>
      <c r="BN39" s="0"/>
      <c r="CG39" s="40" t="n">
        <v>31</v>
      </c>
      <c r="CH39" s="98" t="n">
        <v>117.51333925516</v>
      </c>
      <c r="CL39" s="99" t="n">
        <v>43075</v>
      </c>
      <c r="CM39" s="23" t="n">
        <f aca="false">$BA$68*CL39+$BA$70</f>
        <v>176.14147924228</v>
      </c>
    </row>
    <row r="40" customFormat="false" ht="44.25" hidden="false" customHeight="false" outlineLevel="0" collapsed="false">
      <c r="A40" s="0"/>
      <c r="B40" s="0"/>
      <c r="C40" s="0"/>
      <c r="D40" s="0"/>
      <c r="E40" s="0"/>
      <c r="AE40" s="90" t="n">
        <f aca="false">Data!A35</f>
        <v>42919</v>
      </c>
      <c r="AF40" s="17" t="n">
        <f aca="false">Data!B35</f>
        <v>144.88</v>
      </c>
      <c r="AG40" s="17" t="n">
        <f aca="false">Data!F35</f>
        <v>14277848</v>
      </c>
      <c r="AH40" s="17" t="n">
        <f aca="false">Data!C35</f>
        <v>145.3</v>
      </c>
      <c r="AI40" s="17" t="n">
        <f aca="false">Data!D35</f>
        <v>143.1</v>
      </c>
      <c r="AJ40" s="17" t="n">
        <f aca="false">Data!E35</f>
        <v>143.5</v>
      </c>
      <c r="AK40" s="17" t="n">
        <f aca="false">Data!F35</f>
        <v>14277848</v>
      </c>
      <c r="AL40" s="17" t="n">
        <f aca="false">AJ40</f>
        <v>143.5</v>
      </c>
      <c r="AM40" s="17" t="n">
        <f aca="false">(AL40-AL39)/AL40*100</f>
        <v>-0.411149825783975</v>
      </c>
      <c r="AN40" s="17" t="n">
        <f aca="false">(AK40-AK39)/AK40*100</f>
        <v>-51.0700842311811</v>
      </c>
      <c r="AO40" s="17" t="str">
        <f aca="false">IF(AN40&lt;-8,"FITS BITCH",IF(AN40&gt;-8,"no"))</f>
        <v>FITS BITCH</v>
      </c>
      <c r="AP40" s="17" t="str">
        <f aca="false">IF(AH41&lt;AH40,"FITS BITCH",IF(AH41&gt;AH40,"no"))</f>
        <v>FITS BITCH</v>
      </c>
      <c r="AQ40" s="17" t="str">
        <f aca="false">IF(AI41&lt;AI40,"FITS BITCH",IF(AI41&gt;AI40,"no"))</f>
        <v>no</v>
      </c>
      <c r="AR40" s="17" t="str">
        <f aca="false">IF(AJ40&lt;AH41,"FITS BITCH",IF(AJ40&gt;AH41,"no"))</f>
        <v>FITS BITCH</v>
      </c>
      <c r="AS40" s="17" t="str">
        <f aca="false">IF(AJ40&gt;AJ41,"FITS BITCH",IF(AJ40&lt;AJ41,"no"))</f>
        <v>no</v>
      </c>
      <c r="AT40" s="91" t="str">
        <f aca="false">IF(AND($AO40="FITS BITCH",$AP40="FITS BITCH",$AR40="FITS BITCH"),"BULLISH","")</f>
        <v>BULLISH</v>
      </c>
      <c r="AU40" s="91" t="str">
        <f aca="false">IF(AND($AO40="FITS BITCH",$AQ40="FITS BITCH",$AS40="FITS BITCH"),"BEARISH","")</f>
        <v/>
      </c>
      <c r="AV40" s="86"/>
      <c r="AW40" s="86"/>
      <c r="AX40" s="86"/>
      <c r="AY40" s="0"/>
      <c r="AZ40" s="41" t="s">
        <v>130</v>
      </c>
      <c r="BA40" s="41" t="n">
        <f aca="false">INTERCEPT(AJ7:AJ1015,AE7:AE1015)</f>
        <v>-1594.61171208923</v>
      </c>
      <c r="BB40" s="41"/>
      <c r="BC40" s="41"/>
      <c r="BE40" s="41"/>
      <c r="BF40" s="41"/>
      <c r="BG40" s="0"/>
      <c r="BH40" s="0"/>
      <c r="BI40" s="0"/>
      <c r="BJ40" s="0"/>
      <c r="BK40" s="122"/>
      <c r="BL40" s="0"/>
      <c r="BM40" s="0"/>
      <c r="BN40" s="0"/>
      <c r="CG40" s="40" t="n">
        <v>32</v>
      </c>
      <c r="CH40" s="98" t="n">
        <v>117.51333925516</v>
      </c>
      <c r="CL40" s="99" t="n">
        <v>43074</v>
      </c>
      <c r="CM40" s="23" t="n">
        <f aca="false">$BA$68*CL40+$BA$70</f>
        <v>175.987361012038</v>
      </c>
    </row>
    <row r="41" customFormat="false" ht="44.25" hidden="false" customHeight="false" outlineLevel="0" collapsed="false">
      <c r="A41" s="0"/>
      <c r="B41" s="0"/>
      <c r="C41" s="0"/>
      <c r="D41" s="0"/>
      <c r="E41" s="0"/>
      <c r="AE41" s="90" t="n">
        <f aca="false">Data!A36</f>
        <v>42916</v>
      </c>
      <c r="AF41" s="17" t="n">
        <f aca="false">Data!B36</f>
        <v>144.45</v>
      </c>
      <c r="AG41" s="17" t="n">
        <f aca="false">Data!F36</f>
        <v>23024107</v>
      </c>
      <c r="AH41" s="17" t="n">
        <f aca="false">Data!C36</f>
        <v>144.96</v>
      </c>
      <c r="AI41" s="17" t="n">
        <f aca="false">Data!D36</f>
        <v>143.78</v>
      </c>
      <c r="AJ41" s="17" t="n">
        <f aca="false">Data!E36</f>
        <v>144.02</v>
      </c>
      <c r="AK41" s="17" t="n">
        <f aca="false">Data!F36</f>
        <v>23024107</v>
      </c>
      <c r="AL41" s="17" t="n">
        <f aca="false">AJ41</f>
        <v>144.02</v>
      </c>
      <c r="AM41" s="17" t="n">
        <f aca="false">(AL41-AL40)/AL41*100</f>
        <v>0.361060963755041</v>
      </c>
      <c r="AN41" s="17" t="n">
        <f aca="false">(AK41-AK40)/AK41*100</f>
        <v>37.9873972962339</v>
      </c>
      <c r="AO41" s="17" t="str">
        <f aca="false">IF(AN41&lt;-8,"FITS BITCH",IF(AN41&gt;-8,"no"))</f>
        <v>no</v>
      </c>
      <c r="AP41" s="17" t="str">
        <f aca="false">IF(AH42&lt;AH41,"FITS BITCH",IF(AH42&gt;AH41,"no"))</f>
        <v>no</v>
      </c>
      <c r="AQ41" s="17" t="str">
        <f aca="false">IF(AI42&lt;AI41,"FITS BITCH",IF(AI42&gt;AI41,"no"))</f>
        <v>FITS BITCH</v>
      </c>
      <c r="AR41" s="17" t="str">
        <f aca="false">IF(AJ41&lt;AH42,"FITS BITCH",IF(AJ41&gt;AH42,"no"))</f>
        <v>FITS BITCH</v>
      </c>
      <c r="AS41" s="17" t="str">
        <f aca="false">IF(AJ41&gt;AJ42,"FITS BITCH",IF(AJ41&lt;AJ42,"no"))</f>
        <v>FITS BITCH</v>
      </c>
      <c r="AT41" s="91" t="str">
        <f aca="false">IF(AND($AO41="FITS BITCH",$AP41="FITS BITCH",$AR41="FITS BITCH"),"BULLISH","")</f>
        <v/>
      </c>
      <c r="AU41" s="91" t="str">
        <f aca="false">IF(AND($AO41="FITS BITCH",$AQ41="FITS BITCH",$AS41="FITS BITCH"),"BEARISH","")</f>
        <v/>
      </c>
      <c r="AV41" s="86"/>
      <c r="AW41" s="86"/>
      <c r="AX41" s="86"/>
      <c r="AY41" s="0"/>
      <c r="BK41" s="126"/>
      <c r="BL41" s="0"/>
      <c r="BM41" s="0"/>
      <c r="BN41" s="0"/>
      <c r="CG41" s="40" t="n">
        <v>33</v>
      </c>
      <c r="CH41" s="98" t="n">
        <v>117.51333925516</v>
      </c>
      <c r="CL41" s="99" t="n">
        <v>43073</v>
      </c>
      <c r="CM41" s="23" t="n">
        <f aca="false">$BA$68*CL41+$BA$70</f>
        <v>175.833242781794</v>
      </c>
    </row>
    <row r="42" customFormat="false" ht="44.25" hidden="false" customHeight="false" outlineLevel="0" collapsed="false">
      <c r="A42" s="0"/>
      <c r="B42" s="0"/>
      <c r="C42" s="0"/>
      <c r="D42" s="0"/>
      <c r="E42" s="0"/>
      <c r="AE42" s="90" t="n">
        <f aca="false">Data!A37</f>
        <v>42915</v>
      </c>
      <c r="AF42" s="17" t="n">
        <f aca="false">Data!B37</f>
        <v>144.71</v>
      </c>
      <c r="AG42" s="17" t="n">
        <f aca="false">Data!F37</f>
        <v>31499368</v>
      </c>
      <c r="AH42" s="17" t="n">
        <f aca="false">Data!C37</f>
        <v>145.13</v>
      </c>
      <c r="AI42" s="17" t="n">
        <f aca="false">Data!D37</f>
        <v>142.28</v>
      </c>
      <c r="AJ42" s="17" t="n">
        <f aca="false">Data!E37</f>
        <v>143.68</v>
      </c>
      <c r="AK42" s="17" t="n">
        <f aca="false">Data!F37</f>
        <v>31499368</v>
      </c>
      <c r="AL42" s="17" t="n">
        <f aca="false">AJ42</f>
        <v>143.68</v>
      </c>
      <c r="AM42" s="17" t="n">
        <f aca="false">(AL42-AL41)/AL42*100</f>
        <v>-0.236636971046773</v>
      </c>
      <c r="AN42" s="17" t="n">
        <f aca="false">(AK42-AK41)/AK42*100</f>
        <v>26.9061303071223</v>
      </c>
      <c r="AO42" s="17" t="str">
        <f aca="false">IF(AN42&lt;-8,"FITS BITCH",IF(AN42&gt;-8,"no"))</f>
        <v>no</v>
      </c>
      <c r="AP42" s="17" t="str">
        <f aca="false">IF(AH43&lt;AH42,"FITS BITCH",IF(AH43&gt;AH42,"no"))</f>
        <v>no</v>
      </c>
      <c r="AQ42" s="17" t="str">
        <f aca="false">IF(AI43&lt;AI42,"FITS BITCH",IF(AI43&gt;AI42,"no"))</f>
        <v>no</v>
      </c>
      <c r="AR42" s="17" t="str">
        <f aca="false">IF(AJ42&lt;AH43,"FITS BITCH",IF(AJ42&gt;AH43,"no"))</f>
        <v>FITS BITCH</v>
      </c>
      <c r="AS42" s="17" t="str">
        <f aca="false">IF(AJ42&gt;AJ43,"FITS BITCH",IF(AJ42&lt;AJ43,"no"))</f>
        <v>no</v>
      </c>
      <c r="AT42" s="91" t="str">
        <f aca="false">IF(AND($AO42="FITS BITCH",$AP42="FITS BITCH",$AR42="FITS BITCH"),"BULLISH","")</f>
        <v/>
      </c>
      <c r="AU42" s="91" t="str">
        <f aca="false">IF(AND($AO42="FITS BITCH",$AQ42="FITS BITCH",$AS42="FITS BITCH"),"BEARISH","")</f>
        <v/>
      </c>
      <c r="AV42" s="86"/>
      <c r="AW42" s="86"/>
      <c r="AX42" s="86"/>
      <c r="AY42" s="0"/>
      <c r="BB42" s="0"/>
      <c r="BC42" s="0"/>
      <c r="BD42" s="0" t="s">
        <v>83</v>
      </c>
      <c r="BE42" s="0" t="s">
        <v>84</v>
      </c>
      <c r="BF42" s="0" t="s">
        <v>85</v>
      </c>
      <c r="BK42" s="126"/>
      <c r="BL42" s="0"/>
      <c r="BM42" s="0"/>
      <c r="BN42" s="0"/>
      <c r="CG42" s="40" t="n">
        <v>34</v>
      </c>
      <c r="CH42" s="98" t="n">
        <v>117.51333925516</v>
      </c>
      <c r="CL42" s="99" t="n">
        <v>43070</v>
      </c>
      <c r="CM42" s="23" t="n">
        <f aca="false">$BA$68*CL42+$BA$70</f>
        <v>175.370888091066</v>
      </c>
    </row>
    <row r="43" customFormat="false" ht="44.25" hidden="false" customHeight="false" outlineLevel="0" collapsed="false">
      <c r="A43" s="0"/>
      <c r="B43" s="0"/>
      <c r="C43" s="0"/>
      <c r="D43" s="0"/>
      <c r="E43" s="0"/>
      <c r="AE43" s="90" t="n">
        <f aca="false">Data!A38</f>
        <v>42914</v>
      </c>
      <c r="AF43" s="17" t="n">
        <f aca="false">Data!B38</f>
        <v>144.49</v>
      </c>
      <c r="AG43" s="17" t="n">
        <f aca="false">Data!F38</f>
        <v>22082432</v>
      </c>
      <c r="AH43" s="17" t="n">
        <f aca="false">Data!C38</f>
        <v>146.11</v>
      </c>
      <c r="AI43" s="17" t="n">
        <f aca="false">Data!D38</f>
        <v>143.16</v>
      </c>
      <c r="AJ43" s="17" t="n">
        <f aca="false">Data!E38</f>
        <v>145.83</v>
      </c>
      <c r="AK43" s="17" t="n">
        <f aca="false">Data!F38</f>
        <v>22082432</v>
      </c>
      <c r="AL43" s="17" t="n">
        <f aca="false">AJ43</f>
        <v>145.83</v>
      </c>
      <c r="AM43" s="17" t="n">
        <f aca="false">(AL43-AL42)/AL43*100</f>
        <v>1.47431941301516</v>
      </c>
      <c r="AN43" s="17" t="n">
        <f aca="false">(AK43-AK42)/AK43*100</f>
        <v>-42.6444695946533</v>
      </c>
      <c r="AO43" s="17" t="str">
        <f aca="false">IF(AN43&lt;-8,"FITS BITCH",IF(AN43&gt;-8,"no"))</f>
        <v>FITS BITCH</v>
      </c>
      <c r="AP43" s="17" t="str">
        <f aca="false">IF(AH44&lt;AH43,"FITS BITCH",IF(AH44&gt;AH43,"no"))</f>
        <v>no</v>
      </c>
      <c r="AQ43" s="17" t="str">
        <f aca="false">IF(AI44&lt;AI43,"FITS BITCH",IF(AI44&gt;AI43,"no"))</f>
        <v>no</v>
      </c>
      <c r="AR43" s="17" t="str">
        <f aca="false">IF(AJ43&lt;AH44,"FITS BITCH",IF(AJ43&gt;AH44,"no"))</f>
        <v>FITS BITCH</v>
      </c>
      <c r="AS43" s="17" t="str">
        <f aca="false">IF(AJ43&gt;AJ44,"FITS BITCH",IF(AJ43&lt;AJ44,"no"))</f>
        <v>FITS BITCH</v>
      </c>
      <c r="AT43" s="91" t="str">
        <f aca="false">IF(AND($AO43="FITS BITCH",$AP43="FITS BITCH",$AR43="FITS BITCH"),"BULLISH","")</f>
        <v/>
      </c>
      <c r="AU43" s="91" t="str">
        <f aca="false">IF(AND($AO43="FITS BITCH",$AQ43="FITS BITCH",$AS43="FITS BITCH"),"BEARISH","")</f>
        <v/>
      </c>
      <c r="AV43" s="86"/>
      <c r="AW43" s="86"/>
      <c r="AX43" s="86"/>
      <c r="AY43" s="0"/>
      <c r="BB43" s="0" t="s">
        <v>90</v>
      </c>
      <c r="BC43" s="12" t="n">
        <f aca="false">MIN(AJ7:AJ257)</f>
        <v>103.13</v>
      </c>
      <c r="BD43" s="0" t="s">
        <v>91</v>
      </c>
      <c r="BE43" s="97" t="n">
        <f aca="false">BC45-3*BC47</f>
        <v>79.6738316719662</v>
      </c>
      <c r="BF43" s="17" t="n">
        <f aca="false" t="array" ref="BF43:BF50">FREQUENCY(AJ7:AJ257,BE43:BE50)</f>
        <v>0</v>
      </c>
      <c r="BK43" s="126"/>
      <c r="BL43" s="0"/>
      <c r="BM43" s="0"/>
      <c r="BN43" s="0"/>
      <c r="CG43" s="40" t="n">
        <v>35</v>
      </c>
      <c r="CH43" s="98" t="n">
        <v>117.51333925516</v>
      </c>
      <c r="CL43" s="99" t="n">
        <v>43069</v>
      </c>
      <c r="CM43" s="23" t="n">
        <f aca="false">$BA$68*CL43+$BA$70</f>
        <v>175.216769860824</v>
      </c>
    </row>
    <row r="44" customFormat="false" ht="44.25" hidden="false" customHeight="false" outlineLevel="0" collapsed="false">
      <c r="A44" s="0"/>
      <c r="B44" s="0"/>
      <c r="C44" s="0"/>
      <c r="D44" s="0"/>
      <c r="E44" s="0"/>
      <c r="AE44" s="90" t="n">
        <f aca="false">Data!A39</f>
        <v>42913</v>
      </c>
      <c r="AF44" s="17" t="n">
        <f aca="false">Data!B39</f>
        <v>145.01</v>
      </c>
      <c r="AG44" s="17" t="n">
        <f aca="false">Data!F39</f>
        <v>24761891</v>
      </c>
      <c r="AH44" s="17" t="n">
        <f aca="false">Data!C39</f>
        <v>146.16</v>
      </c>
      <c r="AI44" s="17" t="n">
        <f aca="false">Data!D39</f>
        <v>143.62</v>
      </c>
      <c r="AJ44" s="17" t="n">
        <f aca="false">Data!E39</f>
        <v>143.73</v>
      </c>
      <c r="AK44" s="17" t="n">
        <f aca="false">Data!F39</f>
        <v>24761891</v>
      </c>
      <c r="AL44" s="17" t="n">
        <f aca="false">AJ44</f>
        <v>143.73</v>
      </c>
      <c r="AM44" s="17" t="n">
        <f aca="false">(AL44-AL43)/AL44*100</f>
        <v>-1.46107284491757</v>
      </c>
      <c r="AN44" s="17" t="n">
        <f aca="false">(AK44-AK43)/AK44*100</f>
        <v>10.8208981293068</v>
      </c>
      <c r="AO44" s="17" t="str">
        <f aca="false">IF(AN44&lt;-8,"FITS BITCH",IF(AN44&gt;-8,"no"))</f>
        <v>no</v>
      </c>
      <c r="AP44" s="17" t="str">
        <f aca="false">IF(AH45&lt;AH44,"FITS BITCH",IF(AH45&gt;AH44,"no"))</f>
        <v>no</v>
      </c>
      <c r="AQ44" s="17" t="str">
        <f aca="false">IF(AI45&lt;AI44,"FITS BITCH",IF(AI45&gt;AI44,"no"))</f>
        <v>no</v>
      </c>
      <c r="AR44" s="17" t="str">
        <f aca="false">IF(AJ44&lt;AH45,"FITS BITCH",IF(AJ44&gt;AH45,"no"))</f>
        <v>FITS BITCH</v>
      </c>
      <c r="AS44" s="17" t="str">
        <f aca="false">IF(AJ44&gt;AJ45,"FITS BITCH",IF(AJ44&lt;AJ45,"no"))</f>
        <v>no</v>
      </c>
      <c r="AT44" s="91" t="str">
        <f aca="false">IF(AND($AO44="FITS BITCH",$AP44="FITS BITCH",$AR44="FITS BITCH"),"BULLISH","")</f>
        <v/>
      </c>
      <c r="AU44" s="91" t="str">
        <f aca="false">IF(AND($AO44="FITS BITCH",$AQ44="FITS BITCH",$AS44="FITS BITCH"),"BEARISH","")</f>
        <v/>
      </c>
      <c r="AV44" s="86"/>
      <c r="AW44" s="86"/>
      <c r="AX44" s="86"/>
      <c r="AY44" s="0"/>
      <c r="AZ44" s="0"/>
      <c r="BA44" s="0"/>
      <c r="BB44" s="0" t="s">
        <v>95</v>
      </c>
      <c r="BC44" s="12" t="n">
        <f aca="false">MAX(AJ7:AJ257)</f>
        <v>161.6</v>
      </c>
      <c r="BD44" s="0" t="s">
        <v>96</v>
      </c>
      <c r="BE44" s="97" t="n">
        <f aca="false">BC45-2*BC47</f>
        <v>96.9258877813108</v>
      </c>
      <c r="BF44" s="17" t="n">
        <v>0</v>
      </c>
      <c r="BG44" s="0"/>
      <c r="BH44" s="0"/>
      <c r="BI44" s="0"/>
      <c r="BJ44" s="0"/>
      <c r="BK44" s="122"/>
      <c r="BL44" s="0"/>
      <c r="BM44" s="0"/>
      <c r="BN44" s="0"/>
      <c r="CG44" s="40" t="n">
        <v>36</v>
      </c>
      <c r="CH44" s="98" t="n">
        <v>117.51333925516</v>
      </c>
      <c r="CL44" s="99" t="n">
        <v>43068</v>
      </c>
      <c r="CM44" s="23" t="n">
        <f aca="false">$BA$68*CL44+$BA$70</f>
        <v>175.062651630581</v>
      </c>
    </row>
    <row r="45" customFormat="false" ht="44.25" hidden="false" customHeight="false" outlineLevel="0" collapsed="false">
      <c r="A45" s="0"/>
      <c r="B45" s="0"/>
      <c r="C45" s="0"/>
      <c r="D45" s="0"/>
      <c r="E45" s="0"/>
      <c r="AE45" s="90" t="n">
        <f aca="false">Data!A40</f>
        <v>42912</v>
      </c>
      <c r="AF45" s="17" t="n">
        <f aca="false">Data!B40</f>
        <v>147.17</v>
      </c>
      <c r="AG45" s="17" t="n">
        <f aca="false">Data!F40</f>
        <v>25692361</v>
      </c>
      <c r="AH45" s="17" t="n">
        <f aca="false">Data!C40</f>
        <v>148.28</v>
      </c>
      <c r="AI45" s="17" t="n">
        <f aca="false">Data!D40</f>
        <v>145.38</v>
      </c>
      <c r="AJ45" s="17" t="n">
        <f aca="false">Data!E40</f>
        <v>145.82</v>
      </c>
      <c r="AK45" s="17" t="n">
        <f aca="false">Data!F40</f>
        <v>25692361</v>
      </c>
      <c r="AL45" s="17" t="n">
        <f aca="false">AJ45</f>
        <v>145.82</v>
      </c>
      <c r="AM45" s="17" t="n">
        <f aca="false">(AL45-AL44)/AL45*100</f>
        <v>1.43327389932794</v>
      </c>
      <c r="AN45" s="17" t="n">
        <f aca="false">(AK45-AK44)/AK45*100</f>
        <v>3.62158230611815</v>
      </c>
      <c r="AO45" s="17" t="str">
        <f aca="false">IF(AN45&lt;-8,"FITS BITCH",IF(AN45&gt;-8,"no"))</f>
        <v>no</v>
      </c>
      <c r="AP45" s="17" t="str">
        <f aca="false">IF(AH46&lt;AH45,"FITS BITCH",IF(AH46&gt;AH45,"no"))</f>
        <v>FITS BITCH</v>
      </c>
      <c r="AQ45" s="17" t="str">
        <f aca="false">IF(AI46&lt;AI45,"FITS BITCH",IF(AI46&gt;AI45,"no"))</f>
        <v>FITS BITCH</v>
      </c>
      <c r="AR45" s="17" t="str">
        <f aca="false">IF(AJ45&lt;AH46,"FITS BITCH",IF(AJ45&gt;AH46,"no"))</f>
        <v>FITS BITCH</v>
      </c>
      <c r="AS45" s="17" t="str">
        <f aca="false">IF(AJ45&gt;AJ46,"FITS BITCH",IF(AJ45&lt;AJ46,"no"))</f>
        <v>no</v>
      </c>
      <c r="AT45" s="91" t="str">
        <f aca="false">IF(AND($AO45="FITS BITCH",$AP45="FITS BITCH",$AR45="FITS BITCH"),"BULLISH","")</f>
        <v/>
      </c>
      <c r="AU45" s="91" t="str">
        <f aca="false">IF(AND($AO45="FITS BITCH",$AQ45="FITS BITCH",$AS45="FITS BITCH"),"BEARISH","")</f>
        <v/>
      </c>
      <c r="AV45" s="86"/>
      <c r="AW45" s="86"/>
      <c r="AX45" s="86"/>
      <c r="AY45" s="0"/>
      <c r="BB45" s="101" t="s">
        <v>100</v>
      </c>
      <c r="BC45" s="12" t="n">
        <f aca="false">AVERAGE(AJ7:AJ257)</f>
        <v>131.43</v>
      </c>
      <c r="BD45" s="0" t="s">
        <v>101</v>
      </c>
      <c r="BE45" s="97" t="n">
        <f aca="false">BC45-BC47</f>
        <v>114.177943890655</v>
      </c>
      <c r="BF45" s="17" t="n">
        <v>62</v>
      </c>
      <c r="BK45" s="126"/>
      <c r="BL45" s="0"/>
      <c r="BM45" s="0"/>
      <c r="BN45" s="0"/>
      <c r="CG45" s="40" t="n">
        <v>37</v>
      </c>
      <c r="CH45" s="98" t="n">
        <v>117.51333925516</v>
      </c>
      <c r="CL45" s="99" t="n">
        <v>43067</v>
      </c>
      <c r="CM45" s="23" t="n">
        <f aca="false">$BA$68*CL45+$BA$70</f>
        <v>174.908533400338</v>
      </c>
    </row>
    <row r="46" customFormat="false" ht="44.25" hidden="false" customHeight="false" outlineLevel="0" collapsed="false">
      <c r="A46" s="0"/>
      <c r="B46" s="0"/>
      <c r="C46" s="0"/>
      <c r="D46" s="0"/>
      <c r="E46" s="0"/>
      <c r="AE46" s="90" t="n">
        <f aca="false">Data!A41</f>
        <v>42909</v>
      </c>
      <c r="AF46" s="17" t="n">
        <f aca="false">Data!B41</f>
        <v>145.13</v>
      </c>
      <c r="AG46" s="17" t="n">
        <f aca="false">Data!F41</f>
        <v>35439389</v>
      </c>
      <c r="AH46" s="17" t="n">
        <f aca="false">Data!C41</f>
        <v>147.16</v>
      </c>
      <c r="AI46" s="17" t="n">
        <f aca="false">Data!D41</f>
        <v>145.11</v>
      </c>
      <c r="AJ46" s="17" t="n">
        <f aca="false">Data!E41</f>
        <v>146.28</v>
      </c>
      <c r="AK46" s="17" t="n">
        <f aca="false">Data!F41</f>
        <v>35439389</v>
      </c>
      <c r="AL46" s="17" t="n">
        <f aca="false">AJ46</f>
        <v>146.28</v>
      </c>
      <c r="AM46" s="17" t="n">
        <f aca="false">(AL46-AL45)/AL46*100</f>
        <v>0.314465408805037</v>
      </c>
      <c r="AN46" s="17" t="n">
        <f aca="false">(AK46-AK45)/AK46*100</f>
        <v>27.5033748465584</v>
      </c>
      <c r="AO46" s="17" t="str">
        <f aca="false">IF(AN46&lt;-8,"FITS BITCH",IF(AN46&gt;-8,"no"))</f>
        <v>no</v>
      </c>
      <c r="AP46" s="17" t="str">
        <f aca="false">IF(AH47&lt;AH46,"FITS BITCH",IF(AH47&gt;AH46,"no"))</f>
        <v>FITS BITCH</v>
      </c>
      <c r="AQ46" s="17" t="str">
        <f aca="false">IF(AI47&lt;AI46,"FITS BITCH",IF(AI47&gt;AI46,"no"))</f>
        <v>no</v>
      </c>
      <c r="AR46" s="17" t="str">
        <f aca="false">IF(AJ46&lt;AH47,"FITS BITCH",IF(AJ46&gt;AH47,"no"))</f>
        <v>FITS BITCH</v>
      </c>
      <c r="AS46" s="17" t="str">
        <f aca="false">IF(AJ46&gt;AJ47,"FITS BITCH",IF(AJ46&lt;AJ47,"no"))</f>
        <v>FITS BITCH</v>
      </c>
      <c r="AT46" s="91" t="str">
        <f aca="false">IF(AND($AO46="FITS BITCH",$AP46="FITS BITCH",$AR46="FITS BITCH"),"BULLISH","")</f>
        <v/>
      </c>
      <c r="AU46" s="91" t="str">
        <f aca="false">IF(AND($AO46="FITS BITCH",$AQ46="FITS BITCH",$AS46="FITS BITCH"),"BEARISH","")</f>
        <v/>
      </c>
      <c r="AV46" s="86"/>
      <c r="AW46" s="86"/>
      <c r="AX46" s="86"/>
      <c r="AY46" s="0"/>
      <c r="BB46" s="101" t="s">
        <v>104</v>
      </c>
      <c r="BC46" s="12" t="n">
        <f aca="false">VAR(AJ7:AJ257)</f>
        <v>297.633439999975</v>
      </c>
      <c r="BD46" s="0" t="s">
        <v>105</v>
      </c>
      <c r="BE46" s="97" t="n">
        <f aca="false">BC45</f>
        <v>131.43</v>
      </c>
      <c r="BF46" s="17" t="n">
        <v>54</v>
      </c>
      <c r="BK46" s="126"/>
      <c r="BL46" s="0"/>
      <c r="BM46" s="0"/>
      <c r="BN46" s="0"/>
      <c r="CG46" s="40" t="n">
        <v>38</v>
      </c>
      <c r="CH46" s="98" t="n">
        <v>117.51333925516</v>
      </c>
      <c r="CL46" s="99" t="n">
        <v>43066</v>
      </c>
      <c r="CM46" s="23" t="n">
        <f aca="false">$BA$68*CL46+$BA$70</f>
        <v>174.754415170096</v>
      </c>
    </row>
    <row r="47" customFormat="false" ht="44.25" hidden="false" customHeight="false" outlineLevel="0" collapsed="false">
      <c r="A47" s="0"/>
      <c r="B47" s="0"/>
      <c r="C47" s="0"/>
      <c r="D47" s="0"/>
      <c r="E47" s="0"/>
      <c r="AE47" s="90" t="n">
        <f aca="false">Data!A42</f>
        <v>42908</v>
      </c>
      <c r="AF47" s="17" t="n">
        <f aca="false">Data!B42</f>
        <v>145.77</v>
      </c>
      <c r="AG47" s="17" t="n">
        <f aca="false">Data!F42</f>
        <v>19106294</v>
      </c>
      <c r="AH47" s="17" t="n">
        <f aca="false">Data!C42</f>
        <v>146.7</v>
      </c>
      <c r="AI47" s="17" t="n">
        <f aca="false">Data!D42</f>
        <v>145.12</v>
      </c>
      <c r="AJ47" s="17" t="n">
        <f aca="false">Data!E42</f>
        <v>145.63</v>
      </c>
      <c r="AK47" s="17" t="n">
        <f aca="false">Data!F42</f>
        <v>19106294</v>
      </c>
      <c r="AL47" s="17" t="n">
        <f aca="false">AJ47</f>
        <v>145.63</v>
      </c>
      <c r="AM47" s="17" t="n">
        <f aca="false">(AL47-AL46)/AL47*100</f>
        <v>-0.446336606468451</v>
      </c>
      <c r="AN47" s="17" t="n">
        <f aca="false">(AK47-AK46)/AK47*100</f>
        <v>-85.4854164810821</v>
      </c>
      <c r="AO47" s="17" t="str">
        <f aca="false">IF(AN47&lt;-8,"FITS BITCH",IF(AN47&gt;-8,"no"))</f>
        <v>FITS BITCH</v>
      </c>
      <c r="AP47" s="17" t="str">
        <f aca="false">IF(AH48&lt;AH47,"FITS BITCH",IF(AH48&gt;AH47,"no"))</f>
        <v>FITS BITCH</v>
      </c>
      <c r="AQ47" s="17" t="str">
        <f aca="false">IF(AI48&lt;AI47,"FITS BITCH",IF(AI48&gt;AI47,"no"))</f>
        <v>FITS BITCH</v>
      </c>
      <c r="AR47" s="17" t="str">
        <f aca="false">IF(AJ47&lt;AH48,"FITS BITCH",IF(AJ47&gt;AH48,"no"))</f>
        <v>FITS BITCH</v>
      </c>
      <c r="AS47" s="17" t="str">
        <f aca="false">IF(AJ47&gt;AJ48,"FITS BITCH",IF(AJ47&lt;AJ48,"no"))</f>
        <v>no</v>
      </c>
      <c r="AT47" s="91" t="str">
        <f aca="false">IF(AND($AO47="FITS BITCH",$AP47="FITS BITCH",$AR47="FITS BITCH"),"BULLISH","")</f>
        <v>BULLISH</v>
      </c>
      <c r="AU47" s="91" t="str">
        <f aca="false">IF(AND($AO47="FITS BITCH",$AQ47="FITS BITCH",$AS47="FITS BITCH"),"BEARISH","")</f>
        <v/>
      </c>
      <c r="AV47" s="86"/>
      <c r="AW47" s="86"/>
      <c r="AX47" s="86"/>
      <c r="AY47" s="0"/>
      <c r="BB47" s="101" t="s">
        <v>107</v>
      </c>
      <c r="BC47" s="12" t="n">
        <f aca="false">STDEV(AJ7:AJ257)</f>
        <v>17.2520561093446</v>
      </c>
      <c r="BD47" s="0" t="s">
        <v>108</v>
      </c>
      <c r="BE47" s="97" t="n">
        <f aca="false">BC45+BC47</f>
        <v>148.682056109345</v>
      </c>
      <c r="BF47" s="17" t="n">
        <v>84</v>
      </c>
      <c r="BK47" s="126"/>
      <c r="BL47" s="0"/>
      <c r="BM47" s="0"/>
      <c r="BN47" s="0"/>
      <c r="CG47" s="40" t="n">
        <v>39</v>
      </c>
      <c r="CH47" s="98" t="n">
        <v>117.51333925516</v>
      </c>
      <c r="CL47" s="99" t="n">
        <v>43063</v>
      </c>
      <c r="CM47" s="23" t="n">
        <f aca="false">$BA$68*CL47+$BA$70</f>
        <v>174.292060479368</v>
      </c>
    </row>
    <row r="48" customFormat="false" ht="44.25" hidden="false" customHeight="false" outlineLevel="0" collapsed="false">
      <c r="A48" s="0"/>
      <c r="B48" s="0"/>
      <c r="C48" s="0"/>
      <c r="D48" s="0"/>
      <c r="E48" s="0"/>
      <c r="AE48" s="90" t="n">
        <f aca="false">Data!A43</f>
        <v>42907</v>
      </c>
      <c r="AF48" s="17" t="n">
        <f aca="false">Data!B43</f>
        <v>145.52</v>
      </c>
      <c r="AG48" s="17" t="n">
        <f aca="false">Data!F43</f>
        <v>21265751</v>
      </c>
      <c r="AH48" s="17" t="n">
        <f aca="false">Data!C43</f>
        <v>146.07</v>
      </c>
      <c r="AI48" s="17" t="n">
        <f aca="false">Data!D43</f>
        <v>144.61</v>
      </c>
      <c r="AJ48" s="17" t="n">
        <f aca="false">Data!E43</f>
        <v>145.87</v>
      </c>
      <c r="AK48" s="17" t="n">
        <f aca="false">Data!F43</f>
        <v>21265751</v>
      </c>
      <c r="AL48" s="17" t="n">
        <f aca="false">AJ48</f>
        <v>145.87</v>
      </c>
      <c r="AM48" s="17" t="n">
        <f aca="false">(AL48-AL47)/AL48*100</f>
        <v>0.164530061013237</v>
      </c>
      <c r="AN48" s="17" t="n">
        <f aca="false">(AK48-AK47)/AK48*100</f>
        <v>10.1546237421853</v>
      </c>
      <c r="AO48" s="17" t="str">
        <f aca="false">IF(AN48&lt;-8,"FITS BITCH",IF(AN48&gt;-8,"no"))</f>
        <v>no</v>
      </c>
      <c r="AP48" s="17" t="str">
        <f aca="false">IF(AH49&lt;AH48,"FITS BITCH",IF(AH49&gt;AH48,"no"))</f>
        <v>no</v>
      </c>
      <c r="AQ48" s="17" t="str">
        <f aca="false">IF(AI49&lt;AI48,"FITS BITCH",IF(AI49&gt;AI48,"no"))</f>
        <v>no</v>
      </c>
      <c r="AR48" s="17" t="str">
        <f aca="false">IF(AJ48&lt;AH49,"FITS BITCH",IF(AJ48&gt;AH49,"no"))</f>
        <v>FITS BITCH</v>
      </c>
      <c r="AS48" s="17" t="str">
        <f aca="false">IF(AJ48&gt;AJ49,"FITS BITCH",IF(AJ48&lt;AJ49,"no"))</f>
        <v>FITS BITCH</v>
      </c>
      <c r="AT48" s="91" t="str">
        <f aca="false">IF(AND($AO48="FITS BITCH",$AP48="FITS BITCH",$AR48="FITS BITCH"),"BULLISH","")</f>
        <v/>
      </c>
      <c r="AU48" s="91" t="str">
        <f aca="false">IF(AND($AO48="FITS BITCH",$AQ48="FITS BITCH",$AS48="FITS BITCH"),"BEARISH","")</f>
        <v/>
      </c>
      <c r="AV48" s="86"/>
      <c r="AW48" s="86"/>
      <c r="AX48" s="86"/>
      <c r="AY48" s="0"/>
      <c r="BB48" s="0"/>
      <c r="BC48" s="0"/>
      <c r="BD48" s="0" t="s">
        <v>110</v>
      </c>
      <c r="BE48" s="97" t="n">
        <f aca="false">BC45+2*BC47</f>
        <v>165.934112218689</v>
      </c>
      <c r="BF48" s="17" t="n">
        <v>51</v>
      </c>
      <c r="BK48" s="126"/>
      <c r="BL48" s="0"/>
      <c r="BM48" s="0"/>
      <c r="BN48" s="0"/>
      <c r="CG48" s="40" t="n">
        <v>40</v>
      </c>
      <c r="CH48" s="98" t="n">
        <v>117.51333925516</v>
      </c>
      <c r="CL48" s="99" t="n">
        <v>43062</v>
      </c>
      <c r="CM48" s="23" t="n">
        <f aca="false">$BA$68*CL48+$BA$70</f>
        <v>174.137942249125</v>
      </c>
    </row>
    <row r="49" customFormat="false" ht="44.25" hidden="false" customHeight="false" outlineLevel="0" collapsed="false">
      <c r="A49" s="0"/>
      <c r="B49" s="0"/>
      <c r="C49" s="0"/>
      <c r="D49" s="0"/>
      <c r="E49" s="0"/>
      <c r="AE49" s="90" t="n">
        <f aca="false">Data!A44</f>
        <v>42906</v>
      </c>
      <c r="AF49" s="17" t="n">
        <f aca="false">Data!B44</f>
        <v>146.87</v>
      </c>
      <c r="AG49" s="17" t="n">
        <f aca="false">Data!F44</f>
        <v>24900073</v>
      </c>
      <c r="AH49" s="17" t="n">
        <f aca="false">Data!C44</f>
        <v>146.87</v>
      </c>
      <c r="AI49" s="17" t="n">
        <f aca="false">Data!D44</f>
        <v>144.94</v>
      </c>
      <c r="AJ49" s="17" t="n">
        <f aca="false">Data!E44</f>
        <v>145.01</v>
      </c>
      <c r="AK49" s="17" t="n">
        <f aca="false">Data!F44</f>
        <v>24900073</v>
      </c>
      <c r="AL49" s="17" t="n">
        <f aca="false">AJ49</f>
        <v>145.01</v>
      </c>
      <c r="AM49" s="17" t="n">
        <f aca="false">(AL49-AL48)/AL49*100</f>
        <v>-0.593062547410533</v>
      </c>
      <c r="AN49" s="17" t="n">
        <f aca="false">(AK49-AK48)/AK49*100</f>
        <v>14.5956278923359</v>
      </c>
      <c r="AO49" s="17" t="str">
        <f aca="false">IF(AN49&lt;-8,"FITS BITCH",IF(AN49&gt;-8,"no"))</f>
        <v>no</v>
      </c>
      <c r="AP49" s="17" t="str">
        <f aca="false">IF(AH50&lt;AH49,"FITS BITCH",IF(AH50&gt;AH49,"no"))</f>
        <v>FITS BITCH</v>
      </c>
      <c r="AQ49" s="17" t="str">
        <f aca="false">IF(AI50&lt;AI49,"FITS BITCH",IF(AI50&gt;AI49,"no"))</f>
        <v>FITS BITCH</v>
      </c>
      <c r="AR49" s="17" t="str">
        <f aca="false">IF(AJ49&lt;AH50,"FITS BITCH",IF(AJ49&gt;AH50,"no"))</f>
        <v>FITS BITCH</v>
      </c>
      <c r="AS49" s="17" t="str">
        <f aca="false">IF(AJ49&gt;AJ50,"FITS BITCH",IF(AJ49&lt;AJ50,"no"))</f>
        <v>no</v>
      </c>
      <c r="AT49" s="91" t="str">
        <f aca="false">IF(AND($AO49="FITS BITCH",$AP49="FITS BITCH",$AR49="FITS BITCH"),"BULLISH","")</f>
        <v/>
      </c>
      <c r="AU49" s="91" t="str">
        <f aca="false">IF(AND($AO49="FITS BITCH",$AQ49="FITS BITCH",$AS49="FITS BITCH"),"BEARISH","")</f>
        <v/>
      </c>
      <c r="AV49" s="86"/>
      <c r="AW49" s="86"/>
      <c r="AX49" s="86"/>
      <c r="AY49" s="0"/>
      <c r="BB49" s="0"/>
      <c r="BC49" s="0"/>
      <c r="BD49" s="0" t="s">
        <v>111</v>
      </c>
      <c r="BE49" s="97" t="n">
        <f aca="false">BC45+3*BC47</f>
        <v>183.186168328034</v>
      </c>
      <c r="BF49" s="17" t="n">
        <v>0</v>
      </c>
      <c r="BK49" s="126"/>
      <c r="BL49" s="0"/>
      <c r="BM49" s="0"/>
      <c r="BN49" s="0"/>
      <c r="CG49" s="40" t="n">
        <v>41</v>
      </c>
      <c r="CH49" s="98" t="n">
        <v>117.51333925516</v>
      </c>
      <c r="CL49" s="99" t="n">
        <v>43061</v>
      </c>
      <c r="CM49" s="23" t="n">
        <f aca="false">$BA$68*CL49+$BA$70</f>
        <v>173.983824018882</v>
      </c>
    </row>
    <row r="50" customFormat="false" ht="44.25" hidden="false" customHeight="false" outlineLevel="0" collapsed="false">
      <c r="A50" s="0"/>
      <c r="B50" s="0"/>
      <c r="C50" s="0"/>
      <c r="D50" s="0"/>
      <c r="E50" s="0"/>
      <c r="AE50" s="90" t="n">
        <f aca="false">Data!A45</f>
        <v>42905</v>
      </c>
      <c r="AF50" s="17" t="n">
        <f aca="false">Data!B45</f>
        <v>143.66</v>
      </c>
      <c r="AG50" s="17" t="n">
        <f aca="false">Data!F45</f>
        <v>32541404</v>
      </c>
      <c r="AH50" s="17" t="n">
        <f aca="false">Data!C45</f>
        <v>146.74</v>
      </c>
      <c r="AI50" s="17" t="n">
        <f aca="false">Data!D45</f>
        <v>143.66</v>
      </c>
      <c r="AJ50" s="17" t="n">
        <f aca="false">Data!E45</f>
        <v>146.34</v>
      </c>
      <c r="AK50" s="17" t="n">
        <f aca="false">Data!F45</f>
        <v>32541404</v>
      </c>
      <c r="AL50" s="17" t="n">
        <f aca="false">AJ50</f>
        <v>146.34</v>
      </c>
      <c r="AM50" s="17" t="n">
        <f aca="false">(AL50-AL49)/AL50*100</f>
        <v>0.90884242175756</v>
      </c>
      <c r="AN50" s="17" t="n">
        <f aca="false">(AK50-AK49)/AK50*100</f>
        <v>23.4818725092501</v>
      </c>
      <c r="AO50" s="17" t="str">
        <f aca="false">IF(AN50&lt;-8,"FITS BITCH",IF(AN50&gt;-8,"no"))</f>
        <v>no</v>
      </c>
      <c r="AP50" s="17" t="str">
        <f aca="false">IF(AH51&lt;AH50,"FITS BITCH",IF(AH51&gt;AH50,"no"))</f>
        <v>FITS BITCH</v>
      </c>
      <c r="AQ50" s="17" t="str">
        <f aca="false">IF(AI51&lt;AI50,"FITS BITCH",IF(AI51&gt;AI50,"no"))</f>
        <v>FITS BITCH</v>
      </c>
      <c r="AR50" s="17" t="str">
        <f aca="false">IF(AJ50&lt;AH51,"FITS BITCH",IF(AJ50&gt;AH51,"no"))</f>
        <v>no</v>
      </c>
      <c r="AS50" s="17" t="str">
        <f aca="false">IF(AJ50&gt;AJ51,"FITS BITCH",IF(AJ50&lt;AJ51,"no"))</f>
        <v>FITS BITCH</v>
      </c>
      <c r="AT50" s="91" t="str">
        <f aca="false">IF(AND($AO50="FITS BITCH",$AP50="FITS BITCH",$AR50="FITS BITCH"),"BULLISH","")</f>
        <v/>
      </c>
      <c r="AU50" s="91" t="str">
        <f aca="false">IF(AND($AO50="FITS BITCH",$AQ50="FITS BITCH",$AS50="FITS BITCH"),"BEARISH","")</f>
        <v/>
      </c>
      <c r="AV50" s="86"/>
      <c r="AW50" s="86"/>
      <c r="AX50" s="86"/>
      <c r="AY50" s="0"/>
      <c r="BB50" s="0"/>
      <c r="BC50" s="0"/>
      <c r="BD50" s="0" t="s">
        <v>114</v>
      </c>
      <c r="BE50" s="17"/>
      <c r="BF50" s="17" t="n">
        <v>0</v>
      </c>
      <c r="BK50" s="126"/>
      <c r="BL50" s="0"/>
      <c r="BM50" s="0"/>
      <c r="BN50" s="0"/>
      <c r="CG50" s="40" t="n">
        <v>42</v>
      </c>
      <c r="CH50" s="98" t="n">
        <v>117.51333925516</v>
      </c>
      <c r="CL50" s="99" t="n">
        <v>43060</v>
      </c>
      <c r="CM50" s="23" t="n">
        <f aca="false">$BA$68*CL50+$BA$70</f>
        <v>173.829705788639</v>
      </c>
    </row>
    <row r="51" customFormat="false" ht="44.25" hidden="false" customHeight="false" outlineLevel="0" collapsed="false">
      <c r="A51" s="0"/>
      <c r="B51" s="0"/>
      <c r="C51" s="0"/>
      <c r="D51" s="0"/>
      <c r="E51" s="0"/>
      <c r="AE51" s="90" t="n">
        <f aca="false">Data!A46</f>
        <v>42902</v>
      </c>
      <c r="AF51" s="17" t="n">
        <f aca="false">Data!B46</f>
        <v>143.78</v>
      </c>
      <c r="AG51" s="17" t="n">
        <f aca="false">Data!F46</f>
        <v>50361093</v>
      </c>
      <c r="AH51" s="17" t="n">
        <f aca="false">Data!C46</f>
        <v>144.5</v>
      </c>
      <c r="AI51" s="17" t="n">
        <f aca="false">Data!D46</f>
        <v>142.2</v>
      </c>
      <c r="AJ51" s="17" t="n">
        <f aca="false">Data!E46</f>
        <v>142.27</v>
      </c>
      <c r="AK51" s="17" t="n">
        <f aca="false">Data!F46</f>
        <v>50361093</v>
      </c>
      <c r="AL51" s="17" t="n">
        <f aca="false">AJ51</f>
        <v>142.27</v>
      </c>
      <c r="AM51" s="17" t="n">
        <f aca="false">(AL51-AL50)/AL51*100</f>
        <v>-2.86075771420538</v>
      </c>
      <c r="AN51" s="17" t="n">
        <f aca="false">(AK51-AK50)/AK51*100</f>
        <v>35.3838408550823</v>
      </c>
      <c r="AO51" s="17" t="str">
        <f aca="false">IF(AN51&lt;-8,"FITS BITCH",IF(AN51&gt;-8,"no"))</f>
        <v>no</v>
      </c>
      <c r="AP51" s="17" t="str">
        <f aca="false">IF(AH52&lt;AH51,"FITS BITCH",IF(AH52&gt;AH51,"no"))</f>
        <v>FITS BITCH</v>
      </c>
      <c r="AQ51" s="17" t="str">
        <f aca="false">IF(AI52&lt;AI51,"FITS BITCH",IF(AI52&gt;AI51,"no"))</f>
        <v>no</v>
      </c>
      <c r="AR51" s="17" t="str">
        <f aca="false">IF(AJ51&lt;AH52,"FITS BITCH",IF(AJ51&gt;AH52,"no"))</f>
        <v>FITS BITCH</v>
      </c>
      <c r="AS51" s="17" t="str">
        <f aca="false">IF(AJ51&gt;AJ52,"FITS BITCH",IF(AJ51&lt;AJ52,"no"))</f>
        <v>no</v>
      </c>
      <c r="AT51" s="91" t="str">
        <f aca="false">IF(AND($AO51="FITS BITCH",$AP51="FITS BITCH",$AR51="FITS BITCH"),"BULLISH","")</f>
        <v/>
      </c>
      <c r="AU51" s="91" t="str">
        <f aca="false">IF(AND($AO51="FITS BITCH",$AQ51="FITS BITCH",$AS51="FITS BITCH"),"BEARISH","")</f>
        <v/>
      </c>
      <c r="AV51" s="86"/>
      <c r="AW51" s="86"/>
      <c r="AX51" s="86"/>
      <c r="AY51" s="0"/>
      <c r="BK51" s="126"/>
      <c r="BL51" s="0"/>
      <c r="BM51" s="0"/>
      <c r="BN51" s="0"/>
      <c r="CG51" s="40" t="n">
        <v>43</v>
      </c>
      <c r="CH51" s="98" t="n">
        <v>117.51333925516</v>
      </c>
      <c r="CL51" s="99" t="n">
        <v>43059</v>
      </c>
      <c r="CM51" s="23" t="n">
        <f aca="false">$BA$68*CL51+$BA$70</f>
        <v>173.675587558397</v>
      </c>
    </row>
    <row r="52" customFormat="false" ht="45" hidden="false" customHeight="false" outlineLevel="0" collapsed="false">
      <c r="A52" s="0"/>
      <c r="B52" s="0"/>
      <c r="C52" s="0"/>
      <c r="D52" s="0"/>
      <c r="E52" s="0"/>
      <c r="AE52" s="90" t="n">
        <f aca="false">Data!A47</f>
        <v>42901</v>
      </c>
      <c r="AF52" s="17" t="n">
        <f aca="false">Data!B47</f>
        <v>143.32</v>
      </c>
      <c r="AG52" s="17" t="n">
        <f aca="false">Data!F47</f>
        <v>32165373</v>
      </c>
      <c r="AH52" s="17" t="n">
        <f aca="false">Data!C47</f>
        <v>144.48</v>
      </c>
      <c r="AI52" s="17" t="n">
        <f aca="false">Data!D47</f>
        <v>142.21</v>
      </c>
      <c r="AJ52" s="17" t="n">
        <f aca="false">Data!E47</f>
        <v>144.29</v>
      </c>
      <c r="AK52" s="17" t="n">
        <f aca="false">Data!F47</f>
        <v>32165373</v>
      </c>
      <c r="AL52" s="17" t="n">
        <f aca="false">AJ52</f>
        <v>144.29</v>
      </c>
      <c r="AM52" s="17" t="n">
        <f aca="false">(AL52-AL51)/AL52*100</f>
        <v>1.39995841707671</v>
      </c>
      <c r="AN52" s="17" t="n">
        <f aca="false">(AK52-AK51)/AK52*100</f>
        <v>-56.569280262971</v>
      </c>
      <c r="AO52" s="17" t="str">
        <f aca="false">IF(AN52&lt;-8,"FITS BITCH",IF(AN52&gt;-8,"no"))</f>
        <v>FITS BITCH</v>
      </c>
      <c r="AP52" s="17" t="str">
        <f aca="false">IF(AH53&lt;AH52,"FITS BITCH",IF(AH53&gt;AH52,"no"))</f>
        <v>no</v>
      </c>
      <c r="AQ52" s="17" t="str">
        <f aca="false">IF(AI53&lt;AI52,"FITS BITCH",IF(AI53&gt;AI52,"no"))</f>
        <v>no</v>
      </c>
      <c r="AR52" s="17" t="str">
        <f aca="false">IF(AJ52&lt;AH53,"FITS BITCH",IF(AJ52&gt;AH53,"no"))</f>
        <v>FITS BITCH</v>
      </c>
      <c r="AS52" s="17" t="str">
        <f aca="false">IF(AJ52&gt;AJ53,"FITS BITCH",IF(AJ52&lt;AJ53,"no"))</f>
        <v>no</v>
      </c>
      <c r="AT52" s="91" t="str">
        <f aca="false">IF(AND($AO52="FITS BITCH",$AP52="FITS BITCH",$AR52="FITS BITCH"),"BULLISH","")</f>
        <v/>
      </c>
      <c r="AU52" s="91" t="str">
        <f aca="false">IF(AND($AO52="FITS BITCH",$AQ52="FITS BITCH",$AS52="FITS BITCH"),"BEARISH","")</f>
        <v/>
      </c>
      <c r="AV52" s="86"/>
      <c r="AW52" s="86"/>
      <c r="AX52" s="86"/>
      <c r="AY52" s="0"/>
      <c r="BB52" s="86" t="s">
        <v>116</v>
      </c>
      <c r="BC52" s="0" t="s">
        <v>117</v>
      </c>
      <c r="BD52" s="113" t="n">
        <f aca="false">_xlfn.NORM.DIST($F$8,$BC$45,$BC$47,1)</f>
        <v>0.934621598754987</v>
      </c>
      <c r="BE52" s="0" t="s">
        <v>118</v>
      </c>
      <c r="BF52" s="17" t="n">
        <f aca="false">$F$8</f>
        <v>157.5</v>
      </c>
      <c r="BK52" s="126"/>
      <c r="BL52" s="0"/>
      <c r="BM52" s="0"/>
      <c r="BN52" s="0"/>
      <c r="CG52" s="40" t="n">
        <v>44</v>
      </c>
      <c r="CH52" s="98" t="n">
        <v>117.51333925516</v>
      </c>
      <c r="CL52" s="99" t="n">
        <v>43056</v>
      </c>
      <c r="CM52" s="23" t="n">
        <f aca="false">$BA$68*CL52+$BA$70</f>
        <v>173.213232867669</v>
      </c>
    </row>
    <row r="53" customFormat="false" ht="45.75" hidden="false" customHeight="false" outlineLevel="0" collapsed="false">
      <c r="A53" s="0"/>
      <c r="B53" s="0"/>
      <c r="C53" s="0"/>
      <c r="D53" s="0"/>
      <c r="E53" s="0"/>
      <c r="AE53" s="90" t="n">
        <f aca="false">Data!A48</f>
        <v>42900</v>
      </c>
      <c r="AF53" s="17" t="n">
        <f aca="false">Data!B48</f>
        <v>147.5</v>
      </c>
      <c r="AG53" s="17" t="n">
        <f aca="false">Data!F48</f>
        <v>31531232</v>
      </c>
      <c r="AH53" s="17" t="n">
        <f aca="false">Data!C48</f>
        <v>147.5</v>
      </c>
      <c r="AI53" s="17" t="n">
        <f aca="false">Data!D48</f>
        <v>143.84</v>
      </c>
      <c r="AJ53" s="17" t="n">
        <f aca="false">Data!E48</f>
        <v>145.16</v>
      </c>
      <c r="AK53" s="17" t="n">
        <f aca="false">Data!F48</f>
        <v>31531232</v>
      </c>
      <c r="AL53" s="17" t="n">
        <f aca="false">AJ53</f>
        <v>145.16</v>
      </c>
      <c r="AM53" s="17" t="n">
        <f aca="false">(AL53-AL52)/AL53*100</f>
        <v>0.599338660788099</v>
      </c>
      <c r="AN53" s="17" t="n">
        <f aca="false">(AK53-AK52)/AK53*100</f>
        <v>-2.01115199050897</v>
      </c>
      <c r="AO53" s="17" t="str">
        <f aca="false">IF(AN53&lt;-8,"FITS BITCH",IF(AN53&gt;-8,"no"))</f>
        <v>no</v>
      </c>
      <c r="AP53" s="17" t="str">
        <f aca="false">IF(AH54&lt;AH53,"FITS BITCH",IF(AH54&gt;AH53,"no"))</f>
        <v>FITS BITCH</v>
      </c>
      <c r="AQ53" s="17" t="str">
        <f aca="false">IF(AI54&lt;AI53,"FITS BITCH",IF(AI54&gt;AI53,"no"))</f>
        <v>no</v>
      </c>
      <c r="AR53" s="17" t="str">
        <f aca="false">IF(AJ53&lt;AH54,"FITS BITCH",IF(AJ53&gt;AH54,"no"))</f>
        <v>FITS BITCH</v>
      </c>
      <c r="AS53" s="17" t="str">
        <f aca="false">IF(AJ53&gt;AJ54,"FITS BITCH",IF(AJ53&lt;AJ54,"no"))</f>
        <v>no</v>
      </c>
      <c r="AT53" s="91" t="str">
        <f aca="false">IF(AND($AO53="FITS BITCH",$AP53="FITS BITCH",$AR53="FITS BITCH"),"BULLISH","")</f>
        <v/>
      </c>
      <c r="AU53" s="91" t="str">
        <f aca="false">IF(AND($AO53="FITS BITCH",$AQ53="FITS BITCH",$AS53="FITS BITCH"),"BEARISH","")</f>
        <v/>
      </c>
      <c r="AV53" s="86"/>
      <c r="AW53" s="86"/>
      <c r="AX53" s="86"/>
      <c r="AY53" s="0"/>
      <c r="BC53" s="0" t="s">
        <v>120</v>
      </c>
      <c r="BD53" s="113" t="n">
        <f aca="false">((COUNTIF(AJ7:AJ257,"&lt;"&amp;$F$8))/(COUNT(AJ7:AJ257)))</f>
        <v>0.968127490039841</v>
      </c>
      <c r="BE53" s="0" t="s">
        <v>121</v>
      </c>
      <c r="BF53" s="17" t="n">
        <f aca="false">$F$8</f>
        <v>157.5</v>
      </c>
      <c r="BK53" s="126"/>
      <c r="BL53" s="0"/>
      <c r="BM53" s="0"/>
      <c r="BN53" s="0"/>
      <c r="CG53" s="40" t="n">
        <v>45</v>
      </c>
      <c r="CH53" s="98" t="n">
        <v>117.51333925516</v>
      </c>
      <c r="CL53" s="99" t="n">
        <v>43055</v>
      </c>
      <c r="CM53" s="23" t="n">
        <f aca="false">$BA$68*CL53+$BA$70</f>
        <v>173.059114637426</v>
      </c>
    </row>
    <row r="54" customFormat="false" ht="15" hidden="false" customHeight="true" outlineLevel="0" collapsed="false">
      <c r="A54" s="0"/>
      <c r="B54" s="0"/>
      <c r="C54" s="0"/>
      <c r="D54" s="0"/>
      <c r="E54" s="0"/>
      <c r="AE54" s="90" t="n">
        <f aca="false">Data!A49</f>
        <v>42899</v>
      </c>
      <c r="AF54" s="17" t="n">
        <f aca="false">Data!B49</f>
        <v>147.16</v>
      </c>
      <c r="AG54" s="17" t="n">
        <f aca="false">Data!F49</f>
        <v>34165445</v>
      </c>
      <c r="AH54" s="17" t="n">
        <f aca="false">Data!C49</f>
        <v>147.45</v>
      </c>
      <c r="AI54" s="17" t="n">
        <f aca="false">Data!D49</f>
        <v>145.15</v>
      </c>
      <c r="AJ54" s="17" t="n">
        <f aca="false">Data!E49</f>
        <v>146.59</v>
      </c>
      <c r="AK54" s="17" t="n">
        <f aca="false">Data!F49</f>
        <v>34165445</v>
      </c>
      <c r="AL54" s="17" t="n">
        <f aca="false">AJ54</f>
        <v>146.59</v>
      </c>
      <c r="AM54" s="17" t="n">
        <f aca="false">(AL54-AL53)/AL54*100</f>
        <v>0.975509925642954</v>
      </c>
      <c r="AN54" s="17" t="n">
        <f aca="false">(AK54-AK53)/AK54*100</f>
        <v>7.71016739281458</v>
      </c>
      <c r="AO54" s="17" t="str">
        <f aca="false">IF(AN54&lt;-8,"FITS BITCH",IF(AN54&gt;-8,"no"))</f>
        <v>no</v>
      </c>
      <c r="AP54" s="17" t="str">
        <f aca="false">IF(AH55&lt;AH54,"FITS BITCH",IF(AH55&gt;AH54,"no"))</f>
        <v>FITS BITCH</v>
      </c>
      <c r="AQ54" s="17" t="str">
        <f aca="false">IF(AI55&lt;AI54,"FITS BITCH",IF(AI55&gt;AI54,"no"))</f>
        <v>FITS BITCH</v>
      </c>
      <c r="AR54" s="17" t="str">
        <f aca="false">IF(AJ54&lt;AH55,"FITS BITCH",IF(AJ54&gt;AH55,"no"))</f>
        <v>no</v>
      </c>
      <c r="AS54" s="17" t="str">
        <f aca="false">IF(AJ54&gt;AJ55,"FITS BITCH",IF(AJ54&lt;AJ55,"no"))</f>
        <v>FITS BITCH</v>
      </c>
      <c r="AT54" s="91" t="str">
        <f aca="false">IF(AND($AO54="FITS BITCH",$AP54="FITS BITCH",$AR54="FITS BITCH"),"BULLISH","")</f>
        <v/>
      </c>
      <c r="AU54" s="91" t="str">
        <f aca="false">IF(AND($AO54="FITS BITCH",$AQ54="FITS BITCH",$AS54="FITS BITCH"),"BEARISH","")</f>
        <v/>
      </c>
      <c r="AV54" s="86"/>
      <c r="AW54" s="86"/>
      <c r="AX54" s="86"/>
      <c r="AY54" s="0"/>
      <c r="BK54" s="126"/>
      <c r="BL54" s="0"/>
      <c r="BM54" s="0"/>
      <c r="BN54" s="0"/>
      <c r="CG54" s="40" t="n">
        <v>46</v>
      </c>
      <c r="CH54" s="98" t="n">
        <v>117.51333925516</v>
      </c>
      <c r="CL54" s="99" t="n">
        <v>43054</v>
      </c>
      <c r="CM54" s="23" t="n">
        <f aca="false">$BA$68*CL54+$BA$70</f>
        <v>172.904996407184</v>
      </c>
    </row>
    <row r="55" customFormat="false" ht="15.75" hidden="false" customHeight="false" outlineLevel="0" collapsed="false">
      <c r="A55" s="0"/>
      <c r="B55" s="0"/>
      <c r="C55" s="0"/>
      <c r="D55" s="0"/>
      <c r="E55" s="0"/>
      <c r="AE55" s="90" t="n">
        <f aca="false">Data!A50</f>
        <v>42898</v>
      </c>
      <c r="AF55" s="17" t="n">
        <f aca="false">Data!B50</f>
        <v>145.74</v>
      </c>
      <c r="AG55" s="17" t="n">
        <f aca="false">Data!F50</f>
        <v>72307330</v>
      </c>
      <c r="AH55" s="17" t="n">
        <f aca="false">Data!C50</f>
        <v>146.09</v>
      </c>
      <c r="AI55" s="17" t="n">
        <f aca="false">Data!D50</f>
        <v>142.51</v>
      </c>
      <c r="AJ55" s="17" t="n">
        <f aca="false">Data!E50</f>
        <v>145.42</v>
      </c>
      <c r="AK55" s="17" t="n">
        <f aca="false">Data!F50</f>
        <v>72307330</v>
      </c>
      <c r="AL55" s="17" t="n">
        <f aca="false">AJ55</f>
        <v>145.42</v>
      </c>
      <c r="AM55" s="17" t="n">
        <f aca="false">(AL55-AL54)/AL55*100</f>
        <v>-0.804566084445067</v>
      </c>
      <c r="AN55" s="17" t="n">
        <f aca="false">(AK55-AK54)/AK55*100</f>
        <v>52.7496797350974</v>
      </c>
      <c r="AO55" s="17" t="str">
        <f aca="false">IF(AN55&lt;-8,"FITS BITCH",IF(AN55&gt;-8,"no"))</f>
        <v>no</v>
      </c>
      <c r="AP55" s="17" t="str">
        <f aca="false">IF(AH56&lt;AH55,"FITS BITCH",IF(AH56&gt;AH55,"no"))</f>
        <v>no</v>
      </c>
      <c r="AQ55" s="17" t="str">
        <f aca="false">IF(AI56&lt;AI55,"FITS BITCH",IF(AI56&gt;AI55,"no"))</f>
        <v>no</v>
      </c>
      <c r="AR55" s="17" t="str">
        <f aca="false">IF(AJ55&lt;AH56,"FITS BITCH",IF(AJ55&gt;AH56,"no"))</f>
        <v>FITS BITCH</v>
      </c>
      <c r="AS55" s="17" t="str">
        <f aca="false">IF(AJ55&gt;AJ56,"FITS BITCH",IF(AJ55&lt;AJ56,"no"))</f>
        <v>no</v>
      </c>
      <c r="AT55" s="91" t="str">
        <f aca="false">IF(AND($AO55="FITS BITCH",$AP55="FITS BITCH",$AR55="FITS BITCH"),"BULLISH","")</f>
        <v/>
      </c>
      <c r="AU55" s="91" t="str">
        <f aca="false">IF(AND($AO55="FITS BITCH",$AQ55="FITS BITCH",$AS55="FITS BITCH"),"BEARISH","")</f>
        <v/>
      </c>
      <c r="AV55" s="86"/>
      <c r="AW55" s="86"/>
      <c r="AX55" s="86"/>
      <c r="AY55" s="0"/>
      <c r="BK55" s="127"/>
      <c r="BL55" s="0"/>
      <c r="BM55" s="0"/>
      <c r="BN55" s="0"/>
      <c r="CG55" s="40" t="n">
        <v>47</v>
      </c>
      <c r="CH55" s="98" t="n">
        <v>117.51333925516</v>
      </c>
      <c r="CL55" s="99" t="n">
        <v>43053</v>
      </c>
      <c r="CM55" s="23" t="n">
        <f aca="false">$BA$68*CL55+$BA$70</f>
        <v>172.750878176941</v>
      </c>
    </row>
    <row r="56" customFormat="false" ht="15.75" hidden="false" customHeight="false" outlineLevel="0" collapsed="false">
      <c r="A56" s="0"/>
      <c r="B56" s="0"/>
      <c r="C56" s="0"/>
      <c r="D56" s="0"/>
      <c r="E56" s="0"/>
      <c r="AE56" s="90" t="n">
        <f aca="false">Data!A51</f>
        <v>42895</v>
      </c>
      <c r="AF56" s="17" t="n">
        <f aca="false">Data!B51</f>
        <v>155.19</v>
      </c>
      <c r="AG56" s="17" t="n">
        <f aca="false">Data!F51</f>
        <v>64882657</v>
      </c>
      <c r="AH56" s="17" t="n">
        <f aca="false">Data!C51</f>
        <v>155.19</v>
      </c>
      <c r="AI56" s="17" t="n">
        <f aca="false">Data!D51</f>
        <v>146.02</v>
      </c>
      <c r="AJ56" s="17" t="n">
        <f aca="false">Data!E51</f>
        <v>148.98</v>
      </c>
      <c r="AK56" s="17" t="n">
        <f aca="false">Data!F51</f>
        <v>64882657</v>
      </c>
      <c r="AL56" s="17" t="n">
        <f aca="false">AJ56</f>
        <v>148.98</v>
      </c>
      <c r="AM56" s="17" t="n">
        <f aca="false">(AL56-AL55)/AL56*100</f>
        <v>2.38958249429454</v>
      </c>
      <c r="AN56" s="17" t="n">
        <f aca="false">(AK56-AK55)/AK56*100</f>
        <v>-11.4432320488971</v>
      </c>
      <c r="AO56" s="17" t="str">
        <f aca="false">IF(AN56&lt;-8,"FITS BITCH",IF(AN56&gt;-8,"no"))</f>
        <v>FITS BITCH</v>
      </c>
      <c r="AP56" s="17" t="str">
        <f aca="false">IF(AH57&lt;AH56,"FITS BITCH",IF(AH57&gt;AH56,"no"))</f>
        <v>no</v>
      </c>
      <c r="AQ56" s="17" t="str">
        <f aca="false">IF(AI57&lt;AI56,"FITS BITCH",IF(AI57&gt;AI56,"no"))</f>
        <v>no</v>
      </c>
      <c r="AR56" s="17" t="str">
        <f aca="false">IF(AJ56&lt;AH57,"FITS BITCH",IF(AJ56&gt;AH57,"no"))</f>
        <v>FITS BITCH</v>
      </c>
      <c r="AS56" s="17" t="str">
        <f aca="false">IF(AJ56&gt;AJ57,"FITS BITCH",IF(AJ56&lt;AJ57,"no"))</f>
        <v>no</v>
      </c>
      <c r="AT56" s="91" t="str">
        <f aca="false">IF(AND($AO56="FITS BITCH",$AP56="FITS BITCH",$AR56="FITS BITCH"),"BULLISH","")</f>
        <v/>
      </c>
      <c r="AU56" s="91" t="str">
        <f aca="false">IF(AND($AO56="FITS BITCH",$AQ56="FITS BITCH",$AS56="FITS BITCH"),"BEARISH","")</f>
        <v/>
      </c>
      <c r="AV56" s="86"/>
      <c r="AW56" s="86"/>
      <c r="AX56" s="86"/>
      <c r="AY56" s="0"/>
      <c r="BK56" s="127"/>
      <c r="BL56" s="0"/>
      <c r="BM56" s="0"/>
      <c r="CG56" s="40" t="n">
        <v>48</v>
      </c>
      <c r="CH56" s="98" t="n">
        <v>117.51333925516</v>
      </c>
      <c r="CL56" s="99" t="n">
        <v>43052</v>
      </c>
      <c r="CM56" s="23" t="n">
        <f aca="false">$BA$68*CL56+$BA$70</f>
        <v>172.596759946698</v>
      </c>
    </row>
    <row r="57" customFormat="false" ht="15.75" hidden="false" customHeight="false" outlineLevel="0" collapsed="false">
      <c r="A57" s="0"/>
      <c r="B57" s="0"/>
      <c r="C57" s="0"/>
      <c r="D57" s="0"/>
      <c r="E57" s="0"/>
      <c r="AE57" s="90" t="n">
        <f aca="false">Data!A52</f>
        <v>42894</v>
      </c>
      <c r="AF57" s="17" t="n">
        <f aca="false">Data!B52</f>
        <v>155.25</v>
      </c>
      <c r="AG57" s="17" t="n">
        <f aca="false">Data!F52</f>
        <v>21250798</v>
      </c>
      <c r="AH57" s="17" t="n">
        <f aca="false">Data!C52</f>
        <v>155.54</v>
      </c>
      <c r="AI57" s="17" t="n">
        <f aca="false">Data!D52</f>
        <v>154.4</v>
      </c>
      <c r="AJ57" s="17" t="n">
        <f aca="false">Data!E52</f>
        <v>154.99</v>
      </c>
      <c r="AK57" s="17" t="n">
        <f aca="false">Data!F52</f>
        <v>21250798</v>
      </c>
      <c r="AL57" s="17" t="n">
        <f aca="false">AJ57</f>
        <v>154.99</v>
      </c>
      <c r="AM57" s="17" t="n">
        <f aca="false">(AL57-AL56)/AL57*100</f>
        <v>3.87766952706627</v>
      </c>
      <c r="AN57" s="17" t="n">
        <f aca="false">(AK57-AK56)/AK57*100</f>
        <v>-205.318684973618</v>
      </c>
      <c r="AO57" s="17" t="str">
        <f aca="false">IF(AN57&lt;-8,"FITS BITCH",IF(AN57&gt;-8,"no"))</f>
        <v>FITS BITCH</v>
      </c>
      <c r="AP57" s="17" t="str">
        <f aca="false">IF(AH58&lt;AH57,"FITS BITCH",IF(AH58&gt;AH57,"no"))</f>
        <v>no</v>
      </c>
      <c r="AQ57" s="17" t="str">
        <f aca="false">IF(AI58&lt;AI57,"FITS BITCH",IF(AI58&gt;AI57,"no"))</f>
        <v>no</v>
      </c>
      <c r="AR57" s="17" t="str">
        <f aca="false">IF(AJ57&lt;AH58,"FITS BITCH",IF(AJ57&gt;AH58,"no"))</f>
        <v>FITS BITCH</v>
      </c>
      <c r="AS57" s="17" t="str">
        <f aca="false">IF(AJ57&gt;AJ58,"FITS BITCH",IF(AJ57&lt;AJ58,"no"))</f>
        <v>no</v>
      </c>
      <c r="AT57" s="91" t="str">
        <f aca="false">IF(AND($AO57="FITS BITCH",$AP57="FITS BITCH",$AR57="FITS BITCH"),"BULLISH","")</f>
        <v/>
      </c>
      <c r="AU57" s="91" t="str">
        <f aca="false">IF(AND($AO57="FITS BITCH",$AQ57="FITS BITCH",$AS57="FITS BITCH"),"BEARISH","")</f>
        <v/>
      </c>
      <c r="AV57" s="86"/>
      <c r="AW57" s="86"/>
      <c r="AX57" s="86"/>
      <c r="AY57" s="0"/>
      <c r="BK57" s="127"/>
      <c r="BL57" s="0"/>
      <c r="BM57" s="0"/>
      <c r="CG57" s="40" t="n">
        <v>49</v>
      </c>
      <c r="CH57" s="98" t="n">
        <v>117.51333925516</v>
      </c>
      <c r="CL57" s="99" t="n">
        <v>43049</v>
      </c>
      <c r="CM57" s="23" t="n">
        <f aca="false">$BA$68*CL57+$BA$70</f>
        <v>172.13440525597</v>
      </c>
    </row>
    <row r="58" customFormat="false" ht="15.75" hidden="false" customHeight="false" outlineLevel="0" collapsed="false">
      <c r="A58" s="0"/>
      <c r="B58" s="0"/>
      <c r="C58" s="0"/>
      <c r="D58" s="0"/>
      <c r="E58" s="0"/>
      <c r="AE58" s="90" t="n">
        <f aca="false">Data!A53</f>
        <v>42893</v>
      </c>
      <c r="AF58" s="17" t="n">
        <f aca="false">Data!B53</f>
        <v>155.02</v>
      </c>
      <c r="AG58" s="17" t="n">
        <f aca="false">Data!F53</f>
        <v>21069647</v>
      </c>
      <c r="AH58" s="17" t="n">
        <f aca="false">Data!C53</f>
        <v>155.98</v>
      </c>
      <c r="AI58" s="17" t="n">
        <f aca="false">Data!D53</f>
        <v>154.48</v>
      </c>
      <c r="AJ58" s="17" t="n">
        <f aca="false">Data!E53</f>
        <v>155.37</v>
      </c>
      <c r="AK58" s="17" t="n">
        <f aca="false">Data!F53</f>
        <v>21069647</v>
      </c>
      <c r="AL58" s="17" t="n">
        <f aca="false">AJ58</f>
        <v>155.37</v>
      </c>
      <c r="AM58" s="17" t="n">
        <f aca="false">(AL58-AL57)/AL58*100</f>
        <v>0.24457746025616</v>
      </c>
      <c r="AN58" s="17" t="n">
        <f aca="false">(AK58-AK57)/AK58*100</f>
        <v>-0.859772354040863</v>
      </c>
      <c r="AO58" s="17" t="str">
        <f aca="false">IF(AN58&lt;-8,"FITS BITCH",IF(AN58&gt;-8,"no"))</f>
        <v>no</v>
      </c>
      <c r="AP58" s="17" t="str">
        <f aca="false">IF(AH59&lt;AH58,"FITS BITCH",IF(AH59&gt;AH58,"no"))</f>
        <v>FITS BITCH</v>
      </c>
      <c r="AQ58" s="17" t="str">
        <f aca="false">IF(AI59&lt;AI58,"FITS BITCH",IF(AI59&gt;AI58,"no"))</f>
        <v>FITS BITCH</v>
      </c>
      <c r="AR58" s="17" t="str">
        <f aca="false">IF(AJ58&lt;AH59,"FITS BITCH",IF(AJ58&gt;AH59,"no"))</f>
        <v>FITS BITCH</v>
      </c>
      <c r="AS58" s="17" t="str">
        <f aca="false">IF(AJ58&gt;AJ59,"FITS BITCH",IF(AJ58&lt;AJ59,"no"))</f>
        <v>FITS BITCH</v>
      </c>
      <c r="AT58" s="91" t="str">
        <f aca="false">IF(AND($AO58="FITS BITCH",$AP58="FITS BITCH",$AR58="FITS BITCH"),"BULLISH","")</f>
        <v/>
      </c>
      <c r="AU58" s="91" t="str">
        <f aca="false">IF(AND($AO58="FITS BITCH",$AQ58="FITS BITCH",$AS58="FITS BITCH"),"BEARISH","")</f>
        <v/>
      </c>
      <c r="AV58" s="86"/>
      <c r="AW58" s="86"/>
      <c r="AX58" s="86"/>
      <c r="AY58" s="0"/>
      <c r="AZ58" s="0"/>
      <c r="BA58" s="0"/>
      <c r="BB58" s="0"/>
      <c r="BC58" s="0"/>
      <c r="BD58" s="0"/>
      <c r="BE58" s="0"/>
      <c r="BF58" s="0"/>
      <c r="BG58" s="0"/>
      <c r="BH58" s="0"/>
      <c r="BI58" s="0"/>
      <c r="BJ58" s="0"/>
      <c r="BK58" s="128"/>
      <c r="BL58" s="0"/>
      <c r="BM58" s="0"/>
      <c r="CG58" s="40" t="n">
        <v>50</v>
      </c>
      <c r="CH58" s="98" t="n">
        <v>117.51333925516</v>
      </c>
      <c r="CL58" s="99" t="n">
        <v>43048</v>
      </c>
      <c r="CM58" s="23" t="n">
        <f aca="false">$BA$68*CL58+$BA$70</f>
        <v>171.980287025727</v>
      </c>
    </row>
    <row r="59" customFormat="false" ht="15.75" hidden="false" customHeight="false" outlineLevel="0" collapsed="false">
      <c r="A59" s="0"/>
      <c r="B59" s="0"/>
      <c r="C59" s="0"/>
      <c r="D59" s="0"/>
      <c r="E59" s="0"/>
      <c r="AE59" s="90" t="n">
        <f aca="false">Data!A54</f>
        <v>42892</v>
      </c>
      <c r="AF59" s="17" t="n">
        <f aca="false">Data!B54</f>
        <v>153.9</v>
      </c>
      <c r="AG59" s="17" t="n">
        <f aca="false">Data!F54</f>
        <v>26624926</v>
      </c>
      <c r="AH59" s="17" t="n">
        <f aca="false">Data!C54</f>
        <v>155.81</v>
      </c>
      <c r="AI59" s="17" t="n">
        <f aca="false">Data!D54</f>
        <v>153.78</v>
      </c>
      <c r="AJ59" s="17" t="n">
        <f aca="false">Data!E54</f>
        <v>154.45</v>
      </c>
      <c r="AK59" s="17" t="n">
        <f aca="false">Data!F54</f>
        <v>26624926</v>
      </c>
      <c r="AL59" s="17" t="n">
        <f aca="false">AJ59</f>
        <v>154.45</v>
      </c>
      <c r="AM59" s="17" t="n">
        <f aca="false">(AL59-AL58)/AL59*100</f>
        <v>-0.595662026545818</v>
      </c>
      <c r="AN59" s="17" t="n">
        <f aca="false">(AK59-AK58)/AK59*100</f>
        <v>20.8649556434448</v>
      </c>
      <c r="AO59" s="17" t="str">
        <f aca="false">IF(AN59&lt;-8,"FITS BITCH",IF(AN59&gt;-8,"no"))</f>
        <v>no</v>
      </c>
      <c r="AP59" s="17" t="str">
        <f aca="false">IF(AH60&lt;AH59,"FITS BITCH",IF(AH60&gt;AH59,"no"))</f>
        <v>FITS BITCH</v>
      </c>
      <c r="AQ59" s="17" t="str">
        <f aca="false">IF(AI60&lt;AI59,"FITS BITCH",IF(AI60&gt;AI59,"no"))</f>
        <v>FITS BITCH</v>
      </c>
      <c r="AR59" s="17" t="n">
        <f aca="false">IF(AJ59&lt;AH60,"FITS BITCH",IF(AJ59&gt;AH60,"no"))</f>
        <v>0</v>
      </c>
      <c r="AS59" s="17" t="str">
        <f aca="false">IF(AJ59&gt;AJ60,"FITS BITCH",IF(AJ59&lt;AJ60,"no"))</f>
        <v>FITS BITCH</v>
      </c>
      <c r="AT59" s="91" t="str">
        <f aca="false">IF(AND($AO59="FITS BITCH",$AP59="FITS BITCH",$AR59="FITS BITCH"),"BULLISH","")</f>
        <v/>
      </c>
      <c r="AU59" s="91" t="str">
        <f aca="false">IF(AND($AO59="FITS BITCH",$AQ59="FITS BITCH",$AS59="FITS BITCH"),"BEARISH","")</f>
        <v/>
      </c>
      <c r="AV59" s="86"/>
      <c r="AW59" s="86"/>
      <c r="AX59" s="86"/>
      <c r="AY59" s="0"/>
      <c r="AZ59" s="0"/>
      <c r="BA59" s="0"/>
      <c r="BB59" s="0"/>
      <c r="BC59" s="0"/>
      <c r="BD59" s="0"/>
      <c r="BE59" s="0"/>
      <c r="BF59" s="0"/>
      <c r="BG59" s="0"/>
      <c r="BH59" s="0"/>
      <c r="BI59" s="0"/>
      <c r="BJ59" s="0"/>
      <c r="BK59" s="128"/>
      <c r="BL59" s="0"/>
      <c r="BM59" s="0"/>
      <c r="CG59" s="40" t="n">
        <v>51</v>
      </c>
      <c r="CH59" s="98" t="n">
        <v>117.51333925516</v>
      </c>
      <c r="CL59" s="99" t="n">
        <v>43047</v>
      </c>
      <c r="CM59" s="23" t="n">
        <f aca="false">$BA$68*CL59+$BA$70</f>
        <v>171.826168795485</v>
      </c>
    </row>
    <row r="60" customFormat="false" ht="15.75" hidden="false" customHeight="false" outlineLevel="0" collapsed="false">
      <c r="A60" s="0"/>
      <c r="B60" s="0"/>
      <c r="C60" s="0"/>
      <c r="D60" s="0"/>
      <c r="E60" s="0"/>
      <c r="AE60" s="90" t="n">
        <f aca="false">Data!A55</f>
        <v>42891</v>
      </c>
      <c r="AF60" s="17" t="n">
        <f aca="false">Data!B55</f>
        <v>154.34</v>
      </c>
      <c r="AG60" s="17" t="n">
        <f aca="false">Data!F55</f>
        <v>25331662</v>
      </c>
      <c r="AH60" s="17" t="n">
        <f aca="false">Data!C55</f>
        <v>154.45</v>
      </c>
      <c r="AI60" s="17" t="n">
        <f aca="false">Data!D55</f>
        <v>153.46</v>
      </c>
      <c r="AJ60" s="17" t="n">
        <f aca="false">Data!E55</f>
        <v>153.93</v>
      </c>
      <c r="AK60" s="17" t="n">
        <f aca="false">Data!F55</f>
        <v>25331662</v>
      </c>
      <c r="AL60" s="17" t="n">
        <f aca="false">AJ60</f>
        <v>153.93</v>
      </c>
      <c r="AM60" s="17" t="n">
        <f aca="false">(AL60-AL59)/AL60*100</f>
        <v>-0.337815890339753</v>
      </c>
      <c r="AN60" s="17" t="n">
        <f aca="false">(AK60-AK59)/AK60*100</f>
        <v>-5.10532629086872</v>
      </c>
      <c r="AO60" s="17" t="str">
        <f aca="false">IF(AN60&lt;-8,"FITS BITCH",IF(AN60&gt;-8,"no"))</f>
        <v>no</v>
      </c>
      <c r="AP60" s="17" t="str">
        <f aca="false">IF(AH61&lt;AH60,"FITS BITCH",IF(AH61&gt;AH60,"no"))</f>
        <v>no</v>
      </c>
      <c r="AQ60" s="17" t="str">
        <f aca="false">IF(AI61&lt;AI60,"FITS BITCH",IF(AI61&gt;AI60,"no"))</f>
        <v>FITS BITCH</v>
      </c>
      <c r="AR60" s="17" t="str">
        <f aca="false">IF(AJ60&lt;AH61,"FITS BITCH",IF(AJ60&gt;AH61,"no"))</f>
        <v>FITS BITCH</v>
      </c>
      <c r="AS60" s="17" t="str">
        <f aca="false">IF(AJ60&gt;AJ61,"FITS BITCH",IF(AJ60&lt;AJ61,"no"))</f>
        <v>no</v>
      </c>
      <c r="AT60" s="91" t="str">
        <f aca="false">IF(AND($AO60="FITS BITCH",$AP60="FITS BITCH",$AR60="FITS BITCH"),"BULLISH","")</f>
        <v/>
      </c>
      <c r="AU60" s="91" t="str">
        <f aca="false">IF(AND($AO60="FITS BITCH",$AQ60="FITS BITCH",$AS60="FITS BITCH"),"BEARISH","")</f>
        <v/>
      </c>
      <c r="AV60" s="86"/>
      <c r="AW60" s="86"/>
      <c r="AX60" s="86"/>
      <c r="AY60" s="0"/>
      <c r="AZ60" s="0"/>
      <c r="BA60" s="0"/>
      <c r="BB60" s="0"/>
      <c r="BC60" s="0"/>
      <c r="BD60" s="0"/>
      <c r="BE60" s="0"/>
      <c r="BF60" s="0"/>
      <c r="BG60" s="0"/>
      <c r="BH60" s="0"/>
      <c r="BI60" s="0"/>
      <c r="BJ60" s="0"/>
      <c r="BK60" s="128"/>
      <c r="BL60" s="0"/>
      <c r="BM60" s="0"/>
      <c r="CG60" s="40" t="n">
        <v>52</v>
      </c>
      <c r="CH60" s="98" t="n">
        <v>117.51333925516</v>
      </c>
      <c r="CL60" s="99" t="n">
        <v>43046</v>
      </c>
      <c r="CM60" s="23" t="n">
        <f aca="false">$BA$68*CL60+$BA$70</f>
        <v>171.672050565242</v>
      </c>
    </row>
    <row r="61" customFormat="false" ht="15.75" hidden="false" customHeight="false" outlineLevel="0" collapsed="false">
      <c r="A61" s="0"/>
      <c r="B61" s="0"/>
      <c r="C61" s="0"/>
      <c r="D61" s="0"/>
      <c r="E61" s="0"/>
      <c r="AE61" s="90" t="n">
        <f aca="false">Data!A56</f>
        <v>42888</v>
      </c>
      <c r="AF61" s="17" t="n">
        <f aca="false">Data!B56</f>
        <v>153.58</v>
      </c>
      <c r="AG61" s="17" t="n">
        <f aca="false">Data!F56</f>
        <v>27770715</v>
      </c>
      <c r="AH61" s="17" t="n">
        <f aca="false">Data!C56</f>
        <v>155.45</v>
      </c>
      <c r="AI61" s="17" t="n">
        <f aca="false">Data!D56</f>
        <v>152.89</v>
      </c>
      <c r="AJ61" s="17" t="n">
        <f aca="false">Data!E56</f>
        <v>155.45</v>
      </c>
      <c r="AK61" s="17" t="n">
        <f aca="false">Data!F56</f>
        <v>27770715</v>
      </c>
      <c r="AL61" s="17" t="n">
        <f aca="false">AJ61</f>
        <v>155.45</v>
      </c>
      <c r="AM61" s="17" t="n">
        <f aca="false">(AL61-AL60)/AL61*100</f>
        <v>0.977806368607258</v>
      </c>
      <c r="AN61" s="17" t="n">
        <f aca="false">(AK61-AK60)/AK61*100</f>
        <v>8.78282392081011</v>
      </c>
      <c r="AO61" s="17" t="str">
        <f aca="false">IF(AN61&lt;-8,"FITS BITCH",IF(AN61&gt;-8,"no"))</f>
        <v>no</v>
      </c>
      <c r="AP61" s="17" t="str">
        <f aca="false">IF(AH62&lt;AH61,"FITS BITCH",IF(AH62&gt;AH61,"no"))</f>
        <v>FITS BITCH</v>
      </c>
      <c r="AQ61" s="17" t="str">
        <f aca="false">IF(AI62&lt;AI61,"FITS BITCH",IF(AI62&gt;AI61,"no"))</f>
        <v>FITS BITCH</v>
      </c>
      <c r="AR61" s="17" t="str">
        <f aca="false">IF(AJ61&lt;AH62,"FITS BITCH",IF(AJ61&gt;AH62,"no"))</f>
        <v>no</v>
      </c>
      <c r="AS61" s="17" t="str">
        <f aca="false">IF(AJ61&gt;AJ62,"FITS BITCH",IF(AJ61&lt;AJ62,"no"))</f>
        <v>FITS BITCH</v>
      </c>
      <c r="AT61" s="91" t="str">
        <f aca="false">IF(AND($AO61="FITS BITCH",$AP61="FITS BITCH",$AR61="FITS BITCH"),"BULLISH","")</f>
        <v/>
      </c>
      <c r="AU61" s="91" t="str">
        <f aca="false">IF(AND($AO61="FITS BITCH",$AQ61="FITS BITCH",$AS61="FITS BITCH"),"BEARISH","")</f>
        <v/>
      </c>
      <c r="AV61" s="86"/>
      <c r="AW61" s="86"/>
      <c r="AX61" s="86"/>
      <c r="AY61" s="0"/>
      <c r="AZ61" s="0"/>
      <c r="BA61" s="0"/>
      <c r="BB61" s="0"/>
      <c r="BC61" s="0"/>
      <c r="BD61" s="0"/>
      <c r="BE61" s="0"/>
      <c r="BF61" s="0"/>
      <c r="BG61" s="0"/>
      <c r="BH61" s="0"/>
      <c r="BI61" s="0"/>
      <c r="BJ61" s="0"/>
      <c r="BK61" s="128"/>
      <c r="BL61" s="0"/>
      <c r="BM61" s="0"/>
      <c r="CG61" s="40" t="n">
        <v>53</v>
      </c>
      <c r="CH61" s="98" t="n">
        <v>117.51333925516</v>
      </c>
      <c r="CL61" s="99" t="n">
        <v>43045</v>
      </c>
      <c r="CM61" s="23" t="n">
        <f aca="false">$BA$68*CL61+$BA$70</f>
        <v>171.517932334999</v>
      </c>
    </row>
    <row r="62" customFormat="false" ht="15.75" hidden="false" customHeight="false" outlineLevel="0" collapsed="false">
      <c r="A62" s="0"/>
      <c r="B62" s="0"/>
      <c r="C62" s="0"/>
      <c r="D62" s="0"/>
      <c r="E62" s="0"/>
      <c r="AE62" s="90" t="n">
        <f aca="false">Data!A57</f>
        <v>42887</v>
      </c>
      <c r="AF62" s="17" t="n">
        <f aca="false">Data!B57</f>
        <v>153.17</v>
      </c>
      <c r="AG62" s="17" t="n">
        <f aca="false">Data!F57</f>
        <v>16404088</v>
      </c>
      <c r="AH62" s="17" t="n">
        <f aca="false">Data!C57</f>
        <v>153.33</v>
      </c>
      <c r="AI62" s="17" t="n">
        <f aca="false">Data!D57</f>
        <v>152.22</v>
      </c>
      <c r="AJ62" s="17" t="n">
        <f aca="false">Data!E57</f>
        <v>153.18</v>
      </c>
      <c r="AK62" s="17" t="n">
        <f aca="false">Data!F57</f>
        <v>16404088</v>
      </c>
      <c r="AL62" s="17" t="n">
        <f aca="false">AJ62</f>
        <v>153.18</v>
      </c>
      <c r="AM62" s="17" t="n">
        <f aca="false">(AL62-AL61)/AL62*100</f>
        <v>-1.48191669930799</v>
      </c>
      <c r="AN62" s="17" t="n">
        <f aca="false">(AK62-AK61)/AK62*100</f>
        <v>-69.291429063292</v>
      </c>
      <c r="AO62" s="17" t="str">
        <f aca="false">IF(AN62&lt;-8,"FITS BITCH",IF(AN62&gt;-8,"no"))</f>
        <v>FITS BITCH</v>
      </c>
      <c r="AP62" s="17" t="str">
        <f aca="false">IF(AH63&lt;AH62,"FITS BITCH",IF(AH63&gt;AH62,"no"))</f>
        <v>no</v>
      </c>
      <c r="AQ62" s="17" t="str">
        <f aca="false">IF(AI63&lt;AI62,"FITS BITCH",IF(AI63&gt;AI62,"no"))</f>
        <v>no</v>
      </c>
      <c r="AR62" s="17" t="str">
        <f aca="false">IF(AJ62&lt;AH63,"FITS BITCH",IF(AJ62&gt;AH63,"no"))</f>
        <v>FITS BITCH</v>
      </c>
      <c r="AS62" s="17" t="str">
        <f aca="false">IF(AJ62&gt;AJ63,"FITS BITCH",IF(AJ62&lt;AJ63,"no"))</f>
        <v>FITS BITCH</v>
      </c>
      <c r="AT62" s="91" t="str">
        <f aca="false">IF(AND($AO62="FITS BITCH",$AP62="FITS BITCH",$AR62="FITS BITCH"),"BULLISH","")</f>
        <v/>
      </c>
      <c r="AU62" s="91" t="str">
        <f aca="false">IF(AND($AO62="FITS BITCH",$AQ62="FITS BITCH",$AS62="FITS BITCH"),"BEARISH","")</f>
        <v/>
      </c>
      <c r="AV62" s="86"/>
      <c r="AW62" s="86"/>
      <c r="AX62" s="86"/>
      <c r="AY62" s="0"/>
      <c r="AZ62" s="0"/>
      <c r="BA62" s="0"/>
      <c r="BB62" s="0"/>
      <c r="BC62" s="0"/>
      <c r="BD62" s="0"/>
      <c r="BE62" s="0"/>
      <c r="BF62" s="0"/>
      <c r="BG62" s="0"/>
      <c r="BH62" s="0"/>
      <c r="BI62" s="0"/>
      <c r="BJ62" s="0"/>
      <c r="BK62" s="128"/>
      <c r="BL62" s="0"/>
      <c r="BM62" s="0"/>
      <c r="CG62" s="40" t="n">
        <v>54</v>
      </c>
      <c r="CH62" s="98" t="n">
        <v>117.51333925516</v>
      </c>
      <c r="CL62" s="99" t="n">
        <v>43042</v>
      </c>
      <c r="CM62" s="23" t="n">
        <f aca="false">$BA$68*CL62+$BA$70</f>
        <v>171.055577644272</v>
      </c>
    </row>
    <row r="63" customFormat="false" ht="15.75" hidden="false" customHeight="false" outlineLevel="0" collapsed="false">
      <c r="A63" s="0"/>
      <c r="B63" s="0"/>
      <c r="C63" s="0"/>
      <c r="D63" s="0"/>
      <c r="E63" s="0"/>
      <c r="AE63" s="90" t="n">
        <f aca="false">Data!A58</f>
        <v>42886</v>
      </c>
      <c r="AF63" s="17" t="n">
        <f aca="false">Data!B58</f>
        <v>153.97</v>
      </c>
      <c r="AG63" s="17" t="n">
        <f aca="false">Data!F58</f>
        <v>24451164</v>
      </c>
      <c r="AH63" s="17" t="n">
        <f aca="false">Data!C58</f>
        <v>154.17</v>
      </c>
      <c r="AI63" s="17" t="n">
        <f aca="false">Data!D58</f>
        <v>152.38</v>
      </c>
      <c r="AJ63" s="17" t="n">
        <f aca="false">Data!E58</f>
        <v>152.76</v>
      </c>
      <c r="AK63" s="17" t="n">
        <f aca="false">Data!F58</f>
        <v>24451164</v>
      </c>
      <c r="AL63" s="17" t="n">
        <f aca="false">AJ63</f>
        <v>152.76</v>
      </c>
      <c r="AM63" s="17" t="n">
        <f aca="false">(AL63-AL62)/AL63*100</f>
        <v>-0.274941084053428</v>
      </c>
      <c r="AN63" s="17" t="n">
        <f aca="false">(AK63-AK62)/AK63*100</f>
        <v>32.9108094812991</v>
      </c>
      <c r="AO63" s="17" t="str">
        <f aca="false">IF(AN63&lt;-8,"FITS BITCH",IF(AN63&gt;-8,"no"))</f>
        <v>no</v>
      </c>
      <c r="AP63" s="17" t="str">
        <f aca="false">IF(AH64&lt;AH63,"FITS BITCH",IF(AH64&gt;AH63,"no"))</f>
        <v>no</v>
      </c>
      <c r="AQ63" s="17" t="str">
        <f aca="false">IF(AI64&lt;AI63,"FITS BITCH",IF(AI64&gt;AI63,"no"))</f>
        <v>no</v>
      </c>
      <c r="AR63" s="17" t="str">
        <f aca="false">IF(AJ63&lt;AH64,"FITS BITCH",IF(AJ63&gt;AH64,"no"))</f>
        <v>FITS BITCH</v>
      </c>
      <c r="AS63" s="17" t="str">
        <f aca="false">IF(AJ63&gt;AJ64,"FITS BITCH",IF(AJ63&lt;AJ64,"no"))</f>
        <v>no</v>
      </c>
      <c r="AT63" s="91" t="str">
        <f aca="false">IF(AND($AO63="FITS BITCH",$AP63="FITS BITCH",$AR63="FITS BITCH"),"BULLISH","")</f>
        <v/>
      </c>
      <c r="AU63" s="91" t="str">
        <f aca="false">IF(AND($AO63="FITS BITCH",$AQ63="FITS BITCH",$AS63="FITS BITCH"),"BEARISH","")</f>
        <v/>
      </c>
      <c r="AV63" s="86"/>
      <c r="AW63" s="86"/>
      <c r="AX63" s="86"/>
      <c r="AY63" s="0"/>
      <c r="AZ63" s="0"/>
      <c r="BA63" s="0"/>
      <c r="BB63" s="0"/>
      <c r="BC63" s="0"/>
      <c r="BD63" s="0"/>
      <c r="BE63" s="0"/>
      <c r="BF63" s="0"/>
      <c r="BG63" s="0"/>
      <c r="BH63" s="0"/>
      <c r="BI63" s="0"/>
      <c r="BJ63" s="0"/>
      <c r="BK63" s="128"/>
      <c r="BL63" s="0"/>
      <c r="BM63" s="0"/>
      <c r="CG63" s="40" t="n">
        <v>55</v>
      </c>
      <c r="CH63" s="98" t="n">
        <v>117.51333925516</v>
      </c>
      <c r="CL63" s="99" t="n">
        <v>43041</v>
      </c>
      <c r="CM63" s="23" t="n">
        <f aca="false">$BA$68*CL63+$BA$70</f>
        <v>170.901459414028</v>
      </c>
    </row>
    <row r="64" customFormat="false" ht="15.75" hidden="false" customHeight="false" outlineLevel="0" collapsed="false">
      <c r="A64" s="0"/>
      <c r="B64" s="0"/>
      <c r="C64" s="0"/>
      <c r="D64" s="0"/>
      <c r="E64" s="0"/>
      <c r="AE64" s="90" t="n">
        <f aca="false">Data!A59</f>
        <v>42885</v>
      </c>
      <c r="AF64" s="17" t="n">
        <f aca="false">Data!B59</f>
        <v>153.42</v>
      </c>
      <c r="AG64" s="17" t="n">
        <f aca="false">Data!F59</f>
        <v>20126851</v>
      </c>
      <c r="AH64" s="17" t="n">
        <f aca="false">Data!C59</f>
        <v>154.43</v>
      </c>
      <c r="AI64" s="17" t="n">
        <f aca="false">Data!D59</f>
        <v>153.33</v>
      </c>
      <c r="AJ64" s="17" t="n">
        <f aca="false">Data!E59</f>
        <v>153.67</v>
      </c>
      <c r="AK64" s="17" t="n">
        <f aca="false">Data!F59</f>
        <v>20126851</v>
      </c>
      <c r="AL64" s="17" t="n">
        <f aca="false">AJ64</f>
        <v>153.67</v>
      </c>
      <c r="AM64" s="17" t="n">
        <f aca="false">(AL64-AL63)/AL64*100</f>
        <v>0.592178043860218</v>
      </c>
      <c r="AN64" s="17" t="n">
        <f aca="false">(AK64-AK63)/AK64*100</f>
        <v>-21.4852934520159</v>
      </c>
      <c r="AO64" s="17" t="str">
        <f aca="false">IF(AN64&lt;-8,"FITS BITCH",IF(AN64&gt;-8,"no"))</f>
        <v>FITS BITCH</v>
      </c>
      <c r="AP64" s="17" t="str">
        <f aca="false">IF(AH65&lt;AH64,"FITS BITCH",IF(AH65&gt;AH64,"no"))</f>
        <v>FITS BITCH</v>
      </c>
      <c r="AQ64" s="17" t="str">
        <f aca="false">IF(AI65&lt;AI64,"FITS BITCH",IF(AI65&gt;AI64,"no"))</f>
        <v>FITS BITCH</v>
      </c>
      <c r="AR64" s="17" t="str">
        <f aca="false">IF(AJ64&lt;AH65,"FITS BITCH",IF(AJ64&gt;AH65,"no"))</f>
        <v>FITS BITCH</v>
      </c>
      <c r="AS64" s="17" t="str">
        <f aca="false">IF(AJ64&gt;AJ65,"FITS BITCH",IF(AJ64&lt;AJ65,"no"))</f>
        <v>FITS BITCH</v>
      </c>
      <c r="AT64" s="91" t="str">
        <f aca="false">IF(AND($AO64="FITS BITCH",$AP64="FITS BITCH",$AR64="FITS BITCH"),"BULLISH","")</f>
        <v>BULLISH</v>
      </c>
      <c r="AU64" s="91" t="str">
        <f aca="false">IF(AND($AO64="FITS BITCH",$AQ64="FITS BITCH",$AS64="FITS BITCH"),"BEARISH","")</f>
        <v>BEARISH</v>
      </c>
      <c r="AV64" s="86"/>
      <c r="AW64" s="86"/>
      <c r="AX64" s="86"/>
      <c r="AY64" s="0"/>
      <c r="AZ64" s="0"/>
      <c r="BA64" s="0"/>
      <c r="BB64" s="0"/>
      <c r="BC64" s="0"/>
      <c r="BD64" s="0"/>
      <c r="BE64" s="0"/>
      <c r="BF64" s="0"/>
      <c r="BG64" s="0"/>
      <c r="BH64" s="0"/>
      <c r="BI64" s="0"/>
      <c r="BJ64" s="0"/>
      <c r="BK64" s="128"/>
      <c r="BL64" s="0"/>
      <c r="BM64" s="0"/>
      <c r="CG64" s="40" t="n">
        <v>56</v>
      </c>
      <c r="CH64" s="98" t="n">
        <v>117.51333925516</v>
      </c>
      <c r="CL64" s="99" t="n">
        <v>43040</v>
      </c>
      <c r="CM64" s="23" t="n">
        <f aca="false">$BA$68*CL64+$BA$70</f>
        <v>170.747341183785</v>
      </c>
    </row>
    <row r="65" customFormat="false" ht="16.5" hidden="false" customHeight="false" outlineLevel="0" collapsed="false">
      <c r="A65" s="0"/>
      <c r="B65" s="0"/>
      <c r="C65" s="0"/>
      <c r="D65" s="0"/>
      <c r="E65" s="0"/>
      <c r="AE65" s="90" t="n">
        <f aca="false">Data!A60</f>
        <v>42881</v>
      </c>
      <c r="AF65" s="17" t="n">
        <f aca="false">Data!B60</f>
        <v>154</v>
      </c>
      <c r="AG65" s="17" t="n">
        <f aca="false">Data!F60</f>
        <v>21927637</v>
      </c>
      <c r="AH65" s="17" t="n">
        <f aca="false">Data!C60</f>
        <v>154.24</v>
      </c>
      <c r="AI65" s="17" t="n">
        <f aca="false">Data!D60</f>
        <v>153.31</v>
      </c>
      <c r="AJ65" s="17" t="n">
        <f aca="false">Data!E60</f>
        <v>153.61</v>
      </c>
      <c r="AK65" s="17" t="n">
        <f aca="false">Data!F60</f>
        <v>21927637</v>
      </c>
      <c r="AL65" s="17" t="n">
        <f aca="false">AJ65</f>
        <v>153.61</v>
      </c>
      <c r="AM65" s="17" t="n">
        <f aca="false">(AL65-AL64)/AL65*100</f>
        <v>-0.0390599570340302</v>
      </c>
      <c r="AN65" s="17" t="n">
        <f aca="false">(AK65-AK64)/AK65*100</f>
        <v>8.21240337023091</v>
      </c>
      <c r="AO65" s="17" t="str">
        <f aca="false">IF(AN65&lt;-8,"FITS BITCH",IF(AN65&gt;-8,"no"))</f>
        <v>no</v>
      </c>
      <c r="AP65" s="17" t="str">
        <f aca="false">IF(AH66&lt;AH65,"FITS BITCH",IF(AH66&gt;AH65,"no"))</f>
        <v>no</v>
      </c>
      <c r="AQ65" s="17" t="str">
        <f aca="false">IF(AI66&lt;AI65,"FITS BITCH",IF(AI66&gt;AI65,"no"))</f>
        <v>FITS BITCH</v>
      </c>
      <c r="AR65" s="17" t="str">
        <f aca="false">IF(AJ65&lt;AH66,"FITS BITCH",IF(AJ65&gt;AH66,"no"))</f>
        <v>FITS BITCH</v>
      </c>
      <c r="AS65" s="17" t="str">
        <f aca="false">IF(AJ65&gt;AJ66,"FITS BITCH",IF(AJ65&lt;AJ66,"no"))</f>
        <v>no</v>
      </c>
      <c r="AT65" s="91" t="str">
        <f aca="false">IF(AND($AO65="FITS BITCH",$AP65="FITS BITCH",$AR65="FITS BITCH"),"BULLISH","")</f>
        <v/>
      </c>
      <c r="AU65" s="91" t="str">
        <f aca="false">IF(AND($AO65="FITS BITCH",$AQ65="FITS BITCH",$AS65="FITS BITCH"),"BEARISH","")</f>
        <v/>
      </c>
      <c r="AV65" s="86"/>
      <c r="AW65" s="86"/>
      <c r="AX65" s="86"/>
      <c r="AY65" s="0"/>
      <c r="AZ65" s="0"/>
      <c r="BA65" s="0"/>
      <c r="BB65" s="0"/>
      <c r="BC65" s="0"/>
      <c r="BD65" s="0"/>
      <c r="BE65" s="0"/>
      <c r="BF65" s="0"/>
      <c r="BG65" s="0"/>
      <c r="BH65" s="0"/>
      <c r="BI65" s="0"/>
      <c r="BJ65" s="0"/>
      <c r="BK65" s="128"/>
      <c r="BL65" s="0"/>
      <c r="BM65" s="0"/>
      <c r="CG65" s="40" t="n">
        <v>57</v>
      </c>
      <c r="CH65" s="98" t="n">
        <v>117.51333925516</v>
      </c>
      <c r="CL65" s="99" t="n">
        <v>43039</v>
      </c>
      <c r="CM65" s="23" t="n">
        <f aca="false">$BA$68*CL65+$BA$70</f>
        <v>170.593222953543</v>
      </c>
    </row>
    <row r="66" customFormat="false" ht="15.75" hidden="false" customHeight="false" outlineLevel="0" collapsed="false">
      <c r="A66" s="0"/>
      <c r="B66" s="0"/>
      <c r="C66" s="0"/>
      <c r="D66" s="0"/>
      <c r="E66" s="0"/>
      <c r="AE66" s="90" t="n">
        <f aca="false">Data!A61</f>
        <v>42880</v>
      </c>
      <c r="AF66" s="17" t="n">
        <f aca="false">Data!B61</f>
        <v>153.73</v>
      </c>
      <c r="AG66" s="17" t="n">
        <f aca="false">Data!F61</f>
        <v>19235598</v>
      </c>
      <c r="AH66" s="17" t="n">
        <f aca="false">Data!C61</f>
        <v>154.35</v>
      </c>
      <c r="AI66" s="17" t="n">
        <f aca="false">Data!D61</f>
        <v>153.03</v>
      </c>
      <c r="AJ66" s="17" t="n">
        <f aca="false">Data!E61</f>
        <v>153.87</v>
      </c>
      <c r="AK66" s="17" t="n">
        <f aca="false">Data!F61</f>
        <v>19235598</v>
      </c>
      <c r="AL66" s="17" t="n">
        <f aca="false">AJ66</f>
        <v>153.87</v>
      </c>
      <c r="AM66" s="17" t="n">
        <f aca="false">(AL66-AL65)/AL66*100</f>
        <v>0.16897380905959</v>
      </c>
      <c r="AN66" s="17" t="n">
        <f aca="false">(AK66-AK65)/AK66*100</f>
        <v>-13.9950886892105</v>
      </c>
      <c r="AO66" s="17" t="str">
        <f aca="false">IF(AN66&lt;-8,"FITS BITCH",IF(AN66&gt;-8,"no"))</f>
        <v>FITS BITCH</v>
      </c>
      <c r="AP66" s="17" t="str">
        <f aca="false">IF(AH67&lt;AH66,"FITS BITCH",IF(AH67&gt;AH66,"no"))</f>
        <v>FITS BITCH</v>
      </c>
      <c r="AQ66" s="17" t="str">
        <f aca="false">IF(AI67&lt;AI66,"FITS BITCH",IF(AI67&gt;AI66,"no"))</f>
        <v>FITS BITCH</v>
      </c>
      <c r="AR66" s="17" t="str">
        <f aca="false">IF(AJ66&lt;AH67,"FITS BITCH",IF(AJ66&gt;AH67,"no"))</f>
        <v>FITS BITCH</v>
      </c>
      <c r="AS66" s="17" t="str">
        <f aca="false">IF(AJ66&gt;AJ67,"FITS BITCH",IF(AJ66&lt;AJ67,"no"))</f>
        <v>FITS BITCH</v>
      </c>
      <c r="AT66" s="91" t="str">
        <f aca="false">IF(AND($AO66="FITS BITCH",$AP66="FITS BITCH",$AR66="FITS BITCH"),"BULLISH","")</f>
        <v>BULLISH</v>
      </c>
      <c r="AU66" s="91" t="str">
        <f aca="false">IF(AND($AO66="FITS BITCH",$AQ66="FITS BITCH",$AS66="FITS BITCH"),"BEARISH","")</f>
        <v>BEARISH</v>
      </c>
      <c r="AV66" s="86"/>
      <c r="AW66" s="86"/>
      <c r="AX66" s="86"/>
      <c r="AY66" s="0"/>
      <c r="AZ66" s="84" t="s">
        <v>126</v>
      </c>
      <c r="BA66" s="0"/>
      <c r="BB66" s="0"/>
      <c r="BC66" s="0"/>
      <c r="BD66" s="0"/>
      <c r="BE66" s="0"/>
      <c r="BF66" s="0"/>
      <c r="BG66" s="0"/>
      <c r="BH66" s="0"/>
      <c r="BI66" s="0"/>
      <c r="BJ66" s="0"/>
      <c r="BK66" s="128"/>
      <c r="BL66" s="0"/>
      <c r="BM66" s="0"/>
      <c r="CG66" s="40" t="n">
        <v>58</v>
      </c>
      <c r="CH66" s="98" t="n">
        <v>117.51333925516</v>
      </c>
      <c r="CL66" s="99" t="n">
        <v>43038</v>
      </c>
      <c r="CM66" s="23" t="n">
        <f aca="false">$BA$68*CL66+$BA$70</f>
        <v>170.4391047233</v>
      </c>
    </row>
    <row r="67" customFormat="false" ht="15.75" hidden="false" customHeight="false" outlineLevel="0" collapsed="false">
      <c r="A67" s="0"/>
      <c r="B67" s="0"/>
      <c r="C67" s="0"/>
      <c r="D67" s="0"/>
      <c r="E67" s="0"/>
      <c r="AE67" s="90" t="n">
        <f aca="false">Data!A62</f>
        <v>42879</v>
      </c>
      <c r="AF67" s="17" t="n">
        <f aca="false">Data!B62</f>
        <v>153.84</v>
      </c>
      <c r="AG67" s="17" t="n">
        <f aca="false">Data!F62</f>
        <v>19219154</v>
      </c>
      <c r="AH67" s="17" t="n">
        <f aca="false">Data!C62</f>
        <v>154.17</v>
      </c>
      <c r="AI67" s="17" t="n">
        <f aca="false">Data!D62</f>
        <v>152.67</v>
      </c>
      <c r="AJ67" s="17" t="n">
        <f aca="false">Data!E62</f>
        <v>153.34</v>
      </c>
      <c r="AK67" s="17" t="n">
        <f aca="false">Data!F62</f>
        <v>19219154</v>
      </c>
      <c r="AL67" s="17" t="n">
        <f aca="false">AJ67</f>
        <v>153.34</v>
      </c>
      <c r="AM67" s="17" t="n">
        <f aca="false">(AL67-AL66)/AL67*100</f>
        <v>-0.345637146211035</v>
      </c>
      <c r="AN67" s="17" t="n">
        <f aca="false">(AK67-AK66)/AK67*100</f>
        <v>-0.085560477844134</v>
      </c>
      <c r="AO67" s="17" t="str">
        <f aca="false">IF(AN67&lt;-8,"FITS BITCH",IF(AN67&gt;-8,"no"))</f>
        <v>no</v>
      </c>
      <c r="AP67" s="17" t="str">
        <f aca="false">IF(AH68&lt;AH67,"FITS BITCH",IF(AH68&gt;AH67,"no"))</f>
        <v>no</v>
      </c>
      <c r="AQ67" s="17" t="str">
        <f aca="false">IF(AI68&lt;AI67,"FITS BITCH",IF(AI68&gt;AI67,"no"))</f>
        <v>no</v>
      </c>
      <c r="AR67" s="17" t="str">
        <f aca="false">IF(AJ67&lt;AH68,"FITS BITCH",IF(AJ67&gt;AH68,"no"))</f>
        <v>FITS BITCH</v>
      </c>
      <c r="AS67" s="17" t="str">
        <f aca="false">IF(AJ67&gt;AJ68,"FITS BITCH",IF(AJ67&lt;AJ68,"no"))</f>
        <v>no</v>
      </c>
      <c r="AT67" s="91" t="str">
        <f aca="false">IF(AND($AO67="FITS BITCH",$AP67="FITS BITCH",$AR67="FITS BITCH"),"BULLISH","")</f>
        <v/>
      </c>
      <c r="AU67" s="91" t="str">
        <f aca="false">IF(AND($AO67="FITS BITCH",$AQ67="FITS BITCH",$AS67="FITS BITCH"),"BEARISH","")</f>
        <v/>
      </c>
      <c r="AV67" s="86"/>
      <c r="AW67" s="86"/>
      <c r="AX67" s="86"/>
      <c r="AY67" s="0"/>
      <c r="AZ67" s="39" t="s">
        <v>131</v>
      </c>
      <c r="BK67" s="127"/>
      <c r="BL67" s="0"/>
      <c r="BM67" s="0"/>
      <c r="CG67" s="40" t="n">
        <v>59</v>
      </c>
      <c r="CH67" s="98" t="n">
        <v>117.51333925516</v>
      </c>
      <c r="CL67" s="99" t="n">
        <v>43035</v>
      </c>
      <c r="CM67" s="23" t="n">
        <f aca="false">$BA$68*CL67+$BA$70</f>
        <v>169.976750032572</v>
      </c>
    </row>
    <row r="68" customFormat="false" ht="15.75" hidden="false" customHeight="false" outlineLevel="0" collapsed="false">
      <c r="A68" s="0"/>
      <c r="B68" s="0"/>
      <c r="C68" s="0"/>
      <c r="D68" s="0"/>
      <c r="E68" s="0"/>
      <c r="AE68" s="90" t="n">
        <f aca="false">Data!A63</f>
        <v>42878</v>
      </c>
      <c r="AF68" s="17" t="n">
        <f aca="false">Data!B63</f>
        <v>154.9</v>
      </c>
      <c r="AG68" s="17" t="n">
        <f aca="false">Data!F63</f>
        <v>19918871</v>
      </c>
      <c r="AH68" s="17" t="n">
        <f aca="false">Data!C63</f>
        <v>154.9</v>
      </c>
      <c r="AI68" s="17" t="n">
        <f aca="false">Data!D63</f>
        <v>153.31</v>
      </c>
      <c r="AJ68" s="17" t="n">
        <f aca="false">Data!E63</f>
        <v>153.8</v>
      </c>
      <c r="AK68" s="17" t="n">
        <f aca="false">Data!F63</f>
        <v>19918871</v>
      </c>
      <c r="AL68" s="17" t="n">
        <f aca="false">AJ68</f>
        <v>153.8</v>
      </c>
      <c r="AM68" s="17" t="n">
        <f aca="false">(AL68-AL67)/AL68*100</f>
        <v>0.299089726918081</v>
      </c>
      <c r="AN68" s="17" t="n">
        <f aca="false">(AK68-AK67)/AK68*100</f>
        <v>3.51283463806759</v>
      </c>
      <c r="AO68" s="17" t="str">
        <f aca="false">IF(AN68&lt;-8,"FITS BITCH",IF(AN68&gt;-8,"no"))</f>
        <v>no</v>
      </c>
      <c r="AP68" s="17" t="str">
        <f aca="false">IF(AH69&lt;AH68,"FITS BITCH",IF(AH69&gt;AH68,"no"))</f>
        <v>FITS BITCH</v>
      </c>
      <c r="AQ68" s="17" t="str">
        <f aca="false">IF(AI69&lt;AI68,"FITS BITCH",IF(AI69&gt;AI68,"no"))</f>
        <v>FITS BITCH</v>
      </c>
      <c r="AR68" s="17" t="str">
        <f aca="false">IF(AJ68&lt;AH69,"FITS BITCH",IF(AJ68&gt;AH69,"no"))</f>
        <v>FITS BITCH</v>
      </c>
      <c r="AS68" s="17" t="str">
        <f aca="false">IF(AJ68&gt;AJ69,"FITS BITCH",IF(AJ68&lt;AJ69,"no"))</f>
        <v>no</v>
      </c>
      <c r="AT68" s="91" t="str">
        <f aca="false">IF(AND($AO68="FITS BITCH",$AP68="FITS BITCH",$AR68="FITS BITCH"),"BULLISH","")</f>
        <v/>
      </c>
      <c r="AU68" s="91" t="str">
        <f aca="false">IF(AND($AO68="FITS BITCH",$AQ68="FITS BITCH",$AS68="FITS BITCH"),"BEARISH","")</f>
        <v/>
      </c>
      <c r="AV68" s="86"/>
      <c r="AW68" s="86"/>
      <c r="AX68" s="86"/>
      <c r="AY68" s="0"/>
      <c r="AZ68" s="41" t="s">
        <v>128</v>
      </c>
      <c r="BA68" s="41" t="n">
        <f aca="false">SLOPE(AJ7:AJ257,AE7:AE257)</f>
        <v>0.154118230242688</v>
      </c>
      <c r="BB68" s="41"/>
      <c r="BC68" s="41"/>
      <c r="BD68" s="41"/>
      <c r="BE68" s="41"/>
      <c r="BF68" s="41"/>
      <c r="BG68" s="0"/>
      <c r="BH68" s="0"/>
      <c r="BI68" s="0"/>
      <c r="BJ68" s="0"/>
      <c r="BK68" s="128"/>
      <c r="BL68" s="0"/>
      <c r="BM68" s="0"/>
      <c r="CG68" s="40" t="n">
        <v>60</v>
      </c>
      <c r="CH68" s="98" t="n">
        <v>117.51333925516</v>
      </c>
      <c r="CL68" s="99" t="n">
        <v>43034</v>
      </c>
      <c r="CM68" s="23" t="n">
        <f aca="false">$BA$68*CL68+$BA$70</f>
        <v>169.82263180233</v>
      </c>
    </row>
    <row r="69" customFormat="false" ht="15.75" hidden="false" customHeight="false" outlineLevel="0" collapsed="false">
      <c r="A69" s="0"/>
      <c r="B69" s="0"/>
      <c r="C69" s="0"/>
      <c r="D69" s="0"/>
      <c r="E69" s="0"/>
      <c r="AE69" s="90" t="n">
        <f aca="false">Data!A64</f>
        <v>42877</v>
      </c>
      <c r="AF69" s="17" t="n">
        <f aca="false">Data!B64</f>
        <v>154</v>
      </c>
      <c r="AG69" s="17" t="n">
        <f aca="false">Data!F64</f>
        <v>22966437</v>
      </c>
      <c r="AH69" s="17" t="n">
        <f aca="false">Data!C64</f>
        <v>154.58</v>
      </c>
      <c r="AI69" s="17" t="n">
        <f aca="false">Data!D64</f>
        <v>152.91</v>
      </c>
      <c r="AJ69" s="17" t="n">
        <f aca="false">Data!E64</f>
        <v>153.99</v>
      </c>
      <c r="AK69" s="17" t="n">
        <f aca="false">Data!F64</f>
        <v>22966437</v>
      </c>
      <c r="AL69" s="17" t="n">
        <f aca="false">AJ69</f>
        <v>153.99</v>
      </c>
      <c r="AM69" s="17" t="n">
        <f aca="false">(AL69-AL68)/AL69*100</f>
        <v>0.123384635365931</v>
      </c>
      <c r="AN69" s="17" t="n">
        <f aca="false">(AK69-AK68)/AK69*100</f>
        <v>13.2696508387435</v>
      </c>
      <c r="AO69" s="17" t="str">
        <f aca="false">IF(AN69&lt;-8,"FITS BITCH",IF(AN69&gt;-8,"no"))</f>
        <v>no</v>
      </c>
      <c r="AP69" s="17" t="str">
        <f aca="false">IF(AH70&lt;AH69,"FITS BITCH",IF(AH70&gt;AH69,"no"))</f>
        <v>FITS BITCH</v>
      </c>
      <c r="AQ69" s="17" t="str">
        <f aca="false">IF(AI70&lt;AI69,"FITS BITCH",IF(AI70&gt;AI69,"no"))</f>
        <v>FITS BITCH</v>
      </c>
      <c r="AR69" s="17" t="str">
        <f aca="false">IF(AJ69&lt;AH70,"FITS BITCH",IF(AJ69&gt;AH70,"no"))</f>
        <v>no</v>
      </c>
      <c r="AS69" s="17" t="str">
        <f aca="false">IF(AJ69&gt;AJ70,"FITS BITCH",IF(AJ69&lt;AJ70,"no"))</f>
        <v>FITS BITCH</v>
      </c>
      <c r="AT69" s="91" t="str">
        <f aca="false">IF(AND($AO69="FITS BITCH",$AP69="FITS BITCH",$AR69="FITS BITCH"),"BULLISH","")</f>
        <v/>
      </c>
      <c r="AU69" s="91" t="str">
        <f aca="false">IF(AND($AO69="FITS BITCH",$AQ69="FITS BITCH",$AS69="FITS BITCH"),"BEARISH","")</f>
        <v/>
      </c>
      <c r="AV69" s="86"/>
      <c r="AW69" s="86"/>
      <c r="AX69" s="86"/>
      <c r="AY69" s="0"/>
      <c r="AZ69" s="41" t="s">
        <v>129</v>
      </c>
      <c r="BA69" s="41" t="n">
        <f aca="false">RSQ(AJ7:AJ257,AE7:AE257)</f>
        <v>0.892972111681393</v>
      </c>
      <c r="BB69" s="41"/>
      <c r="BC69" s="41"/>
      <c r="BD69" s="41"/>
      <c r="BE69" s="41"/>
      <c r="BF69" s="41"/>
      <c r="BG69" s="0"/>
      <c r="BH69" s="0"/>
      <c r="BI69" s="0"/>
      <c r="BJ69" s="0"/>
      <c r="BK69" s="128"/>
      <c r="BL69" s="0"/>
      <c r="BM69" s="0"/>
      <c r="CG69" s="40" t="n">
        <v>61</v>
      </c>
      <c r="CH69" s="98" t="n">
        <v>117.51333925516</v>
      </c>
      <c r="CL69" s="99" t="n">
        <v>43033</v>
      </c>
      <c r="CM69" s="23" t="n">
        <f aca="false">$BA$68*CL69+$BA$70</f>
        <v>169.668513572087</v>
      </c>
    </row>
    <row r="70" customFormat="false" ht="15.75" hidden="false" customHeight="false" outlineLevel="0" collapsed="false">
      <c r="A70" s="0"/>
      <c r="B70" s="0"/>
      <c r="C70" s="0"/>
      <c r="D70" s="0"/>
      <c r="E70" s="0"/>
      <c r="AE70" s="90" t="n">
        <f aca="false">Data!A65</f>
        <v>42874</v>
      </c>
      <c r="AF70" s="17" t="n">
        <f aca="false">Data!B65</f>
        <v>153.38</v>
      </c>
      <c r="AG70" s="17" t="n">
        <f aca="false">Data!F65</f>
        <v>26960788</v>
      </c>
      <c r="AH70" s="17" t="n">
        <f aca="false">Data!C65</f>
        <v>153.98</v>
      </c>
      <c r="AI70" s="17" t="n">
        <f aca="false">Data!D65</f>
        <v>152.63</v>
      </c>
      <c r="AJ70" s="17" t="n">
        <f aca="false">Data!E65</f>
        <v>153.06</v>
      </c>
      <c r="AK70" s="17" t="n">
        <f aca="false">Data!F65</f>
        <v>26960788</v>
      </c>
      <c r="AL70" s="17" t="n">
        <f aca="false">AJ70</f>
        <v>153.06</v>
      </c>
      <c r="AM70" s="17" t="n">
        <f aca="false">(AL70-AL69)/AL70*100</f>
        <v>-0.607604860838891</v>
      </c>
      <c r="AN70" s="17" t="n">
        <f aca="false">(AK70-AK69)/AK70*100</f>
        <v>14.8154089561477</v>
      </c>
      <c r="AO70" s="17" t="str">
        <f aca="false">IF(AN70&lt;-8,"FITS BITCH",IF(AN70&gt;-8,"no"))</f>
        <v>no</v>
      </c>
      <c r="AP70" s="17" t="str">
        <f aca="false">IF(AH71&lt;AH70,"FITS BITCH",IF(AH71&gt;AH70,"no"))</f>
        <v>FITS BITCH</v>
      </c>
      <c r="AQ70" s="17" t="str">
        <f aca="false">IF(AI71&lt;AI70,"FITS BITCH",IF(AI71&gt;AI70,"no"))</f>
        <v>FITS BITCH</v>
      </c>
      <c r="AR70" s="17" t="str">
        <f aca="false">IF(AJ70&lt;AH71,"FITS BITCH",IF(AJ70&gt;AH71,"no"))</f>
        <v>FITS BITCH</v>
      </c>
      <c r="AS70" s="17" t="str">
        <f aca="false">IF(AJ70&gt;AJ71,"FITS BITCH",IF(AJ70&lt;AJ71,"no"))</f>
        <v>FITS BITCH</v>
      </c>
      <c r="AT70" s="91" t="str">
        <f aca="false">IF(AND($AO70="FITS BITCH",$AP70="FITS BITCH",$AR70="FITS BITCH"),"BULLISH","")</f>
        <v/>
      </c>
      <c r="AU70" s="91" t="str">
        <f aca="false">IF(AND($AO70="FITS BITCH",$AQ70="FITS BITCH",$AS70="FITS BITCH"),"BEARISH","")</f>
        <v/>
      </c>
      <c r="AV70" s="86"/>
      <c r="AW70" s="86"/>
      <c r="AX70" s="86"/>
      <c r="AY70" s="0"/>
      <c r="AZ70" s="41" t="s">
        <v>130</v>
      </c>
      <c r="BA70" s="41" t="n">
        <f aca="false">INTERCEPT(AJ7:AJ257,AE7:AE257)</f>
        <v>-6462.50128846153</v>
      </c>
      <c r="BB70" s="41"/>
      <c r="BC70" s="41"/>
      <c r="BD70" s="41"/>
      <c r="BE70" s="41"/>
      <c r="BF70" s="41"/>
      <c r="BG70" s="0"/>
      <c r="BH70" s="0"/>
      <c r="BI70" s="0"/>
      <c r="BJ70" s="0"/>
      <c r="BK70" s="128"/>
      <c r="BL70" s="0"/>
      <c r="BM70" s="0"/>
      <c r="CG70" s="40" t="n">
        <v>62</v>
      </c>
      <c r="CH70" s="98" t="n">
        <v>117.51333925516</v>
      </c>
      <c r="CL70" s="99" t="n">
        <v>43032</v>
      </c>
      <c r="CM70" s="23" t="n">
        <f aca="false">$BA$68*CL70+$BA$70</f>
        <v>169.514395341845</v>
      </c>
    </row>
    <row r="71" customFormat="false" ht="15.75" hidden="false" customHeight="false" outlineLevel="0" collapsed="false">
      <c r="A71" s="0"/>
      <c r="B71" s="0"/>
      <c r="C71" s="0"/>
      <c r="D71" s="0"/>
      <c r="E71" s="0"/>
      <c r="AE71" s="90" t="n">
        <f aca="false">Data!A66</f>
        <v>42873</v>
      </c>
      <c r="AF71" s="17" t="n">
        <f aca="false">Data!B66</f>
        <v>151.27</v>
      </c>
      <c r="AG71" s="17" t="n">
        <f aca="false">Data!F66</f>
        <v>33568215</v>
      </c>
      <c r="AH71" s="17" t="n">
        <f aca="false">Data!C66</f>
        <v>153.34</v>
      </c>
      <c r="AI71" s="17" t="n">
        <f aca="false">Data!D66</f>
        <v>151.13</v>
      </c>
      <c r="AJ71" s="17" t="n">
        <f aca="false">Data!E66</f>
        <v>152.54</v>
      </c>
      <c r="AK71" s="17" t="n">
        <f aca="false">Data!F66</f>
        <v>33568215</v>
      </c>
      <c r="AL71" s="17" t="n">
        <f aca="false">AJ71</f>
        <v>152.54</v>
      </c>
      <c r="AM71" s="17" t="n">
        <f aca="false">(AL71-AL70)/AL71*100</f>
        <v>-0.340894191687433</v>
      </c>
      <c r="AN71" s="17" t="n">
        <f aca="false">(AK71-AK70)/AK71*100</f>
        <v>19.6835816262497</v>
      </c>
      <c r="AO71" s="17" t="str">
        <f aca="false">IF(AN71&lt;-8,"FITS BITCH",IF(AN71&gt;-8,"no"))</f>
        <v>no</v>
      </c>
      <c r="AP71" s="17" t="str">
        <f aca="false">IF(AH72&lt;AH71,"FITS BITCH",IF(AH72&gt;AH71,"no"))</f>
        <v>no</v>
      </c>
      <c r="AQ71" s="17" t="str">
        <f aca="false">IF(AI72&lt;AI71,"FITS BITCH",IF(AI72&gt;AI71,"no"))</f>
        <v>FITS BITCH</v>
      </c>
      <c r="AR71" s="17" t="str">
        <f aca="false">IF(AJ71&lt;AH72,"FITS BITCH",IF(AJ71&gt;AH72,"no"))</f>
        <v>FITS BITCH</v>
      </c>
      <c r="AS71" s="17" t="str">
        <f aca="false">IF(AJ71&gt;AJ72,"FITS BITCH",IF(AJ71&lt;AJ72,"no"))</f>
        <v>FITS BITCH</v>
      </c>
      <c r="AT71" s="91" t="str">
        <f aca="false">IF(AND($AO71="FITS BITCH",$AP71="FITS BITCH",$AR71="FITS BITCH"),"BULLISH","")</f>
        <v/>
      </c>
      <c r="AU71" s="91" t="str">
        <f aca="false">IF(AND($AO71="FITS BITCH",$AQ71="FITS BITCH",$AS71="FITS BITCH"),"BEARISH","")</f>
        <v/>
      </c>
      <c r="AV71" s="86"/>
      <c r="AW71" s="86"/>
      <c r="AX71" s="86"/>
      <c r="AY71" s="0"/>
      <c r="AZ71" s="0"/>
      <c r="BA71" s="0"/>
      <c r="BB71" s="0"/>
      <c r="BC71" s="0"/>
      <c r="BD71" s="0"/>
      <c r="BE71" s="0"/>
      <c r="BF71" s="0"/>
      <c r="BG71" s="0"/>
      <c r="BH71" s="0"/>
      <c r="BI71" s="0"/>
      <c r="BJ71" s="0"/>
      <c r="BK71" s="128"/>
      <c r="BL71" s="0"/>
      <c r="BM71" s="0"/>
      <c r="CG71" s="40" t="n">
        <v>63</v>
      </c>
      <c r="CH71" s="98" t="n">
        <v>117.51333925516</v>
      </c>
      <c r="CL71" s="99" t="n">
        <v>43031</v>
      </c>
      <c r="CM71" s="23" t="n">
        <f aca="false">$BA$68*CL71+$BA$70</f>
        <v>169.360277111601</v>
      </c>
    </row>
    <row r="72" customFormat="false" ht="15.75" hidden="false" customHeight="false" outlineLevel="0" collapsed="false">
      <c r="A72" s="0"/>
      <c r="B72" s="0"/>
      <c r="C72" s="0"/>
      <c r="D72" s="0"/>
      <c r="E72" s="0"/>
      <c r="AE72" s="90" t="n">
        <f aca="false">Data!A67</f>
        <v>42872</v>
      </c>
      <c r="AF72" s="17" t="n">
        <f aca="false">Data!B67</f>
        <v>153.6</v>
      </c>
      <c r="AG72" s="17" t="n">
        <f aca="false">Data!F67</f>
        <v>50767678</v>
      </c>
      <c r="AH72" s="17" t="n">
        <f aca="false">Data!C67</f>
        <v>154.57</v>
      </c>
      <c r="AI72" s="17" t="n">
        <f aca="false">Data!D67</f>
        <v>149.71</v>
      </c>
      <c r="AJ72" s="17" t="n">
        <f aca="false">Data!E67</f>
        <v>150.25</v>
      </c>
      <c r="AK72" s="17" t="n">
        <f aca="false">Data!F67</f>
        <v>50767678</v>
      </c>
      <c r="AL72" s="17" t="n">
        <f aca="false">AJ72</f>
        <v>150.25</v>
      </c>
      <c r="AM72" s="17" t="n">
        <f aca="false">(AL72-AL71)/AL72*100</f>
        <v>-1.52412645590682</v>
      </c>
      <c r="AN72" s="17" t="n">
        <f aca="false">(AK72-AK71)/AK72*100</f>
        <v>33.8787663284502</v>
      </c>
      <c r="AO72" s="17" t="str">
        <f aca="false">IF(AN72&lt;-8,"FITS BITCH",IF(AN72&gt;-8,"no"))</f>
        <v>no</v>
      </c>
      <c r="AP72" s="17" t="str">
        <f aca="false">IF(AH73&lt;AH72,"FITS BITCH",IF(AH73&gt;AH72,"no"))</f>
        <v>no</v>
      </c>
      <c r="AQ72" s="17" t="str">
        <f aca="false">IF(AI73&lt;AI72,"FITS BITCH",IF(AI73&gt;AI72,"no"))</f>
        <v>no</v>
      </c>
      <c r="AR72" s="17" t="str">
        <f aca="false">IF(AJ72&lt;AH73,"FITS BITCH",IF(AJ72&gt;AH73,"no"))</f>
        <v>FITS BITCH</v>
      </c>
      <c r="AS72" s="17" t="str">
        <f aca="false">IF(AJ72&gt;AJ73,"FITS BITCH",IF(AJ72&lt;AJ73,"no"))</f>
        <v>no</v>
      </c>
      <c r="AT72" s="91" t="str">
        <f aca="false">IF(AND($AO72="FITS BITCH",$AP72="FITS BITCH",$AR72="FITS BITCH"),"BULLISH","")</f>
        <v/>
      </c>
      <c r="AU72" s="91" t="str">
        <f aca="false">IF(AND($AO72="FITS BITCH",$AQ72="FITS BITCH",$AS72="FITS BITCH"),"BEARISH","")</f>
        <v/>
      </c>
      <c r="AV72" s="86"/>
      <c r="AW72" s="86"/>
      <c r="AX72" s="86"/>
      <c r="AY72" s="0"/>
      <c r="AZ72" s="0"/>
      <c r="BA72" s="0"/>
      <c r="BB72" s="0"/>
      <c r="BC72" s="0"/>
      <c r="BD72" s="0"/>
      <c r="BE72" s="0"/>
      <c r="BF72" s="0"/>
      <c r="BG72" s="0"/>
      <c r="BH72" s="0"/>
      <c r="BI72" s="0"/>
      <c r="BJ72" s="0"/>
      <c r="BK72" s="128"/>
      <c r="BL72" s="0"/>
      <c r="BM72" s="0"/>
      <c r="CG72" s="40" t="n">
        <v>64</v>
      </c>
      <c r="CH72" s="98" t="n">
        <v>117.51333925516</v>
      </c>
      <c r="CL72" s="99" t="n">
        <v>43028</v>
      </c>
      <c r="CM72" s="23" t="n">
        <f aca="false">$BA$68*CL72+$BA$70</f>
        <v>168.897922420873</v>
      </c>
    </row>
    <row r="73" customFormat="false" ht="15.75" hidden="false" customHeight="false" outlineLevel="0" collapsed="false">
      <c r="A73" s="0"/>
      <c r="B73" s="0"/>
      <c r="C73" s="0"/>
      <c r="D73" s="0"/>
      <c r="E73" s="0"/>
      <c r="AE73" s="90" t="n">
        <f aca="false">Data!A68</f>
        <v>42871</v>
      </c>
      <c r="AF73" s="17" t="n">
        <f aca="false">Data!B68</f>
        <v>155.94</v>
      </c>
      <c r="AG73" s="17" t="n">
        <f aca="false">Data!F68</f>
        <v>20048478</v>
      </c>
      <c r="AH73" s="17" t="n">
        <f aca="false">Data!C68</f>
        <v>156.06</v>
      </c>
      <c r="AI73" s="17" t="n">
        <f aca="false">Data!D68</f>
        <v>154.72</v>
      </c>
      <c r="AJ73" s="17" t="n">
        <f aca="false">Data!E68</f>
        <v>155.47</v>
      </c>
      <c r="AK73" s="17" t="n">
        <f aca="false">Data!F68</f>
        <v>20048478</v>
      </c>
      <c r="AL73" s="17" t="n">
        <f aca="false">AJ73</f>
        <v>155.47</v>
      </c>
      <c r="AM73" s="17" t="n">
        <f aca="false">(AL73-AL72)/AL73*100</f>
        <v>3.35756094423361</v>
      </c>
      <c r="AN73" s="17" t="n">
        <f aca="false">(AK73-AK72)/AK73*100</f>
        <v>-153.224598894739</v>
      </c>
      <c r="AO73" s="17" t="str">
        <f aca="false">IF(AN73&lt;-8,"FITS BITCH",IF(AN73&gt;-8,"no"))</f>
        <v>FITS BITCH</v>
      </c>
      <c r="AP73" s="17" t="str">
        <f aca="false">IF(AH74&lt;AH73,"FITS BITCH",IF(AH74&gt;AH73,"no"))</f>
        <v>no</v>
      </c>
      <c r="AQ73" s="17" t="str">
        <f aca="false">IF(AI74&lt;AI73,"FITS BITCH",IF(AI74&gt;AI73,"no"))</f>
        <v>no</v>
      </c>
      <c r="AR73" s="17" t="str">
        <f aca="false">IF(AJ73&lt;AH74,"FITS BITCH",IF(AJ73&gt;AH74,"no"))</f>
        <v>FITS BITCH</v>
      </c>
      <c r="AS73" s="17" t="str">
        <f aca="false">IF(AJ73&gt;AJ74,"FITS BITCH",IF(AJ73&lt;AJ74,"no"))</f>
        <v>no</v>
      </c>
      <c r="AT73" s="91" t="str">
        <f aca="false">IF(AND($AO73="FITS BITCH",$AP73="FITS BITCH",$AR73="FITS BITCH"),"BULLISH","")</f>
        <v/>
      </c>
      <c r="AU73" s="91" t="str">
        <f aca="false">IF(AND($AO73="FITS BITCH",$AQ73="FITS BITCH",$AS73="FITS BITCH"),"BEARISH","")</f>
        <v/>
      </c>
      <c r="AV73" s="86"/>
      <c r="AW73" s="86"/>
      <c r="AX73" s="86"/>
      <c r="AY73" s="0"/>
      <c r="AZ73" s="0"/>
      <c r="BA73" s="0"/>
      <c r="BB73" s="0"/>
      <c r="BC73" s="0"/>
      <c r="BD73" s="0"/>
      <c r="BE73" s="0"/>
      <c r="BF73" s="0"/>
      <c r="BG73" s="0"/>
      <c r="BH73" s="0"/>
      <c r="BI73" s="0"/>
      <c r="BJ73" s="0"/>
      <c r="BK73" s="128"/>
      <c r="BL73" s="0"/>
      <c r="BM73" s="0"/>
      <c r="CG73" s="40" t="n">
        <v>65</v>
      </c>
      <c r="CH73" s="98" t="n">
        <v>117.51333925516</v>
      </c>
      <c r="CL73" s="99" t="n">
        <v>43027</v>
      </c>
      <c r="CM73" s="23" t="n">
        <f aca="false">$BA$68*CL73+$BA$70</f>
        <v>168.743804190631</v>
      </c>
    </row>
    <row r="74" customFormat="false" ht="15.75" hidden="false" customHeight="false" outlineLevel="0" collapsed="false">
      <c r="A74" s="0"/>
      <c r="B74" s="0"/>
      <c r="C74" s="0"/>
      <c r="D74" s="0"/>
      <c r="E74" s="0"/>
      <c r="AE74" s="90" t="n">
        <f aca="false">Data!A69</f>
        <v>42870</v>
      </c>
      <c r="AF74" s="17" t="n">
        <f aca="false">Data!B69</f>
        <v>156.01</v>
      </c>
      <c r="AG74" s="17" t="n">
        <f aca="false">Data!F69</f>
        <v>26009719</v>
      </c>
      <c r="AH74" s="17" t="n">
        <f aca="false">Data!C69</f>
        <v>156.65</v>
      </c>
      <c r="AI74" s="17" t="n">
        <f aca="false">Data!D69</f>
        <v>155.05</v>
      </c>
      <c r="AJ74" s="17" t="n">
        <f aca="false">Data!E69</f>
        <v>155.7</v>
      </c>
      <c r="AK74" s="17" t="n">
        <f aca="false">Data!F69</f>
        <v>26009719</v>
      </c>
      <c r="AL74" s="17" t="n">
        <f aca="false">AJ74</f>
        <v>155.7</v>
      </c>
      <c r="AM74" s="17" t="n">
        <f aca="false">(AL74-AL73)/AL74*100</f>
        <v>0.147719974309563</v>
      </c>
      <c r="AN74" s="17" t="n">
        <f aca="false">(AK74-AK73)/AK74*100</f>
        <v>22.9192825958635</v>
      </c>
      <c r="AO74" s="17" t="str">
        <f aca="false">IF(AN74&lt;-8,"FITS BITCH",IF(AN74&gt;-8,"no"))</f>
        <v>no</v>
      </c>
      <c r="AP74" s="17" t="str">
        <f aca="false">IF(AH75&lt;AH74,"FITS BITCH",IF(AH75&gt;AH74,"no"))</f>
        <v>FITS BITCH</v>
      </c>
      <c r="AQ74" s="17" t="str">
        <f aca="false">IF(AI75&lt;AI74,"FITS BITCH",IF(AI75&gt;AI74,"no"))</f>
        <v>FITS BITCH</v>
      </c>
      <c r="AR74" s="17" t="str">
        <f aca="false">IF(AJ74&lt;AH75,"FITS BITCH",IF(AJ74&gt;AH75,"no"))</f>
        <v>FITS BITCH</v>
      </c>
      <c r="AS74" s="17" t="str">
        <f aca="false">IF(AJ74&gt;AJ75,"FITS BITCH",IF(AJ74&lt;AJ75,"no"))</f>
        <v>no</v>
      </c>
      <c r="AT74" s="91" t="str">
        <f aca="false">IF(AND($AO74="FITS BITCH",$AP74="FITS BITCH",$AR74="FITS BITCH"),"BULLISH","")</f>
        <v/>
      </c>
      <c r="AU74" s="91" t="str">
        <f aca="false">IF(AND($AO74="FITS BITCH",$AQ74="FITS BITCH",$AS74="FITS BITCH"),"BEARISH","")</f>
        <v/>
      </c>
      <c r="AV74" s="86"/>
      <c r="AW74" s="86"/>
      <c r="AX74" s="86"/>
      <c r="AY74" s="0"/>
      <c r="AZ74" s="0"/>
      <c r="BA74" s="0"/>
      <c r="BB74" s="0"/>
      <c r="BC74" s="0"/>
      <c r="BD74" s="0" t="s">
        <v>83</v>
      </c>
      <c r="BE74" s="0" t="s">
        <v>84</v>
      </c>
      <c r="BF74" s="0" t="s">
        <v>85</v>
      </c>
      <c r="BG74" s="0"/>
      <c r="BH74" s="0"/>
      <c r="BI74" s="0"/>
      <c r="BJ74" s="0"/>
      <c r="BK74" s="128"/>
      <c r="BL74" s="0"/>
      <c r="BM74" s="0"/>
      <c r="CG74" s="40" t="n">
        <v>66</v>
      </c>
      <c r="CH74" s="98" t="n">
        <v>117.51333925516</v>
      </c>
      <c r="CL74" s="99" t="n">
        <v>43026</v>
      </c>
      <c r="CM74" s="23" t="n">
        <f aca="false">$BA$68*CL74+$BA$70</f>
        <v>168.589685960388</v>
      </c>
    </row>
    <row r="75" customFormat="false" ht="15.75" hidden="false" customHeight="false" outlineLevel="0" collapsed="false">
      <c r="A75" s="0"/>
      <c r="B75" s="0"/>
      <c r="C75" s="0"/>
      <c r="D75" s="0"/>
      <c r="E75" s="0"/>
      <c r="AE75" s="90" t="n">
        <f aca="false">Data!A70</f>
        <v>42867</v>
      </c>
      <c r="AF75" s="17" t="n">
        <f aca="false">Data!B70</f>
        <v>154.7</v>
      </c>
      <c r="AG75" s="17" t="n">
        <f aca="false">Data!F70</f>
        <v>32527017</v>
      </c>
      <c r="AH75" s="17" t="n">
        <f aca="false">Data!C70</f>
        <v>156.42</v>
      </c>
      <c r="AI75" s="17" t="n">
        <f aca="false">Data!D70</f>
        <v>154.67</v>
      </c>
      <c r="AJ75" s="17" t="n">
        <f aca="false">Data!E70</f>
        <v>156.1</v>
      </c>
      <c r="AK75" s="17" t="n">
        <f aca="false">Data!F70</f>
        <v>32527017</v>
      </c>
      <c r="AL75" s="17" t="n">
        <f aca="false">AJ75</f>
        <v>156.1</v>
      </c>
      <c r="AM75" s="17" t="n">
        <f aca="false">(AL75-AL74)/AL75*100</f>
        <v>0.256245996156314</v>
      </c>
      <c r="AN75" s="17" t="n">
        <f aca="false">(AK75-AK74)/AK75*100</f>
        <v>20.0365683702259</v>
      </c>
      <c r="AO75" s="17" t="str">
        <f aca="false">IF(AN75&lt;-8,"FITS BITCH",IF(AN75&gt;-8,"no"))</f>
        <v>no</v>
      </c>
      <c r="AP75" s="17" t="str">
        <f aca="false">IF(AH76&lt;AH75,"FITS BITCH",IF(AH76&gt;AH75,"no"))</f>
        <v>FITS BITCH</v>
      </c>
      <c r="AQ75" s="17" t="str">
        <f aca="false">IF(AI76&lt;AI75,"FITS BITCH",IF(AI76&gt;AI75,"no"))</f>
        <v>FITS BITCH</v>
      </c>
      <c r="AR75" s="17" t="str">
        <f aca="false">IF(AJ75&lt;AH76,"FITS BITCH",IF(AJ75&gt;AH76,"no"))</f>
        <v>no</v>
      </c>
      <c r="AS75" s="17" t="str">
        <f aca="false">IF(AJ75&gt;AJ76,"FITS BITCH",IF(AJ75&lt;AJ76,"no"))</f>
        <v>FITS BITCH</v>
      </c>
      <c r="AT75" s="91" t="str">
        <f aca="false">IF(AND($AO75="FITS BITCH",$AP75="FITS BITCH",$AR75="FITS BITCH"),"BULLISH","")</f>
        <v/>
      </c>
      <c r="AU75" s="91" t="str">
        <f aca="false">IF(AND($AO75="FITS BITCH",$AQ75="FITS BITCH",$AS75="FITS BITCH"),"BEARISH","")</f>
        <v/>
      </c>
      <c r="AV75" s="86"/>
      <c r="AW75" s="86"/>
      <c r="AX75" s="86"/>
      <c r="AY75" s="0"/>
      <c r="AZ75" s="0"/>
      <c r="BA75" s="0"/>
      <c r="BB75" s="0" t="s">
        <v>90</v>
      </c>
      <c r="BC75" s="12" t="n">
        <f aca="false">MIN(AJ7:AJ195)</f>
        <v>109.11</v>
      </c>
      <c r="BD75" s="0" t="s">
        <v>91</v>
      </c>
      <c r="BE75" s="97" t="n">
        <f aca="false">BC77-3*BC79</f>
        <v>93.2361997183213</v>
      </c>
      <c r="BF75" s="17" t="n">
        <f aca="false" t="array" ref="BF75:BF82">FREQUENCY(AJ7:AJ195,BE75:BE82)</f>
        <v>0</v>
      </c>
      <c r="BG75" s="0"/>
      <c r="BH75" s="0"/>
      <c r="BI75" s="0"/>
      <c r="BJ75" s="0"/>
      <c r="BK75" s="128"/>
      <c r="BL75" s="0"/>
      <c r="BM75" s="0"/>
      <c r="CG75" s="40" t="n">
        <v>67</v>
      </c>
      <c r="CH75" s="98" t="n">
        <v>117.51333925516</v>
      </c>
      <c r="CL75" s="99" t="n">
        <v>43025</v>
      </c>
      <c r="CM75" s="23" t="n">
        <f aca="false">$BA$68*CL75+$BA$70</f>
        <v>168.435567730146</v>
      </c>
    </row>
    <row r="76" customFormat="false" ht="15.75" hidden="false" customHeight="false" outlineLevel="0" collapsed="false">
      <c r="A76" s="0"/>
      <c r="B76" s="0"/>
      <c r="C76" s="0"/>
      <c r="D76" s="0"/>
      <c r="E76" s="0"/>
      <c r="AE76" s="90" t="n">
        <f aca="false">Data!A71</f>
        <v>42866</v>
      </c>
      <c r="AF76" s="17" t="n">
        <f aca="false">Data!B71</f>
        <v>152.45</v>
      </c>
      <c r="AG76" s="17" t="n">
        <f aca="false">Data!F71</f>
        <v>27255058</v>
      </c>
      <c r="AH76" s="17" t="n">
        <f aca="false">Data!C71</f>
        <v>154.07</v>
      </c>
      <c r="AI76" s="17" t="n">
        <f aca="false">Data!D71</f>
        <v>152.31</v>
      </c>
      <c r="AJ76" s="17" t="n">
        <f aca="false">Data!E71</f>
        <v>153.95</v>
      </c>
      <c r="AK76" s="17" t="n">
        <f aca="false">Data!F71</f>
        <v>27255058</v>
      </c>
      <c r="AL76" s="17" t="n">
        <f aca="false">AJ76</f>
        <v>153.95</v>
      </c>
      <c r="AM76" s="17" t="n">
        <f aca="false">(AL76-AL75)/AL76*100</f>
        <v>-1.39655732380643</v>
      </c>
      <c r="AN76" s="17" t="n">
        <f aca="false">(AK76-AK75)/AK76*100</f>
        <v>-19.3430481784335</v>
      </c>
      <c r="AO76" s="17" t="str">
        <f aca="false">IF(AN76&lt;-8,"FITS BITCH",IF(AN76&gt;-8,"no"))</f>
        <v>FITS BITCH</v>
      </c>
      <c r="AP76" s="17" t="str">
        <f aca="false">IF(AH77&lt;AH76,"FITS BITCH",IF(AH77&gt;AH76,"no"))</f>
        <v>FITS BITCH</v>
      </c>
      <c r="AQ76" s="17" t="str">
        <f aca="false">IF(AI77&lt;AI76,"FITS BITCH",IF(AI77&gt;AI76,"no"))</f>
        <v>FITS BITCH</v>
      </c>
      <c r="AR76" s="17" t="str">
        <f aca="false">IF(AJ76&lt;AH77,"FITS BITCH",IF(AJ76&gt;AH77,"no"))</f>
        <v>no</v>
      </c>
      <c r="AS76" s="17" t="str">
        <f aca="false">IF(AJ76&gt;AJ77,"FITS BITCH",IF(AJ76&lt;AJ77,"no"))</f>
        <v>FITS BITCH</v>
      </c>
      <c r="AT76" s="91" t="str">
        <f aca="false">IF(AND($AO76="FITS BITCH",$AP76="FITS BITCH",$AR76="FITS BITCH"),"BULLISH","")</f>
        <v/>
      </c>
      <c r="AU76" s="91" t="str">
        <f aca="false">IF(AND($AO76="FITS BITCH",$AQ76="FITS BITCH",$AS76="FITS BITCH"),"BEARISH","")</f>
        <v>BEARISH</v>
      </c>
      <c r="AV76" s="86"/>
      <c r="AW76" s="86"/>
      <c r="AX76" s="86"/>
      <c r="AY76" s="0"/>
      <c r="AZ76" s="0"/>
      <c r="BA76" s="0"/>
      <c r="BB76" s="0" t="s">
        <v>95</v>
      </c>
      <c r="BC76" s="12" t="n">
        <f aca="false">MAX(AJ7:AJ195)</f>
        <v>161.6</v>
      </c>
      <c r="BD76" s="0" t="s">
        <v>96</v>
      </c>
      <c r="BE76" s="97" t="n">
        <f aca="false">BC77-2*BC79</f>
        <v>108.117131381879</v>
      </c>
      <c r="BF76" s="17" t="n">
        <v>0</v>
      </c>
      <c r="BG76" s="0"/>
      <c r="BH76" s="0"/>
      <c r="BI76" s="0"/>
      <c r="BJ76" s="0"/>
      <c r="BK76" s="128"/>
      <c r="BL76" s="0"/>
      <c r="BM76" s="0"/>
      <c r="CG76" s="40" t="n">
        <v>68</v>
      </c>
      <c r="CH76" s="98" t="n">
        <v>117.51333925516</v>
      </c>
      <c r="CL76" s="99" t="n">
        <v>43024</v>
      </c>
      <c r="CM76" s="23" t="n">
        <f aca="false">$BA$68*CL76+$BA$70</f>
        <v>168.281449499903</v>
      </c>
    </row>
    <row r="77" customFormat="false" ht="15" hidden="false" customHeight="true" outlineLevel="0" collapsed="false">
      <c r="A77" s="0"/>
      <c r="B77" s="0"/>
      <c r="C77" s="0"/>
      <c r="D77" s="0"/>
      <c r="E77" s="0"/>
      <c r="AE77" s="90" t="n">
        <f aca="false">Data!A72</f>
        <v>42865</v>
      </c>
      <c r="AF77" s="17" t="n">
        <f aca="false">Data!B72</f>
        <v>153.63</v>
      </c>
      <c r="AG77" s="17" t="n">
        <f aca="false">Data!F72</f>
        <v>25805692</v>
      </c>
      <c r="AH77" s="17" t="n">
        <f aca="false">Data!C72</f>
        <v>153.94</v>
      </c>
      <c r="AI77" s="17" t="n">
        <f aca="false">Data!D72</f>
        <v>152.11</v>
      </c>
      <c r="AJ77" s="17" t="n">
        <f aca="false">Data!E72</f>
        <v>153.26</v>
      </c>
      <c r="AK77" s="17" t="n">
        <f aca="false">Data!F72</f>
        <v>25805692</v>
      </c>
      <c r="AL77" s="17" t="n">
        <f aca="false">AJ77</f>
        <v>153.26</v>
      </c>
      <c r="AM77" s="17" t="n">
        <f aca="false">(AL77-AL76)/AL77*100</f>
        <v>-0.450215320370611</v>
      </c>
      <c r="AN77" s="17" t="n">
        <f aca="false">(AK77-AK76)/AK77*100</f>
        <v>-5.61645857045802</v>
      </c>
      <c r="AO77" s="17" t="str">
        <f aca="false">IF(AN77&lt;-8,"FITS BITCH",IF(AN77&gt;-8,"no"))</f>
        <v>no</v>
      </c>
      <c r="AP77" s="17" t="str">
        <f aca="false">IF(AH78&lt;AH77,"FITS BITCH",IF(AH78&gt;AH77,"no"))</f>
        <v>no</v>
      </c>
      <c r="AQ77" s="17" t="str">
        <f aca="false">IF(AI78&lt;AI77,"FITS BITCH",IF(AI78&gt;AI77,"no"))</f>
        <v>no</v>
      </c>
      <c r="AR77" s="17" t="str">
        <f aca="false">IF(AJ77&lt;AH78,"FITS BITCH",IF(AJ77&gt;AH78,"no"))</f>
        <v>FITS BITCH</v>
      </c>
      <c r="AS77" s="17" t="str">
        <f aca="false">IF(AJ77&gt;AJ78,"FITS BITCH",IF(AJ77&lt;AJ78,"no"))</f>
        <v>no</v>
      </c>
      <c r="AT77" s="91" t="str">
        <f aca="false">IF(AND($AO77="FITS BITCH",$AP77="FITS BITCH",$AR77="FITS BITCH"),"BULLISH","")</f>
        <v/>
      </c>
      <c r="AU77" s="91" t="str">
        <f aca="false">IF(AND($AO77="FITS BITCH",$AQ77="FITS BITCH",$AS77="FITS BITCH"),"BEARISH","")</f>
        <v/>
      </c>
      <c r="AV77" s="86"/>
      <c r="AW77" s="86"/>
      <c r="AX77" s="86"/>
      <c r="AY77" s="0"/>
      <c r="AZ77" s="0"/>
      <c r="BA77" s="0"/>
      <c r="BB77" s="101" t="s">
        <v>100</v>
      </c>
      <c r="BC77" s="12" t="n">
        <f aca="false">AVERAGE(AJ7:AJ195)</f>
        <v>137.878994708995</v>
      </c>
      <c r="BD77" s="0" t="s">
        <v>101</v>
      </c>
      <c r="BE77" s="97" t="n">
        <f aca="false">BC77-BC79</f>
        <v>122.998063045437</v>
      </c>
      <c r="BF77" s="17" t="n">
        <v>50</v>
      </c>
      <c r="BG77" s="0"/>
      <c r="BH77" s="0"/>
      <c r="BI77" s="0"/>
      <c r="BJ77" s="0"/>
      <c r="BK77" s="128"/>
      <c r="BL77" s="0"/>
      <c r="BM77" s="0"/>
      <c r="CG77" s="40" t="n">
        <v>69</v>
      </c>
      <c r="CH77" s="98" t="n">
        <v>117.51333925516</v>
      </c>
      <c r="CL77" s="99" t="n">
        <v>43021</v>
      </c>
      <c r="CM77" s="23" t="n">
        <f aca="false">$BA$68*CL77+$BA$70</f>
        <v>167.819094809175</v>
      </c>
    </row>
    <row r="78" customFormat="false" ht="15" hidden="false" customHeight="true" outlineLevel="0" collapsed="false">
      <c r="A78" s="0"/>
      <c r="B78" s="0"/>
      <c r="C78" s="0"/>
      <c r="D78" s="0"/>
      <c r="E78" s="0"/>
      <c r="AE78" s="90" t="n">
        <f aca="false">Data!A73</f>
        <v>42864</v>
      </c>
      <c r="AF78" s="17" t="n">
        <f aca="false">Data!B73</f>
        <v>153.87</v>
      </c>
      <c r="AG78" s="17" t="n">
        <f aca="false">Data!F73</f>
        <v>39130363</v>
      </c>
      <c r="AH78" s="17" t="n">
        <f aca="false">Data!C73</f>
        <v>154.88</v>
      </c>
      <c r="AI78" s="17" t="n">
        <f aca="false">Data!D73</f>
        <v>153.45</v>
      </c>
      <c r="AJ78" s="17" t="n">
        <f aca="false">Data!E73</f>
        <v>153.99</v>
      </c>
      <c r="AK78" s="17" t="n">
        <f aca="false">Data!F73</f>
        <v>39130363</v>
      </c>
      <c r="AL78" s="17" t="n">
        <f aca="false">AJ78</f>
        <v>153.99</v>
      </c>
      <c r="AM78" s="17" t="n">
        <f aca="false">(AL78-AL77)/AL78*100</f>
        <v>0.47405675693228</v>
      </c>
      <c r="AN78" s="17" t="n">
        <f aca="false">(AK78-AK77)/AK78*100</f>
        <v>34.0519994665012</v>
      </c>
      <c r="AO78" s="17" t="str">
        <f aca="false">IF(AN78&lt;-8,"FITS BITCH",IF(AN78&gt;-8,"no"))</f>
        <v>no</v>
      </c>
      <c r="AP78" s="17" t="str">
        <f aca="false">IF(AH79&lt;AH78,"FITS BITCH",IF(AH79&gt;AH78,"no"))</f>
        <v>FITS BITCH</v>
      </c>
      <c r="AQ78" s="17" t="str">
        <f aca="false">IF(AI79&lt;AI78,"FITS BITCH",IF(AI79&gt;AI78,"no"))</f>
        <v>FITS BITCH</v>
      </c>
      <c r="AR78" s="17" t="str">
        <f aca="false">IF(AJ78&lt;AH79,"FITS BITCH",IF(AJ78&gt;AH79,"no"))</f>
        <v>no</v>
      </c>
      <c r="AS78" s="17" t="str">
        <f aca="false">IF(AJ78&gt;AJ79,"FITS BITCH",IF(AJ78&lt;AJ79,"no"))</f>
        <v>FITS BITCH</v>
      </c>
      <c r="AT78" s="91" t="str">
        <f aca="false">IF(AND($AO78="FITS BITCH",$AP78="FITS BITCH",$AR78="FITS BITCH"),"BULLISH","")</f>
        <v/>
      </c>
      <c r="AU78" s="91" t="str">
        <f aca="false">IF(AND($AO78="FITS BITCH",$AQ78="FITS BITCH",$AS78="FITS BITCH"),"BEARISH","")</f>
        <v/>
      </c>
      <c r="AV78" s="86"/>
      <c r="AW78" s="86"/>
      <c r="AX78" s="86"/>
      <c r="AY78" s="0"/>
      <c r="AZ78" s="0"/>
      <c r="BA78" s="0"/>
      <c r="BB78" s="101" t="s">
        <v>104</v>
      </c>
      <c r="BC78" s="12" t="n">
        <f aca="false">VAR(AJ7:AJ195)</f>
        <v>221.442127175478</v>
      </c>
      <c r="BD78" s="0" t="s">
        <v>105</v>
      </c>
      <c r="BE78" s="97" t="n">
        <f aca="false">BC77</f>
        <v>137.878994708995</v>
      </c>
      <c r="BF78" s="17" t="n">
        <v>19</v>
      </c>
      <c r="BG78" s="0"/>
      <c r="BH78" s="0"/>
      <c r="BI78" s="0"/>
      <c r="BJ78" s="0"/>
      <c r="BK78" s="128"/>
      <c r="BL78" s="0"/>
      <c r="BM78" s="0"/>
      <c r="CG78" s="40" t="n">
        <v>70</v>
      </c>
      <c r="CH78" s="98" t="n">
        <v>117.51333925516</v>
      </c>
      <c r="CL78" s="99" t="n">
        <v>43020</v>
      </c>
      <c r="CM78" s="23" t="n">
        <f aca="false">$BA$68*CL78+$BA$70</f>
        <v>167.664976578932</v>
      </c>
    </row>
    <row r="79" customFormat="false" ht="15" hidden="false" customHeight="true" outlineLevel="0" collapsed="false">
      <c r="A79" s="0"/>
      <c r="B79" s="0"/>
      <c r="C79" s="0"/>
      <c r="D79" s="0"/>
      <c r="E79" s="0"/>
      <c r="AE79" s="90" t="n">
        <f aca="false">Data!A74</f>
        <v>42863</v>
      </c>
      <c r="AF79" s="17" t="n">
        <f aca="false">Data!B74</f>
        <v>149.03</v>
      </c>
      <c r="AG79" s="17" t="n">
        <f aca="false">Data!F74</f>
        <v>48752413</v>
      </c>
      <c r="AH79" s="17" t="n">
        <f aca="false">Data!C74</f>
        <v>153.7</v>
      </c>
      <c r="AI79" s="17" t="n">
        <f aca="false">Data!D74</f>
        <v>149.03</v>
      </c>
      <c r="AJ79" s="17" t="n">
        <f aca="false">Data!E74</f>
        <v>153.01</v>
      </c>
      <c r="AK79" s="17" t="n">
        <f aca="false">Data!F74</f>
        <v>48752413</v>
      </c>
      <c r="AL79" s="17" t="n">
        <f aca="false">AJ79</f>
        <v>153.01</v>
      </c>
      <c r="AM79" s="17" t="n">
        <f aca="false">(AL79-AL78)/AL79*100</f>
        <v>-0.640481014312802</v>
      </c>
      <c r="AN79" s="17" t="n">
        <f aca="false">(AK79-AK78)/AK79*100</f>
        <v>19.7365615523482</v>
      </c>
      <c r="AO79" s="17" t="str">
        <f aca="false">IF(AN79&lt;-8,"FITS BITCH",IF(AN79&gt;-8,"no"))</f>
        <v>no</v>
      </c>
      <c r="AP79" s="17" t="str">
        <f aca="false">IF(AH80&lt;AH79,"FITS BITCH",IF(AH80&gt;AH79,"no"))</f>
        <v>FITS BITCH</v>
      </c>
      <c r="AQ79" s="17" t="str">
        <f aca="false">IF(AI80&lt;AI79,"FITS BITCH",IF(AI80&gt;AI79,"no"))</f>
        <v>FITS BITCH</v>
      </c>
      <c r="AR79" s="17" t="str">
        <f aca="false">IF(AJ79&lt;AH80,"FITS BITCH",IF(AJ79&gt;AH80,"no"))</f>
        <v>no</v>
      </c>
      <c r="AS79" s="17" t="str">
        <f aca="false">IF(AJ79&gt;AJ80,"FITS BITCH",IF(AJ79&lt;AJ80,"no"))</f>
        <v>FITS BITCH</v>
      </c>
      <c r="AT79" s="91" t="str">
        <f aca="false">IF(AND($AO79="FITS BITCH",$AP79="FITS BITCH",$AR79="FITS BITCH"),"BULLISH","")</f>
        <v/>
      </c>
      <c r="AU79" s="91" t="str">
        <f aca="false">IF(AND($AO79="FITS BITCH",$AQ79="FITS BITCH",$AS79="FITS BITCH"),"BEARISH","")</f>
        <v/>
      </c>
      <c r="AV79" s="86"/>
      <c r="AW79" s="86"/>
      <c r="AX79" s="86"/>
      <c r="AY79" s="0"/>
      <c r="AZ79" s="0"/>
      <c r="BA79" s="0"/>
      <c r="BB79" s="101" t="s">
        <v>107</v>
      </c>
      <c r="BC79" s="12" t="n">
        <f aca="false">STDEV(AJ7:AJ195)</f>
        <v>14.8809316635578</v>
      </c>
      <c r="BD79" s="0" t="s">
        <v>108</v>
      </c>
      <c r="BE79" s="97" t="n">
        <f aca="false">BC77+BC79</f>
        <v>152.759926372553</v>
      </c>
      <c r="BF79" s="17" t="n">
        <v>85</v>
      </c>
      <c r="BG79" s="0"/>
      <c r="BH79" s="0"/>
      <c r="BI79" s="0"/>
      <c r="BJ79" s="0"/>
      <c r="BK79" s="128"/>
      <c r="BL79" s="0"/>
      <c r="BM79" s="0"/>
      <c r="CG79" s="40" t="n">
        <v>71</v>
      </c>
      <c r="CH79" s="98" t="n">
        <v>117.51333925516</v>
      </c>
      <c r="CL79" s="99" t="n">
        <v>43019</v>
      </c>
      <c r="CM79" s="23" t="n">
        <f aca="false">$BA$68*CL79+$BA$70</f>
        <v>167.510858348689</v>
      </c>
    </row>
    <row r="80" customFormat="false" ht="15" hidden="false" customHeight="true" outlineLevel="0" collapsed="false">
      <c r="A80" s="0"/>
      <c r="B80" s="0"/>
      <c r="C80" s="0"/>
      <c r="D80" s="0"/>
      <c r="E80" s="0"/>
      <c r="AE80" s="90" t="n">
        <f aca="false">Data!A75</f>
        <v>42860</v>
      </c>
      <c r="AF80" s="17" t="n">
        <f aca="false">Data!B75</f>
        <v>146.76</v>
      </c>
      <c r="AG80" s="17" t="n">
        <f aca="false">Data!F75</f>
        <v>27327725</v>
      </c>
      <c r="AH80" s="17" t="n">
        <f aca="false">Data!C75</f>
        <v>148.98</v>
      </c>
      <c r="AI80" s="17" t="n">
        <f aca="false">Data!D75</f>
        <v>146.76</v>
      </c>
      <c r="AJ80" s="17" t="n">
        <f aca="false">Data!E75</f>
        <v>148.96</v>
      </c>
      <c r="AK80" s="17" t="n">
        <f aca="false">Data!F75</f>
        <v>27327725</v>
      </c>
      <c r="AL80" s="17" t="n">
        <f aca="false">AJ80</f>
        <v>148.96</v>
      </c>
      <c r="AM80" s="17" t="n">
        <f aca="false">(AL80-AL79)/AL80*100</f>
        <v>-2.71885069817399</v>
      </c>
      <c r="AN80" s="17" t="n">
        <f aca="false">(AK80-AK79)/AK80*100</f>
        <v>-78.3990910330077</v>
      </c>
      <c r="AO80" s="17" t="str">
        <f aca="false">IF(AN80&lt;-8,"FITS BITCH",IF(AN80&gt;-8,"no"))</f>
        <v>FITS BITCH</v>
      </c>
      <c r="AP80" s="17" t="str">
        <f aca="false">IF(AH81&lt;AH80,"FITS BITCH",IF(AH81&gt;AH80,"no"))</f>
        <v>FITS BITCH</v>
      </c>
      <c r="AQ80" s="17" t="str">
        <f aca="false">IF(AI81&lt;AI80,"FITS BITCH",IF(AI81&gt;AI80,"no"))</f>
        <v>FITS BITCH</v>
      </c>
      <c r="AR80" s="17" t="str">
        <f aca="false">IF(AJ80&lt;AH81,"FITS BITCH",IF(AJ80&gt;AH81,"no"))</f>
        <v>no</v>
      </c>
      <c r="AS80" s="17" t="str">
        <f aca="false">IF(AJ80&gt;AJ81,"FITS BITCH",IF(AJ80&lt;AJ81,"no"))</f>
        <v>FITS BITCH</v>
      </c>
      <c r="AT80" s="91" t="str">
        <f aca="false">IF(AND($AO80="FITS BITCH",$AP80="FITS BITCH",$AR80="FITS BITCH"),"BULLISH","")</f>
        <v/>
      </c>
      <c r="AU80" s="91" t="str">
        <f aca="false">IF(AND($AO80="FITS BITCH",$AQ80="FITS BITCH",$AS80="FITS BITCH"),"BEARISH","")</f>
        <v>BEARISH</v>
      </c>
      <c r="AV80" s="86"/>
      <c r="AW80" s="86"/>
      <c r="AX80" s="86"/>
      <c r="AY80" s="0"/>
      <c r="AZ80" s="0"/>
      <c r="BA80" s="0"/>
      <c r="BB80" s="0"/>
      <c r="BC80" s="0"/>
      <c r="BD80" s="0" t="s">
        <v>110</v>
      </c>
      <c r="BE80" s="97" t="n">
        <f aca="false">BC77+2*BC79</f>
        <v>167.64085803611</v>
      </c>
      <c r="BF80" s="17" t="n">
        <v>35</v>
      </c>
      <c r="BG80" s="0"/>
      <c r="BH80" s="0"/>
      <c r="BI80" s="0"/>
      <c r="BJ80" s="0"/>
      <c r="BK80" s="128"/>
      <c r="BL80" s="0"/>
      <c r="BM80" s="0"/>
      <c r="CG80" s="40" t="n">
        <v>72</v>
      </c>
      <c r="CH80" s="98" t="n">
        <v>117.51333925516</v>
      </c>
      <c r="CL80" s="99" t="n">
        <v>43018</v>
      </c>
      <c r="CM80" s="23" t="n">
        <f aca="false">$BA$68*CL80+$BA$70</f>
        <v>167.356740118446</v>
      </c>
    </row>
    <row r="81" customFormat="false" ht="15" hidden="false" customHeight="true" outlineLevel="0" collapsed="false">
      <c r="A81" s="0"/>
      <c r="B81" s="0"/>
      <c r="C81" s="0"/>
      <c r="D81" s="0"/>
      <c r="E81" s="0"/>
      <c r="AE81" s="90" t="n">
        <f aca="false">Data!A76</f>
        <v>42859</v>
      </c>
      <c r="AF81" s="17" t="n">
        <f aca="false">Data!B76</f>
        <v>146.52</v>
      </c>
      <c r="AG81" s="17" t="n">
        <f aca="false">Data!F76</f>
        <v>23371872</v>
      </c>
      <c r="AH81" s="17" t="n">
        <f aca="false">Data!C76</f>
        <v>147.14</v>
      </c>
      <c r="AI81" s="17" t="n">
        <f aca="false">Data!D76</f>
        <v>145.81</v>
      </c>
      <c r="AJ81" s="17" t="n">
        <f aca="false">Data!E76</f>
        <v>146.53</v>
      </c>
      <c r="AK81" s="17" t="n">
        <f aca="false">Data!F76</f>
        <v>23371872</v>
      </c>
      <c r="AL81" s="17" t="n">
        <f aca="false">AJ81</f>
        <v>146.53</v>
      </c>
      <c r="AM81" s="17" t="n">
        <f aca="false">(AL81-AL80)/AL81*100</f>
        <v>-1.65836347505631</v>
      </c>
      <c r="AN81" s="17" t="n">
        <f aca="false">(AK81-AK80)/AK81*100</f>
        <v>-16.9257002605525</v>
      </c>
      <c r="AO81" s="17" t="str">
        <f aca="false">IF(AN81&lt;-8,"FITS BITCH",IF(AN81&gt;-8,"no"))</f>
        <v>FITS BITCH</v>
      </c>
      <c r="AP81" s="17" t="str">
        <f aca="false">IF(AH82&lt;AH81,"FITS BITCH",IF(AH82&gt;AH81,"no"))</f>
        <v>no</v>
      </c>
      <c r="AQ81" s="17" t="str">
        <f aca="false">IF(AI82&lt;AI81,"FITS BITCH",IF(AI82&gt;AI81,"no"))</f>
        <v>FITS BITCH</v>
      </c>
      <c r="AR81" s="17" t="str">
        <f aca="false">IF(AJ81&lt;AH82,"FITS BITCH",IF(AJ81&gt;AH82,"no"))</f>
        <v>FITS BITCH</v>
      </c>
      <c r="AS81" s="17" t="str">
        <f aca="false">IF(AJ81&gt;AJ82,"FITS BITCH",IF(AJ81&lt;AJ82,"no"))</f>
        <v>no</v>
      </c>
      <c r="AT81" s="91" t="str">
        <f aca="false">IF(AND($AO81="FITS BITCH",$AP81="FITS BITCH",$AR81="FITS BITCH"),"BULLISH","")</f>
        <v/>
      </c>
      <c r="AU81" s="91" t="str">
        <f aca="false">IF(AND($AO81="FITS BITCH",$AQ81="FITS BITCH",$AS81="FITS BITCH"),"BEARISH","")</f>
        <v/>
      </c>
      <c r="AV81" s="86"/>
      <c r="AW81" s="86"/>
      <c r="AX81" s="86"/>
      <c r="AY81" s="0"/>
      <c r="AZ81" s="0"/>
      <c r="BA81" s="0"/>
      <c r="BB81" s="0"/>
      <c r="BC81" s="0"/>
      <c r="BD81" s="0" t="s">
        <v>111</v>
      </c>
      <c r="BE81" s="97" t="n">
        <f aca="false">BC77+3*BC79</f>
        <v>182.521789699668</v>
      </c>
      <c r="BF81" s="17" t="n">
        <v>0</v>
      </c>
      <c r="BG81" s="0"/>
      <c r="BH81" s="0"/>
      <c r="BI81" s="0"/>
      <c r="BJ81" s="0"/>
      <c r="BK81" s="128"/>
      <c r="BL81" s="0"/>
      <c r="BM81" s="0"/>
      <c r="CG81" s="40" t="n">
        <v>73</v>
      </c>
      <c r="CH81" s="98" t="n">
        <v>117.51333925516</v>
      </c>
      <c r="CL81" s="99" t="n">
        <v>43017</v>
      </c>
      <c r="CM81" s="23" t="n">
        <f aca="false">$BA$68*CL81+$BA$70</f>
        <v>167.202621888204</v>
      </c>
    </row>
    <row r="82" customFormat="false" ht="15" hidden="false" customHeight="true" outlineLevel="0" collapsed="false">
      <c r="A82" s="0"/>
      <c r="B82" s="0"/>
      <c r="C82" s="0"/>
      <c r="D82" s="0"/>
      <c r="E82" s="0"/>
      <c r="AE82" s="90" t="n">
        <f aca="false">Data!A77</f>
        <v>42858</v>
      </c>
      <c r="AF82" s="17" t="n">
        <f aca="false">Data!B77</f>
        <v>145.59</v>
      </c>
      <c r="AG82" s="17" t="n">
        <f aca="false">Data!F77</f>
        <v>45697034</v>
      </c>
      <c r="AH82" s="17" t="n">
        <f aca="false">Data!C77</f>
        <v>147.49</v>
      </c>
      <c r="AI82" s="17" t="n">
        <f aca="false">Data!D77</f>
        <v>144.27</v>
      </c>
      <c r="AJ82" s="17" t="n">
        <f aca="false">Data!E77</f>
        <v>147.06</v>
      </c>
      <c r="AK82" s="17" t="n">
        <f aca="false">Data!F77</f>
        <v>45697034</v>
      </c>
      <c r="AL82" s="17" t="n">
        <f aca="false">AJ82</f>
        <v>147.06</v>
      </c>
      <c r="AM82" s="17" t="n">
        <f aca="false">(AL82-AL81)/AL82*100</f>
        <v>0.360397116823066</v>
      </c>
      <c r="AN82" s="17" t="n">
        <f aca="false">(AK82-AK81)/AK82*100</f>
        <v>48.8547287335979</v>
      </c>
      <c r="AO82" s="17" t="str">
        <f aca="false">IF(AN82&lt;-8,"FITS BITCH",IF(AN82&gt;-8,"no"))</f>
        <v>no</v>
      </c>
      <c r="AP82" s="17" t="str">
        <f aca="false">IF(AH83&lt;AH82,"FITS BITCH",IF(AH83&gt;AH82,"no"))</f>
        <v>no</v>
      </c>
      <c r="AQ82" s="17" t="str">
        <f aca="false">IF(AI83&lt;AI82,"FITS BITCH",IF(AI83&gt;AI82,"no"))</f>
        <v>no</v>
      </c>
      <c r="AR82" s="17" t="str">
        <f aca="false">IF(AJ82&lt;AH83,"FITS BITCH",IF(AJ82&gt;AH83,"no"))</f>
        <v>FITS BITCH</v>
      </c>
      <c r="AS82" s="17" t="str">
        <f aca="false">IF(AJ82&gt;AJ83,"FITS BITCH",IF(AJ82&lt;AJ83,"no"))</f>
        <v>no</v>
      </c>
      <c r="AT82" s="91" t="str">
        <f aca="false">IF(AND($AO82="FITS BITCH",$AP82="FITS BITCH",$AR82="FITS BITCH"),"BULLISH","")</f>
        <v/>
      </c>
      <c r="AU82" s="91" t="str">
        <f aca="false">IF(AND($AO82="FITS BITCH",$AQ82="FITS BITCH",$AS82="FITS BITCH"),"BEARISH","")</f>
        <v/>
      </c>
      <c r="AV82" s="86"/>
      <c r="AW82" s="86"/>
      <c r="AX82" s="86"/>
      <c r="AY82" s="0"/>
      <c r="AZ82" s="0"/>
      <c r="BA82" s="0"/>
      <c r="BB82" s="0"/>
      <c r="BC82" s="0"/>
      <c r="BD82" s="0" t="s">
        <v>114</v>
      </c>
      <c r="BE82" s="17"/>
      <c r="BF82" s="17" t="n">
        <v>0</v>
      </c>
      <c r="BG82" s="0"/>
      <c r="BH82" s="0"/>
      <c r="BI82" s="0"/>
      <c r="BJ82" s="0"/>
      <c r="BK82" s="128"/>
      <c r="BL82" s="0"/>
      <c r="BM82" s="0"/>
      <c r="CG82" s="40" t="n">
        <v>74</v>
      </c>
      <c r="CH82" s="60" t="n">
        <v>117.51333925516</v>
      </c>
      <c r="CL82" s="99" t="n">
        <v>43014</v>
      </c>
      <c r="CM82" s="23" t="n">
        <f aca="false">$BA$68*CL82+$BA$70</f>
        <v>166.740267197476</v>
      </c>
    </row>
    <row r="83" customFormat="false" ht="15" hidden="false" customHeight="true" outlineLevel="0" collapsed="false">
      <c r="A83" s="0"/>
      <c r="B83" s="0"/>
      <c r="C83" s="0"/>
      <c r="D83" s="0"/>
      <c r="E83" s="0"/>
      <c r="AE83" s="90" t="n">
        <f aca="false">Data!A78</f>
        <v>42857</v>
      </c>
      <c r="AF83" s="17" t="n">
        <f aca="false">Data!B78</f>
        <v>147.54</v>
      </c>
      <c r="AG83" s="17" t="n">
        <f aca="false">Data!F78</f>
        <v>45352194</v>
      </c>
      <c r="AH83" s="17" t="n">
        <f aca="false">Data!C78</f>
        <v>148.09</v>
      </c>
      <c r="AI83" s="17" t="n">
        <f aca="false">Data!D78</f>
        <v>146.84</v>
      </c>
      <c r="AJ83" s="17" t="n">
        <f aca="false">Data!E78</f>
        <v>147.51</v>
      </c>
      <c r="AK83" s="17" t="n">
        <f aca="false">Data!F78</f>
        <v>45352194</v>
      </c>
      <c r="AL83" s="17" t="n">
        <f aca="false">AJ83</f>
        <v>147.51</v>
      </c>
      <c r="AM83" s="17" t="n">
        <f aca="false">(AL83-AL82)/AL83*100</f>
        <v>0.305064063453317</v>
      </c>
      <c r="AN83" s="17" t="n">
        <f aca="false">(AK83-AK82)/AK83*100</f>
        <v>-0.760360127230008</v>
      </c>
      <c r="AO83" s="17" t="str">
        <f aca="false">IF(AN83&lt;-8,"FITS BITCH",IF(AN83&gt;-8,"no"))</f>
        <v>no</v>
      </c>
      <c r="AP83" s="17" t="str">
        <f aca="false">IF(AH84&lt;AH83,"FITS BITCH",IF(AH84&gt;AH83,"no"))</f>
        <v>FITS BITCH</v>
      </c>
      <c r="AQ83" s="17" t="str">
        <f aca="false">IF(AI84&lt;AI83,"FITS BITCH",IF(AI84&gt;AI83,"no"))</f>
        <v>FITS BITCH</v>
      </c>
      <c r="AR83" s="17" t="str">
        <f aca="false">IF(AJ83&lt;AH84,"FITS BITCH",IF(AJ83&gt;AH84,"no"))</f>
        <v>no</v>
      </c>
      <c r="AS83" s="17" t="str">
        <f aca="false">IF(AJ83&gt;AJ84,"FITS BITCH",IF(AJ83&lt;AJ84,"no"))</f>
        <v>FITS BITCH</v>
      </c>
      <c r="AT83" s="91" t="str">
        <f aca="false">IF(AND($AO83="FITS BITCH",$AP83="FITS BITCH",$AR83="FITS BITCH"),"BULLISH","")</f>
        <v/>
      </c>
      <c r="AU83" s="91" t="str">
        <f aca="false">IF(AND($AO83="FITS BITCH",$AQ83="FITS BITCH",$AS83="FITS BITCH"),"BEARISH","")</f>
        <v/>
      </c>
      <c r="AV83" s="86"/>
      <c r="AW83" s="86"/>
      <c r="AX83" s="86"/>
      <c r="AY83" s="0"/>
      <c r="AZ83" s="0"/>
      <c r="BA83" s="0"/>
      <c r="BB83" s="0"/>
      <c r="BC83" s="0"/>
      <c r="BD83" s="0"/>
      <c r="BE83" s="0"/>
      <c r="BF83" s="0"/>
      <c r="BG83" s="0"/>
      <c r="BH83" s="0"/>
      <c r="BI83" s="0"/>
      <c r="BJ83" s="0"/>
      <c r="BK83" s="128"/>
      <c r="BL83" s="0"/>
      <c r="BM83" s="0"/>
      <c r="CG83" s="40" t="n">
        <v>75</v>
      </c>
      <c r="CH83" s="60" t="n">
        <v>117.51333925516</v>
      </c>
      <c r="CL83" s="99" t="n">
        <v>43013</v>
      </c>
      <c r="CM83" s="23" t="n">
        <f aca="false">$BA$68*CL83+$BA$70</f>
        <v>166.586148967233</v>
      </c>
    </row>
    <row r="84" customFormat="false" ht="15" hidden="false" customHeight="true" outlineLevel="0" collapsed="false">
      <c r="A84" s="0"/>
      <c r="B84" s="0"/>
      <c r="C84" s="0"/>
      <c r="D84" s="0"/>
      <c r="E84" s="0"/>
      <c r="AE84" s="90" t="n">
        <f aca="false">Data!A79</f>
        <v>42856</v>
      </c>
      <c r="AF84" s="17" t="n">
        <f aca="false">Data!B79</f>
        <v>145.1</v>
      </c>
      <c r="AG84" s="17" t="n">
        <f aca="false">Data!F79</f>
        <v>33602943</v>
      </c>
      <c r="AH84" s="17" t="n">
        <f aca="false">Data!C79</f>
        <v>147.2</v>
      </c>
      <c r="AI84" s="17" t="n">
        <f aca="false">Data!D79</f>
        <v>144.96</v>
      </c>
      <c r="AJ84" s="17" t="n">
        <f aca="false">Data!E79</f>
        <v>146.58</v>
      </c>
      <c r="AK84" s="17" t="n">
        <f aca="false">Data!F79</f>
        <v>33602943</v>
      </c>
      <c r="AL84" s="17" t="n">
        <f aca="false">AJ84</f>
        <v>146.58</v>
      </c>
      <c r="AM84" s="17" t="n">
        <f aca="false">(AL84-AL83)/AL84*100</f>
        <v>-0.634465820712224</v>
      </c>
      <c r="AN84" s="17" t="n">
        <f aca="false">(AK84-AK83)/AK84*100</f>
        <v>-34.9649463738935</v>
      </c>
      <c r="AO84" s="17" t="str">
        <f aca="false">IF(AN84&lt;-8,"FITS BITCH",IF(AN84&gt;-8,"no"))</f>
        <v>FITS BITCH</v>
      </c>
      <c r="AP84" s="17" t="str">
        <f aca="false">IF(AH85&lt;AH84,"FITS BITCH",IF(AH85&gt;AH84,"no"))</f>
        <v>FITS BITCH</v>
      </c>
      <c r="AQ84" s="17" t="str">
        <f aca="false">IF(AI85&lt;AI84,"FITS BITCH",IF(AI85&gt;AI84,"no"))</f>
        <v>FITS BITCH</v>
      </c>
      <c r="AR84" s="17" t="str">
        <f aca="false">IF(AJ84&lt;AH85,"FITS BITCH",IF(AJ84&gt;AH85,"no"))</f>
        <v>no</v>
      </c>
      <c r="AS84" s="17" t="str">
        <f aca="false">IF(AJ84&gt;AJ85,"FITS BITCH",IF(AJ84&lt;AJ85,"no"))</f>
        <v>FITS BITCH</v>
      </c>
      <c r="AT84" s="91" t="str">
        <f aca="false">IF(AND($AO84="FITS BITCH",$AP84="FITS BITCH",$AR84="FITS BITCH"),"BULLISH","")</f>
        <v/>
      </c>
      <c r="AU84" s="91" t="str">
        <f aca="false">IF(AND($AO84="FITS BITCH",$AQ84="FITS BITCH",$AS84="FITS BITCH"),"BEARISH","")</f>
        <v>BEARISH</v>
      </c>
      <c r="AV84" s="86"/>
      <c r="AW84" s="86"/>
      <c r="AX84" s="86"/>
      <c r="AY84" s="0"/>
      <c r="AZ84" s="0"/>
      <c r="BA84" s="0"/>
      <c r="BB84" s="86" t="s">
        <v>116</v>
      </c>
      <c r="BC84" s="0" t="s">
        <v>117</v>
      </c>
      <c r="BD84" s="113" t="n">
        <f aca="false">_xlfn.NORM.DIST($F$8,$BC$77,$BC$79,1)</f>
        <v>0.906337422624509</v>
      </c>
      <c r="BE84" s="0" t="s">
        <v>118</v>
      </c>
      <c r="BF84" s="17" t="n">
        <f aca="false">$F$8</f>
        <v>157.5</v>
      </c>
      <c r="BG84" s="0"/>
      <c r="BH84" s="0"/>
      <c r="BI84" s="0"/>
      <c r="BJ84" s="0"/>
      <c r="BK84" s="128"/>
      <c r="BL84" s="0"/>
      <c r="BM84" s="0"/>
      <c r="CG84" s="40" t="n">
        <v>76</v>
      </c>
      <c r="CH84" s="60" t="n">
        <v>117.51333925516</v>
      </c>
      <c r="CL84" s="99" t="n">
        <v>43012</v>
      </c>
      <c r="CM84" s="23" t="n">
        <f aca="false">$BA$68*CL84+$BA$70</f>
        <v>166.432030736991</v>
      </c>
    </row>
    <row r="85" customFormat="false" ht="18" hidden="false" customHeight="true" outlineLevel="0" collapsed="false">
      <c r="A85" s="0"/>
      <c r="B85" s="0"/>
      <c r="C85" s="57"/>
      <c r="D85" s="57"/>
      <c r="E85" s="57"/>
      <c r="AE85" s="90" t="n">
        <f aca="false">Data!A80</f>
        <v>42853</v>
      </c>
      <c r="AF85" s="17" t="n">
        <f aca="false">Data!B80</f>
        <v>144.09</v>
      </c>
      <c r="AG85" s="17" t="n">
        <f aca="false">Data!F80</f>
        <v>20860358</v>
      </c>
      <c r="AH85" s="17" t="n">
        <f aca="false">Data!C80</f>
        <v>144.3</v>
      </c>
      <c r="AI85" s="17" t="n">
        <f aca="false">Data!D80</f>
        <v>143.27</v>
      </c>
      <c r="AJ85" s="17" t="n">
        <f aca="false">Data!E80</f>
        <v>143.65</v>
      </c>
      <c r="AK85" s="17" t="n">
        <f aca="false">Data!F80</f>
        <v>20860358</v>
      </c>
      <c r="AL85" s="17" t="n">
        <f aca="false">AJ85</f>
        <v>143.65</v>
      </c>
      <c r="AM85" s="17" t="n">
        <f aca="false">(AL85-AL84)/AL85*100</f>
        <v>-2.03967977723634</v>
      </c>
      <c r="AN85" s="17" t="n">
        <f aca="false">(AK85-AK84)/AK85*100</f>
        <v>-61.0851692957523</v>
      </c>
      <c r="AO85" s="17" t="str">
        <f aca="false">IF(AN85&lt;-8,"FITS BITCH",IF(AN85&gt;-8,"no"))</f>
        <v>FITS BITCH</v>
      </c>
      <c r="AP85" s="17" t="str">
        <f aca="false">IF(AH86&lt;AH85,"FITS BITCH",IF(AH86&gt;AH85,"no"))</f>
        <v>FITS BITCH</v>
      </c>
      <c r="AQ85" s="17" t="str">
        <f aca="false">IF(AI86&lt;AI85,"FITS BITCH",IF(AI86&gt;AI85,"no"))</f>
        <v>no</v>
      </c>
      <c r="AR85" s="17" t="str">
        <f aca="false">IF(AJ85&lt;AH86,"FITS BITCH",IF(AJ85&gt;AH86,"no"))</f>
        <v>FITS BITCH</v>
      </c>
      <c r="AS85" s="17" t="str">
        <f aca="false">IF(AJ85&gt;AJ86,"FITS BITCH",IF(AJ85&lt;AJ86,"no"))</f>
        <v>no</v>
      </c>
      <c r="AT85" s="91" t="str">
        <f aca="false">IF(AND($AO85="FITS BITCH",$AP85="FITS BITCH",$AR85="FITS BITCH"),"BULLISH","")</f>
        <v>BULLISH</v>
      </c>
      <c r="AU85" s="91" t="str">
        <f aca="false">IF(AND($AO85="FITS BITCH",$AQ85="FITS BITCH",$AS85="FITS BITCH"),"BEARISH","")</f>
        <v/>
      </c>
      <c r="AV85" s="86"/>
      <c r="AW85" s="86"/>
      <c r="AX85" s="86"/>
      <c r="AY85" s="0"/>
      <c r="AZ85" s="0"/>
      <c r="BA85" s="0"/>
      <c r="BB85" s="0"/>
      <c r="BC85" s="0" t="s">
        <v>120</v>
      </c>
      <c r="BD85" s="116" t="n">
        <f aca="false">((COUNTIF(AJ7:AJ195,"&lt;"&amp;$F$8))/(COUNT(AJ7:AJ195)))</f>
        <v>0.957671957671958</v>
      </c>
      <c r="BE85" s="0" t="s">
        <v>121</v>
      </c>
      <c r="BF85" s="17" t="n">
        <f aca="false">$F$8</f>
        <v>157.5</v>
      </c>
      <c r="BG85" s="0"/>
      <c r="BH85" s="0"/>
      <c r="BI85" s="0"/>
      <c r="BJ85" s="0"/>
      <c r="BK85" s="128"/>
      <c r="BL85" s="0"/>
      <c r="BM85" s="0"/>
      <c r="CG85" s="40" t="n">
        <v>77</v>
      </c>
      <c r="CH85" s="60" t="n">
        <v>117.51333925516</v>
      </c>
      <c r="CL85" s="99" t="n">
        <v>43011</v>
      </c>
      <c r="CM85" s="23" t="n">
        <f aca="false">$BA$68*CL85+$BA$70</f>
        <v>166.277912506748</v>
      </c>
    </row>
    <row r="86" customFormat="false" ht="15" hidden="false" customHeight="true" outlineLevel="0" collapsed="false">
      <c r="A86" s="0"/>
      <c r="B86" s="0"/>
      <c r="C86" s="57"/>
      <c r="D86" s="57"/>
      <c r="E86" s="57"/>
      <c r="AE86" s="90" t="n">
        <f aca="false">Data!A81</f>
        <v>42852</v>
      </c>
      <c r="AF86" s="17" t="n">
        <f aca="false">Data!B81</f>
        <v>143.92</v>
      </c>
      <c r="AG86" s="17" t="n">
        <f aca="false">Data!F81</f>
        <v>14246347</v>
      </c>
      <c r="AH86" s="17" t="n">
        <f aca="false">Data!C81</f>
        <v>144.16</v>
      </c>
      <c r="AI86" s="17" t="n">
        <f aca="false">Data!D81</f>
        <v>143.31</v>
      </c>
      <c r="AJ86" s="17" t="n">
        <f aca="false">Data!E81</f>
        <v>143.79</v>
      </c>
      <c r="AK86" s="17" t="n">
        <f aca="false">Data!F81</f>
        <v>14246347</v>
      </c>
      <c r="AL86" s="17" t="n">
        <f aca="false">AJ86</f>
        <v>143.79</v>
      </c>
      <c r="AM86" s="17" t="n">
        <f aca="false">(AL86-AL85)/AL86*100</f>
        <v>0.0973642116976051</v>
      </c>
      <c r="AN86" s="17" t="n">
        <f aca="false">(AK86-AK85)/AK86*100</f>
        <v>-46.4260136300204</v>
      </c>
      <c r="AO86" s="17" t="str">
        <f aca="false">IF(AN86&lt;-8,"FITS BITCH",IF(AN86&gt;-8,"no"))</f>
        <v>FITS BITCH</v>
      </c>
      <c r="AP86" s="17" t="str">
        <f aca="false">IF(AH87&lt;AH86,"FITS BITCH",IF(AH87&gt;AH86,"no"))</f>
        <v>no</v>
      </c>
      <c r="AQ86" s="17" t="str">
        <f aca="false">IF(AI87&lt;AI86,"FITS BITCH",IF(AI87&gt;AI86,"no"))</f>
        <v>no</v>
      </c>
      <c r="AR86" s="17" t="str">
        <f aca="false">IF(AJ86&lt;AH87,"FITS BITCH",IF(AJ86&gt;AH87,"no"))</f>
        <v>FITS BITCH</v>
      </c>
      <c r="AS86" s="17" t="str">
        <f aca="false">IF(AJ86&gt;AJ87,"FITS BITCH",IF(AJ86&lt;AJ87,"no"))</f>
        <v>FITS BITCH</v>
      </c>
      <c r="AT86" s="91" t="str">
        <f aca="false">IF(AND($AO86="FITS BITCH",$AP86="FITS BITCH",$AR86="FITS BITCH"),"BULLISH","")</f>
        <v/>
      </c>
      <c r="AU86" s="91" t="str">
        <f aca="false">IF(AND($AO86="FITS BITCH",$AQ86="FITS BITCH",$AS86="FITS BITCH"),"BEARISH","")</f>
        <v/>
      </c>
      <c r="AV86" s="86"/>
      <c r="AW86" s="86"/>
      <c r="AX86" s="86"/>
      <c r="AY86" s="0"/>
      <c r="AZ86" s="0"/>
      <c r="BA86" s="0"/>
      <c r="BB86" s="0"/>
      <c r="BC86" s="0"/>
      <c r="BD86" s="0"/>
      <c r="BE86" s="0"/>
      <c r="BF86" s="0"/>
      <c r="BG86" s="0"/>
      <c r="BH86" s="0"/>
      <c r="BI86" s="0"/>
      <c r="BJ86" s="0"/>
      <c r="BK86" s="128"/>
      <c r="BL86" s="0"/>
      <c r="BM86" s="0"/>
      <c r="CG86" s="40" t="n">
        <v>78</v>
      </c>
      <c r="CH86" s="60" t="n">
        <v>117.51333925516</v>
      </c>
      <c r="CL86" s="99" t="n">
        <v>43010</v>
      </c>
      <c r="CM86" s="23" t="n">
        <f aca="false">$BA$68*CL86+$BA$70</f>
        <v>166.123794276506</v>
      </c>
    </row>
    <row r="87" customFormat="false" ht="15" hidden="false" customHeight="true" outlineLevel="0" collapsed="false">
      <c r="A87" s="0"/>
      <c r="B87" s="0"/>
      <c r="C87" s="57"/>
      <c r="D87" s="57"/>
      <c r="E87" s="57"/>
      <c r="AE87" s="90" t="n">
        <f aca="false">Data!A82</f>
        <v>42851</v>
      </c>
      <c r="AF87" s="17" t="n">
        <f aca="false">Data!B82</f>
        <v>144.47</v>
      </c>
      <c r="AG87" s="17" t="n">
        <f aca="false">Data!F82</f>
        <v>20041241</v>
      </c>
      <c r="AH87" s="17" t="n">
        <f aca="false">Data!C82</f>
        <v>144.6</v>
      </c>
      <c r="AI87" s="17" t="n">
        <f aca="false">Data!D82</f>
        <v>143.38</v>
      </c>
      <c r="AJ87" s="17" t="n">
        <f aca="false">Data!E82</f>
        <v>143.68</v>
      </c>
      <c r="AK87" s="17" t="n">
        <f aca="false">Data!F82</f>
        <v>20041241</v>
      </c>
      <c r="AL87" s="17" t="n">
        <f aca="false">AJ87</f>
        <v>143.68</v>
      </c>
      <c r="AM87" s="17" t="n">
        <f aca="false">(AL87-AL86)/AL87*100</f>
        <v>-0.0765590200445331</v>
      </c>
      <c r="AN87" s="17" t="n">
        <f aca="false">(AK87-AK86)/AK87*100</f>
        <v>28.9148461415139</v>
      </c>
      <c r="AO87" s="17" t="str">
        <f aca="false">IF(AN87&lt;-8,"FITS BITCH",IF(AN87&gt;-8,"no"))</f>
        <v>no</v>
      </c>
      <c r="AP87" s="17" t="str">
        <f aca="false">IF(AH88&lt;AH87,"FITS BITCH",IF(AH88&gt;AH87,"no"))</f>
        <v>no</v>
      </c>
      <c r="AQ87" s="17" t="str">
        <f aca="false">IF(AI88&lt;AI87,"FITS BITCH",IF(AI88&gt;AI87,"no"))</f>
        <v>no</v>
      </c>
      <c r="AR87" s="17" t="str">
        <f aca="false">IF(AJ87&lt;AH88,"FITS BITCH",IF(AJ87&gt;AH88,"no"))</f>
        <v>FITS BITCH</v>
      </c>
      <c r="AS87" s="17" t="str">
        <f aca="false">IF(AJ87&gt;AJ88,"FITS BITCH",IF(AJ87&lt;AJ88,"no"))</f>
        <v>no</v>
      </c>
      <c r="AT87" s="91" t="str">
        <f aca="false">IF(AND($AO87="FITS BITCH",$AP87="FITS BITCH",$AR87="FITS BITCH"),"BULLISH","")</f>
        <v/>
      </c>
      <c r="AU87" s="91" t="str">
        <f aca="false">IF(AND($AO87="FITS BITCH",$AQ87="FITS BITCH",$AS87="FITS BITCH"),"BEARISH","")</f>
        <v/>
      </c>
      <c r="AV87" s="86"/>
      <c r="AW87" s="86"/>
      <c r="AX87" s="86"/>
      <c r="AY87" s="0"/>
      <c r="BL87" s="0"/>
      <c r="BM87" s="0"/>
      <c r="CG87" s="40" t="n">
        <v>79</v>
      </c>
      <c r="CH87" s="60" t="n">
        <v>117.51333925516</v>
      </c>
      <c r="CL87" s="99" t="n">
        <v>43007</v>
      </c>
      <c r="CM87" s="23" t="n">
        <f aca="false">$BA$68*CL87+$BA$70</f>
        <v>165.661439585777</v>
      </c>
    </row>
    <row r="88" customFormat="false" ht="15" hidden="false" customHeight="true" outlineLevel="0" collapsed="false">
      <c r="A88" s="0"/>
      <c r="B88" s="0"/>
      <c r="C88" s="57"/>
      <c r="D88" s="57"/>
      <c r="E88" s="57"/>
      <c r="AE88" s="90" t="n">
        <f aca="false">Data!A83</f>
        <v>42850</v>
      </c>
      <c r="AF88" s="17" t="n">
        <f aca="false">Data!B83</f>
        <v>143.91</v>
      </c>
      <c r="AG88" s="17" t="n">
        <f aca="false">Data!F83</f>
        <v>18871501</v>
      </c>
      <c r="AH88" s="17" t="n">
        <f aca="false">Data!C83</f>
        <v>144.9</v>
      </c>
      <c r="AI88" s="17" t="n">
        <f aca="false">Data!D83</f>
        <v>143.87</v>
      </c>
      <c r="AJ88" s="17" t="n">
        <f aca="false">Data!E83</f>
        <v>144.53</v>
      </c>
      <c r="AK88" s="17" t="n">
        <f aca="false">Data!F83</f>
        <v>18871501</v>
      </c>
      <c r="AL88" s="17" t="n">
        <f aca="false">AJ88</f>
        <v>144.53</v>
      </c>
      <c r="AM88" s="17" t="n">
        <f aca="false">(AL88-AL87)/AL88*100</f>
        <v>0.588113194492489</v>
      </c>
      <c r="AN88" s="17" t="n">
        <f aca="false">(AK88-AK87)/AK88*100</f>
        <v>-6.19844706576334</v>
      </c>
      <c r="AO88" s="17" t="str">
        <f aca="false">IF(AN88&lt;-8,"FITS BITCH",IF(AN88&gt;-8,"no"))</f>
        <v>no</v>
      </c>
      <c r="AP88" s="17" t="str">
        <f aca="false">IF(AH89&lt;AH88,"FITS BITCH",IF(AH89&gt;AH88,"no"))</f>
        <v>FITS BITCH</v>
      </c>
      <c r="AQ88" s="17" t="str">
        <f aca="false">IF(AI89&lt;AI88,"FITS BITCH",IF(AI89&gt;AI88,"no"))</f>
        <v>FITS BITCH</v>
      </c>
      <c r="AR88" s="17" t="str">
        <f aca="false">IF(AJ88&lt;AH89,"FITS BITCH",IF(AJ88&gt;AH89,"no"))</f>
        <v>no</v>
      </c>
      <c r="AS88" s="17" t="str">
        <f aca="false">IF(AJ88&gt;AJ89,"FITS BITCH",IF(AJ88&lt;AJ89,"no"))</f>
        <v>FITS BITCH</v>
      </c>
      <c r="AT88" s="91" t="str">
        <f aca="false">IF(AND($AO88="FITS BITCH",$AP88="FITS BITCH",$AR88="FITS BITCH"),"BULLISH","")</f>
        <v/>
      </c>
      <c r="AU88" s="91" t="str">
        <f aca="false">IF(AND($AO88="FITS BITCH",$AQ88="FITS BITCH",$AS88="FITS BITCH"),"BEARISH","")</f>
        <v/>
      </c>
      <c r="AV88" s="86"/>
      <c r="AW88" s="86"/>
      <c r="AX88" s="86"/>
      <c r="AY88" s="0"/>
      <c r="BL88" s="0"/>
      <c r="BM88" s="0"/>
      <c r="CG88" s="40" t="n">
        <v>80</v>
      </c>
      <c r="CH88" s="60" t="n">
        <v>117.51333925516</v>
      </c>
      <c r="CL88" s="99" t="n">
        <v>43006</v>
      </c>
      <c r="CM88" s="23" t="n">
        <f aca="false">$BA$68*CL88+$BA$70</f>
        <v>165.507321355534</v>
      </c>
    </row>
    <row r="89" customFormat="false" ht="15" hidden="false" customHeight="true" outlineLevel="0" collapsed="false">
      <c r="A89" s="0"/>
      <c r="B89" s="0"/>
      <c r="C89" s="57"/>
      <c r="D89" s="57"/>
      <c r="E89" s="57"/>
      <c r="AE89" s="90" t="n">
        <f aca="false">Data!A84</f>
        <v>42849</v>
      </c>
      <c r="AF89" s="17" t="n">
        <f aca="false">Data!B84</f>
        <v>143.5</v>
      </c>
      <c r="AG89" s="17" t="n">
        <f aca="false">Data!F84</f>
        <v>17134333</v>
      </c>
      <c r="AH89" s="17" t="n">
        <f aca="false">Data!C84</f>
        <v>143.95</v>
      </c>
      <c r="AI89" s="17" t="n">
        <f aca="false">Data!D84</f>
        <v>143.18</v>
      </c>
      <c r="AJ89" s="17" t="n">
        <f aca="false">Data!E84</f>
        <v>143.64</v>
      </c>
      <c r="AK89" s="17" t="n">
        <f aca="false">Data!F84</f>
        <v>17134333</v>
      </c>
      <c r="AL89" s="17" t="n">
        <f aca="false">AJ89</f>
        <v>143.64</v>
      </c>
      <c r="AM89" s="17" t="n">
        <f aca="false">(AL89-AL88)/AL89*100</f>
        <v>-0.619604566972998</v>
      </c>
      <c r="AN89" s="17" t="n">
        <f aca="false">(AK89-AK88)/AK89*100</f>
        <v>-10.1385212952264</v>
      </c>
      <c r="AO89" s="17" t="str">
        <f aca="false">IF(AN89&lt;-8,"FITS BITCH",IF(AN89&gt;-8,"no"))</f>
        <v>FITS BITCH</v>
      </c>
      <c r="AP89" s="17" t="str">
        <f aca="false">IF(AH90&lt;AH89,"FITS BITCH",IF(AH90&gt;AH89,"no"))</f>
        <v>FITS BITCH</v>
      </c>
      <c r="AQ89" s="17" t="str">
        <f aca="false">IF(AI90&lt;AI89,"FITS BITCH",IF(AI90&gt;AI89,"no"))</f>
        <v>FITS BITCH</v>
      </c>
      <c r="AR89" s="17" t="str">
        <f aca="false">IF(AJ89&lt;AH90,"FITS BITCH",IF(AJ89&gt;AH90,"no"))</f>
        <v>no</v>
      </c>
      <c r="AS89" s="17" t="str">
        <f aca="false">IF(AJ89&gt;AJ90,"FITS BITCH",IF(AJ89&lt;AJ90,"no"))</f>
        <v>FITS BITCH</v>
      </c>
      <c r="AT89" s="91" t="str">
        <f aca="false">IF(AND($AO89="FITS BITCH",$AP89="FITS BITCH",$AR89="FITS BITCH"),"BULLISH","")</f>
        <v/>
      </c>
      <c r="AU89" s="91" t="str">
        <f aca="false">IF(AND($AO89="FITS BITCH",$AQ89="FITS BITCH",$AS89="FITS BITCH"),"BEARISH","")</f>
        <v>BEARISH</v>
      </c>
      <c r="AV89" s="86"/>
      <c r="AW89" s="86"/>
      <c r="AX89" s="86"/>
      <c r="AY89" s="0"/>
      <c r="BL89" s="0"/>
      <c r="BM89" s="0"/>
      <c r="CG89" s="40" t="n">
        <v>81</v>
      </c>
      <c r="CH89" s="60" t="n">
        <v>117.51333925516</v>
      </c>
      <c r="CL89" s="99" t="n">
        <v>43005</v>
      </c>
      <c r="CM89" s="23" t="n">
        <f aca="false">$BA$68*CL89+$BA$70</f>
        <v>165.353203125292</v>
      </c>
    </row>
    <row r="90" customFormat="false" ht="15" hidden="false" customHeight="true" outlineLevel="0" collapsed="false">
      <c r="A90" s="0"/>
      <c r="B90" s="0"/>
      <c r="C90" s="57"/>
      <c r="D90" s="57"/>
      <c r="E90" s="57"/>
      <c r="AE90" s="90" t="n">
        <f aca="false">Data!A85</f>
        <v>42846</v>
      </c>
      <c r="AF90" s="17" t="n">
        <f aca="false">Data!B85</f>
        <v>142.44</v>
      </c>
      <c r="AG90" s="17" t="n">
        <f aca="false">Data!F85</f>
        <v>17320928</v>
      </c>
      <c r="AH90" s="17" t="n">
        <f aca="false">Data!C85</f>
        <v>142.68</v>
      </c>
      <c r="AI90" s="17" t="n">
        <f aca="false">Data!D85</f>
        <v>141.85</v>
      </c>
      <c r="AJ90" s="17" t="n">
        <f aca="false">Data!E85</f>
        <v>142.27</v>
      </c>
      <c r="AK90" s="17" t="n">
        <f aca="false">Data!F85</f>
        <v>17320928</v>
      </c>
      <c r="AL90" s="17" t="n">
        <f aca="false">AJ90</f>
        <v>142.27</v>
      </c>
      <c r="AM90" s="17" t="n">
        <f aca="false">(AL90-AL89)/AL90*100</f>
        <v>-0.9629577563787</v>
      </c>
      <c r="AN90" s="17" t="n">
        <f aca="false">(AK90-AK89)/AK90*100</f>
        <v>1.07728061683531</v>
      </c>
      <c r="AO90" s="17" t="str">
        <f aca="false">IF(AN90&lt;-8,"FITS BITCH",IF(AN90&gt;-8,"no"))</f>
        <v>no</v>
      </c>
      <c r="AP90" s="17" t="str">
        <f aca="false">IF(AH91&lt;AH90,"FITS BITCH",IF(AH91&gt;AH90,"no"))</f>
        <v>no</v>
      </c>
      <c r="AQ90" s="17" t="str">
        <f aca="false">IF(AI91&lt;AI90,"FITS BITCH",IF(AI91&gt;AI90,"no"))</f>
        <v>FITS BITCH</v>
      </c>
      <c r="AR90" s="17" t="str">
        <f aca="false">IF(AJ90&lt;AH91,"FITS BITCH",IF(AJ90&gt;AH91,"no"))</f>
        <v>FITS BITCH</v>
      </c>
      <c r="AS90" s="17" t="str">
        <f aca="false">IF(AJ90&gt;AJ91,"FITS BITCH",IF(AJ90&lt;AJ91,"no"))</f>
        <v>no</v>
      </c>
      <c r="AT90" s="91" t="str">
        <f aca="false">IF(AND($AO90="FITS BITCH",$AP90="FITS BITCH",$AR90="FITS BITCH"),"BULLISH","")</f>
        <v/>
      </c>
      <c r="AU90" s="91" t="str">
        <f aca="false">IF(AND($AO90="FITS BITCH",$AQ90="FITS BITCH",$AS90="FITS BITCH"),"BEARISH","")</f>
        <v/>
      </c>
      <c r="AV90" s="86"/>
      <c r="AW90" s="86"/>
      <c r="AX90" s="86"/>
      <c r="AY90" s="0"/>
      <c r="BL90" s="0"/>
      <c r="BM90" s="0"/>
      <c r="CG90" s="40" t="n">
        <v>82</v>
      </c>
      <c r="CH90" s="60" t="n">
        <v>117.51333925516</v>
      </c>
      <c r="CL90" s="99" t="n">
        <v>43004</v>
      </c>
      <c r="CM90" s="23" t="n">
        <f aca="false">$BA$68*CL90+$BA$70</f>
        <v>165.199084895049</v>
      </c>
    </row>
    <row r="91" customFormat="false" ht="15" hidden="false" customHeight="true" outlineLevel="0" collapsed="false">
      <c r="A91" s="0"/>
      <c r="B91" s="0"/>
      <c r="C91" s="57"/>
      <c r="D91" s="57"/>
      <c r="E91" s="57"/>
      <c r="AE91" s="90" t="n">
        <f aca="false">Data!A86</f>
        <v>42845</v>
      </c>
      <c r="AF91" s="17" t="n">
        <f aca="false">Data!B86</f>
        <v>141.22</v>
      </c>
      <c r="AG91" s="17" t="n">
        <f aca="false">Data!F86</f>
        <v>23319562</v>
      </c>
      <c r="AH91" s="17" t="n">
        <f aca="false">Data!C86</f>
        <v>142.92</v>
      </c>
      <c r="AI91" s="17" t="n">
        <f aca="false">Data!D86</f>
        <v>141.16</v>
      </c>
      <c r="AJ91" s="17" t="n">
        <f aca="false">Data!E86</f>
        <v>142.44</v>
      </c>
      <c r="AK91" s="17" t="n">
        <f aca="false">Data!F86</f>
        <v>23319562</v>
      </c>
      <c r="AL91" s="17" t="n">
        <f aca="false">AJ91</f>
        <v>142.44</v>
      </c>
      <c r="AM91" s="17" t="n">
        <f aca="false">(AL91-AL90)/AL91*100</f>
        <v>0.119348497613021</v>
      </c>
      <c r="AN91" s="17" t="n">
        <f aca="false">(AK91-AK90)/AK91*100</f>
        <v>25.7236135052622</v>
      </c>
      <c r="AO91" s="17" t="str">
        <f aca="false">IF(AN91&lt;-8,"FITS BITCH",IF(AN91&gt;-8,"no"))</f>
        <v>no</v>
      </c>
      <c r="AP91" s="17" t="str">
        <f aca="false">IF(AH92&lt;AH91,"FITS BITCH",IF(AH92&gt;AH91,"no"))</f>
        <v>FITS BITCH</v>
      </c>
      <c r="AQ91" s="17" t="str">
        <f aca="false">IF(AI92&lt;AI91,"FITS BITCH",IF(AI92&gt;AI91,"no"))</f>
        <v>FITS BITCH</v>
      </c>
      <c r="AR91" s="17" t="str">
        <f aca="false">IF(AJ91&lt;AH92,"FITS BITCH",IF(AJ91&gt;AH92,"no"))</f>
        <v>no</v>
      </c>
      <c r="AS91" s="17" t="str">
        <f aca="false">IF(AJ91&gt;AJ92,"FITS BITCH",IF(AJ91&lt;AJ92,"no"))</f>
        <v>FITS BITCH</v>
      </c>
      <c r="AT91" s="91" t="str">
        <f aca="false">IF(AND($AO91="FITS BITCH",$AP91="FITS BITCH",$AR91="FITS BITCH"),"BULLISH","")</f>
        <v/>
      </c>
      <c r="AU91" s="91" t="str">
        <f aca="false">IF(AND($AO91="FITS BITCH",$AQ91="FITS BITCH",$AS91="FITS BITCH"),"BEARISH","")</f>
        <v/>
      </c>
      <c r="AV91" s="86"/>
      <c r="AW91" s="86"/>
      <c r="AX91" s="86"/>
      <c r="AY91" s="0"/>
      <c r="AZ91" s="0"/>
      <c r="BA91" s="0"/>
      <c r="BB91" s="0"/>
      <c r="BC91" s="0"/>
      <c r="BD91" s="0"/>
      <c r="BE91" s="0"/>
      <c r="BF91" s="0"/>
      <c r="BG91" s="0"/>
      <c r="BH91" s="0"/>
      <c r="BI91" s="0"/>
      <c r="BJ91" s="0"/>
      <c r="BK91" s="128"/>
      <c r="BL91" s="0"/>
      <c r="BM91" s="0"/>
      <c r="CG91" s="40" t="n">
        <v>83</v>
      </c>
      <c r="CH91" s="60" t="n">
        <v>117.51333925516</v>
      </c>
      <c r="CL91" s="99" t="n">
        <v>43003</v>
      </c>
      <c r="CM91" s="23" t="n">
        <f aca="false">$BA$68*CL91+$BA$70</f>
        <v>165.044966664806</v>
      </c>
    </row>
    <row r="92" customFormat="false" ht="15" hidden="false" customHeight="true" outlineLevel="0" collapsed="false">
      <c r="A92" s="0"/>
      <c r="B92" s="0"/>
      <c r="C92" s="57"/>
      <c r="D92" s="57"/>
      <c r="E92" s="57"/>
      <c r="AE92" s="90" t="n">
        <f aca="false">Data!A87</f>
        <v>42844</v>
      </c>
      <c r="AF92" s="17" t="n">
        <f aca="false">Data!B87</f>
        <v>141.88</v>
      </c>
      <c r="AG92" s="17" t="n">
        <f aca="false">Data!F87</f>
        <v>17328375</v>
      </c>
      <c r="AH92" s="17" t="n">
        <f aca="false">Data!C87</f>
        <v>142</v>
      </c>
      <c r="AI92" s="17" t="n">
        <f aca="false">Data!D87</f>
        <v>140.45</v>
      </c>
      <c r="AJ92" s="17" t="n">
        <f aca="false">Data!E87</f>
        <v>140.68</v>
      </c>
      <c r="AK92" s="17" t="n">
        <f aca="false">Data!F87</f>
        <v>17328375</v>
      </c>
      <c r="AL92" s="17" t="n">
        <f aca="false">AJ92</f>
        <v>140.68</v>
      </c>
      <c r="AM92" s="17" t="n">
        <f aca="false">(AL92-AL91)/AL92*100</f>
        <v>-1.25106624964458</v>
      </c>
      <c r="AN92" s="17" t="n">
        <f aca="false">(AK92-AK91)/AK92*100</f>
        <v>-34.5744306664647</v>
      </c>
      <c r="AO92" s="17" t="str">
        <f aca="false">IF(AN92&lt;-8,"FITS BITCH",IF(AN92&gt;-8,"no"))</f>
        <v>FITS BITCH</v>
      </c>
      <c r="AP92" s="17" t="str">
        <f aca="false">IF(AH93&lt;AH92,"FITS BITCH",IF(AH93&gt;AH92,"no"))</f>
        <v>no</v>
      </c>
      <c r="AQ92" s="17" t="str">
        <f aca="false">IF(AI93&lt;AI92,"FITS BITCH",IF(AI93&gt;AI92,"no"))</f>
        <v>no</v>
      </c>
      <c r="AR92" s="17" t="str">
        <f aca="false">IF(AJ92&lt;AH93,"FITS BITCH",IF(AJ92&gt;AH93,"no"))</f>
        <v>FITS BITCH</v>
      </c>
      <c r="AS92" s="17" t="str">
        <f aca="false">IF(AJ92&gt;AJ93,"FITS BITCH",IF(AJ92&lt;AJ93,"no"))</f>
        <v>no</v>
      </c>
      <c r="AT92" s="91" t="str">
        <f aca="false">IF(AND($AO92="FITS BITCH",$AP92="FITS BITCH",$AR92="FITS BITCH"),"BULLISH","")</f>
        <v/>
      </c>
      <c r="AU92" s="91" t="str">
        <f aca="false">IF(AND($AO92="FITS BITCH",$AQ92="FITS BITCH",$AS92="FITS BITCH"),"BEARISH","")</f>
        <v/>
      </c>
      <c r="AV92" s="86"/>
      <c r="AW92" s="86"/>
      <c r="AX92" s="86"/>
      <c r="AY92" s="0"/>
      <c r="BL92" s="0"/>
      <c r="BM92" s="0"/>
      <c r="CG92" s="40" t="n">
        <v>84</v>
      </c>
      <c r="CH92" s="60" t="n">
        <v>117.51333925516</v>
      </c>
      <c r="CL92" s="99" t="n">
        <v>43000</v>
      </c>
      <c r="CM92" s="23" t="n">
        <f aca="false">$BA$68*CL92+$BA$70</f>
        <v>164.582611974079</v>
      </c>
    </row>
    <row r="93" customFormat="false" ht="15" hidden="false" customHeight="true" outlineLevel="0" collapsed="false">
      <c r="A93" s="0"/>
      <c r="B93" s="0"/>
      <c r="C93" s="57"/>
      <c r="D93" s="57"/>
      <c r="E93" s="57"/>
      <c r="AE93" s="90" t="n">
        <f aca="false">Data!A88</f>
        <v>42843</v>
      </c>
      <c r="AF93" s="17" t="n">
        <f aca="false">Data!B88</f>
        <v>141.41</v>
      </c>
      <c r="AG93" s="17" t="n">
        <f aca="false">Data!F88</f>
        <v>14697544</v>
      </c>
      <c r="AH93" s="17" t="n">
        <f aca="false">Data!C88</f>
        <v>142.04</v>
      </c>
      <c r="AI93" s="17" t="n">
        <f aca="false">Data!D88</f>
        <v>141.11</v>
      </c>
      <c r="AJ93" s="17" t="n">
        <f aca="false">Data!E88</f>
        <v>141.2</v>
      </c>
      <c r="AK93" s="17" t="n">
        <f aca="false">Data!F88</f>
        <v>14697544</v>
      </c>
      <c r="AL93" s="17" t="n">
        <f aca="false">AJ93</f>
        <v>141.2</v>
      </c>
      <c r="AM93" s="17" t="n">
        <f aca="false">(AL93-AL92)/AL93*100</f>
        <v>0.368271954674208</v>
      </c>
      <c r="AN93" s="17" t="n">
        <f aca="false">(AK93-AK92)/AK93*100</f>
        <v>-17.899800129872</v>
      </c>
      <c r="AO93" s="17" t="str">
        <f aca="false">IF(AN93&lt;-8,"FITS BITCH",IF(AN93&gt;-8,"no"))</f>
        <v>FITS BITCH</v>
      </c>
      <c r="AP93" s="17" t="str">
        <f aca="false">IF(AH94&lt;AH93,"FITS BITCH",IF(AH94&gt;AH93,"no"))</f>
        <v>FITS BITCH</v>
      </c>
      <c r="AQ93" s="17" t="str">
        <f aca="false">IF(AI94&lt;AI93,"FITS BITCH",IF(AI94&gt;AI93,"no"))</f>
        <v>FITS BITCH</v>
      </c>
      <c r="AR93" s="17" t="str">
        <f aca="false">IF(AJ93&lt;AH94,"FITS BITCH",IF(AJ93&gt;AH94,"no"))</f>
        <v>FITS BITCH</v>
      </c>
      <c r="AS93" s="17" t="str">
        <f aca="false">IF(AJ93&gt;AJ94,"FITS BITCH",IF(AJ93&lt;AJ94,"no"))</f>
        <v>no</v>
      </c>
      <c r="AT93" s="91" t="str">
        <f aca="false">IF(AND($AO93="FITS BITCH",$AP93="FITS BITCH",$AR93="FITS BITCH"),"BULLISH","")</f>
        <v>BULLISH</v>
      </c>
      <c r="AU93" s="91" t="str">
        <f aca="false">IF(AND($AO93="FITS BITCH",$AQ93="FITS BITCH",$AS93="FITS BITCH"),"BEARISH","")</f>
        <v/>
      </c>
      <c r="AV93" s="86"/>
      <c r="AW93" s="86"/>
      <c r="AX93" s="86"/>
      <c r="AY93" s="0"/>
      <c r="BL93" s="0"/>
      <c r="BM93" s="0"/>
      <c r="CG93" s="40" t="n">
        <v>85</v>
      </c>
      <c r="CH93" s="60" t="n">
        <v>117.51333925516</v>
      </c>
      <c r="CL93" s="99" t="n">
        <v>42999</v>
      </c>
      <c r="CM93" s="23" t="n">
        <f aca="false">$BA$68*CL93+$BA$70</f>
        <v>164.428493743835</v>
      </c>
    </row>
    <row r="94" customFormat="false" ht="15" hidden="false" customHeight="true" outlineLevel="0" collapsed="false">
      <c r="A94" s="0"/>
      <c r="B94" s="0"/>
      <c r="C94" s="57"/>
      <c r="D94" s="57"/>
      <c r="E94" s="57"/>
      <c r="AE94" s="90" t="n">
        <f aca="false">Data!A89</f>
        <v>42842</v>
      </c>
      <c r="AF94" s="17" t="n">
        <f aca="false">Data!B89</f>
        <v>141.48</v>
      </c>
      <c r="AG94" s="17" t="n">
        <f aca="false">Data!F89</f>
        <v>16582094</v>
      </c>
      <c r="AH94" s="17" t="n">
        <f aca="false">Data!C89</f>
        <v>141.88</v>
      </c>
      <c r="AI94" s="17" t="n">
        <f aca="false">Data!D89</f>
        <v>140.87</v>
      </c>
      <c r="AJ94" s="17" t="n">
        <f aca="false">Data!E89</f>
        <v>141.83</v>
      </c>
      <c r="AK94" s="17" t="n">
        <f aca="false">Data!F89</f>
        <v>16582094</v>
      </c>
      <c r="AL94" s="17" t="n">
        <f aca="false">AJ94</f>
        <v>141.83</v>
      </c>
      <c r="AM94" s="17" t="n">
        <f aca="false">(AL94-AL93)/AL94*100</f>
        <v>0.444193753084696</v>
      </c>
      <c r="AN94" s="17" t="n">
        <f aca="false">(AK94-AK93)/AK94*100</f>
        <v>11.36496994891</v>
      </c>
      <c r="AO94" s="17" t="str">
        <f aca="false">IF(AN94&lt;-8,"FITS BITCH",IF(AN94&gt;-8,"no"))</f>
        <v>no</v>
      </c>
      <c r="AP94" s="17" t="str">
        <f aca="false">IF(AH95&lt;AH94,"FITS BITCH",IF(AH95&gt;AH94,"no"))</f>
        <v>no</v>
      </c>
      <c r="AQ94" s="17" t="str">
        <f aca="false">IF(AI95&lt;AI94,"FITS BITCH",IF(AI95&gt;AI94,"no"))</f>
        <v>no</v>
      </c>
      <c r="AR94" s="17" t="str">
        <f aca="false">IF(AJ94&lt;AH95,"FITS BITCH",IF(AJ94&gt;AH95,"no"))</f>
        <v>FITS BITCH</v>
      </c>
      <c r="AS94" s="17" t="str">
        <f aca="false">IF(AJ94&gt;AJ95,"FITS BITCH",IF(AJ94&lt;AJ95,"no"))</f>
        <v>FITS BITCH</v>
      </c>
      <c r="AT94" s="91" t="str">
        <f aca="false">IF(AND($AO94="FITS BITCH",$AP94="FITS BITCH",$AR94="FITS BITCH"),"BULLISH","")</f>
        <v/>
      </c>
      <c r="AU94" s="91" t="str">
        <f aca="false">IF(AND($AO94="FITS BITCH",$AQ94="FITS BITCH",$AS94="FITS BITCH"),"BEARISH","")</f>
        <v/>
      </c>
      <c r="AV94" s="86"/>
      <c r="AW94" s="86"/>
      <c r="AX94" s="86"/>
      <c r="AY94" s="0"/>
      <c r="BL94" s="0"/>
      <c r="BM94" s="0"/>
      <c r="CG94" s="40" t="n">
        <v>86</v>
      </c>
      <c r="CH94" s="60" t="n">
        <v>117.51333925516</v>
      </c>
      <c r="CL94" s="99" t="n">
        <v>42998</v>
      </c>
      <c r="CM94" s="23" t="n">
        <f aca="false">$BA$68*CL94+$BA$70</f>
        <v>164.274375513593</v>
      </c>
    </row>
    <row r="95" customFormat="false" ht="15" hidden="false" customHeight="true" outlineLevel="0" collapsed="false">
      <c r="A95" s="0"/>
      <c r="B95" s="0"/>
      <c r="C95" s="57"/>
      <c r="D95" s="57"/>
      <c r="E95" s="57"/>
      <c r="AE95" s="90" t="n">
        <f aca="false">Data!A90</f>
        <v>42838</v>
      </c>
      <c r="AF95" s="17" t="n">
        <f aca="false">Data!B90</f>
        <v>141.91</v>
      </c>
      <c r="AG95" s="17" t="n">
        <f aca="false">Data!F90</f>
        <v>17822880</v>
      </c>
      <c r="AH95" s="17" t="n">
        <f aca="false">Data!C90</f>
        <v>142.38</v>
      </c>
      <c r="AI95" s="17" t="n">
        <f aca="false">Data!D90</f>
        <v>141.05</v>
      </c>
      <c r="AJ95" s="17" t="n">
        <f aca="false">Data!E90</f>
        <v>141.05</v>
      </c>
      <c r="AK95" s="17" t="n">
        <f aca="false">Data!F90</f>
        <v>17822880</v>
      </c>
      <c r="AL95" s="17" t="n">
        <f aca="false">AJ95</f>
        <v>141.05</v>
      </c>
      <c r="AM95" s="17" t="n">
        <f aca="false">(AL95-AL94)/AL95*100</f>
        <v>-0.55299539170507</v>
      </c>
      <c r="AN95" s="17" t="n">
        <f aca="false">(AK95-AK94)/AK95*100</f>
        <v>6.96175926674028</v>
      </c>
      <c r="AO95" s="17" t="str">
        <f aca="false">IF(AN95&lt;-8,"FITS BITCH",IF(AN95&gt;-8,"no"))</f>
        <v>no</v>
      </c>
      <c r="AP95" s="17" t="str">
        <f aca="false">IF(AH96&lt;AH95,"FITS BITCH",IF(AH96&gt;AH95,"no"))</f>
        <v>FITS BITCH</v>
      </c>
      <c r="AQ95" s="17" t="str">
        <f aca="false">IF(AI96&lt;AI95,"FITS BITCH",IF(AI96&gt;AI95,"no"))</f>
        <v>FITS BITCH</v>
      </c>
      <c r="AR95" s="17" t="str">
        <f aca="false">IF(AJ95&lt;AH96,"FITS BITCH",IF(AJ95&gt;AH96,"no"))</f>
        <v>FITS BITCH</v>
      </c>
      <c r="AS95" s="17" t="str">
        <f aca="false">IF(AJ95&gt;AJ96,"FITS BITCH",IF(AJ95&lt;AJ96,"no"))</f>
        <v>no</v>
      </c>
      <c r="AT95" s="91" t="str">
        <f aca="false">IF(AND($AO95="FITS BITCH",$AP95="FITS BITCH",$AR95="FITS BITCH"),"BULLISH","")</f>
        <v/>
      </c>
      <c r="AU95" s="91" t="str">
        <f aca="false">IF(AND($AO95="FITS BITCH",$AQ95="FITS BITCH",$AS95="FITS BITCH"),"BEARISH","")</f>
        <v/>
      </c>
      <c r="AV95" s="86"/>
      <c r="AW95" s="86"/>
      <c r="AX95" s="86"/>
      <c r="AY95" s="0"/>
      <c r="AZ95" s="84" t="s">
        <v>126</v>
      </c>
      <c r="BL95" s="0"/>
      <c r="BM95" s="0"/>
      <c r="CG95" s="40" t="n">
        <v>87</v>
      </c>
      <c r="CH95" s="60" t="n">
        <v>117.51333925516</v>
      </c>
      <c r="CL95" s="99" t="n">
        <v>42997</v>
      </c>
      <c r="CM95" s="23" t="n">
        <f aca="false">$BA$68*CL95+$BA$70</f>
        <v>164.12025728335</v>
      </c>
    </row>
    <row r="96" customFormat="false" ht="15" hidden="false" customHeight="true" outlineLevel="0" collapsed="false">
      <c r="A96" s="0"/>
      <c r="B96" s="0"/>
      <c r="C96" s="0"/>
      <c r="D96" s="0"/>
      <c r="E96" s="0"/>
      <c r="AE96" s="90" t="n">
        <f aca="false">Data!A91</f>
        <v>42837</v>
      </c>
      <c r="AF96" s="17" t="n">
        <f aca="false">Data!B91</f>
        <v>141.6</v>
      </c>
      <c r="AG96" s="17" t="n">
        <f aca="false">Data!F91</f>
        <v>20350000</v>
      </c>
      <c r="AH96" s="17" t="n">
        <f aca="false">Data!C91</f>
        <v>142.15</v>
      </c>
      <c r="AI96" s="17" t="n">
        <f aca="false">Data!D91</f>
        <v>141.01</v>
      </c>
      <c r="AJ96" s="17" t="n">
        <f aca="false">Data!E91</f>
        <v>141.8</v>
      </c>
      <c r="AK96" s="17" t="n">
        <f aca="false">Data!F91</f>
        <v>20350000</v>
      </c>
      <c r="AL96" s="17" t="n">
        <f aca="false">AJ96</f>
        <v>141.8</v>
      </c>
      <c r="AM96" s="17" t="n">
        <f aca="false">(AL96-AL95)/AL96*100</f>
        <v>0.528913963328632</v>
      </c>
      <c r="AN96" s="17" t="n">
        <f aca="false">(AK96-AK95)/AK96*100</f>
        <v>12.4182800982801</v>
      </c>
      <c r="AO96" s="17" t="str">
        <f aca="false">IF(AN96&lt;-8,"FITS BITCH",IF(AN96&gt;-8,"no"))</f>
        <v>no</v>
      </c>
      <c r="AP96" s="17" t="str">
        <f aca="false">IF(AH97&lt;AH96,"FITS BITCH",IF(AH97&gt;AH96,"no"))</f>
        <v>no</v>
      </c>
      <c r="AQ96" s="17" t="str">
        <f aca="false">IF(AI97&lt;AI96,"FITS BITCH",IF(AI97&gt;AI96,"no"))</f>
        <v>FITS BITCH</v>
      </c>
      <c r="AR96" s="17" t="str">
        <f aca="false">IF(AJ96&lt;AH97,"FITS BITCH",IF(AJ96&gt;AH97,"no"))</f>
        <v>FITS BITCH</v>
      </c>
      <c r="AS96" s="17" t="str">
        <f aca="false">IF(AJ96&gt;AJ97,"FITS BITCH",IF(AJ96&lt;AJ97,"no"))</f>
        <v>FITS BITCH</v>
      </c>
      <c r="AT96" s="91" t="str">
        <f aca="false">IF(AND($AO96="FITS BITCH",$AP96="FITS BITCH",$AR96="FITS BITCH"),"BULLISH","")</f>
        <v/>
      </c>
      <c r="AU96" s="91" t="str">
        <f aca="false">IF(AND($AO96="FITS BITCH",$AQ96="FITS BITCH",$AS96="FITS BITCH"),"BEARISH","")</f>
        <v/>
      </c>
      <c r="AV96" s="86"/>
      <c r="AW96" s="86"/>
      <c r="AX96" s="86"/>
      <c r="AY96" s="0"/>
      <c r="AZ96" s="39" t="s">
        <v>132</v>
      </c>
      <c r="BA96" s="40"/>
      <c r="BB96" s="40"/>
      <c r="BC96" s="40"/>
      <c r="BD96" s="40"/>
      <c r="BE96" s="40"/>
      <c r="BF96" s="40"/>
      <c r="BG96" s="40"/>
      <c r="BH96" s="40"/>
      <c r="BI96" s="40"/>
      <c r="BJ96" s="40"/>
      <c r="BK96" s="127"/>
      <c r="BL96" s="0"/>
      <c r="BM96" s="0"/>
      <c r="CG96" s="40" t="n">
        <v>88</v>
      </c>
      <c r="CH96" s="60" t="n">
        <v>117.51333925516</v>
      </c>
      <c r="CL96" s="99" t="n">
        <v>42996</v>
      </c>
      <c r="CM96" s="23" t="n">
        <f aca="false">$BA$68*CL96+$BA$70</f>
        <v>163.966139053107</v>
      </c>
    </row>
    <row r="97" customFormat="false" ht="15" hidden="false" customHeight="true" outlineLevel="0" collapsed="false">
      <c r="A97" s="0"/>
      <c r="B97" s="0"/>
      <c r="C97" s="57"/>
      <c r="D97" s="57"/>
      <c r="E97" s="57"/>
      <c r="AE97" s="90" t="n">
        <f aca="false">Data!A92</f>
        <v>42836</v>
      </c>
      <c r="AF97" s="17" t="n">
        <f aca="false">Data!B92</f>
        <v>142.94</v>
      </c>
      <c r="AG97" s="17" t="n">
        <f aca="false">Data!F92</f>
        <v>30379376</v>
      </c>
      <c r="AH97" s="17" t="n">
        <f aca="false">Data!C92</f>
        <v>143.35</v>
      </c>
      <c r="AI97" s="17" t="n">
        <f aca="false">Data!D92</f>
        <v>140.06</v>
      </c>
      <c r="AJ97" s="17" t="n">
        <f aca="false">Data!E92</f>
        <v>141.63</v>
      </c>
      <c r="AK97" s="17" t="n">
        <f aca="false">Data!F92</f>
        <v>30379376</v>
      </c>
      <c r="AL97" s="17" t="n">
        <f aca="false">AJ97</f>
        <v>141.63</v>
      </c>
      <c r="AM97" s="17" t="n">
        <f aca="false">(AL97-AL96)/AL97*100</f>
        <v>-0.120031066864376</v>
      </c>
      <c r="AN97" s="17" t="n">
        <f aca="false">(AK97-AK96)/AK97*100</f>
        <v>33.0137656546994</v>
      </c>
      <c r="AO97" s="17" t="str">
        <f aca="false">IF(AN97&lt;-8,"FITS BITCH",IF(AN97&gt;-8,"no"))</f>
        <v>no</v>
      </c>
      <c r="AP97" s="17" t="str">
        <f aca="false">IF(AH98&lt;AH97,"FITS BITCH",IF(AH98&gt;AH97,"no"))</f>
        <v>no</v>
      </c>
      <c r="AQ97" s="17" t="str">
        <f aca="false">IF(AI98&lt;AI97,"FITS BITCH",IF(AI98&gt;AI97,"no"))</f>
        <v>no</v>
      </c>
      <c r="AR97" s="17" t="str">
        <f aca="false">IF(AJ97&lt;AH98,"FITS BITCH",IF(AJ97&gt;AH98,"no"))</f>
        <v>FITS BITCH</v>
      </c>
      <c r="AS97" s="17" t="str">
        <f aca="false">IF(AJ97&gt;AJ98,"FITS BITCH",IF(AJ97&lt;AJ98,"no"))</f>
        <v>no</v>
      </c>
      <c r="AT97" s="91" t="str">
        <f aca="false">IF(AND($AO97="FITS BITCH",$AP97="FITS BITCH",$AR97="FITS BITCH"),"BULLISH","")</f>
        <v/>
      </c>
      <c r="AU97" s="91" t="str">
        <f aca="false">IF(AND($AO97="FITS BITCH",$AQ97="FITS BITCH",$AS97="FITS BITCH"),"BEARISH","")</f>
        <v/>
      </c>
      <c r="AV97" s="86"/>
      <c r="AW97" s="86"/>
      <c r="AX97" s="86"/>
      <c r="AY97" s="0"/>
      <c r="AZ97" s="41" t="s">
        <v>128</v>
      </c>
      <c r="BA97" s="42" t="n">
        <f aca="false">SLOPE(AJ7:AJ195,AE7:AE195)</f>
        <v>0.172441848182165</v>
      </c>
      <c r="BB97" s="41"/>
      <c r="BC97" s="41"/>
      <c r="BD97" s="41"/>
      <c r="BE97" s="41"/>
      <c r="BF97" s="41"/>
      <c r="BG97" s="0"/>
      <c r="BH97" s="0"/>
      <c r="BI97" s="0"/>
      <c r="BJ97" s="0"/>
      <c r="BK97" s="128"/>
      <c r="BL97" s="0"/>
      <c r="BM97" s="0"/>
      <c r="CG97" s="40" t="n">
        <v>89</v>
      </c>
      <c r="CH97" s="60" t="n">
        <v>117.51333925516</v>
      </c>
      <c r="CL97" s="99" t="n">
        <v>42993</v>
      </c>
      <c r="CM97" s="23" t="n">
        <f aca="false">$BA$68*CL97+$BA$70</f>
        <v>163.50378436238</v>
      </c>
    </row>
    <row r="98" customFormat="false" ht="15" hidden="false" customHeight="true" outlineLevel="0" collapsed="false">
      <c r="A98" s="0"/>
      <c r="B98" s="0"/>
      <c r="C98" s="57"/>
      <c r="D98" s="57"/>
      <c r="E98" s="57"/>
      <c r="AE98" s="90" t="n">
        <f aca="false">Data!A93</f>
        <v>42835</v>
      </c>
      <c r="AF98" s="17" t="n">
        <f aca="false">Data!B93</f>
        <v>143.6</v>
      </c>
      <c r="AG98" s="17" t="n">
        <f aca="false">Data!F93</f>
        <v>18933397</v>
      </c>
      <c r="AH98" s="17" t="n">
        <f aca="false">Data!C93</f>
        <v>143.88</v>
      </c>
      <c r="AI98" s="17" t="n">
        <f aca="false">Data!D93</f>
        <v>142.9</v>
      </c>
      <c r="AJ98" s="17" t="n">
        <f aca="false">Data!E93</f>
        <v>143.17</v>
      </c>
      <c r="AK98" s="17" t="n">
        <f aca="false">Data!F93</f>
        <v>18933397</v>
      </c>
      <c r="AL98" s="17" t="n">
        <f aca="false">AJ98</f>
        <v>143.17</v>
      </c>
      <c r="AM98" s="17" t="n">
        <f aca="false">(AL98-AL97)/AL98*100</f>
        <v>1.07564433889781</v>
      </c>
      <c r="AN98" s="17" t="n">
        <f aca="false">(AK98-AK97)/AK98*100</f>
        <v>-60.4539111497002</v>
      </c>
      <c r="AO98" s="17" t="str">
        <f aca="false">IF(AN98&lt;-8,"FITS BITCH",IF(AN98&gt;-8,"no"))</f>
        <v>FITS BITCH</v>
      </c>
      <c r="AP98" s="17" t="str">
        <f aca="false">IF(AH99&lt;AH98,"FITS BITCH",IF(AH99&gt;AH98,"no"))</f>
        <v>no</v>
      </c>
      <c r="AQ98" s="17" t="str">
        <f aca="false">IF(AI99&lt;AI98,"FITS BITCH",IF(AI99&gt;AI98,"no"))</f>
        <v>no</v>
      </c>
      <c r="AR98" s="17" t="str">
        <f aca="false">IF(AJ98&lt;AH99,"FITS BITCH",IF(AJ98&gt;AH99,"no"))</f>
        <v>FITS BITCH</v>
      </c>
      <c r="AS98" s="17" t="str">
        <f aca="false">IF(AJ98&gt;AJ99,"FITS BITCH",IF(AJ98&lt;AJ99,"no"))</f>
        <v>no</v>
      </c>
      <c r="AT98" s="91" t="str">
        <f aca="false">IF(AND($AO98="FITS BITCH",$AP98="FITS BITCH",$AR98="FITS BITCH"),"BULLISH","")</f>
        <v/>
      </c>
      <c r="AU98" s="91" t="str">
        <f aca="false">IF(AND($AO98="FITS BITCH",$AQ98="FITS BITCH",$AS98="FITS BITCH"),"BEARISH","")</f>
        <v/>
      </c>
      <c r="AV98" s="86"/>
      <c r="AW98" s="86"/>
      <c r="AX98" s="86"/>
      <c r="AY98" s="0"/>
      <c r="AZ98" s="41" t="s">
        <v>129</v>
      </c>
      <c r="BA98" s="42" t="n">
        <f aca="false">RSQ(AJ7:AJ195,AE7:AE195)</f>
        <v>0.8526380792264</v>
      </c>
      <c r="BB98" s="41"/>
      <c r="BC98" s="41"/>
      <c r="BD98" s="41"/>
      <c r="BE98" s="41"/>
      <c r="BF98" s="41"/>
      <c r="BG98" s="0"/>
      <c r="BH98" s="0"/>
      <c r="BI98" s="0"/>
      <c r="BJ98" s="0"/>
      <c r="BK98" s="128"/>
      <c r="BL98" s="0"/>
      <c r="BM98" s="0"/>
      <c r="CG98" s="40" t="n">
        <v>90</v>
      </c>
      <c r="CH98" s="60" t="n">
        <v>117.51333925516</v>
      </c>
      <c r="CL98" s="99" t="n">
        <v>42992</v>
      </c>
      <c r="CM98" s="23" t="n">
        <f aca="false">$BA$68*CL98+$BA$70</f>
        <v>163.349666132137</v>
      </c>
    </row>
    <row r="99" customFormat="false" ht="15" hidden="false" customHeight="true" outlineLevel="0" collapsed="false">
      <c r="A99" s="0"/>
      <c r="B99" s="0"/>
      <c r="C99" s="57"/>
      <c r="D99" s="57"/>
      <c r="E99" s="57"/>
      <c r="AE99" s="90" t="n">
        <f aca="false">Data!A94</f>
        <v>42832</v>
      </c>
      <c r="AF99" s="17" t="n">
        <f aca="false">Data!B94</f>
        <v>143.73</v>
      </c>
      <c r="AG99" s="17" t="n">
        <f aca="false">Data!F94</f>
        <v>16672198</v>
      </c>
      <c r="AH99" s="17" t="n">
        <f aca="false">Data!C94</f>
        <v>144.18</v>
      </c>
      <c r="AI99" s="17" t="n">
        <f aca="false">Data!D94</f>
        <v>143.27</v>
      </c>
      <c r="AJ99" s="17" t="n">
        <f aca="false">Data!E94</f>
        <v>143.34</v>
      </c>
      <c r="AK99" s="17" t="n">
        <f aca="false">Data!F94</f>
        <v>16672198</v>
      </c>
      <c r="AL99" s="17" t="n">
        <f aca="false">AJ99</f>
        <v>143.34</v>
      </c>
      <c r="AM99" s="17" t="n">
        <f aca="false">(AL99-AL98)/AL99*100</f>
        <v>0.118599134923968</v>
      </c>
      <c r="AN99" s="17" t="n">
        <f aca="false">(AK99-AK98)/AK99*100</f>
        <v>-13.5626928135091</v>
      </c>
      <c r="AO99" s="17" t="str">
        <f aca="false">IF(AN99&lt;-8,"FITS BITCH",IF(AN99&gt;-8,"no"))</f>
        <v>FITS BITCH</v>
      </c>
      <c r="AP99" s="17" t="str">
        <f aca="false">IF(AH100&lt;AH99,"FITS BITCH",IF(AH100&gt;AH99,"no"))</f>
        <v>no</v>
      </c>
      <c r="AQ99" s="17" t="str">
        <f aca="false">IF(AI100&lt;AI99,"FITS BITCH",IF(AI100&gt;AI99,"no"))</f>
        <v>no</v>
      </c>
      <c r="AR99" s="17" t="str">
        <f aca="false">IF(AJ99&lt;AH100,"FITS BITCH",IF(AJ99&gt;AH100,"no"))</f>
        <v>FITS BITCH</v>
      </c>
      <c r="AS99" s="17" t="str">
        <f aca="false">IF(AJ99&gt;AJ100,"FITS BITCH",IF(AJ99&lt;AJ100,"no"))</f>
        <v>no</v>
      </c>
      <c r="AT99" s="91" t="str">
        <f aca="false">IF(AND($AO99="FITS BITCH",$AP99="FITS BITCH",$AR99="FITS BITCH"),"BULLISH","")</f>
        <v/>
      </c>
      <c r="AU99" s="91" t="str">
        <f aca="false">IF(AND($AO99="FITS BITCH",$AQ99="FITS BITCH",$AS99="FITS BITCH"),"BEARISH","")</f>
        <v/>
      </c>
      <c r="AV99" s="86"/>
      <c r="AW99" s="86"/>
      <c r="AX99" s="86"/>
      <c r="AY99" s="0"/>
      <c r="AZ99" s="41" t="s">
        <v>130</v>
      </c>
      <c r="BA99" s="42" t="n">
        <f aca="false">INTERCEPT(AJ7:AJ195,AE7:AE195)</f>
        <v>-7247.82178596628</v>
      </c>
      <c r="BB99" s="41"/>
      <c r="BC99" s="41"/>
      <c r="BD99" s="41"/>
      <c r="BE99" s="41"/>
      <c r="BF99" s="41"/>
      <c r="BG99" s="0"/>
      <c r="BH99" s="0"/>
      <c r="BI99" s="0"/>
      <c r="BJ99" s="0"/>
      <c r="BK99" s="128"/>
      <c r="BL99" s="0"/>
      <c r="BM99" s="0"/>
      <c r="CG99" s="40" t="n">
        <v>91</v>
      </c>
      <c r="CH99" s="60" t="n">
        <v>117.51333925516</v>
      </c>
      <c r="CL99" s="99" t="n">
        <v>42991</v>
      </c>
      <c r="CM99" s="23" t="n">
        <f aca="false">$BA$68*CL99+$BA$70</f>
        <v>163.195547901894</v>
      </c>
    </row>
    <row r="100" customFormat="false" ht="15" hidden="false" customHeight="true" outlineLevel="0" collapsed="false">
      <c r="A100" s="0"/>
      <c r="B100" s="0"/>
      <c r="C100" s="0"/>
      <c r="D100" s="0"/>
      <c r="E100" s="0"/>
      <c r="AE100" s="90" t="n">
        <f aca="false">Data!A95</f>
        <v>42831</v>
      </c>
      <c r="AF100" s="17" t="n">
        <f aca="false">Data!B95</f>
        <v>144.29</v>
      </c>
      <c r="AG100" s="17" t="n">
        <f aca="false">Data!F95</f>
        <v>21149034</v>
      </c>
      <c r="AH100" s="17" t="n">
        <f aca="false">Data!C95</f>
        <v>144.52</v>
      </c>
      <c r="AI100" s="17" t="n">
        <f aca="false">Data!D95</f>
        <v>143.45</v>
      </c>
      <c r="AJ100" s="17" t="n">
        <f aca="false">Data!E95</f>
        <v>143.66</v>
      </c>
      <c r="AK100" s="17" t="n">
        <f aca="false">Data!F95</f>
        <v>21149034</v>
      </c>
      <c r="AL100" s="17" t="n">
        <f aca="false">AJ100</f>
        <v>143.66</v>
      </c>
      <c r="AM100" s="17" t="n">
        <f aca="false">(AL100-AL99)/AL100*100</f>
        <v>0.222748155366834</v>
      </c>
      <c r="AN100" s="17" t="n">
        <f aca="false">(AK100-AK99)/AK100*100</f>
        <v>21.1680401100116</v>
      </c>
      <c r="AO100" s="17" t="str">
        <f aca="false">IF(AN100&lt;-8,"FITS BITCH",IF(AN100&gt;-8,"no"))</f>
        <v>no</v>
      </c>
      <c r="AP100" s="17" t="str">
        <f aca="false">IF(AH101&lt;AH100,"FITS BITCH",IF(AH101&gt;AH100,"no"))</f>
        <v>no</v>
      </c>
      <c r="AQ100" s="17" t="str">
        <f aca="false">IF(AI101&lt;AI100,"FITS BITCH",IF(AI101&gt;AI100,"no"))</f>
        <v>no</v>
      </c>
      <c r="AR100" s="17" t="str">
        <f aca="false">IF(AJ100&lt;AH101,"FITS BITCH",IF(AJ100&gt;AH101,"no"))</f>
        <v>FITS BITCH</v>
      </c>
      <c r="AS100" s="17" t="str">
        <f aca="false">IF(AJ100&gt;AJ101,"FITS BITCH",IF(AJ100&lt;AJ101,"no"))</f>
        <v>no</v>
      </c>
      <c r="AT100" s="91" t="str">
        <f aca="false">IF(AND($AO100="FITS BITCH",$AP100="FITS BITCH",$AR100="FITS BITCH"),"BULLISH","")</f>
        <v/>
      </c>
      <c r="AU100" s="91" t="str">
        <f aca="false">IF(AND($AO100="FITS BITCH",$AQ100="FITS BITCH",$AS100="FITS BITCH"),"BEARISH","")</f>
        <v/>
      </c>
      <c r="AV100" s="86"/>
      <c r="AW100" s="86"/>
      <c r="AX100" s="86"/>
      <c r="AY100" s="0"/>
      <c r="AZ100" s="0"/>
      <c r="BA100" s="0"/>
      <c r="BB100" s="0"/>
      <c r="BC100" s="0"/>
      <c r="BD100" s="0"/>
      <c r="BE100" s="0"/>
      <c r="BF100" s="0"/>
      <c r="BG100" s="0"/>
      <c r="BH100" s="0"/>
      <c r="BI100" s="0"/>
      <c r="BJ100" s="0"/>
      <c r="BK100" s="128"/>
      <c r="BL100" s="0"/>
      <c r="BM100" s="0"/>
      <c r="CG100" s="40" t="n">
        <v>92</v>
      </c>
      <c r="CH100" s="60" t="n">
        <v>117.51333925516</v>
      </c>
      <c r="CL100" s="99" t="n">
        <v>42990</v>
      </c>
      <c r="CM100" s="23" t="n">
        <f aca="false">$BA$68*CL100+$BA$70</f>
        <v>163.041429671652</v>
      </c>
    </row>
    <row r="101" customFormat="false" ht="15" hidden="false" customHeight="true" outlineLevel="0" collapsed="false">
      <c r="A101" s="0"/>
      <c r="B101" s="0"/>
      <c r="C101" s="0"/>
      <c r="D101" s="0"/>
      <c r="E101" s="0"/>
      <c r="AE101" s="90" t="n">
        <f aca="false">Data!A96</f>
        <v>42830</v>
      </c>
      <c r="AF101" s="17" t="n">
        <f aca="false">Data!B96</f>
        <v>144.22</v>
      </c>
      <c r="AG101" s="17" t="n">
        <f aca="false">Data!F96</f>
        <v>27717854</v>
      </c>
      <c r="AH101" s="17" t="n">
        <f aca="false">Data!C96</f>
        <v>145.46</v>
      </c>
      <c r="AI101" s="17" t="n">
        <f aca="false">Data!D96</f>
        <v>143.81</v>
      </c>
      <c r="AJ101" s="17" t="n">
        <f aca="false">Data!E96</f>
        <v>144.02</v>
      </c>
      <c r="AK101" s="17" t="n">
        <f aca="false">Data!F96</f>
        <v>27717854</v>
      </c>
      <c r="AL101" s="17" t="n">
        <f aca="false">AJ101</f>
        <v>144.02</v>
      </c>
      <c r="AM101" s="17" t="n">
        <f aca="false">(AL101-AL100)/AL101*100</f>
        <v>0.249965282599648</v>
      </c>
      <c r="AN101" s="17" t="n">
        <f aca="false">(AK101-AK100)/AK101*100</f>
        <v>23.698876543617</v>
      </c>
      <c r="AO101" s="17" t="str">
        <f aca="false">IF(AN101&lt;-8,"FITS BITCH",IF(AN101&gt;-8,"no"))</f>
        <v>no</v>
      </c>
      <c r="AP101" s="17" t="str">
        <f aca="false">IF(AH102&lt;AH101,"FITS BITCH",IF(AH102&gt;AH101,"no"))</f>
        <v>FITS BITCH</v>
      </c>
      <c r="AQ101" s="17" t="str">
        <f aca="false">IF(AI102&lt;AI101,"FITS BITCH",IF(AI102&gt;AI101,"no"))</f>
        <v>FITS BITCH</v>
      </c>
      <c r="AR101" s="17" t="str">
        <f aca="false">IF(AJ101&lt;AH102,"FITS BITCH",IF(AJ101&gt;AH102,"no"))</f>
        <v>FITS BITCH</v>
      </c>
      <c r="AS101" s="17" t="str">
        <f aca="false">IF(AJ101&gt;AJ102,"FITS BITCH",IF(AJ101&lt;AJ102,"no"))</f>
        <v>no</v>
      </c>
      <c r="AT101" s="91" t="str">
        <f aca="false">IF(AND($AO101="FITS BITCH",$AP101="FITS BITCH",$AR101="FITS BITCH"),"BULLISH","")</f>
        <v/>
      </c>
      <c r="AU101" s="91" t="str">
        <f aca="false">IF(AND($AO101="FITS BITCH",$AQ101="FITS BITCH",$AS101="FITS BITCH"),"BEARISH","")</f>
        <v/>
      </c>
      <c r="AV101" s="86"/>
      <c r="AW101" s="86"/>
      <c r="AX101" s="86"/>
      <c r="AY101" s="0"/>
      <c r="AZ101" s="0"/>
      <c r="BA101" s="0"/>
      <c r="BB101" s="0"/>
      <c r="BC101" s="0"/>
      <c r="BD101" s="0"/>
      <c r="BE101" s="0"/>
      <c r="BF101" s="0"/>
      <c r="BG101" s="0"/>
      <c r="BH101" s="0"/>
      <c r="BI101" s="0"/>
      <c r="BJ101" s="0"/>
      <c r="BK101" s="128"/>
      <c r="BL101" s="0"/>
      <c r="BM101" s="0"/>
      <c r="CG101" s="40" t="n">
        <v>93</v>
      </c>
      <c r="CH101" s="60" t="n">
        <v>117.51333925516</v>
      </c>
      <c r="CL101" s="99" t="n">
        <v>42989</v>
      </c>
      <c r="CM101" s="23" t="n">
        <f aca="false">$BA$68*CL101+$BA$70</f>
        <v>162.887311441409</v>
      </c>
    </row>
    <row r="102" customFormat="false" ht="15" hidden="false" customHeight="true" outlineLevel="0" collapsed="false">
      <c r="A102" s="0"/>
      <c r="B102" s="0"/>
      <c r="C102" s="0"/>
      <c r="D102" s="0"/>
      <c r="E102" s="0"/>
      <c r="AE102" s="90" t="n">
        <f aca="false">Data!A97</f>
        <v>42829</v>
      </c>
      <c r="AF102" s="17" t="n">
        <f aca="false">Data!B97</f>
        <v>143.25</v>
      </c>
      <c r="AG102" s="17" t="n">
        <f aca="false">Data!F97</f>
        <v>19891354</v>
      </c>
      <c r="AH102" s="17" t="n">
        <f aca="false">Data!C97</f>
        <v>144.89</v>
      </c>
      <c r="AI102" s="17" t="n">
        <f aca="false">Data!D97</f>
        <v>143.17</v>
      </c>
      <c r="AJ102" s="17" t="n">
        <f aca="false">Data!E97</f>
        <v>144.77</v>
      </c>
      <c r="AK102" s="17" t="n">
        <f aca="false">Data!F97</f>
        <v>19891354</v>
      </c>
      <c r="AL102" s="17" t="n">
        <f aca="false">AJ102</f>
        <v>144.77</v>
      </c>
      <c r="AM102" s="17" t="n">
        <f aca="false">(AL102-AL101)/AL102*100</f>
        <v>0.51806313462734</v>
      </c>
      <c r="AN102" s="17" t="n">
        <f aca="false">(AK102-AK101)/AK102*100</f>
        <v>-39.3462405827175</v>
      </c>
      <c r="AO102" s="17" t="str">
        <f aca="false">IF(AN102&lt;-8,"FITS BITCH",IF(AN102&gt;-8,"no"))</f>
        <v>FITS BITCH</v>
      </c>
      <c r="AP102" s="17" t="str">
        <f aca="false">IF(AH103&lt;AH102,"FITS BITCH",IF(AH103&gt;AH102,"no"))</f>
        <v>FITS BITCH</v>
      </c>
      <c r="AQ102" s="17" t="str">
        <f aca="false">IF(AI103&lt;AI102,"FITS BITCH",IF(AI103&gt;AI102,"no"))</f>
        <v>FITS BITCH</v>
      </c>
      <c r="AR102" s="17" t="str">
        <f aca="false">IF(AJ102&lt;AH103,"FITS BITCH",IF(AJ102&gt;AH103,"no"))</f>
        <v>no</v>
      </c>
      <c r="AS102" s="17" t="str">
        <f aca="false">IF(AJ102&gt;AJ103,"FITS BITCH",IF(AJ102&lt;AJ103,"no"))</f>
        <v>FITS BITCH</v>
      </c>
      <c r="AT102" s="91" t="str">
        <f aca="false">IF(AND($AO102="FITS BITCH",$AP102="FITS BITCH",$AR102="FITS BITCH"),"BULLISH","")</f>
        <v/>
      </c>
      <c r="AU102" s="91" t="str">
        <f aca="false">IF(AND($AO102="FITS BITCH",$AQ102="FITS BITCH",$AS102="FITS BITCH"),"BEARISH","")</f>
        <v>BEARISH</v>
      </c>
      <c r="AV102" s="86"/>
      <c r="AW102" s="86"/>
      <c r="AX102" s="86"/>
      <c r="AY102" s="0"/>
      <c r="AZ102" s="0"/>
      <c r="BA102" s="0"/>
      <c r="BB102" s="0"/>
      <c r="BC102" s="0"/>
      <c r="BD102" s="0"/>
      <c r="BE102" s="0"/>
      <c r="BF102" s="0"/>
      <c r="BG102" s="0"/>
      <c r="BH102" s="0"/>
      <c r="BI102" s="0"/>
      <c r="BJ102" s="0"/>
      <c r="BK102" s="128"/>
      <c r="BL102" s="0"/>
      <c r="BM102" s="0"/>
      <c r="CG102" s="40" t="n">
        <v>94</v>
      </c>
      <c r="CH102" s="60" t="n">
        <v>117.51333925516</v>
      </c>
      <c r="CL102" s="99" t="n">
        <v>42986</v>
      </c>
      <c r="CM102" s="23" t="n">
        <f aca="false">$BA$68*CL102+$BA$70</f>
        <v>162.42495675068</v>
      </c>
    </row>
    <row r="103" customFormat="false" ht="15" hidden="false" customHeight="true" outlineLevel="0" collapsed="false">
      <c r="A103" s="0"/>
      <c r="B103" s="0"/>
      <c r="C103" s="0"/>
      <c r="D103" s="0"/>
      <c r="E103" s="0"/>
      <c r="AE103" s="90" t="n">
        <f aca="false">Data!A98</f>
        <v>42828</v>
      </c>
      <c r="AF103" s="17" t="n">
        <f aca="false">Data!B98</f>
        <v>143.71</v>
      </c>
      <c r="AG103" s="17" t="n">
        <f aca="false">Data!F98</f>
        <v>19985714</v>
      </c>
      <c r="AH103" s="17" t="n">
        <f aca="false">Data!C98</f>
        <v>144.12</v>
      </c>
      <c r="AI103" s="17" t="n">
        <f aca="false">Data!D98</f>
        <v>143.05</v>
      </c>
      <c r="AJ103" s="17" t="n">
        <f aca="false">Data!E98</f>
        <v>143.7</v>
      </c>
      <c r="AK103" s="17" t="n">
        <f aca="false">Data!F98</f>
        <v>19985714</v>
      </c>
      <c r="AL103" s="17" t="n">
        <f aca="false">AJ103</f>
        <v>143.7</v>
      </c>
      <c r="AM103" s="17" t="n">
        <f aca="false">(AL103-AL102)/AL103*100</f>
        <v>-0.744606819763411</v>
      </c>
      <c r="AN103" s="17" t="n">
        <f aca="false">(AK103-AK102)/AK103*100</f>
        <v>0.472137247635986</v>
      </c>
      <c r="AO103" s="17" t="str">
        <f aca="false">IF(AN103&lt;-8,"FITS BITCH",IF(AN103&gt;-8,"no"))</f>
        <v>no</v>
      </c>
      <c r="AP103" s="17" t="str">
        <f aca="false">IF(AH104&lt;AH103,"FITS BITCH",IF(AH104&gt;AH103,"no"))</f>
        <v>no</v>
      </c>
      <c r="AQ103" s="17" t="str">
        <f aca="false">IF(AI104&lt;AI103,"FITS BITCH",IF(AI104&gt;AI103,"no"))</f>
        <v>FITS BITCH</v>
      </c>
      <c r="AR103" s="17" t="str">
        <f aca="false">IF(AJ103&lt;AH104,"FITS BITCH",IF(AJ103&gt;AH104,"no"))</f>
        <v>FITS BITCH</v>
      </c>
      <c r="AS103" s="17" t="str">
        <f aca="false">IF(AJ103&gt;AJ104,"FITS BITCH",IF(AJ103&lt;AJ104,"no"))</f>
        <v>FITS BITCH</v>
      </c>
      <c r="AT103" s="91" t="str">
        <f aca="false">IF(AND($AO103="FITS BITCH",$AP103="FITS BITCH",$AR103="FITS BITCH"),"BULLISH","")</f>
        <v/>
      </c>
      <c r="AU103" s="91" t="str">
        <f aca="false">IF(AND($AO103="FITS BITCH",$AQ103="FITS BITCH",$AS103="FITS BITCH"),"BEARISH","")</f>
        <v/>
      </c>
      <c r="AV103" s="86"/>
      <c r="AW103" s="86"/>
      <c r="AX103" s="86"/>
      <c r="AY103" s="0"/>
      <c r="AZ103" s="0"/>
      <c r="BA103" s="0"/>
      <c r="BB103" s="0"/>
      <c r="BC103" s="0"/>
      <c r="BD103" s="0"/>
      <c r="BE103" s="0"/>
      <c r="BF103" s="0"/>
      <c r="BG103" s="0"/>
      <c r="BH103" s="0"/>
      <c r="BI103" s="0"/>
      <c r="BJ103" s="0"/>
      <c r="BK103" s="128"/>
      <c r="BL103" s="0"/>
      <c r="BM103" s="0"/>
      <c r="CG103" s="40" t="n">
        <v>95</v>
      </c>
      <c r="CH103" s="60" t="n">
        <v>117.51333925516</v>
      </c>
      <c r="CL103" s="99" t="n">
        <v>42985</v>
      </c>
      <c r="CM103" s="23" t="n">
        <f aca="false">$BA$68*CL103+$BA$70</f>
        <v>162.270838520438</v>
      </c>
    </row>
    <row r="104" customFormat="false" ht="15" hidden="false" customHeight="true" outlineLevel="0" collapsed="false">
      <c r="A104" s="0"/>
      <c r="B104" s="0"/>
      <c r="C104" s="0"/>
      <c r="D104" s="0"/>
      <c r="E104" s="0"/>
      <c r="AE104" s="90" t="n">
        <f aca="false">Data!A99</f>
        <v>42825</v>
      </c>
      <c r="AF104" s="17" t="n">
        <f aca="false">Data!B99</f>
        <v>143.72</v>
      </c>
      <c r="AG104" s="17" t="n">
        <f aca="false">Data!F99</f>
        <v>19661651</v>
      </c>
      <c r="AH104" s="17" t="n">
        <f aca="false">Data!C99</f>
        <v>144.27</v>
      </c>
      <c r="AI104" s="17" t="n">
        <f aca="false">Data!D99</f>
        <v>143.01</v>
      </c>
      <c r="AJ104" s="17" t="n">
        <f aca="false">Data!E99</f>
        <v>143.66</v>
      </c>
      <c r="AK104" s="17" t="n">
        <f aca="false">Data!F99</f>
        <v>19661651</v>
      </c>
      <c r="AL104" s="17" t="n">
        <f aca="false">AJ104</f>
        <v>143.66</v>
      </c>
      <c r="AM104" s="17" t="n">
        <f aca="false">(AL104-AL103)/AL104*100</f>
        <v>-0.0278435194208493</v>
      </c>
      <c r="AN104" s="17" t="n">
        <f aca="false">(AK104-AK103)/AK104*100</f>
        <v>-1.64819831254252</v>
      </c>
      <c r="AO104" s="17" t="str">
        <f aca="false">IF(AN104&lt;-8,"FITS BITCH",IF(AN104&gt;-8,"no"))</f>
        <v>no</v>
      </c>
      <c r="AP104" s="17" t="str">
        <f aca="false">IF(AH105&lt;AH104,"FITS BITCH",IF(AH105&gt;AH104,"no"))</f>
        <v>no</v>
      </c>
      <c r="AQ104" s="17" t="str">
        <f aca="false">IF(AI105&lt;AI104,"FITS BITCH",IF(AI105&gt;AI104,"no"))</f>
        <v>no</v>
      </c>
      <c r="AR104" s="17" t="str">
        <f aca="false">IF(AJ104&lt;AH105,"FITS BITCH",IF(AJ104&gt;AH105,"no"))</f>
        <v>FITS BITCH</v>
      </c>
      <c r="AS104" s="17" t="str">
        <f aca="false">IF(AJ104&gt;AJ105,"FITS BITCH",IF(AJ104&lt;AJ105,"no"))</f>
        <v>no</v>
      </c>
      <c r="AT104" s="91" t="str">
        <f aca="false">IF(AND($AO104="FITS BITCH",$AP104="FITS BITCH",$AR104="FITS BITCH"),"BULLISH","")</f>
        <v/>
      </c>
      <c r="AU104" s="91" t="str">
        <f aca="false">IF(AND($AO104="FITS BITCH",$AQ104="FITS BITCH",$AS104="FITS BITCH"),"BEARISH","")</f>
        <v/>
      </c>
      <c r="AV104" s="86"/>
      <c r="AW104" s="86"/>
      <c r="AX104" s="86"/>
      <c r="AY104" s="0"/>
      <c r="AZ104" s="0"/>
      <c r="BA104" s="0"/>
      <c r="BB104" s="0"/>
      <c r="BC104" s="0"/>
      <c r="BD104" s="0"/>
      <c r="BE104" s="0"/>
      <c r="BF104" s="0"/>
      <c r="BG104" s="0"/>
      <c r="BH104" s="0"/>
      <c r="BI104" s="0"/>
      <c r="BJ104" s="0"/>
      <c r="BK104" s="128"/>
      <c r="BL104" s="0"/>
      <c r="BM104" s="0"/>
      <c r="CG104" s="40" t="n">
        <v>96</v>
      </c>
      <c r="CH104" s="60" t="n">
        <v>117.51333925516</v>
      </c>
      <c r="CL104" s="99" t="n">
        <v>42984</v>
      </c>
      <c r="CM104" s="23" t="n">
        <f aca="false">$BA$68*CL104+$BA$70</f>
        <v>162.116720290195</v>
      </c>
    </row>
    <row r="105" customFormat="false" ht="15" hidden="false" customHeight="true" outlineLevel="0" collapsed="false">
      <c r="A105" s="0"/>
      <c r="B105" s="0"/>
      <c r="C105" s="0"/>
      <c r="D105" s="0"/>
      <c r="E105" s="0"/>
      <c r="AE105" s="90" t="n">
        <f aca="false">Data!A100</f>
        <v>42824</v>
      </c>
      <c r="AF105" s="17" t="n">
        <f aca="false">Data!B100</f>
        <v>144.19</v>
      </c>
      <c r="AG105" s="17" t="n">
        <f aca="false">Data!F100</f>
        <v>21207252</v>
      </c>
      <c r="AH105" s="17" t="n">
        <f aca="false">Data!C100</f>
        <v>144.5</v>
      </c>
      <c r="AI105" s="17" t="n">
        <f aca="false">Data!D100</f>
        <v>143.5</v>
      </c>
      <c r="AJ105" s="17" t="n">
        <f aca="false">Data!E100</f>
        <v>143.93</v>
      </c>
      <c r="AK105" s="17" t="n">
        <f aca="false">Data!F100</f>
        <v>21207252</v>
      </c>
      <c r="AL105" s="17" t="n">
        <f aca="false">AJ105</f>
        <v>143.93</v>
      </c>
      <c r="AM105" s="17" t="n">
        <f aca="false">(AL105-AL104)/AL105*100</f>
        <v>0.187591190161891</v>
      </c>
      <c r="AN105" s="17" t="n">
        <f aca="false">(AK105-AK104)/AK105*100</f>
        <v>7.2880776821061</v>
      </c>
      <c r="AO105" s="17" t="str">
        <f aca="false">IF(AN105&lt;-8,"FITS BITCH",IF(AN105&gt;-8,"no"))</f>
        <v>no</v>
      </c>
      <c r="AP105" s="17" t="str">
        <f aca="false">IF(AH106&lt;AH105,"FITS BITCH",IF(AH106&gt;AH105,"no"))</f>
        <v>FITS BITCH</v>
      </c>
      <c r="AQ105" s="17" t="str">
        <f aca="false">IF(AI106&lt;AI105,"FITS BITCH",IF(AI106&gt;AI105,"no"))</f>
        <v>FITS BITCH</v>
      </c>
      <c r="AR105" s="17" t="str">
        <f aca="false">IF(AJ105&lt;AH106,"FITS BITCH",IF(AJ105&gt;AH106,"no"))</f>
        <v>FITS BITCH</v>
      </c>
      <c r="AS105" s="17" t="str">
        <f aca="false">IF(AJ105&gt;AJ106,"FITS BITCH",IF(AJ105&lt;AJ106,"no"))</f>
        <v>no</v>
      </c>
      <c r="AT105" s="91" t="str">
        <f aca="false">IF(AND($AO105="FITS BITCH",$AP105="FITS BITCH",$AR105="FITS BITCH"),"BULLISH","")</f>
        <v/>
      </c>
      <c r="AU105" s="91" t="str">
        <f aca="false">IF(AND($AO105="FITS BITCH",$AQ105="FITS BITCH",$AS105="FITS BITCH"),"BEARISH","")</f>
        <v/>
      </c>
      <c r="AV105" s="86"/>
      <c r="AW105" s="86"/>
      <c r="AX105" s="86"/>
      <c r="AY105" s="0"/>
      <c r="AZ105" s="0"/>
      <c r="BA105" s="0"/>
      <c r="BB105" s="0"/>
      <c r="BC105" s="0"/>
      <c r="BD105" s="0"/>
      <c r="BE105" s="0"/>
      <c r="BF105" s="0"/>
      <c r="BG105" s="0"/>
      <c r="BH105" s="0"/>
      <c r="BI105" s="0"/>
      <c r="BJ105" s="0"/>
      <c r="BK105" s="128"/>
      <c r="BL105" s="0"/>
      <c r="BM105" s="0"/>
      <c r="CG105" s="40" t="n">
        <v>97</v>
      </c>
      <c r="CH105" s="60" t="n">
        <v>117.51333925516</v>
      </c>
      <c r="CL105" s="99" t="n">
        <v>42983</v>
      </c>
      <c r="CM105" s="23" t="n">
        <f aca="false">$BA$68*CL105+$BA$70</f>
        <v>161.962602059953</v>
      </c>
    </row>
    <row r="106" customFormat="false" ht="15" hidden="false" customHeight="true" outlineLevel="0" collapsed="false">
      <c r="A106" s="0"/>
      <c r="B106" s="0"/>
      <c r="C106" s="0"/>
      <c r="D106" s="0"/>
      <c r="E106" s="0"/>
      <c r="AE106" s="90" t="n">
        <f aca="false">Data!A101</f>
        <v>42823</v>
      </c>
      <c r="AF106" s="17" t="n">
        <f aca="false">Data!B101</f>
        <v>143.68</v>
      </c>
      <c r="AG106" s="17" t="n">
        <f aca="false">Data!F101</f>
        <v>29189955</v>
      </c>
      <c r="AH106" s="17" t="n">
        <f aca="false">Data!C101</f>
        <v>144.49</v>
      </c>
      <c r="AI106" s="17" t="n">
        <f aca="false">Data!D101</f>
        <v>143.19</v>
      </c>
      <c r="AJ106" s="17" t="n">
        <f aca="false">Data!E101</f>
        <v>144.12</v>
      </c>
      <c r="AK106" s="17" t="n">
        <f aca="false">Data!F101</f>
        <v>29189955</v>
      </c>
      <c r="AL106" s="17" t="n">
        <f aca="false">AJ106</f>
        <v>144.12</v>
      </c>
      <c r="AM106" s="17" t="n">
        <f aca="false">(AL106-AL105)/AL106*100</f>
        <v>0.131834582292532</v>
      </c>
      <c r="AN106" s="17" t="n">
        <f aca="false">(AK106-AK105)/AK106*100</f>
        <v>27.3474316764106</v>
      </c>
      <c r="AO106" s="17" t="str">
        <f aca="false">IF(AN106&lt;-8,"FITS BITCH",IF(AN106&gt;-8,"no"))</f>
        <v>no</v>
      </c>
      <c r="AP106" s="17" t="str">
        <f aca="false">IF(AH107&lt;AH106,"FITS BITCH",IF(AH107&gt;AH106,"no"))</f>
        <v>FITS BITCH</v>
      </c>
      <c r="AQ106" s="17" t="str">
        <f aca="false">IF(AI107&lt;AI106,"FITS BITCH",IF(AI107&gt;AI106,"no"))</f>
        <v>FITS BITCH</v>
      </c>
      <c r="AR106" s="17" t="str">
        <f aca="false">IF(AJ106&lt;AH107,"FITS BITCH",IF(AJ106&gt;AH107,"no"))</f>
        <v>no</v>
      </c>
      <c r="AS106" s="17" t="str">
        <f aca="false">IF(AJ106&gt;AJ107,"FITS BITCH",IF(AJ106&lt;AJ107,"no"))</f>
        <v>FITS BITCH</v>
      </c>
      <c r="AT106" s="91" t="str">
        <f aca="false">IF(AND($AO106="FITS BITCH",$AP106="FITS BITCH",$AR106="FITS BITCH"),"BULLISH","")</f>
        <v/>
      </c>
      <c r="AU106" s="91" t="str">
        <f aca="false">IF(AND($AO106="FITS BITCH",$AQ106="FITS BITCH",$AS106="FITS BITCH"),"BEARISH","")</f>
        <v/>
      </c>
      <c r="AV106" s="86"/>
      <c r="AW106" s="86"/>
      <c r="AX106" s="86"/>
      <c r="AY106" s="0"/>
      <c r="AZ106" s="0"/>
      <c r="BA106" s="0"/>
      <c r="BB106" s="0"/>
      <c r="BC106" s="0"/>
      <c r="BD106" s="0"/>
      <c r="BE106" s="0"/>
      <c r="BF106" s="0"/>
      <c r="BG106" s="0"/>
      <c r="BH106" s="0"/>
      <c r="BI106" s="0"/>
      <c r="BJ106" s="0"/>
      <c r="BK106" s="128"/>
      <c r="BL106" s="0"/>
      <c r="BM106" s="0"/>
      <c r="CG106" s="40" t="n">
        <v>98</v>
      </c>
      <c r="CH106" s="60" t="n">
        <v>117.51333925516</v>
      </c>
      <c r="CL106" s="99" t="n">
        <v>42982</v>
      </c>
      <c r="CM106" s="23" t="n">
        <f aca="false">$BA$68*CL106+$BA$70</f>
        <v>161.80848382971</v>
      </c>
    </row>
    <row r="107" customFormat="false" ht="15" hidden="false" customHeight="true" outlineLevel="0" collapsed="false">
      <c r="A107" s="0"/>
      <c r="B107" s="0"/>
      <c r="C107" s="0"/>
      <c r="D107" s="0"/>
      <c r="E107" s="0"/>
      <c r="AE107" s="90" t="n">
        <f aca="false">Data!A102</f>
        <v>42822</v>
      </c>
      <c r="AF107" s="17" t="n">
        <f aca="false">Data!B102</f>
        <v>140.91</v>
      </c>
      <c r="AG107" s="17" t="n">
        <f aca="false">Data!F102</f>
        <v>33374805</v>
      </c>
      <c r="AH107" s="17" t="n">
        <f aca="false">Data!C102</f>
        <v>144.04</v>
      </c>
      <c r="AI107" s="17" t="n">
        <f aca="false">Data!D102</f>
        <v>140.62</v>
      </c>
      <c r="AJ107" s="17" t="n">
        <f aca="false">Data!E102</f>
        <v>143.8</v>
      </c>
      <c r="AK107" s="17" t="n">
        <f aca="false">Data!F102</f>
        <v>33374805</v>
      </c>
      <c r="AL107" s="17" t="n">
        <f aca="false">AJ107</f>
        <v>143.8</v>
      </c>
      <c r="AM107" s="17" t="n">
        <f aca="false">(AL107-AL106)/AL107*100</f>
        <v>-0.222531293463138</v>
      </c>
      <c r="AN107" s="17" t="n">
        <f aca="false">(AK107-AK106)/AK107*100</f>
        <v>12.5389496657733</v>
      </c>
      <c r="AO107" s="17" t="str">
        <f aca="false">IF(AN107&lt;-8,"FITS BITCH",IF(AN107&gt;-8,"no"))</f>
        <v>no</v>
      </c>
      <c r="AP107" s="17" t="str">
        <f aca="false">IF(AH108&lt;AH107,"FITS BITCH",IF(AH108&gt;AH107,"no"))</f>
        <v>FITS BITCH</v>
      </c>
      <c r="AQ107" s="17" t="str">
        <f aca="false">IF(AI108&lt;AI107,"FITS BITCH",IF(AI108&gt;AI107,"no"))</f>
        <v>FITS BITCH</v>
      </c>
      <c r="AR107" s="17" t="str">
        <f aca="false">IF(AJ107&lt;AH108,"FITS BITCH",IF(AJ107&gt;AH108,"no"))</f>
        <v>no</v>
      </c>
      <c r="AS107" s="17" t="str">
        <f aca="false">IF(AJ107&gt;AJ108,"FITS BITCH",IF(AJ107&lt;AJ108,"no"))</f>
        <v>FITS BITCH</v>
      </c>
      <c r="AT107" s="91" t="str">
        <f aca="false">IF(AND($AO107="FITS BITCH",$AP107="FITS BITCH",$AR107="FITS BITCH"),"BULLISH","")</f>
        <v/>
      </c>
      <c r="AU107" s="91" t="str">
        <f aca="false">IF(AND($AO107="FITS BITCH",$AQ107="FITS BITCH",$AS107="FITS BITCH"),"BEARISH","")</f>
        <v/>
      </c>
      <c r="AV107" s="86"/>
      <c r="AW107" s="86"/>
      <c r="AX107" s="86"/>
      <c r="AY107" s="0"/>
      <c r="AZ107" s="0"/>
      <c r="BA107" s="0"/>
      <c r="BB107" s="0"/>
      <c r="BC107" s="0"/>
      <c r="BD107" s="0"/>
      <c r="BE107" s="0"/>
      <c r="BF107" s="0"/>
      <c r="BG107" s="0"/>
      <c r="BH107" s="0"/>
      <c r="BI107" s="0"/>
      <c r="BJ107" s="0"/>
      <c r="BK107" s="128"/>
      <c r="BL107" s="0"/>
      <c r="BM107" s="0"/>
      <c r="CG107" s="40" t="n">
        <v>99</v>
      </c>
      <c r="CH107" s="60" t="n">
        <v>117.51333925516</v>
      </c>
      <c r="CL107" s="99" t="n">
        <v>42979</v>
      </c>
      <c r="CM107" s="23" t="n">
        <f aca="false">$BA$68*CL107+$BA$70</f>
        <v>161.346129138982</v>
      </c>
    </row>
    <row r="108" customFormat="false" ht="15" hidden="false" customHeight="true" outlineLevel="0" collapsed="false">
      <c r="A108" s="0"/>
      <c r="B108" s="0"/>
      <c r="C108" s="0"/>
      <c r="D108" s="0"/>
      <c r="E108" s="0"/>
      <c r="AE108" s="90" t="n">
        <f aca="false">Data!A103</f>
        <v>42821</v>
      </c>
      <c r="AF108" s="17" t="n">
        <f aca="false">Data!B103</f>
        <v>139.39</v>
      </c>
      <c r="AG108" s="17" t="n">
        <f aca="false">Data!F103</f>
        <v>23575094</v>
      </c>
      <c r="AH108" s="17" t="n">
        <f aca="false">Data!C103</f>
        <v>141.22</v>
      </c>
      <c r="AI108" s="17" t="n">
        <f aca="false">Data!D103</f>
        <v>138.62</v>
      </c>
      <c r="AJ108" s="17" t="n">
        <f aca="false">Data!E103</f>
        <v>140.88</v>
      </c>
      <c r="AK108" s="17" t="n">
        <f aca="false">Data!F103</f>
        <v>23575094</v>
      </c>
      <c r="AL108" s="17" t="n">
        <f aca="false">AJ108</f>
        <v>140.88</v>
      </c>
      <c r="AM108" s="17" t="n">
        <f aca="false">(AL108-AL107)/AL108*100</f>
        <v>-2.07268597387849</v>
      </c>
      <c r="AN108" s="17" t="n">
        <f aca="false">(AK108-AK107)/AK108*100</f>
        <v>-41.5680675546829</v>
      </c>
      <c r="AO108" s="17" t="str">
        <f aca="false">IF(AN108&lt;-8,"FITS BITCH",IF(AN108&gt;-8,"no"))</f>
        <v>FITS BITCH</v>
      </c>
      <c r="AP108" s="17" t="str">
        <f aca="false">IF(AH109&lt;AH108,"FITS BITCH",IF(AH109&gt;AH108,"no"))</f>
        <v>no</v>
      </c>
      <c r="AQ108" s="17" t="str">
        <f aca="false">IF(AI109&lt;AI108,"FITS BITCH",IF(AI109&gt;AI108,"no"))</f>
        <v>no</v>
      </c>
      <c r="AR108" s="17" t="str">
        <f aca="false">IF(AJ108&lt;AH109,"FITS BITCH",IF(AJ108&gt;AH109,"no"))</f>
        <v>FITS BITCH</v>
      </c>
      <c r="AS108" s="17" t="str">
        <f aca="false">IF(AJ108&gt;AJ109,"FITS BITCH",IF(AJ108&lt;AJ109,"no"))</f>
        <v>FITS BITCH</v>
      </c>
      <c r="AT108" s="91" t="str">
        <f aca="false">IF(AND($AO108="FITS BITCH",$AP108="FITS BITCH",$AR108="FITS BITCH"),"BULLISH","")</f>
        <v/>
      </c>
      <c r="AU108" s="91" t="str">
        <f aca="false">IF(AND($AO108="FITS BITCH",$AQ108="FITS BITCH",$AS108="FITS BITCH"),"BEARISH","")</f>
        <v/>
      </c>
      <c r="AV108" s="86"/>
      <c r="AW108" s="86"/>
      <c r="AX108" s="86"/>
      <c r="AY108" s="0"/>
      <c r="AZ108" s="0"/>
      <c r="BA108" s="0"/>
      <c r="BB108" s="0"/>
      <c r="BC108" s="0"/>
      <c r="BD108" s="0"/>
      <c r="BE108" s="0"/>
      <c r="BF108" s="0"/>
      <c r="BG108" s="0"/>
      <c r="BH108" s="0"/>
      <c r="BI108" s="0"/>
      <c r="BJ108" s="0"/>
      <c r="BK108" s="128"/>
      <c r="BL108" s="0"/>
      <c r="BM108" s="0"/>
      <c r="CG108" s="40" t="n">
        <v>100</v>
      </c>
      <c r="CH108" s="60" t="n">
        <v>117.51333925516</v>
      </c>
      <c r="CL108" s="99" t="n">
        <v>42978</v>
      </c>
      <c r="CM108" s="23" t="n">
        <f aca="false">$BA$68*CL108+$BA$70</f>
        <v>161.192010908739</v>
      </c>
    </row>
    <row r="109" customFormat="false" ht="15" hidden="false" customHeight="true" outlineLevel="0" collapsed="false">
      <c r="A109" s="0"/>
      <c r="B109" s="0"/>
      <c r="C109" s="0"/>
      <c r="D109" s="0"/>
      <c r="E109" s="0"/>
      <c r="AE109" s="90" t="n">
        <f aca="false">Data!A104</f>
        <v>42818</v>
      </c>
      <c r="AF109" s="17" t="n">
        <f aca="false">Data!B104</f>
        <v>141.5</v>
      </c>
      <c r="AG109" s="17" t="n">
        <f aca="false">Data!F104</f>
        <v>22395563</v>
      </c>
      <c r="AH109" s="17" t="n">
        <f aca="false">Data!C104</f>
        <v>141.74</v>
      </c>
      <c r="AI109" s="17" t="n">
        <f aca="false">Data!D104</f>
        <v>140.35</v>
      </c>
      <c r="AJ109" s="17" t="n">
        <f aca="false">Data!E104</f>
        <v>140.64</v>
      </c>
      <c r="AK109" s="17" t="n">
        <f aca="false">Data!F104</f>
        <v>22395563</v>
      </c>
      <c r="AL109" s="17" t="n">
        <f aca="false">AJ109</f>
        <v>140.64</v>
      </c>
      <c r="AM109" s="17" t="n">
        <f aca="false">(AL109-AL108)/AL109*100</f>
        <v>-0.170648464163829</v>
      </c>
      <c r="AN109" s="17" t="n">
        <f aca="false">(AK109-AK108)/AK109*100</f>
        <v>-5.26680664379815</v>
      </c>
      <c r="AO109" s="17" t="str">
        <f aca="false">IF(AN109&lt;-8,"FITS BITCH",IF(AN109&gt;-8,"no"))</f>
        <v>no</v>
      </c>
      <c r="AP109" s="17" t="str">
        <f aca="false">IF(AH110&lt;AH109,"FITS BITCH",IF(AH110&gt;AH109,"no"))</f>
        <v>FITS BITCH</v>
      </c>
      <c r="AQ109" s="17" t="str">
        <f aca="false">IF(AI110&lt;AI109,"FITS BITCH",IF(AI110&gt;AI109,"no"))</f>
        <v>no</v>
      </c>
      <c r="AR109" s="17" t="str">
        <f aca="false">IF(AJ109&lt;AH110,"FITS BITCH",IF(AJ109&gt;AH110,"no"))</f>
        <v>FITS BITCH</v>
      </c>
      <c r="AS109" s="17" t="str">
        <f aca="false">IF(AJ109&gt;AJ110,"FITS BITCH",IF(AJ109&lt;AJ110,"no"))</f>
        <v>no</v>
      </c>
      <c r="AT109" s="91" t="str">
        <f aca="false">IF(AND($AO109="FITS BITCH",$AP109="FITS BITCH",$AR109="FITS BITCH"),"BULLISH","")</f>
        <v/>
      </c>
      <c r="AU109" s="91" t="str">
        <f aca="false">IF(AND($AO109="FITS BITCH",$AQ109="FITS BITCH",$AS109="FITS BITCH"),"BEARISH","")</f>
        <v/>
      </c>
      <c r="AV109" s="86"/>
      <c r="AW109" s="86"/>
      <c r="AX109" s="86"/>
      <c r="AY109" s="0"/>
      <c r="AZ109" s="0"/>
      <c r="BA109" s="0"/>
      <c r="BB109" s="0"/>
      <c r="BC109" s="0"/>
      <c r="BD109" s="0"/>
      <c r="BE109" s="0"/>
      <c r="BF109" s="0"/>
      <c r="BG109" s="0"/>
      <c r="BH109" s="0"/>
      <c r="BI109" s="0"/>
      <c r="BJ109" s="0"/>
      <c r="BK109" s="128"/>
      <c r="BL109" s="0"/>
      <c r="BM109" s="0"/>
      <c r="CG109" s="40"/>
      <c r="CL109" s="99" t="n">
        <v>42977</v>
      </c>
      <c r="CM109" s="23" t="n">
        <f aca="false">$BA$68*CL109+$BA$70</f>
        <v>161.037892678496</v>
      </c>
    </row>
    <row r="110" customFormat="false" ht="15" hidden="false" customHeight="true" outlineLevel="0" collapsed="false">
      <c r="A110" s="0"/>
      <c r="B110" s="0"/>
      <c r="C110" s="0"/>
      <c r="D110" s="0"/>
      <c r="E110" s="0"/>
      <c r="AE110" s="90" t="n">
        <f aca="false">Data!A105</f>
        <v>42817</v>
      </c>
      <c r="AF110" s="17" t="n">
        <f aca="false">Data!B105</f>
        <v>141.26</v>
      </c>
      <c r="AG110" s="17" t="n">
        <f aca="false">Data!F105</f>
        <v>20346301</v>
      </c>
      <c r="AH110" s="17" t="n">
        <f aca="false">Data!C105</f>
        <v>141.58</v>
      </c>
      <c r="AI110" s="17" t="n">
        <f aca="false">Data!D105</f>
        <v>140.61</v>
      </c>
      <c r="AJ110" s="17" t="n">
        <f aca="false">Data!E105</f>
        <v>140.92</v>
      </c>
      <c r="AK110" s="17" t="n">
        <f aca="false">Data!F105</f>
        <v>20346301</v>
      </c>
      <c r="AL110" s="17" t="n">
        <f aca="false">AJ110</f>
        <v>140.92</v>
      </c>
      <c r="AM110" s="17" t="n">
        <f aca="false">(AL110-AL109)/AL110*100</f>
        <v>0.198694294635255</v>
      </c>
      <c r="AN110" s="17" t="n">
        <f aca="false">(AK110-AK109)/AK110*100</f>
        <v>-10.0719143002947</v>
      </c>
      <c r="AO110" s="17" t="str">
        <f aca="false">IF(AN110&lt;-8,"FITS BITCH",IF(AN110&gt;-8,"no"))</f>
        <v>FITS BITCH</v>
      </c>
      <c r="AP110" s="17" t="str">
        <f aca="false">IF(AH111&lt;AH110,"FITS BITCH",IF(AH111&gt;AH110,"no"))</f>
        <v>no</v>
      </c>
      <c r="AQ110" s="17" t="str">
        <f aca="false">IF(AI111&lt;AI110,"FITS BITCH",IF(AI111&gt;AI110,"no"))</f>
        <v>FITS BITCH</v>
      </c>
      <c r="AR110" s="17" t="str">
        <f aca="false">IF(AJ110&lt;AH111,"FITS BITCH",IF(AJ110&gt;AH111,"no"))</f>
        <v>FITS BITCH</v>
      </c>
      <c r="AS110" s="17" t="str">
        <f aca="false">IF(AJ110&gt;AJ111,"FITS BITCH",IF(AJ110&lt;AJ111,"no"))</f>
        <v>no</v>
      </c>
      <c r="AT110" s="91" t="str">
        <f aca="false">IF(AND($AO110="FITS BITCH",$AP110="FITS BITCH",$AR110="FITS BITCH"),"BULLISH","")</f>
        <v/>
      </c>
      <c r="AU110" s="91" t="str">
        <f aca="false">IF(AND($AO110="FITS BITCH",$AQ110="FITS BITCH",$AS110="FITS BITCH"),"BEARISH","")</f>
        <v/>
      </c>
      <c r="AV110" s="86"/>
      <c r="AW110" s="86"/>
      <c r="AX110" s="86"/>
      <c r="CG110" s="40"/>
      <c r="CL110" s="99" t="n">
        <v>42976</v>
      </c>
      <c r="CM110" s="23" t="n">
        <f aca="false">$BA$68*CL110+$BA$70</f>
        <v>160.883774448253</v>
      </c>
    </row>
    <row r="111" customFormat="false" ht="15" hidden="false" customHeight="true" outlineLevel="0" collapsed="false">
      <c r="A111" s="0"/>
      <c r="B111" s="0"/>
      <c r="C111" s="0"/>
      <c r="D111" s="0"/>
      <c r="E111" s="0"/>
      <c r="AE111" s="90" t="n">
        <f aca="false">Data!A106</f>
        <v>42816</v>
      </c>
      <c r="AF111" s="17" t="n">
        <f aca="false">Data!B106</f>
        <v>139.84</v>
      </c>
      <c r="AG111" s="17" t="n">
        <f aca="false">Data!F106</f>
        <v>25860165</v>
      </c>
      <c r="AH111" s="17" t="n">
        <f aca="false">Data!C106</f>
        <v>141.6</v>
      </c>
      <c r="AI111" s="17" t="n">
        <f aca="false">Data!D106</f>
        <v>139.76</v>
      </c>
      <c r="AJ111" s="17" t="n">
        <f aca="false">Data!E106</f>
        <v>141.42</v>
      </c>
      <c r="AK111" s="17" t="n">
        <f aca="false">Data!F106</f>
        <v>25860165</v>
      </c>
      <c r="AL111" s="17" t="n">
        <f aca="false">AJ111</f>
        <v>141.42</v>
      </c>
      <c r="AM111" s="17" t="n">
        <f aca="false">(AL111-AL110)/AL111*100</f>
        <v>0.353556781219064</v>
      </c>
      <c r="AN111" s="17" t="n">
        <f aca="false">(AK111-AK110)/AK111*100</f>
        <v>21.3218438474774</v>
      </c>
      <c r="AO111" s="17" t="str">
        <f aca="false">IF(AN111&lt;-8,"FITS BITCH",IF(AN111&gt;-8,"no"))</f>
        <v>no</v>
      </c>
      <c r="AP111" s="17" t="str">
        <f aca="false">IF(AH112&lt;AH111,"FITS BITCH",IF(AH112&gt;AH111,"no"))</f>
        <v>no</v>
      </c>
      <c r="AQ111" s="17" t="str">
        <f aca="false">IF(AI112&lt;AI111,"FITS BITCH",IF(AI112&gt;AI111,"no"))</f>
        <v>FITS BITCH</v>
      </c>
      <c r="AR111" s="17" t="str">
        <f aca="false">IF(AJ111&lt;AH112,"FITS BITCH",IF(AJ111&gt;AH112,"no"))</f>
        <v>FITS BITCH</v>
      </c>
      <c r="AS111" s="17" t="str">
        <f aca="false">IF(AJ111&gt;AJ112,"FITS BITCH",IF(AJ111&lt;AJ112,"no"))</f>
        <v>FITS BITCH</v>
      </c>
      <c r="AT111" s="91" t="str">
        <f aca="false">IF(AND($AO111="FITS BITCH",$AP111="FITS BITCH",$AR111="FITS BITCH"),"BULLISH","")</f>
        <v/>
      </c>
      <c r="AU111" s="91" t="str">
        <f aca="false">IF(AND($AO111="FITS BITCH",$AQ111="FITS BITCH",$AS111="FITS BITCH"),"BEARISH","")</f>
        <v/>
      </c>
      <c r="AV111" s="86"/>
      <c r="AW111" s="86"/>
      <c r="AX111" s="86"/>
      <c r="CG111" s="40"/>
      <c r="CL111" s="99" t="n">
        <v>42975</v>
      </c>
      <c r="CM111" s="23" t="n">
        <f aca="false">$BA$68*CL111+$BA$70</f>
        <v>160.729656218011</v>
      </c>
    </row>
    <row r="112" customFormat="false" ht="15" hidden="false" customHeight="true" outlineLevel="0" collapsed="false">
      <c r="A112" s="0"/>
      <c r="B112" s="0"/>
      <c r="C112" s="0"/>
      <c r="D112" s="0"/>
      <c r="E112" s="0"/>
      <c r="AE112" s="90" t="n">
        <f aca="false">Data!A107</f>
        <v>42815</v>
      </c>
      <c r="AF112" s="17" t="n">
        <f aca="false">Data!B107</f>
        <v>142.11</v>
      </c>
      <c r="AG112" s="17" t="n">
        <f aca="false">Data!F107</f>
        <v>39529912</v>
      </c>
      <c r="AH112" s="17" t="n">
        <f aca="false">Data!C107</f>
        <v>142.8</v>
      </c>
      <c r="AI112" s="17" t="n">
        <f aca="false">Data!D107</f>
        <v>139.73</v>
      </c>
      <c r="AJ112" s="17" t="n">
        <f aca="false">Data!E107</f>
        <v>139.84</v>
      </c>
      <c r="AK112" s="17" t="n">
        <f aca="false">Data!F107</f>
        <v>39529912</v>
      </c>
      <c r="AL112" s="17" t="n">
        <f aca="false">AJ112</f>
        <v>139.84</v>
      </c>
      <c r="AM112" s="17" t="n">
        <f aca="false">(AL112-AL111)/AL112*100</f>
        <v>-1.12986270022882</v>
      </c>
      <c r="AN112" s="17" t="n">
        <f aca="false">(AK112-AK111)/AK112*100</f>
        <v>34.5807675969529</v>
      </c>
      <c r="AO112" s="17" t="str">
        <f aca="false">IF(AN112&lt;-8,"FITS BITCH",IF(AN112&gt;-8,"no"))</f>
        <v>no</v>
      </c>
      <c r="AP112" s="17" t="str">
        <f aca="false">IF(AH113&lt;AH112,"FITS BITCH",IF(AH113&gt;AH112,"no"))</f>
        <v>FITS BITCH</v>
      </c>
      <c r="AQ112" s="17" t="str">
        <f aca="false">IF(AI113&lt;AI112,"FITS BITCH",IF(AI113&gt;AI112,"no"))</f>
        <v>no</v>
      </c>
      <c r="AR112" s="17" t="str">
        <f aca="false">IF(AJ112&lt;AH113,"FITS BITCH",IF(AJ112&gt;AH113,"no"))</f>
        <v>FITS BITCH</v>
      </c>
      <c r="AS112" s="17" t="str">
        <f aca="false">IF(AJ112&gt;AJ113,"FITS BITCH",IF(AJ112&lt;AJ113,"no"))</f>
        <v>no</v>
      </c>
      <c r="AT112" s="91" t="str">
        <f aca="false">IF(AND($AO112="FITS BITCH",$AP112="FITS BITCH",$AR112="FITS BITCH"),"BULLISH","")</f>
        <v/>
      </c>
      <c r="AU112" s="91" t="str">
        <f aca="false">IF(AND($AO112="FITS BITCH",$AQ112="FITS BITCH",$AS112="FITS BITCH"),"BEARISH","")</f>
        <v/>
      </c>
      <c r="AV112" s="86"/>
      <c r="AW112" s="86"/>
      <c r="AX112" s="86"/>
      <c r="CL112" s="99" t="n">
        <v>42972</v>
      </c>
      <c r="CM112" s="23" t="n">
        <f aca="false">$BA$68*CL112+$BA$70</f>
        <v>160.267301527283</v>
      </c>
    </row>
    <row r="113" customFormat="false" ht="15" hidden="false" customHeight="true" outlineLevel="0" collapsed="false">
      <c r="A113" s="0"/>
      <c r="B113" s="0"/>
      <c r="C113" s="0"/>
      <c r="D113" s="0"/>
      <c r="E113" s="0"/>
      <c r="AE113" s="90" t="n">
        <f aca="false">Data!A108</f>
        <v>42814</v>
      </c>
      <c r="AF113" s="17" t="n">
        <f aca="false">Data!B108</f>
        <v>140.4</v>
      </c>
      <c r="AG113" s="17" t="n">
        <f aca="false">Data!F108</f>
        <v>21542038</v>
      </c>
      <c r="AH113" s="17" t="n">
        <f aca="false">Data!C108</f>
        <v>141.5</v>
      </c>
      <c r="AI113" s="17" t="n">
        <f aca="false">Data!D108</f>
        <v>140.23</v>
      </c>
      <c r="AJ113" s="17" t="n">
        <f aca="false">Data!E108</f>
        <v>141.46</v>
      </c>
      <c r="AK113" s="17" t="n">
        <f aca="false">Data!F108</f>
        <v>21542038</v>
      </c>
      <c r="AL113" s="17" t="n">
        <f aca="false">AJ113</f>
        <v>141.46</v>
      </c>
      <c r="AM113" s="17" t="n">
        <f aca="false">(AL113-AL112)/AL113*100</f>
        <v>1.14520005655309</v>
      </c>
      <c r="AN113" s="17" t="n">
        <f aca="false">(AK113-AK112)/AK113*100</f>
        <v>-83.5012639008436</v>
      </c>
      <c r="AO113" s="17" t="str">
        <f aca="false">IF(AN113&lt;-8,"FITS BITCH",IF(AN113&gt;-8,"no"))</f>
        <v>FITS BITCH</v>
      </c>
      <c r="AP113" s="17" t="str">
        <f aca="false">IF(AH114&lt;AH113,"FITS BITCH",IF(AH114&gt;AH113,"no"))</f>
        <v>FITS BITCH</v>
      </c>
      <c r="AQ113" s="17" t="str">
        <f aca="false">IF(AI114&lt;AI113,"FITS BITCH",IF(AI114&gt;AI113,"no"))</f>
        <v>FITS BITCH</v>
      </c>
      <c r="AR113" s="17" t="str">
        <f aca="false">IF(AJ113&lt;AH114,"FITS BITCH",IF(AJ113&gt;AH114,"no"))</f>
        <v>no</v>
      </c>
      <c r="AS113" s="17" t="str">
        <f aca="false">IF(AJ113&gt;AJ114,"FITS BITCH",IF(AJ113&lt;AJ114,"no"))</f>
        <v>FITS BITCH</v>
      </c>
      <c r="AT113" s="91" t="str">
        <f aca="false">IF(AND($AO113="FITS BITCH",$AP113="FITS BITCH",$AR113="FITS BITCH"),"BULLISH","")</f>
        <v/>
      </c>
      <c r="AU113" s="91" t="str">
        <f aca="false">IF(AND($AO113="FITS BITCH",$AQ113="FITS BITCH",$AS113="FITS BITCH"),"BEARISH","")</f>
        <v>BEARISH</v>
      </c>
      <c r="AV113" s="86"/>
      <c r="AW113" s="86"/>
      <c r="AX113" s="86"/>
      <c r="CL113" s="99" t="n">
        <v>42971</v>
      </c>
      <c r="CM113" s="23" t="n">
        <f aca="false">$BA$68*CL113+$BA$70</f>
        <v>160.11318329704</v>
      </c>
    </row>
    <row r="114" customFormat="false" ht="15" hidden="false" customHeight="true" outlineLevel="0" collapsed="false">
      <c r="A114" s="0"/>
      <c r="B114" s="0"/>
      <c r="C114" s="0"/>
      <c r="D114" s="0"/>
      <c r="E114" s="0"/>
      <c r="AE114" s="90" t="n">
        <f aca="false">Data!A109</f>
        <v>42811</v>
      </c>
      <c r="AF114" s="17" t="n">
        <f aca="false">Data!B109</f>
        <v>141</v>
      </c>
      <c r="AG114" s="17" t="n">
        <f aca="false">Data!F109</f>
        <v>43884952</v>
      </c>
      <c r="AH114" s="17" t="n">
        <f aca="false">Data!C109</f>
        <v>141</v>
      </c>
      <c r="AI114" s="17" t="n">
        <f aca="false">Data!D109</f>
        <v>139.89</v>
      </c>
      <c r="AJ114" s="17" t="n">
        <f aca="false">Data!E109</f>
        <v>139.99</v>
      </c>
      <c r="AK114" s="17" t="n">
        <f aca="false">Data!F109</f>
        <v>43884952</v>
      </c>
      <c r="AL114" s="17" t="n">
        <f aca="false">AJ114</f>
        <v>139.99</v>
      </c>
      <c r="AM114" s="17" t="n">
        <f aca="false">(AL114-AL113)/AL114*100</f>
        <v>-1.05007500535752</v>
      </c>
      <c r="AN114" s="17" t="n">
        <f aca="false">(AK114-AK113)/AK114*100</f>
        <v>50.9124722296609</v>
      </c>
      <c r="AO114" s="17" t="str">
        <f aca="false">IF(AN114&lt;-8,"FITS BITCH",IF(AN114&gt;-8,"no"))</f>
        <v>no</v>
      </c>
      <c r="AP114" s="17" t="str">
        <f aca="false">IF(AH115&lt;AH114,"FITS BITCH",IF(AH115&gt;AH114,"no"))</f>
        <v>no</v>
      </c>
      <c r="AQ114" s="17" t="str">
        <f aca="false">IF(AI115&lt;AI114,"FITS BITCH",IF(AI115&gt;AI114,"no"))</f>
        <v>no</v>
      </c>
      <c r="AR114" s="17" t="str">
        <f aca="false">IF(AJ114&lt;AH115,"FITS BITCH",IF(AJ114&gt;AH115,"no"))</f>
        <v>FITS BITCH</v>
      </c>
      <c r="AS114" s="17" t="str">
        <f aca="false">IF(AJ114&gt;AJ115,"FITS BITCH",IF(AJ114&lt;AJ115,"no"))</f>
        <v>no</v>
      </c>
      <c r="AT114" s="91" t="str">
        <f aca="false">IF(AND($AO114="FITS BITCH",$AP114="FITS BITCH",$AR114="FITS BITCH"),"BULLISH","")</f>
        <v/>
      </c>
      <c r="AU114" s="91" t="str">
        <f aca="false">IF(AND($AO114="FITS BITCH",$AQ114="FITS BITCH",$AS114="FITS BITCH"),"BEARISH","")</f>
        <v/>
      </c>
      <c r="AV114" s="86"/>
      <c r="AW114" s="86"/>
      <c r="AX114" s="86"/>
      <c r="CL114" s="99" t="n">
        <v>42970</v>
      </c>
      <c r="CM114" s="23" t="n">
        <f aca="false">$BA$68*CL114+$BA$70</f>
        <v>159.959065066798</v>
      </c>
    </row>
    <row r="115" customFormat="false" ht="15" hidden="false" customHeight="true" outlineLevel="0" collapsed="false">
      <c r="A115" s="0"/>
      <c r="B115" s="0"/>
      <c r="C115" s="0"/>
      <c r="D115" s="0"/>
      <c r="E115" s="0"/>
      <c r="AE115" s="90" t="n">
        <f aca="false">Data!A110</f>
        <v>42810</v>
      </c>
      <c r="AF115" s="17" t="n">
        <f aca="false">Data!B110</f>
        <v>140.72</v>
      </c>
      <c r="AG115" s="17" t="n">
        <f aca="false">Data!F110</f>
        <v>19231998</v>
      </c>
      <c r="AH115" s="17" t="n">
        <f aca="false">Data!C110</f>
        <v>141.02</v>
      </c>
      <c r="AI115" s="17" t="n">
        <f aca="false">Data!D110</f>
        <v>140.26</v>
      </c>
      <c r="AJ115" s="17" t="n">
        <f aca="false">Data!E110</f>
        <v>140.69</v>
      </c>
      <c r="AK115" s="17" t="n">
        <f aca="false">Data!F110</f>
        <v>19231998</v>
      </c>
      <c r="AL115" s="17" t="n">
        <f aca="false">AJ115</f>
        <v>140.69</v>
      </c>
      <c r="AM115" s="17" t="n">
        <f aca="false">(AL115-AL114)/AL115*100</f>
        <v>0.497547800127933</v>
      </c>
      <c r="AN115" s="17" t="n">
        <f aca="false">(AK115-AK114)/AK115*100</f>
        <v>-128.187170152576</v>
      </c>
      <c r="AO115" s="17" t="str">
        <f aca="false">IF(AN115&lt;-8,"FITS BITCH",IF(AN115&gt;-8,"no"))</f>
        <v>FITS BITCH</v>
      </c>
      <c r="AP115" s="17" t="str">
        <f aca="false">IF(AH116&lt;AH115,"FITS BITCH",IF(AH116&gt;AH115,"no"))</f>
        <v>FITS BITCH</v>
      </c>
      <c r="AQ115" s="17" t="str">
        <f aca="false">IF(AI116&lt;AI115,"FITS BITCH",IF(AI116&gt;AI115,"no"))</f>
        <v>FITS BITCH</v>
      </c>
      <c r="AR115" s="17" t="str">
        <f aca="false">IF(AJ115&lt;AH116,"FITS BITCH",IF(AJ115&gt;AH116,"no"))</f>
        <v>FITS BITCH</v>
      </c>
      <c r="AS115" s="17" t="str">
        <f aca="false">IF(AJ115&gt;AJ116,"FITS BITCH",IF(AJ115&lt;AJ116,"no"))</f>
        <v>FITS BITCH</v>
      </c>
      <c r="AT115" s="91" t="str">
        <f aca="false">IF(AND($AO115="FITS BITCH",$AP115="FITS BITCH",$AR115="FITS BITCH"),"BULLISH","")</f>
        <v>BULLISH</v>
      </c>
      <c r="AU115" s="91" t="str">
        <f aca="false">IF(AND($AO115="FITS BITCH",$AQ115="FITS BITCH",$AS115="FITS BITCH"),"BEARISH","")</f>
        <v>BEARISH</v>
      </c>
      <c r="AV115" s="86"/>
      <c r="AW115" s="86"/>
      <c r="AX115" s="86"/>
      <c r="CL115" s="99" t="n">
        <v>42969</v>
      </c>
      <c r="CM115" s="23" t="n">
        <f aca="false">$BA$68*CL115+$BA$70</f>
        <v>159.804946836555</v>
      </c>
    </row>
    <row r="116" customFormat="false" ht="15" hidden="false" customHeight="true" outlineLevel="0" collapsed="false">
      <c r="A116" s="0"/>
      <c r="B116" s="0"/>
      <c r="C116" s="0"/>
      <c r="D116" s="0"/>
      <c r="E116" s="0"/>
      <c r="AE116" s="90" t="n">
        <f aca="false">Data!A111</f>
        <v>42809</v>
      </c>
      <c r="AF116" s="17" t="n">
        <f aca="false">Data!B111</f>
        <v>139.41</v>
      </c>
      <c r="AG116" s="17" t="n">
        <f aca="false">Data!F111</f>
        <v>25691774</v>
      </c>
      <c r="AH116" s="17" t="n">
        <f aca="false">Data!C111</f>
        <v>140.75</v>
      </c>
      <c r="AI116" s="17" t="n">
        <f aca="false">Data!D111</f>
        <v>139.02</v>
      </c>
      <c r="AJ116" s="17" t="n">
        <f aca="false">Data!E111</f>
        <v>140.46</v>
      </c>
      <c r="AK116" s="17" t="n">
        <f aca="false">Data!F111</f>
        <v>25691774</v>
      </c>
      <c r="AL116" s="17" t="n">
        <f aca="false">AJ116</f>
        <v>140.46</v>
      </c>
      <c r="AM116" s="17" t="n">
        <f aca="false">(AL116-AL115)/AL116*100</f>
        <v>-0.163747686173992</v>
      </c>
      <c r="AN116" s="17" t="n">
        <f aca="false">(AK116-AK115)/AK116*100</f>
        <v>25.1433630079418</v>
      </c>
      <c r="AO116" s="17" t="str">
        <f aca="false">IF(AN116&lt;-8,"FITS BITCH",IF(AN116&gt;-8,"no"))</f>
        <v>no</v>
      </c>
      <c r="AP116" s="17" t="str">
        <f aca="false">IF(AH117&lt;AH116,"FITS BITCH",IF(AH117&gt;AH116,"no"))</f>
        <v>FITS BITCH</v>
      </c>
      <c r="AQ116" s="17" t="str">
        <f aca="false">IF(AI117&lt;AI116,"FITS BITCH",IF(AI117&gt;AI116,"no"))</f>
        <v>FITS BITCH</v>
      </c>
      <c r="AR116" s="17" t="str">
        <f aca="false">IF(AJ116&lt;AH117,"FITS BITCH",IF(AJ116&gt;AH117,"no"))</f>
        <v>no</v>
      </c>
      <c r="AS116" s="17" t="str">
        <f aca="false">IF(AJ116&gt;AJ117,"FITS BITCH",IF(AJ116&lt;AJ117,"no"))</f>
        <v>FITS BITCH</v>
      </c>
      <c r="AT116" s="91" t="str">
        <f aca="false">IF(AND($AO116="FITS BITCH",$AP116="FITS BITCH",$AR116="FITS BITCH"),"BULLISH","")</f>
        <v/>
      </c>
      <c r="AU116" s="91" t="str">
        <f aca="false">IF(AND($AO116="FITS BITCH",$AQ116="FITS BITCH",$AS116="FITS BITCH"),"BEARISH","")</f>
        <v/>
      </c>
      <c r="AV116" s="86"/>
      <c r="AW116" s="86"/>
      <c r="AX116" s="86"/>
      <c r="CL116" s="99" t="n">
        <v>42968</v>
      </c>
      <c r="CM116" s="23" t="n">
        <f aca="false">$BA$68*CL116+$BA$70</f>
        <v>159.650828606313</v>
      </c>
    </row>
    <row r="117" customFormat="false" ht="15" hidden="false" customHeight="true" outlineLevel="0" collapsed="false">
      <c r="A117" s="0"/>
      <c r="B117" s="0"/>
      <c r="C117" s="0"/>
      <c r="D117" s="0"/>
      <c r="E117" s="0"/>
      <c r="AE117" s="90" t="n">
        <f aca="false">Data!A112</f>
        <v>42808</v>
      </c>
      <c r="AF117" s="17" t="n">
        <f aca="false">Data!B112</f>
        <v>139.3</v>
      </c>
      <c r="AG117" s="17" t="n">
        <f aca="false">Data!F112</f>
        <v>15309065</v>
      </c>
      <c r="AH117" s="17" t="n">
        <f aca="false">Data!C112</f>
        <v>139.65</v>
      </c>
      <c r="AI117" s="17" t="n">
        <f aca="false">Data!D112</f>
        <v>138.84</v>
      </c>
      <c r="AJ117" s="17" t="n">
        <f aca="false">Data!E112</f>
        <v>138.99</v>
      </c>
      <c r="AK117" s="17" t="n">
        <f aca="false">Data!F112</f>
        <v>15309065</v>
      </c>
      <c r="AL117" s="17" t="n">
        <f aca="false">AJ117</f>
        <v>138.99</v>
      </c>
      <c r="AM117" s="17" t="n">
        <f aca="false">(AL117-AL116)/AL117*100</f>
        <v>-1.057630045327</v>
      </c>
      <c r="AN117" s="17" t="n">
        <f aca="false">(AK117-AK116)/AK117*100</f>
        <v>-67.820660504087</v>
      </c>
      <c r="AO117" s="17" t="str">
        <f aca="false">IF(AN117&lt;-8,"FITS BITCH",IF(AN117&gt;-8,"no"))</f>
        <v>FITS BITCH</v>
      </c>
      <c r="AP117" s="17" t="str">
        <f aca="false">IF(AH118&lt;AH117,"FITS BITCH",IF(AH118&gt;AH117,"no"))</f>
        <v>FITS BITCH</v>
      </c>
      <c r="AQ117" s="17" t="str">
        <f aca="false">IF(AI118&lt;AI117,"FITS BITCH",IF(AI118&gt;AI117,"no"))</f>
        <v>FITS BITCH</v>
      </c>
      <c r="AR117" s="17" t="str">
        <f aca="false">IF(AJ117&lt;AH118,"FITS BITCH",IF(AJ117&gt;AH118,"no"))</f>
        <v>FITS BITCH</v>
      </c>
      <c r="AS117" s="17" t="str">
        <f aca="false">IF(AJ117&gt;AJ118,"FITS BITCH",IF(AJ117&lt;AJ118,"no"))</f>
        <v>no</v>
      </c>
      <c r="AT117" s="91" t="str">
        <f aca="false">IF(AND($AO117="FITS BITCH",$AP117="FITS BITCH",$AR117="FITS BITCH"),"BULLISH","")</f>
        <v>BULLISH</v>
      </c>
      <c r="AU117" s="91" t="str">
        <f aca="false">IF(AND($AO117="FITS BITCH",$AQ117="FITS BITCH",$AS117="FITS BITCH"),"BEARISH","")</f>
        <v/>
      </c>
      <c r="AV117" s="86"/>
      <c r="AW117" s="86"/>
      <c r="AX117" s="86"/>
      <c r="CL117" s="99" t="n">
        <v>42965</v>
      </c>
      <c r="CM117" s="23" t="n">
        <f aca="false">$BA$68*CL117+$BA$70</f>
        <v>159.188473915584</v>
      </c>
    </row>
    <row r="118" customFormat="false" ht="15" hidden="false" customHeight="true" outlineLevel="0" collapsed="false">
      <c r="A118" s="0"/>
      <c r="B118" s="0"/>
      <c r="C118" s="0"/>
      <c r="D118" s="0"/>
      <c r="E118" s="0"/>
      <c r="AE118" s="90" t="n">
        <f aca="false">Data!A113</f>
        <v>42807</v>
      </c>
      <c r="AF118" s="17" t="n">
        <f aca="false">Data!B113</f>
        <v>138.85</v>
      </c>
      <c r="AG118" s="17" t="n">
        <f aca="false">Data!F113</f>
        <v>17421717</v>
      </c>
      <c r="AH118" s="17" t="n">
        <f aca="false">Data!C113</f>
        <v>139.43</v>
      </c>
      <c r="AI118" s="17" t="n">
        <f aca="false">Data!D113</f>
        <v>138.82</v>
      </c>
      <c r="AJ118" s="17" t="n">
        <f aca="false">Data!E113</f>
        <v>139.2</v>
      </c>
      <c r="AK118" s="17" t="n">
        <f aca="false">Data!F113</f>
        <v>17421717</v>
      </c>
      <c r="AL118" s="17" t="n">
        <f aca="false">AJ118</f>
        <v>139.2</v>
      </c>
      <c r="AM118" s="17" t="n">
        <f aca="false">(AL118-AL117)/AL118*100</f>
        <v>0.150862068965503</v>
      </c>
      <c r="AN118" s="17" t="n">
        <f aca="false">(AK118-AK117)/AK118*100</f>
        <v>12.1265429808095</v>
      </c>
      <c r="AO118" s="17" t="str">
        <f aca="false">IF(AN118&lt;-8,"FITS BITCH",IF(AN118&gt;-8,"no"))</f>
        <v>no</v>
      </c>
      <c r="AP118" s="17" t="str">
        <f aca="false">IF(AH119&lt;AH118,"FITS BITCH",IF(AH119&gt;AH118,"no"))</f>
        <v>FITS BITCH</v>
      </c>
      <c r="AQ118" s="17" t="str">
        <f aca="false">IF(AI119&lt;AI118,"FITS BITCH",IF(AI119&gt;AI118,"no"))</f>
        <v>FITS BITCH</v>
      </c>
      <c r="AR118" s="17" t="str">
        <f aca="false">IF(AJ118&lt;AH119,"FITS BITCH",IF(AJ118&gt;AH119,"no"))</f>
        <v>FITS BITCH</v>
      </c>
      <c r="AS118" s="17" t="str">
        <f aca="false">IF(AJ118&gt;AJ119,"FITS BITCH",IF(AJ118&lt;AJ119,"no"))</f>
        <v>FITS BITCH</v>
      </c>
      <c r="AT118" s="91" t="str">
        <f aca="false">IF(AND($AO118="FITS BITCH",$AP118="FITS BITCH",$AR118="FITS BITCH"),"BULLISH","")</f>
        <v/>
      </c>
      <c r="AU118" s="91" t="str">
        <f aca="false">IF(AND($AO118="FITS BITCH",$AQ118="FITS BITCH",$AS118="FITS BITCH"),"BEARISH","")</f>
        <v/>
      </c>
      <c r="AV118" s="86"/>
      <c r="AW118" s="86"/>
      <c r="AX118" s="86"/>
      <c r="CL118" s="99" t="n">
        <v>42964</v>
      </c>
      <c r="CM118" s="23" t="n">
        <f aca="false">$BA$68*CL118+$BA$70</f>
        <v>159.034355685341</v>
      </c>
    </row>
    <row r="119" customFormat="false" ht="15" hidden="false" customHeight="true" outlineLevel="0" collapsed="false">
      <c r="A119" s="0"/>
      <c r="B119" s="0"/>
      <c r="C119" s="0"/>
      <c r="D119" s="0"/>
      <c r="E119" s="0"/>
      <c r="AE119" s="90" t="n">
        <f aca="false">Data!A114</f>
        <v>42804</v>
      </c>
      <c r="AF119" s="17" t="n">
        <f aca="false">Data!B114</f>
        <v>139.25</v>
      </c>
      <c r="AG119" s="17" t="n">
        <f aca="false">Data!F114</f>
        <v>19612801</v>
      </c>
      <c r="AH119" s="17" t="n">
        <f aca="false">Data!C114</f>
        <v>139.36</v>
      </c>
      <c r="AI119" s="17" t="n">
        <f aca="false">Data!D114</f>
        <v>138.64</v>
      </c>
      <c r="AJ119" s="17" t="n">
        <f aca="false">Data!E114</f>
        <v>139.14</v>
      </c>
      <c r="AK119" s="17" t="n">
        <f aca="false">Data!F114</f>
        <v>19612801</v>
      </c>
      <c r="AL119" s="17" t="n">
        <f aca="false">AJ119</f>
        <v>139.14</v>
      </c>
      <c r="AM119" s="17" t="n">
        <f aca="false">(AL119-AL118)/AL119*100</f>
        <v>-0.0431220353600706</v>
      </c>
      <c r="AN119" s="17" t="n">
        <f aca="false">(AK119-AK118)/AK119*100</f>
        <v>11.1717036235671</v>
      </c>
      <c r="AO119" s="17" t="str">
        <f aca="false">IF(AN119&lt;-8,"FITS BITCH",IF(AN119&gt;-8,"no"))</f>
        <v>no</v>
      </c>
      <c r="AP119" s="17" t="str">
        <f aca="false">IF(AH120&lt;AH119,"FITS BITCH",IF(AH120&gt;AH119,"no"))</f>
        <v>FITS BITCH</v>
      </c>
      <c r="AQ119" s="17" t="str">
        <f aca="false">IF(AI120&lt;AI119,"FITS BITCH",IF(AI120&gt;AI119,"no"))</f>
        <v>FITS BITCH</v>
      </c>
      <c r="AR119" s="17" t="str">
        <f aca="false">IF(AJ119&lt;AH120,"FITS BITCH",IF(AJ119&gt;AH120,"no"))</f>
        <v>no</v>
      </c>
      <c r="AS119" s="17" t="str">
        <f aca="false">IF(AJ119&gt;AJ120,"FITS BITCH",IF(AJ119&lt;AJ120,"no"))</f>
        <v>FITS BITCH</v>
      </c>
      <c r="AT119" s="91" t="str">
        <f aca="false">IF(AND($AO119="FITS BITCH",$AP119="FITS BITCH",$AR119="FITS BITCH"),"BULLISH","")</f>
        <v/>
      </c>
      <c r="AU119" s="91" t="str">
        <f aca="false">IF(AND($AO119="FITS BITCH",$AQ119="FITS BITCH",$AS119="FITS BITCH"),"BEARISH","")</f>
        <v/>
      </c>
      <c r="AV119" s="86"/>
      <c r="AW119" s="86"/>
      <c r="AX119" s="86"/>
      <c r="CL119" s="99" t="n">
        <v>42963</v>
      </c>
      <c r="CM119" s="23" t="n">
        <f aca="false">$BA$68*CL119+$BA$70</f>
        <v>158.880237455099</v>
      </c>
    </row>
    <row r="120" customFormat="false" ht="15" hidden="false" customHeight="true" outlineLevel="0" collapsed="false">
      <c r="A120" s="0"/>
      <c r="B120" s="0"/>
      <c r="C120" s="0"/>
      <c r="D120" s="0"/>
      <c r="E120" s="0"/>
      <c r="AE120" s="90" t="n">
        <f aca="false">Data!A115</f>
        <v>42803</v>
      </c>
      <c r="AF120" s="17" t="n">
        <f aca="false">Data!B115</f>
        <v>138.74</v>
      </c>
      <c r="AG120" s="17" t="n">
        <f aca="false">Data!F115</f>
        <v>22155904</v>
      </c>
      <c r="AH120" s="17" t="n">
        <f aca="false">Data!C115</f>
        <v>138.79</v>
      </c>
      <c r="AI120" s="17" t="n">
        <f aca="false">Data!D115</f>
        <v>137.05</v>
      </c>
      <c r="AJ120" s="17" t="n">
        <f aca="false">Data!E115</f>
        <v>138.68</v>
      </c>
      <c r="AK120" s="17" t="n">
        <f aca="false">Data!F115</f>
        <v>22155904</v>
      </c>
      <c r="AL120" s="17" t="n">
        <f aca="false">AJ120</f>
        <v>138.68</v>
      </c>
      <c r="AM120" s="17" t="n">
        <f aca="false">(AL120-AL119)/AL120*100</f>
        <v>-0.331698875108148</v>
      </c>
      <c r="AN120" s="17" t="n">
        <f aca="false">(AK120-AK119)/AK120*100</f>
        <v>11.4782181760672</v>
      </c>
      <c r="AO120" s="17" t="str">
        <f aca="false">IF(AN120&lt;-8,"FITS BITCH",IF(AN120&gt;-8,"no"))</f>
        <v>no</v>
      </c>
      <c r="AP120" s="17" t="str">
        <f aca="false">IF(AH121&lt;AH120,"FITS BITCH",IF(AH121&gt;AH120,"no"))</f>
        <v>no</v>
      </c>
      <c r="AQ120" s="17" t="str">
        <f aca="false">IF(AI121&lt;AI120,"FITS BITCH",IF(AI121&gt;AI120,"no"))</f>
        <v>no</v>
      </c>
      <c r="AR120" s="17" t="str">
        <f aca="false">IF(AJ120&lt;AH121,"FITS BITCH",IF(AJ120&gt;AH121,"no"))</f>
        <v>FITS BITCH</v>
      </c>
      <c r="AS120" s="17" t="str">
        <f aca="false">IF(AJ120&gt;AJ121,"FITS BITCH",IF(AJ120&lt;AJ121,"no"))</f>
        <v>no</v>
      </c>
      <c r="AT120" s="91" t="str">
        <f aca="false">IF(AND($AO120="FITS BITCH",$AP120="FITS BITCH",$AR120="FITS BITCH"),"BULLISH","")</f>
        <v/>
      </c>
      <c r="AU120" s="91" t="str">
        <f aca="false">IF(AND($AO120="FITS BITCH",$AQ120="FITS BITCH",$AS120="FITS BITCH"),"BEARISH","")</f>
        <v/>
      </c>
      <c r="AV120" s="86"/>
      <c r="AW120" s="86"/>
      <c r="AX120" s="86"/>
      <c r="CL120" s="99" t="n">
        <v>42962</v>
      </c>
      <c r="CM120" s="23" t="n">
        <f aca="false">$BA$68*CL120+$BA$70</f>
        <v>158.726119224856</v>
      </c>
    </row>
    <row r="121" customFormat="false" ht="15" hidden="false" customHeight="true" outlineLevel="0" collapsed="false">
      <c r="A121" s="0"/>
      <c r="B121" s="0"/>
      <c r="C121" s="0"/>
      <c r="D121" s="0"/>
      <c r="E121" s="0"/>
      <c r="AE121" s="90" t="n">
        <f aca="false">Data!A116</f>
        <v>42802</v>
      </c>
      <c r="AF121" s="17" t="n">
        <f aca="false">Data!B116</f>
        <v>138.95</v>
      </c>
      <c r="AG121" s="17" t="n">
        <f aca="false">Data!F116</f>
        <v>18707236</v>
      </c>
      <c r="AH121" s="17" t="n">
        <f aca="false">Data!C116</f>
        <v>139.8</v>
      </c>
      <c r="AI121" s="17" t="n">
        <f aca="false">Data!D116</f>
        <v>138.82</v>
      </c>
      <c r="AJ121" s="17" t="n">
        <f aca="false">Data!E116</f>
        <v>139</v>
      </c>
      <c r="AK121" s="17" t="n">
        <f aca="false">Data!F116</f>
        <v>18707236</v>
      </c>
      <c r="AL121" s="17" t="n">
        <f aca="false">AJ121</f>
        <v>139</v>
      </c>
      <c r="AM121" s="17" t="n">
        <f aca="false">(AL121-AL120)/AL121*100</f>
        <v>0.230215827338125</v>
      </c>
      <c r="AN121" s="17" t="n">
        <f aca="false">(AK121-AK120)/AK121*100</f>
        <v>-18.4349414312194</v>
      </c>
      <c r="AO121" s="17" t="str">
        <f aca="false">IF(AN121&lt;-8,"FITS BITCH",IF(AN121&gt;-8,"no"))</f>
        <v>FITS BITCH</v>
      </c>
      <c r="AP121" s="17" t="str">
        <f aca="false">IF(AH122&lt;AH121,"FITS BITCH",IF(AH122&gt;AH121,"no"))</f>
        <v>no</v>
      </c>
      <c r="AQ121" s="17" t="str">
        <f aca="false">IF(AI122&lt;AI121,"FITS BITCH",IF(AI122&gt;AI121,"no"))</f>
        <v>FITS BITCH</v>
      </c>
      <c r="AR121" s="17" t="str">
        <f aca="false">IF(AJ121&lt;AH122,"FITS BITCH",IF(AJ121&gt;AH122,"no"))</f>
        <v>FITS BITCH</v>
      </c>
      <c r="AS121" s="17" t="str">
        <f aca="false">IF(AJ121&gt;AJ122,"FITS BITCH",IF(AJ121&lt;AJ122,"no"))</f>
        <v>no</v>
      </c>
      <c r="AT121" s="91" t="str">
        <f aca="false">IF(AND($AO121="FITS BITCH",$AP121="FITS BITCH",$AR121="FITS BITCH"),"BULLISH","")</f>
        <v/>
      </c>
      <c r="AU121" s="91" t="str">
        <f aca="false">IF(AND($AO121="FITS BITCH",$AQ121="FITS BITCH",$AS121="FITS BITCH"),"BEARISH","")</f>
        <v/>
      </c>
      <c r="AV121" s="86"/>
      <c r="AW121" s="86"/>
      <c r="AX121" s="86"/>
      <c r="CL121" s="99" t="n">
        <v>42961</v>
      </c>
      <c r="CM121" s="23" t="n">
        <f aca="false">$BA$68*CL121+$BA$70</f>
        <v>158.572000994614</v>
      </c>
    </row>
    <row r="122" customFormat="false" ht="15" hidden="false" customHeight="true" outlineLevel="0" collapsed="false">
      <c r="A122" s="0"/>
      <c r="B122" s="0"/>
      <c r="C122" s="0"/>
      <c r="D122" s="0"/>
      <c r="E122" s="0"/>
      <c r="AE122" s="90" t="n">
        <f aca="false">Data!A117</f>
        <v>42801</v>
      </c>
      <c r="AF122" s="17" t="n">
        <f aca="false">Data!B117</f>
        <v>139.06</v>
      </c>
      <c r="AG122" s="17" t="n">
        <f aca="false">Data!F117</f>
        <v>17446297</v>
      </c>
      <c r="AH122" s="17" t="n">
        <f aca="false">Data!C117</f>
        <v>139.98</v>
      </c>
      <c r="AI122" s="17" t="n">
        <f aca="false">Data!D117</f>
        <v>138.79</v>
      </c>
      <c r="AJ122" s="17" t="n">
        <f aca="false">Data!E117</f>
        <v>139.52</v>
      </c>
      <c r="AK122" s="17" t="n">
        <f aca="false">Data!F117</f>
        <v>17446297</v>
      </c>
      <c r="AL122" s="17" t="n">
        <f aca="false">AJ122</f>
        <v>139.52</v>
      </c>
      <c r="AM122" s="17" t="n">
        <f aca="false">(AL122-AL121)/AL122*100</f>
        <v>0.372706422018356</v>
      </c>
      <c r="AN122" s="17" t="n">
        <f aca="false">(AK122-AK121)/AK122*100</f>
        <v>-7.22754519196825</v>
      </c>
      <c r="AO122" s="17" t="str">
        <f aca="false">IF(AN122&lt;-8,"FITS BITCH",IF(AN122&gt;-8,"no"))</f>
        <v>no</v>
      </c>
      <c r="AP122" s="17" t="str">
        <f aca="false">IF(AH123&lt;AH122,"FITS BITCH",IF(AH123&gt;AH122,"no"))</f>
        <v>FITS BITCH</v>
      </c>
      <c r="AQ122" s="17" t="str">
        <f aca="false">IF(AI123&lt;AI122,"FITS BITCH",IF(AI123&gt;AI122,"no"))</f>
        <v>FITS BITCH</v>
      </c>
      <c r="AR122" s="17" t="str">
        <f aca="false">IF(AJ122&lt;AH123,"FITS BITCH",IF(AJ122&gt;AH123,"no"))</f>
        <v>FITS BITCH</v>
      </c>
      <c r="AS122" s="17" t="str">
        <f aca="false">IF(AJ122&gt;AJ123,"FITS BITCH",IF(AJ122&lt;AJ123,"no"))</f>
        <v>FITS BITCH</v>
      </c>
      <c r="AT122" s="91" t="str">
        <f aca="false">IF(AND($AO122="FITS BITCH",$AP122="FITS BITCH",$AR122="FITS BITCH"),"BULLISH","")</f>
        <v/>
      </c>
      <c r="AU122" s="91" t="str">
        <f aca="false">IF(AND($AO122="FITS BITCH",$AQ122="FITS BITCH",$AS122="FITS BITCH"),"BEARISH","")</f>
        <v/>
      </c>
      <c r="AV122" s="86"/>
      <c r="AW122" s="86"/>
      <c r="AX122" s="86"/>
      <c r="CL122" s="99" t="n">
        <v>42958</v>
      </c>
      <c r="CM122" s="23" t="n">
        <f aca="false">$BA$68*CL122+$BA$70</f>
        <v>158.109646303886</v>
      </c>
    </row>
    <row r="123" customFormat="false" ht="15" hidden="false" customHeight="true" outlineLevel="0" collapsed="false">
      <c r="A123" s="0"/>
      <c r="B123" s="0"/>
      <c r="C123" s="0"/>
      <c r="D123" s="0"/>
      <c r="E123" s="0"/>
      <c r="AE123" s="90" t="n">
        <f aca="false">Data!A118</f>
        <v>42800</v>
      </c>
      <c r="AF123" s="17" t="n">
        <f aca="false">Data!B118</f>
        <v>139.36</v>
      </c>
      <c r="AG123" s="17" t="n">
        <f aca="false">Data!F118</f>
        <v>21750044</v>
      </c>
      <c r="AH123" s="17" t="n">
        <f aca="false">Data!C118</f>
        <v>139.77</v>
      </c>
      <c r="AI123" s="17" t="n">
        <f aca="false">Data!D118</f>
        <v>138.6</v>
      </c>
      <c r="AJ123" s="17" t="n">
        <f aca="false">Data!E118</f>
        <v>139.34</v>
      </c>
      <c r="AK123" s="17" t="n">
        <f aca="false">Data!F118</f>
        <v>21750044</v>
      </c>
      <c r="AL123" s="17" t="n">
        <f aca="false">AJ123</f>
        <v>139.34</v>
      </c>
      <c r="AM123" s="17" t="n">
        <f aca="false">(AL123-AL122)/AL123*100</f>
        <v>-0.129180421989383</v>
      </c>
      <c r="AN123" s="17" t="n">
        <f aca="false">(AK123-AK122)/AK123*100</f>
        <v>19.7873024992501</v>
      </c>
      <c r="AO123" s="17" t="str">
        <f aca="false">IF(AN123&lt;-8,"FITS BITCH",IF(AN123&gt;-8,"no"))</f>
        <v>no</v>
      </c>
      <c r="AP123" s="17" t="str">
        <f aca="false">IF(AH124&lt;AH123,"FITS BITCH",IF(AH124&gt;AH123,"no"))</f>
        <v>no</v>
      </c>
      <c r="AQ123" s="17" t="str">
        <f aca="false">IF(AI124&lt;AI123,"FITS BITCH",IF(AI124&gt;AI123,"no"))</f>
        <v>FITS BITCH</v>
      </c>
      <c r="AR123" s="17" t="str">
        <f aca="false">IF(AJ123&lt;AH124,"FITS BITCH",IF(AJ123&gt;AH124,"no"))</f>
        <v>FITS BITCH</v>
      </c>
      <c r="AS123" s="17" t="str">
        <f aca="false">IF(AJ123&gt;AJ124,"FITS BITCH",IF(AJ123&lt;AJ124,"no"))</f>
        <v>no</v>
      </c>
      <c r="AT123" s="91" t="str">
        <f aca="false">IF(AND($AO123="FITS BITCH",$AP123="FITS BITCH",$AR123="FITS BITCH"),"BULLISH","")</f>
        <v/>
      </c>
      <c r="AU123" s="91" t="str">
        <f aca="false">IF(AND($AO123="FITS BITCH",$AQ123="FITS BITCH",$AS123="FITS BITCH"),"BEARISH","")</f>
        <v/>
      </c>
      <c r="AV123" s="86"/>
      <c r="AW123" s="86"/>
      <c r="AX123" s="86"/>
      <c r="CL123" s="99" t="n">
        <v>42957</v>
      </c>
      <c r="CM123" s="23" t="n">
        <f aca="false">$BA$68*CL123+$BA$70</f>
        <v>157.955528073642</v>
      </c>
    </row>
    <row r="124" customFormat="false" ht="15" hidden="false" customHeight="true" outlineLevel="0" collapsed="false">
      <c r="A124" s="0"/>
      <c r="B124" s="0"/>
      <c r="C124" s="0"/>
      <c r="D124" s="0"/>
      <c r="E124" s="0"/>
      <c r="AE124" s="90" t="n">
        <f aca="false">Data!A119</f>
        <v>42797</v>
      </c>
      <c r="AF124" s="17" t="n">
        <f aca="false">Data!B119</f>
        <v>138.78</v>
      </c>
      <c r="AG124" s="17" t="n">
        <f aca="false">Data!F119</f>
        <v>21571121</v>
      </c>
      <c r="AH124" s="17" t="n">
        <f aca="false">Data!C119</f>
        <v>139.83</v>
      </c>
      <c r="AI124" s="17" t="n">
        <f aca="false">Data!D119</f>
        <v>138.59</v>
      </c>
      <c r="AJ124" s="17" t="n">
        <f aca="false">Data!E119</f>
        <v>139.78</v>
      </c>
      <c r="AK124" s="17" t="n">
        <f aca="false">Data!F119</f>
        <v>21571121</v>
      </c>
      <c r="AL124" s="17" t="n">
        <f aca="false">AJ124</f>
        <v>139.78</v>
      </c>
      <c r="AM124" s="17" t="n">
        <f aca="false">(AL124-AL123)/AL124*100</f>
        <v>0.314780369151522</v>
      </c>
      <c r="AN124" s="17" t="n">
        <f aca="false">(AK124-AK123)/AK124*100</f>
        <v>-0.8294561974781</v>
      </c>
      <c r="AO124" s="17" t="str">
        <f aca="false">IF(AN124&lt;-8,"FITS BITCH",IF(AN124&gt;-8,"no"))</f>
        <v>no</v>
      </c>
      <c r="AP124" s="17" t="str">
        <f aca="false">IF(AH125&lt;AH124,"FITS BITCH",IF(AH125&gt;AH124,"no"))</f>
        <v>no</v>
      </c>
      <c r="AQ124" s="17" t="str">
        <f aca="false">IF(AI125&lt;AI124,"FITS BITCH",IF(AI125&gt;AI124,"no"))</f>
        <v>no</v>
      </c>
      <c r="AR124" s="17" t="str">
        <f aca="false">IF(AJ124&lt;AH125,"FITS BITCH",IF(AJ124&gt;AH125,"no"))</f>
        <v>FITS BITCH</v>
      </c>
      <c r="AS124" s="17" t="str">
        <f aca="false">IF(AJ124&gt;AJ125,"FITS BITCH",IF(AJ124&lt;AJ125,"no"))</f>
        <v>FITS BITCH</v>
      </c>
      <c r="AT124" s="91" t="str">
        <f aca="false">IF(AND($AO124="FITS BITCH",$AP124="FITS BITCH",$AR124="FITS BITCH"),"BULLISH","")</f>
        <v/>
      </c>
      <c r="AU124" s="91" t="str">
        <f aca="false">IF(AND($AO124="FITS BITCH",$AQ124="FITS BITCH",$AS124="FITS BITCH"),"BEARISH","")</f>
        <v/>
      </c>
      <c r="AV124" s="86"/>
      <c r="AW124" s="86"/>
      <c r="AX124" s="86"/>
      <c r="CL124" s="99" t="n">
        <v>42956</v>
      </c>
      <c r="CM124" s="23" t="n">
        <f aca="false">$BA$68*CL124+$BA$70</f>
        <v>157.8014098434</v>
      </c>
    </row>
    <row r="125" customFormat="false" ht="15" hidden="false" customHeight="true" outlineLevel="0" collapsed="false">
      <c r="A125" s="0"/>
      <c r="B125" s="0"/>
      <c r="C125" s="0"/>
      <c r="D125" s="0"/>
      <c r="E125" s="0"/>
      <c r="AE125" s="90" t="n">
        <f aca="false">Data!A120</f>
        <v>42796</v>
      </c>
      <c r="AF125" s="17" t="n">
        <f aca="false">Data!B120</f>
        <v>140</v>
      </c>
      <c r="AG125" s="17" t="n">
        <f aca="false">Data!F120</f>
        <v>26210984</v>
      </c>
      <c r="AH125" s="17" t="n">
        <f aca="false">Data!C120</f>
        <v>140.28</v>
      </c>
      <c r="AI125" s="17" t="n">
        <f aca="false">Data!D120</f>
        <v>138.76</v>
      </c>
      <c r="AJ125" s="17" t="n">
        <f aca="false">Data!E120</f>
        <v>138.96</v>
      </c>
      <c r="AK125" s="17" t="n">
        <f aca="false">Data!F120</f>
        <v>26210984</v>
      </c>
      <c r="AL125" s="17" t="n">
        <f aca="false">AJ125</f>
        <v>138.96</v>
      </c>
      <c r="AM125" s="17" t="n">
        <f aca="false">(AL125-AL124)/AL125*100</f>
        <v>-0.590097869890611</v>
      </c>
      <c r="AN125" s="17" t="n">
        <f aca="false">(AK125-AK124)/AK125*100</f>
        <v>17.7019794449533</v>
      </c>
      <c r="AO125" s="17" t="str">
        <f aca="false">IF(AN125&lt;-8,"FITS BITCH",IF(AN125&gt;-8,"no"))</f>
        <v>no</v>
      </c>
      <c r="AP125" s="17" t="str">
        <f aca="false">IF(AH126&lt;AH125,"FITS BITCH",IF(AH126&gt;AH125,"no"))</f>
        <v>FITS BITCH</v>
      </c>
      <c r="AQ125" s="17" t="str">
        <f aca="false">IF(AI126&lt;AI125,"FITS BITCH",IF(AI126&gt;AI125,"no"))</f>
        <v>FITS BITCH</v>
      </c>
      <c r="AR125" s="17" t="str">
        <f aca="false">IF(AJ125&lt;AH126,"FITS BITCH",IF(AJ125&gt;AH126,"no"))</f>
        <v>FITS BITCH</v>
      </c>
      <c r="AS125" s="17" t="str">
        <f aca="false">IF(AJ125&gt;AJ126,"FITS BITCH",IF(AJ125&lt;AJ126,"no"))</f>
        <v>no</v>
      </c>
      <c r="AT125" s="91" t="str">
        <f aca="false">IF(AND($AO125="FITS BITCH",$AP125="FITS BITCH",$AR125="FITS BITCH"),"BULLISH","")</f>
        <v/>
      </c>
      <c r="AU125" s="91" t="str">
        <f aca="false">IF(AND($AO125="FITS BITCH",$AQ125="FITS BITCH",$AS125="FITS BITCH"),"BEARISH","")</f>
        <v/>
      </c>
      <c r="AV125" s="86"/>
      <c r="AW125" s="86"/>
      <c r="AX125" s="86"/>
      <c r="CL125" s="99" t="n">
        <v>42955</v>
      </c>
      <c r="CM125" s="23" t="n">
        <f aca="false">$BA$68*CL125+$BA$70</f>
        <v>157.647291613157</v>
      </c>
    </row>
    <row r="126" customFormat="false" ht="15" hidden="false" customHeight="true" outlineLevel="0" collapsed="false">
      <c r="A126" s="0"/>
      <c r="B126" s="0"/>
      <c r="C126" s="0"/>
      <c r="D126" s="0"/>
      <c r="E126" s="0"/>
      <c r="AE126" s="90" t="n">
        <f aca="false">Data!A121</f>
        <v>42795</v>
      </c>
      <c r="AF126" s="17" t="n">
        <f aca="false">Data!B121</f>
        <v>137.89</v>
      </c>
      <c r="AG126" s="17" t="n">
        <f aca="false">Data!F121</f>
        <v>36414585</v>
      </c>
      <c r="AH126" s="17" t="n">
        <f aca="false">Data!C121</f>
        <v>140.15</v>
      </c>
      <c r="AI126" s="17" t="n">
        <f aca="false">Data!D121</f>
        <v>137.6</v>
      </c>
      <c r="AJ126" s="17" t="n">
        <f aca="false">Data!E121</f>
        <v>139.79</v>
      </c>
      <c r="AK126" s="17" t="n">
        <f aca="false">Data!F121</f>
        <v>36414585</v>
      </c>
      <c r="AL126" s="17" t="n">
        <f aca="false">AJ126</f>
        <v>139.79</v>
      </c>
      <c r="AM126" s="17" t="n">
        <f aca="false">(AL126-AL125)/AL126*100</f>
        <v>0.593747764503887</v>
      </c>
      <c r="AN126" s="17" t="n">
        <f aca="false">(AK126-AK125)/AK126*100</f>
        <v>28.0206433768228</v>
      </c>
      <c r="AO126" s="17" t="str">
        <f aca="false">IF(AN126&lt;-8,"FITS BITCH",IF(AN126&gt;-8,"no"))</f>
        <v>no</v>
      </c>
      <c r="AP126" s="17" t="str">
        <f aca="false">IF(AH127&lt;AH126,"FITS BITCH",IF(AH127&gt;AH126,"no"))</f>
        <v>FITS BITCH</v>
      </c>
      <c r="AQ126" s="17" t="str">
        <f aca="false">IF(AI127&lt;AI126,"FITS BITCH",IF(AI127&gt;AI126,"no"))</f>
        <v>FITS BITCH</v>
      </c>
      <c r="AR126" s="17" t="str">
        <f aca="false">IF(AJ126&lt;AH127,"FITS BITCH",IF(AJ126&gt;AH127,"no"))</f>
        <v>no</v>
      </c>
      <c r="AS126" s="17" t="str">
        <f aca="false">IF(AJ126&gt;AJ127,"FITS BITCH",IF(AJ126&lt;AJ127,"no"))</f>
        <v>FITS BITCH</v>
      </c>
      <c r="AT126" s="91" t="str">
        <f aca="false">IF(AND($AO126="FITS BITCH",$AP126="FITS BITCH",$AR126="FITS BITCH"),"BULLISH","")</f>
        <v/>
      </c>
      <c r="AU126" s="91" t="str">
        <f aca="false">IF(AND($AO126="FITS BITCH",$AQ126="FITS BITCH",$AS126="FITS BITCH"),"BEARISH","")</f>
        <v/>
      </c>
      <c r="AV126" s="86"/>
      <c r="AW126" s="86"/>
      <c r="AX126" s="86"/>
      <c r="CL126" s="99" t="n">
        <v>42954</v>
      </c>
      <c r="CM126" s="23" t="n">
        <f aca="false">$BA$68*CL126+$BA$70</f>
        <v>157.493173382914</v>
      </c>
    </row>
    <row r="127" customFormat="false" ht="15" hidden="false" customHeight="true" outlineLevel="0" collapsed="false">
      <c r="A127" s="0"/>
      <c r="B127" s="0"/>
      <c r="C127" s="0"/>
      <c r="D127" s="0"/>
      <c r="E127" s="0"/>
      <c r="AE127" s="90" t="n">
        <f aca="false">Data!A122</f>
        <v>42794</v>
      </c>
      <c r="AF127" s="17" t="n">
        <f aca="false">Data!B122</f>
        <v>137.08</v>
      </c>
      <c r="AG127" s="17" t="n">
        <f aca="false">Data!F122</f>
        <v>23482860</v>
      </c>
      <c r="AH127" s="17" t="n">
        <f aca="false">Data!C122</f>
        <v>137.44</v>
      </c>
      <c r="AI127" s="17" t="n">
        <f aca="false">Data!D122</f>
        <v>136.7</v>
      </c>
      <c r="AJ127" s="17" t="n">
        <f aca="false">Data!E122</f>
        <v>136.99</v>
      </c>
      <c r="AK127" s="17" t="n">
        <f aca="false">Data!F122</f>
        <v>23482860</v>
      </c>
      <c r="AL127" s="17" t="n">
        <f aca="false">AJ127</f>
        <v>136.99</v>
      </c>
      <c r="AM127" s="17" t="n">
        <f aca="false">(AL127-AL126)/AL127*100</f>
        <v>-2.04394481349002</v>
      </c>
      <c r="AN127" s="17" t="n">
        <f aca="false">(AK127-AK126)/AK127*100</f>
        <v>-55.06878208191</v>
      </c>
      <c r="AO127" s="17" t="str">
        <f aca="false">IF(AN127&lt;-8,"FITS BITCH",IF(AN127&gt;-8,"no"))</f>
        <v>FITS BITCH</v>
      </c>
      <c r="AP127" s="17" t="n">
        <f aca="false">IF(AH128&lt;AH127,"FITS BITCH",IF(AH128&gt;AH127,"no"))</f>
        <v>0</v>
      </c>
      <c r="AQ127" s="17" t="str">
        <f aca="false">IF(AI128&lt;AI127,"FITS BITCH",IF(AI128&gt;AI127,"no"))</f>
        <v>FITS BITCH</v>
      </c>
      <c r="AR127" s="17" t="str">
        <f aca="false">IF(AJ127&lt;AH128,"FITS BITCH",IF(AJ127&gt;AH128,"no"))</f>
        <v>FITS BITCH</v>
      </c>
      <c r="AS127" s="17" t="str">
        <f aca="false">IF(AJ127&gt;AJ128,"FITS BITCH",IF(AJ127&lt;AJ128,"no"))</f>
        <v>FITS BITCH</v>
      </c>
      <c r="AT127" s="91" t="str">
        <f aca="false">IF(AND($AO127="FITS BITCH",$AP127="FITS BITCH",$AR127="FITS BITCH"),"BULLISH","")</f>
        <v/>
      </c>
      <c r="AU127" s="91" t="str">
        <f aca="false">IF(AND($AO127="FITS BITCH",$AQ127="FITS BITCH",$AS127="FITS BITCH"),"BEARISH","")</f>
        <v>BEARISH</v>
      </c>
      <c r="AV127" s="86"/>
      <c r="AW127" s="86"/>
      <c r="AX127" s="86"/>
      <c r="CL127" s="99" t="n">
        <v>42951</v>
      </c>
      <c r="CM127" s="23" t="n">
        <f aca="false">$BA$68*CL127+$BA$70</f>
        <v>157.030818692187</v>
      </c>
    </row>
    <row r="128" customFormat="false" ht="15" hidden="false" customHeight="true" outlineLevel="0" collapsed="false">
      <c r="A128" s="0"/>
      <c r="B128" s="0"/>
      <c r="C128" s="0"/>
      <c r="D128" s="0"/>
      <c r="E128" s="0"/>
      <c r="AE128" s="90" t="n">
        <f aca="false">Data!A123</f>
        <v>42793</v>
      </c>
      <c r="AF128" s="17" t="n">
        <f aca="false">Data!B123</f>
        <v>137.14</v>
      </c>
      <c r="AG128" s="17" t="n">
        <f aca="false">Data!F123</f>
        <v>20257426</v>
      </c>
      <c r="AH128" s="17" t="n">
        <f aca="false">Data!C123</f>
        <v>137.44</v>
      </c>
      <c r="AI128" s="17" t="n">
        <f aca="false">Data!D123</f>
        <v>136.28</v>
      </c>
      <c r="AJ128" s="17" t="n">
        <f aca="false">Data!E123</f>
        <v>136.93</v>
      </c>
      <c r="AK128" s="17" t="n">
        <f aca="false">Data!F123</f>
        <v>20257426</v>
      </c>
      <c r="AL128" s="17" t="n">
        <f aca="false">AJ128</f>
        <v>136.93</v>
      </c>
      <c r="AM128" s="17" t="n">
        <f aca="false">(AL128-AL127)/AL128*100</f>
        <v>-0.0438180092017836</v>
      </c>
      <c r="AN128" s="17" t="n">
        <f aca="false">(AK128-AK127)/AK128*100</f>
        <v>-15.9222301984467</v>
      </c>
      <c r="AO128" s="17" t="str">
        <f aca="false">IF(AN128&lt;-8,"FITS BITCH",IF(AN128&gt;-8,"no"))</f>
        <v>FITS BITCH</v>
      </c>
      <c r="AP128" s="17" t="str">
        <f aca="false">IF(AH129&lt;AH128,"FITS BITCH",IF(AH129&gt;AH128,"no"))</f>
        <v>FITS BITCH</v>
      </c>
      <c r="AQ128" s="17" t="str">
        <f aca="false">IF(AI129&lt;AI128,"FITS BITCH",IF(AI129&gt;AI128,"no"))</f>
        <v>FITS BITCH</v>
      </c>
      <c r="AR128" s="17" t="str">
        <f aca="false">IF(AJ128&lt;AH129,"FITS BITCH",IF(AJ128&gt;AH129,"no"))</f>
        <v>no</v>
      </c>
      <c r="AS128" s="17" t="str">
        <f aca="false">IF(AJ128&gt;AJ129,"FITS BITCH",IF(AJ128&lt;AJ129,"no"))</f>
        <v>FITS BITCH</v>
      </c>
      <c r="AT128" s="91" t="str">
        <f aca="false">IF(AND($AO128="FITS BITCH",$AP128="FITS BITCH",$AR128="FITS BITCH"),"BULLISH","")</f>
        <v/>
      </c>
      <c r="AU128" s="91" t="str">
        <f aca="false">IF(AND($AO128="FITS BITCH",$AQ128="FITS BITCH",$AS128="FITS BITCH"),"BEARISH","")</f>
        <v>BEARISH</v>
      </c>
      <c r="AV128" s="86"/>
      <c r="AW128" s="86"/>
      <c r="AX128" s="86"/>
      <c r="CL128" s="99" t="n">
        <v>42950</v>
      </c>
      <c r="CM128" s="23" t="n">
        <f aca="false">$BA$68*CL128+$BA$70</f>
        <v>156.876700461944</v>
      </c>
    </row>
    <row r="129" customFormat="false" ht="15" hidden="false" customHeight="true" outlineLevel="0" collapsed="false">
      <c r="A129" s="0"/>
      <c r="B129" s="0"/>
      <c r="C129" s="0"/>
      <c r="D129" s="0"/>
      <c r="E129" s="0"/>
      <c r="AE129" s="90" t="n">
        <f aca="false">Data!A124</f>
        <v>42790</v>
      </c>
      <c r="AF129" s="17" t="n">
        <f aca="false">Data!B124</f>
        <v>135.91</v>
      </c>
      <c r="AG129" s="17" t="n">
        <f aca="false">Data!F124</f>
        <v>21776585</v>
      </c>
      <c r="AH129" s="17" t="n">
        <f aca="false">Data!C124</f>
        <v>136.66</v>
      </c>
      <c r="AI129" s="17" t="n">
        <f aca="false">Data!D124</f>
        <v>135.28</v>
      </c>
      <c r="AJ129" s="17" t="n">
        <f aca="false">Data!E124</f>
        <v>136.66</v>
      </c>
      <c r="AK129" s="17" t="n">
        <f aca="false">Data!F124</f>
        <v>21776585</v>
      </c>
      <c r="AL129" s="17" t="n">
        <f aca="false">AJ129</f>
        <v>136.66</v>
      </c>
      <c r="AM129" s="17" t="n">
        <f aca="false">(AL129-AL128)/AL129*100</f>
        <v>-0.197570613200651</v>
      </c>
      <c r="AN129" s="17" t="n">
        <f aca="false">(AK129-AK128)/AK129*100</f>
        <v>6.97611218655267</v>
      </c>
      <c r="AO129" s="17" t="str">
        <f aca="false">IF(AN129&lt;-8,"FITS BITCH",IF(AN129&gt;-8,"no"))</f>
        <v>no</v>
      </c>
      <c r="AP129" s="17" t="str">
        <f aca="false">IF(AH130&lt;AH129,"FITS BITCH",IF(AH130&gt;AH129,"no"))</f>
        <v>no</v>
      </c>
      <c r="AQ129" s="17" t="str">
        <f aca="false">IF(AI130&lt;AI129,"FITS BITCH",IF(AI130&gt;AI129,"no"))</f>
        <v>no</v>
      </c>
      <c r="AR129" s="17" t="str">
        <f aca="false">IF(AJ129&lt;AH130,"FITS BITCH",IF(AJ129&gt;AH130,"no"))</f>
        <v>FITS BITCH</v>
      </c>
      <c r="AS129" s="17" t="str">
        <f aca="false">IF(AJ129&gt;AJ130,"FITS BITCH",IF(AJ129&lt;AJ130,"no"))</f>
        <v>FITS BITCH</v>
      </c>
      <c r="AT129" s="91" t="str">
        <f aca="false">IF(AND($AO129="FITS BITCH",$AP129="FITS BITCH",$AR129="FITS BITCH"),"BULLISH","")</f>
        <v/>
      </c>
      <c r="AU129" s="91" t="str">
        <f aca="false">IF(AND($AO129="FITS BITCH",$AQ129="FITS BITCH",$AS129="FITS BITCH"),"BEARISH","")</f>
        <v/>
      </c>
      <c r="AV129" s="86"/>
      <c r="AW129" s="86"/>
      <c r="AX129" s="86"/>
      <c r="CL129" s="99" t="n">
        <v>42949</v>
      </c>
      <c r="CM129" s="23" t="n">
        <f aca="false">$BA$68*CL129+$BA$70</f>
        <v>156.722582231701</v>
      </c>
    </row>
    <row r="130" customFormat="false" ht="15" hidden="false" customHeight="true" outlineLevel="0" collapsed="false">
      <c r="A130" s="0"/>
      <c r="B130" s="0"/>
      <c r="C130" s="0"/>
      <c r="D130" s="0"/>
      <c r="E130" s="0"/>
      <c r="AE130" s="90" t="n">
        <f aca="false">Data!A125</f>
        <v>42789</v>
      </c>
      <c r="AF130" s="17" t="n">
        <f aca="false">Data!B125</f>
        <v>137.38</v>
      </c>
      <c r="AG130" s="17" t="n">
        <f aca="false">Data!F125</f>
        <v>20788186</v>
      </c>
      <c r="AH130" s="17" t="n">
        <f aca="false">Data!C125</f>
        <v>137.48</v>
      </c>
      <c r="AI130" s="17" t="n">
        <f aca="false">Data!D125</f>
        <v>136.3</v>
      </c>
      <c r="AJ130" s="17" t="n">
        <f aca="false">Data!E125</f>
        <v>136.53</v>
      </c>
      <c r="AK130" s="17" t="n">
        <f aca="false">Data!F125</f>
        <v>20788186</v>
      </c>
      <c r="AL130" s="17" t="n">
        <f aca="false">AJ130</f>
        <v>136.53</v>
      </c>
      <c r="AM130" s="17" t="n">
        <f aca="false">(AL130-AL129)/AL130*100</f>
        <v>-0.0952171683878968</v>
      </c>
      <c r="AN130" s="17" t="n">
        <f aca="false">(AK130-AK129)/AK130*100</f>
        <v>-4.75461880127492</v>
      </c>
      <c r="AO130" s="17" t="str">
        <f aca="false">IF(AN130&lt;-8,"FITS BITCH",IF(AN130&gt;-8,"no"))</f>
        <v>no</v>
      </c>
      <c r="AP130" s="17" t="str">
        <f aca="false">IF(AH131&lt;AH130,"FITS BITCH",IF(AH131&gt;AH130,"no"))</f>
        <v>FITS BITCH</v>
      </c>
      <c r="AQ130" s="17" t="str">
        <f aca="false">IF(AI131&lt;AI130,"FITS BITCH",IF(AI131&gt;AI130,"no"))</f>
        <v>FITS BITCH</v>
      </c>
      <c r="AR130" s="17" t="str">
        <f aca="false">IF(AJ130&lt;AH131,"FITS BITCH",IF(AJ130&gt;AH131,"no"))</f>
        <v>FITS BITCH</v>
      </c>
      <c r="AS130" s="17" t="str">
        <f aca="false">IF(AJ130&gt;AJ131,"FITS BITCH",IF(AJ130&lt;AJ131,"no"))</f>
        <v>no</v>
      </c>
      <c r="AT130" s="91" t="str">
        <f aca="false">IF(AND($AO130="FITS BITCH",$AP130="FITS BITCH",$AR130="FITS BITCH"),"BULLISH","")</f>
        <v/>
      </c>
      <c r="AU130" s="91" t="str">
        <f aca="false">IF(AND($AO130="FITS BITCH",$AQ130="FITS BITCH",$AS130="FITS BITCH"),"BEARISH","")</f>
        <v/>
      </c>
      <c r="AV130" s="86"/>
      <c r="AW130" s="86"/>
      <c r="AX130" s="86"/>
      <c r="CL130" s="99" t="n">
        <v>42948</v>
      </c>
      <c r="CM130" s="23" t="n">
        <f aca="false">$BA$68*CL130+$BA$70</f>
        <v>156.568464001459</v>
      </c>
    </row>
    <row r="131" customFormat="false" ht="15" hidden="false" customHeight="true" outlineLevel="0" collapsed="false">
      <c r="A131" s="0"/>
      <c r="B131" s="0"/>
      <c r="C131" s="0"/>
      <c r="D131" s="0"/>
      <c r="E131" s="0"/>
      <c r="AE131" s="90" t="n">
        <f aca="false">Data!A126</f>
        <v>42788</v>
      </c>
      <c r="AF131" s="17" t="n">
        <f aca="false">Data!B126</f>
        <v>136.43</v>
      </c>
      <c r="AG131" s="17" t="n">
        <f aca="false">Data!F126</f>
        <v>20836932</v>
      </c>
      <c r="AH131" s="17" t="n">
        <f aca="false">Data!C126</f>
        <v>137.12</v>
      </c>
      <c r="AI131" s="17" t="n">
        <f aca="false">Data!D126</f>
        <v>136.11</v>
      </c>
      <c r="AJ131" s="17" t="n">
        <f aca="false">Data!E126</f>
        <v>137.11</v>
      </c>
      <c r="AK131" s="17" t="n">
        <f aca="false">Data!F126</f>
        <v>20836932</v>
      </c>
      <c r="AL131" s="17" t="n">
        <f aca="false">AJ131</f>
        <v>137.11</v>
      </c>
      <c r="AM131" s="17" t="n">
        <f aca="false">(AL131-AL130)/AL131*100</f>
        <v>0.423018014732706</v>
      </c>
      <c r="AN131" s="17" t="n">
        <f aca="false">(AK131-AK130)/AK131*100</f>
        <v>0.23394039007278</v>
      </c>
      <c r="AO131" s="17" t="str">
        <f aca="false">IF(AN131&lt;-8,"FITS BITCH",IF(AN131&gt;-8,"no"))</f>
        <v>no</v>
      </c>
      <c r="AP131" s="17" t="str">
        <f aca="false">IF(AH132&lt;AH131,"FITS BITCH",IF(AH132&gt;AH131,"no"))</f>
        <v>FITS BITCH</v>
      </c>
      <c r="AQ131" s="17" t="str">
        <f aca="false">IF(AI132&lt;AI131,"FITS BITCH",IF(AI132&gt;AI131,"no"))</f>
        <v>FITS BITCH</v>
      </c>
      <c r="AR131" s="17" t="str">
        <f aca="false">IF(AJ131&lt;AH132,"FITS BITCH",IF(AJ131&gt;AH132,"no"))</f>
        <v>no</v>
      </c>
      <c r="AS131" s="17" t="str">
        <f aca="false">IF(AJ131&gt;AJ132,"FITS BITCH",IF(AJ131&lt;AJ132,"no"))</f>
        <v>FITS BITCH</v>
      </c>
      <c r="AT131" s="91" t="str">
        <f aca="false">IF(AND($AO131="FITS BITCH",$AP131="FITS BITCH",$AR131="FITS BITCH"),"BULLISH","")</f>
        <v/>
      </c>
      <c r="AU131" s="91" t="str">
        <f aca="false">IF(AND($AO131="FITS BITCH",$AQ131="FITS BITCH",$AS131="FITS BITCH"),"BEARISH","")</f>
        <v/>
      </c>
      <c r="AV131" s="86"/>
      <c r="AW131" s="86"/>
      <c r="AX131" s="86"/>
      <c r="CL131" s="99" t="n">
        <v>42947</v>
      </c>
      <c r="CM131" s="23" t="n">
        <f aca="false">$BA$68*CL131+$BA$70</f>
        <v>156.414345771216</v>
      </c>
    </row>
    <row r="132" customFormat="false" ht="15" hidden="false" customHeight="true" outlineLevel="0" collapsed="false">
      <c r="A132" s="0"/>
      <c r="B132" s="0"/>
      <c r="C132" s="0"/>
      <c r="D132" s="0"/>
      <c r="E132" s="0"/>
      <c r="AE132" s="90" t="n">
        <f aca="false">Data!A127</f>
        <v>42787</v>
      </c>
      <c r="AF132" s="17" t="n">
        <f aca="false">Data!B127</f>
        <v>136.23</v>
      </c>
      <c r="AG132" s="17" t="n">
        <f aca="false">Data!F127</f>
        <v>24507156</v>
      </c>
      <c r="AH132" s="17" t="n">
        <f aca="false">Data!C127</f>
        <v>136.75</v>
      </c>
      <c r="AI132" s="17" t="n">
        <f aca="false">Data!D127</f>
        <v>135.98</v>
      </c>
      <c r="AJ132" s="17" t="n">
        <f aca="false">Data!E127</f>
        <v>136.7</v>
      </c>
      <c r="AK132" s="17" t="n">
        <f aca="false">Data!F127</f>
        <v>24507156</v>
      </c>
      <c r="AL132" s="17" t="n">
        <f aca="false">AJ132</f>
        <v>136.7</v>
      </c>
      <c r="AM132" s="17" t="n">
        <f aca="false">(AL132-AL131)/AL132*100</f>
        <v>-0.299926847110479</v>
      </c>
      <c r="AN132" s="17" t="n">
        <f aca="false">(AK132-AK131)/AK132*100</f>
        <v>14.9761318694017</v>
      </c>
      <c r="AO132" s="17" t="str">
        <f aca="false">IF(AN132&lt;-8,"FITS BITCH",IF(AN132&gt;-8,"no"))</f>
        <v>no</v>
      </c>
      <c r="AP132" s="17" t="str">
        <f aca="false">IF(AH133&lt;AH132,"FITS BITCH",IF(AH133&gt;AH132,"no"))</f>
        <v>FITS BITCH</v>
      </c>
      <c r="AQ132" s="17" t="str">
        <f aca="false">IF(AI133&lt;AI132,"FITS BITCH",IF(AI133&gt;AI132,"no"))</f>
        <v>FITS BITCH</v>
      </c>
      <c r="AR132" s="17" t="str">
        <f aca="false">IF(AJ132&lt;AH133,"FITS BITCH",IF(AJ132&gt;AH133,"no"))</f>
        <v>no</v>
      </c>
      <c r="AS132" s="17" t="str">
        <f aca="false">IF(AJ132&gt;AJ133,"FITS BITCH",IF(AJ132&lt;AJ133,"no"))</f>
        <v>FITS BITCH</v>
      </c>
      <c r="AT132" s="91" t="str">
        <f aca="false">IF(AND($AO132="FITS BITCH",$AP132="FITS BITCH",$AR132="FITS BITCH"),"BULLISH","")</f>
        <v/>
      </c>
      <c r="AU132" s="91" t="str">
        <f aca="false">IF(AND($AO132="FITS BITCH",$AQ132="FITS BITCH",$AS132="FITS BITCH"),"BEARISH","")</f>
        <v/>
      </c>
      <c r="AV132" s="86"/>
      <c r="AW132" s="86"/>
      <c r="AX132" s="86"/>
      <c r="CL132" s="99" t="n">
        <v>42944</v>
      </c>
      <c r="CM132" s="23" t="n">
        <f aca="false">$BA$68*CL132+$BA$70</f>
        <v>155.951991080487</v>
      </c>
    </row>
    <row r="133" customFormat="false" ht="15" hidden="false" customHeight="true" outlineLevel="0" collapsed="false">
      <c r="A133" s="0"/>
      <c r="B133" s="0"/>
      <c r="C133" s="0"/>
      <c r="D133" s="0"/>
      <c r="E133" s="0"/>
      <c r="AE133" s="90" t="n">
        <f aca="false">Data!A128</f>
        <v>42783</v>
      </c>
      <c r="AF133" s="17" t="n">
        <f aca="false">Data!B128</f>
        <v>135.1</v>
      </c>
      <c r="AG133" s="17" t="n">
        <f aca="false">Data!F128</f>
        <v>22198197</v>
      </c>
      <c r="AH133" s="17" t="n">
        <f aca="false">Data!C128</f>
        <v>135.83</v>
      </c>
      <c r="AI133" s="17" t="n">
        <f aca="false">Data!D128</f>
        <v>135.1</v>
      </c>
      <c r="AJ133" s="17" t="n">
        <f aca="false">Data!E128</f>
        <v>135.72</v>
      </c>
      <c r="AK133" s="17" t="n">
        <f aca="false">Data!F128</f>
        <v>22198197</v>
      </c>
      <c r="AL133" s="17" t="n">
        <f aca="false">AJ133</f>
        <v>135.72</v>
      </c>
      <c r="AM133" s="17" t="n">
        <f aca="false">(AL133-AL132)/AL133*100</f>
        <v>-0.722074860005887</v>
      </c>
      <c r="AN133" s="17" t="n">
        <f aca="false">(AK133-AK132)/AK133*100</f>
        <v>-10.4015609916427</v>
      </c>
      <c r="AO133" s="17" t="str">
        <f aca="false">IF(AN133&lt;-8,"FITS BITCH",IF(AN133&gt;-8,"no"))</f>
        <v>FITS BITCH</v>
      </c>
      <c r="AP133" s="17" t="str">
        <f aca="false">IF(AH134&lt;AH133,"FITS BITCH",IF(AH134&gt;AH133,"no"))</f>
        <v>no</v>
      </c>
      <c r="AQ133" s="17" t="str">
        <f aca="false">IF(AI134&lt;AI133,"FITS BITCH",IF(AI134&gt;AI133,"no"))</f>
        <v>FITS BITCH</v>
      </c>
      <c r="AR133" s="17" t="str">
        <f aca="false">IF(AJ133&lt;AH134,"FITS BITCH",IF(AJ133&gt;AH134,"no"))</f>
        <v>FITS BITCH</v>
      </c>
      <c r="AS133" s="17" t="str">
        <f aca="false">IF(AJ133&gt;AJ134,"FITS BITCH",IF(AJ133&lt;AJ134,"no"))</f>
        <v>FITS BITCH</v>
      </c>
      <c r="AT133" s="91" t="str">
        <f aca="false">IF(AND($AO133="FITS BITCH",$AP133="FITS BITCH",$AR133="FITS BITCH"),"BULLISH","")</f>
        <v/>
      </c>
      <c r="AU133" s="91" t="str">
        <f aca="false">IF(AND($AO133="FITS BITCH",$AQ133="FITS BITCH",$AS133="FITS BITCH"),"BEARISH","")</f>
        <v>BEARISH</v>
      </c>
      <c r="AV133" s="86"/>
      <c r="AW133" s="86"/>
      <c r="AX133" s="86"/>
      <c r="CL133" s="99" t="n">
        <v>42943</v>
      </c>
      <c r="CM133" s="23" t="n">
        <f aca="false">$BA$68*CL133+$BA$70</f>
        <v>155.797872850245</v>
      </c>
    </row>
    <row r="134" customFormat="false" ht="15" hidden="false" customHeight="true" outlineLevel="0" collapsed="false">
      <c r="A134" s="0"/>
      <c r="B134" s="0"/>
      <c r="C134" s="0"/>
      <c r="D134" s="0"/>
      <c r="E134" s="0"/>
      <c r="AE134" s="90" t="n">
        <f aca="false">Data!A129</f>
        <v>42782</v>
      </c>
      <c r="AF134" s="17" t="n">
        <f aca="false">Data!B129</f>
        <v>135.67</v>
      </c>
      <c r="AG134" s="17" t="n">
        <f aca="false">Data!F129</f>
        <v>22584555</v>
      </c>
      <c r="AH134" s="17" t="n">
        <f aca="false">Data!C129</f>
        <v>135.9</v>
      </c>
      <c r="AI134" s="17" t="n">
        <f aca="false">Data!D129</f>
        <v>134.84</v>
      </c>
      <c r="AJ134" s="17" t="n">
        <f aca="false">Data!E129</f>
        <v>135.34</v>
      </c>
      <c r="AK134" s="17" t="n">
        <f aca="false">Data!F129</f>
        <v>22584555</v>
      </c>
      <c r="AL134" s="17" t="n">
        <f aca="false">AJ134</f>
        <v>135.34</v>
      </c>
      <c r="AM134" s="17" t="n">
        <f aca="false">(AL134-AL133)/AL134*100</f>
        <v>-0.280774346091322</v>
      </c>
      <c r="AN134" s="17" t="n">
        <f aca="false">(AK134-AK133)/AK134*100</f>
        <v>1.7107177892148</v>
      </c>
      <c r="AO134" s="17" t="str">
        <f aca="false">IF(AN134&lt;-8,"FITS BITCH",IF(AN134&gt;-8,"no"))</f>
        <v>no</v>
      </c>
      <c r="AP134" s="17" t="str">
        <f aca="false">IF(AH135&lt;AH134,"FITS BITCH",IF(AH135&gt;AH134,"no"))</f>
        <v>no</v>
      </c>
      <c r="AQ134" s="17" t="str">
        <f aca="false">IF(AI135&lt;AI134,"FITS BITCH",IF(AI135&gt;AI134,"no"))</f>
        <v>FITS BITCH</v>
      </c>
      <c r="AR134" s="17" t="str">
        <f aca="false">IF(AJ134&lt;AH135,"FITS BITCH",IF(AJ134&gt;AH135,"no"))</f>
        <v>FITS BITCH</v>
      </c>
      <c r="AS134" s="17" t="str">
        <f aca="false">IF(AJ134&gt;AJ135,"FITS BITCH",IF(AJ134&lt;AJ135,"no"))</f>
        <v>no</v>
      </c>
      <c r="AT134" s="91" t="str">
        <f aca="false">IF(AND($AO134="FITS BITCH",$AP134="FITS BITCH",$AR134="FITS BITCH"),"BULLISH","")</f>
        <v/>
      </c>
      <c r="AU134" s="91" t="str">
        <f aca="false">IF(AND($AO134="FITS BITCH",$AQ134="FITS BITCH",$AS134="FITS BITCH"),"BEARISH","")</f>
        <v/>
      </c>
      <c r="AV134" s="86"/>
      <c r="AW134" s="86"/>
      <c r="AX134" s="86"/>
      <c r="CL134" s="99" t="n">
        <v>42942</v>
      </c>
      <c r="CM134" s="23" t="n">
        <f aca="false">$BA$68*CL134+$BA$70</f>
        <v>155.643754620002</v>
      </c>
    </row>
    <row r="135" customFormat="false" ht="15" hidden="false" customHeight="true" outlineLevel="0" collapsed="false">
      <c r="A135" s="0"/>
      <c r="B135" s="0"/>
      <c r="C135" s="0"/>
      <c r="D135" s="0"/>
      <c r="E135" s="0"/>
      <c r="AE135" s="90" t="n">
        <f aca="false">Data!A130</f>
        <v>42781</v>
      </c>
      <c r="AF135" s="17" t="n">
        <f aca="false">Data!B130</f>
        <v>135.52</v>
      </c>
      <c r="AG135" s="17" t="n">
        <f aca="false">Data!F130</f>
        <v>35623100</v>
      </c>
      <c r="AH135" s="17" t="n">
        <f aca="false">Data!C130</f>
        <v>136.27</v>
      </c>
      <c r="AI135" s="17" t="n">
        <f aca="false">Data!D130</f>
        <v>134.62</v>
      </c>
      <c r="AJ135" s="17" t="n">
        <f aca="false">Data!E130</f>
        <v>135.51</v>
      </c>
      <c r="AK135" s="17" t="n">
        <f aca="false">Data!F130</f>
        <v>35623100</v>
      </c>
      <c r="AL135" s="17" t="n">
        <f aca="false">AJ135</f>
        <v>135.51</v>
      </c>
      <c r="AM135" s="17" t="n">
        <f aca="false">(AL135-AL134)/AL135*100</f>
        <v>0.125451996162636</v>
      </c>
      <c r="AN135" s="17" t="n">
        <f aca="false">(AK135-AK134)/AK135*100</f>
        <v>36.601376634824</v>
      </c>
      <c r="AO135" s="17" t="str">
        <f aca="false">IF(AN135&lt;-8,"FITS BITCH",IF(AN135&gt;-8,"no"))</f>
        <v>no</v>
      </c>
      <c r="AP135" s="17" t="str">
        <f aca="false">IF(AH136&lt;AH135,"FITS BITCH",IF(AH136&gt;AH135,"no"))</f>
        <v>FITS BITCH</v>
      </c>
      <c r="AQ135" s="17" t="str">
        <f aca="false">IF(AI136&lt;AI135,"FITS BITCH",IF(AI136&gt;AI135,"no"))</f>
        <v>FITS BITCH</v>
      </c>
      <c r="AR135" s="17" t="str">
        <f aca="false">IF(AJ135&lt;AH136,"FITS BITCH",IF(AJ135&gt;AH136,"no"))</f>
        <v>no</v>
      </c>
      <c r="AS135" s="17" t="str">
        <f aca="false">IF(AJ135&gt;AJ136,"FITS BITCH",IF(AJ135&lt;AJ136,"no"))</f>
        <v>FITS BITCH</v>
      </c>
      <c r="AT135" s="91" t="str">
        <f aca="false">IF(AND($AO135="FITS BITCH",$AP135="FITS BITCH",$AR135="FITS BITCH"),"BULLISH","")</f>
        <v/>
      </c>
      <c r="AU135" s="91" t="str">
        <f aca="false">IF(AND($AO135="FITS BITCH",$AQ135="FITS BITCH",$AS135="FITS BITCH"),"BEARISH","")</f>
        <v/>
      </c>
      <c r="AV135" s="86"/>
      <c r="AW135" s="86"/>
      <c r="AX135" s="86"/>
      <c r="CL135" s="99" t="n">
        <v>42941</v>
      </c>
      <c r="CM135" s="23" t="n">
        <f aca="false">$BA$68*CL135+$BA$70</f>
        <v>155.48963638976</v>
      </c>
    </row>
    <row r="136" customFormat="false" ht="15" hidden="false" customHeight="true" outlineLevel="0" collapsed="false">
      <c r="A136" s="0"/>
      <c r="B136" s="0"/>
      <c r="C136" s="0"/>
      <c r="D136" s="0"/>
      <c r="E136" s="0"/>
      <c r="AE136" s="90" t="n">
        <f aca="false">Data!A131</f>
        <v>42780</v>
      </c>
      <c r="AF136" s="17" t="n">
        <f aca="false">Data!B131</f>
        <v>133.47</v>
      </c>
      <c r="AG136" s="17" t="n">
        <f aca="false">Data!F131</f>
        <v>33226223</v>
      </c>
      <c r="AH136" s="17" t="n">
        <f aca="false">Data!C131</f>
        <v>135.09</v>
      </c>
      <c r="AI136" s="17" t="n">
        <f aca="false">Data!D131</f>
        <v>133.25</v>
      </c>
      <c r="AJ136" s="17" t="n">
        <f aca="false">Data!E131</f>
        <v>135.02</v>
      </c>
      <c r="AK136" s="17" t="n">
        <f aca="false">Data!F131</f>
        <v>33226223</v>
      </c>
      <c r="AL136" s="17" t="n">
        <f aca="false">AJ136</f>
        <v>135.02</v>
      </c>
      <c r="AM136" s="17" t="n">
        <f aca="false">(AL136-AL135)/AL136*100</f>
        <v>-0.362909198637225</v>
      </c>
      <c r="AN136" s="17" t="n">
        <f aca="false">(AK136-AK135)/AK136*100</f>
        <v>-7.21381121170468</v>
      </c>
      <c r="AO136" s="17" t="str">
        <f aca="false">IF(AN136&lt;-8,"FITS BITCH",IF(AN136&gt;-8,"no"))</f>
        <v>no</v>
      </c>
      <c r="AP136" s="17" t="str">
        <f aca="false">IF(AH137&lt;AH136,"FITS BITCH",IF(AH137&gt;AH136,"no"))</f>
        <v>FITS BITCH</v>
      </c>
      <c r="AQ136" s="17" t="str">
        <f aca="false">IF(AI137&lt;AI136,"FITS BITCH",IF(AI137&gt;AI136,"no"))</f>
        <v>FITS BITCH</v>
      </c>
      <c r="AR136" s="17" t="str">
        <f aca="false">IF(AJ136&lt;AH137,"FITS BITCH",IF(AJ136&gt;AH137,"no"))</f>
        <v>no</v>
      </c>
      <c r="AS136" s="17" t="str">
        <f aca="false">IF(AJ136&gt;AJ137,"FITS BITCH",IF(AJ136&lt;AJ137,"no"))</f>
        <v>FITS BITCH</v>
      </c>
      <c r="AT136" s="91" t="str">
        <f aca="false">IF(AND($AO136="FITS BITCH",$AP136="FITS BITCH",$AR136="FITS BITCH"),"BULLISH","")</f>
        <v/>
      </c>
      <c r="AU136" s="91" t="str">
        <f aca="false">IF(AND($AO136="FITS BITCH",$AQ136="FITS BITCH",$AS136="FITS BITCH"),"BEARISH","")</f>
        <v/>
      </c>
      <c r="AV136" s="86"/>
      <c r="AW136" s="86"/>
      <c r="AX136" s="86"/>
      <c r="CL136" s="99" t="n">
        <v>42940</v>
      </c>
      <c r="CM136" s="23" t="n">
        <f aca="false">$BA$68*CL136+$BA$70</f>
        <v>155.335518159517</v>
      </c>
    </row>
    <row r="137" customFormat="false" ht="15" hidden="false" customHeight="true" outlineLevel="0" collapsed="false">
      <c r="A137" s="0"/>
      <c r="B137" s="0"/>
      <c r="C137" s="0"/>
      <c r="D137" s="0"/>
      <c r="E137" s="0"/>
      <c r="AE137" s="90" t="n">
        <f aca="false">Data!A132</f>
        <v>42779</v>
      </c>
      <c r="AF137" s="17" t="n">
        <f aca="false">Data!B132</f>
        <v>133.08</v>
      </c>
      <c r="AG137" s="17" t="n">
        <f aca="false">Data!F132</f>
        <v>23035421</v>
      </c>
      <c r="AH137" s="17" t="n">
        <f aca="false">Data!C132</f>
        <v>133.82</v>
      </c>
      <c r="AI137" s="17" t="n">
        <f aca="false">Data!D132</f>
        <v>132.75</v>
      </c>
      <c r="AJ137" s="17" t="n">
        <f aca="false">Data!E132</f>
        <v>133.29</v>
      </c>
      <c r="AK137" s="17" t="n">
        <f aca="false">Data!F132</f>
        <v>23035421</v>
      </c>
      <c r="AL137" s="17" t="n">
        <f aca="false">AJ137</f>
        <v>133.29</v>
      </c>
      <c r="AM137" s="17" t="n">
        <f aca="false">(AL137-AL136)/AL137*100</f>
        <v>-1.29792182459301</v>
      </c>
      <c r="AN137" s="17" t="n">
        <f aca="false">(AK137-AK136)/AK137*100</f>
        <v>-44.2397037154216</v>
      </c>
      <c r="AO137" s="17" t="str">
        <f aca="false">IF(AN137&lt;-8,"FITS BITCH",IF(AN137&gt;-8,"no"))</f>
        <v>FITS BITCH</v>
      </c>
      <c r="AP137" s="17" t="str">
        <f aca="false">IF(AH138&lt;AH137,"FITS BITCH",IF(AH138&gt;AH137,"no"))</f>
        <v>FITS BITCH</v>
      </c>
      <c r="AQ137" s="17" t="str">
        <f aca="false">IF(AI138&lt;AI137,"FITS BITCH",IF(AI138&gt;AI137,"no"))</f>
        <v>FITS BITCH</v>
      </c>
      <c r="AR137" s="17" t="str">
        <f aca="false">IF(AJ137&lt;AH138,"FITS BITCH",IF(AJ137&gt;AH138,"no"))</f>
        <v>no</v>
      </c>
      <c r="AS137" s="17" t="str">
        <f aca="false">IF(AJ137&gt;AJ138,"FITS BITCH",IF(AJ137&lt;AJ138,"no"))</f>
        <v>FITS BITCH</v>
      </c>
      <c r="AT137" s="91" t="str">
        <f aca="false">IF(AND($AO137="FITS BITCH",$AP137="FITS BITCH",$AR137="FITS BITCH"),"BULLISH","")</f>
        <v/>
      </c>
      <c r="AU137" s="91" t="str">
        <f aca="false">IF(AND($AO137="FITS BITCH",$AQ137="FITS BITCH",$AS137="FITS BITCH"),"BEARISH","")</f>
        <v>BEARISH</v>
      </c>
      <c r="AV137" s="86"/>
      <c r="AW137" s="86"/>
      <c r="AX137" s="86"/>
      <c r="CL137" s="99" t="n">
        <v>42937</v>
      </c>
      <c r="CM137" s="23" t="n">
        <f aca="false">$BA$68*CL137+$BA$70</f>
        <v>154.873163468789</v>
      </c>
    </row>
    <row r="138" customFormat="false" ht="15" hidden="false" customHeight="true" outlineLevel="0" collapsed="false">
      <c r="A138" s="0"/>
      <c r="B138" s="0"/>
      <c r="C138" s="0"/>
      <c r="D138" s="0"/>
      <c r="E138" s="0"/>
      <c r="AE138" s="90" t="n">
        <f aca="false">Data!A133</f>
        <v>42776</v>
      </c>
      <c r="AF138" s="17" t="n">
        <f aca="false">Data!B133</f>
        <v>132.46</v>
      </c>
      <c r="AG138" s="17" t="n">
        <f aca="false">Data!F133</f>
        <v>20065458</v>
      </c>
      <c r="AH138" s="17" t="n">
        <f aca="false">Data!C133</f>
        <v>132.94</v>
      </c>
      <c r="AI138" s="17" t="n">
        <f aca="false">Data!D133</f>
        <v>132.05</v>
      </c>
      <c r="AJ138" s="17" t="n">
        <f aca="false">Data!E133</f>
        <v>132.12</v>
      </c>
      <c r="AK138" s="17" t="n">
        <f aca="false">Data!F133</f>
        <v>20065458</v>
      </c>
      <c r="AL138" s="17" t="n">
        <f aca="false">AJ138</f>
        <v>132.12</v>
      </c>
      <c r="AM138" s="17" t="n">
        <f aca="false">(AL138-AL137)/AL138*100</f>
        <v>-0.885558583106258</v>
      </c>
      <c r="AN138" s="17" t="n">
        <f aca="false">(AK138-AK137)/AK138*100</f>
        <v>-14.8013715909201</v>
      </c>
      <c r="AO138" s="17" t="str">
        <f aca="false">IF(AN138&lt;-8,"FITS BITCH",IF(AN138&gt;-8,"no"))</f>
        <v>FITS BITCH</v>
      </c>
      <c r="AP138" s="17" t="str">
        <f aca="false">IF(AH139&lt;AH138,"FITS BITCH",IF(AH139&gt;AH138,"no"))</f>
        <v>FITS BITCH</v>
      </c>
      <c r="AQ138" s="17" t="str">
        <f aca="false">IF(AI139&lt;AI138,"FITS BITCH",IF(AI139&gt;AI138,"no"))</f>
        <v>FITS BITCH</v>
      </c>
      <c r="AR138" s="17" t="str">
        <f aca="false">IF(AJ138&lt;AH139,"FITS BITCH",IF(AJ138&gt;AH139,"no"))</f>
        <v>FITS BITCH</v>
      </c>
      <c r="AS138" s="17" t="str">
        <f aca="false">IF(AJ138&gt;AJ139,"FITS BITCH",IF(AJ138&lt;AJ139,"no"))</f>
        <v>no</v>
      </c>
      <c r="AT138" s="91" t="str">
        <f aca="false">IF(AND($AO138="FITS BITCH",$AP138="FITS BITCH",$AR138="FITS BITCH"),"BULLISH","")</f>
        <v>BULLISH</v>
      </c>
      <c r="AU138" s="91" t="str">
        <f aca="false">IF(AND($AO138="FITS BITCH",$AQ138="FITS BITCH",$AS138="FITS BITCH"),"BEARISH","")</f>
        <v/>
      </c>
      <c r="AV138" s="86"/>
      <c r="AW138" s="86"/>
      <c r="AX138" s="86"/>
      <c r="CL138" s="99" t="n">
        <v>42936</v>
      </c>
      <c r="CM138" s="23" t="n">
        <f aca="false">$BA$68*CL138+$BA$70</f>
        <v>154.719045238546</v>
      </c>
    </row>
    <row r="139" customFormat="false" ht="15" hidden="false" customHeight="true" outlineLevel="0" collapsed="false">
      <c r="A139" s="0"/>
      <c r="B139" s="0"/>
      <c r="C139" s="0"/>
      <c r="D139" s="0"/>
      <c r="E139" s="0"/>
      <c r="AE139" s="90" t="n">
        <f aca="false">Data!A134</f>
        <v>42775</v>
      </c>
      <c r="AF139" s="17" t="n">
        <f aca="false">Data!B134</f>
        <v>131.65</v>
      </c>
      <c r="AG139" s="17" t="n">
        <f aca="false">Data!F134</f>
        <v>28349859</v>
      </c>
      <c r="AH139" s="17" t="n">
        <f aca="false">Data!C134</f>
        <v>132.44</v>
      </c>
      <c r="AI139" s="17" t="n">
        <f aca="false">Data!D134</f>
        <v>131.12</v>
      </c>
      <c r="AJ139" s="17" t="n">
        <f aca="false">Data!E134</f>
        <v>132.42</v>
      </c>
      <c r="AK139" s="17" t="n">
        <f aca="false">Data!F134</f>
        <v>28349859</v>
      </c>
      <c r="AL139" s="17" t="n">
        <f aca="false">AJ139</f>
        <v>132.42</v>
      </c>
      <c r="AM139" s="17" t="n">
        <f aca="false">(AL139-AL138)/AL139*100</f>
        <v>0.226551880380594</v>
      </c>
      <c r="AN139" s="17" t="n">
        <f aca="false">(AK139-AK138)/AK139*100</f>
        <v>29.2220183528955</v>
      </c>
      <c r="AO139" s="17" t="str">
        <f aca="false">IF(AN139&lt;-8,"FITS BITCH",IF(AN139&gt;-8,"no"))</f>
        <v>no</v>
      </c>
      <c r="AP139" s="17" t="str">
        <f aca="false">IF(AH140&lt;AH139,"FITS BITCH",IF(AH140&gt;AH139,"no"))</f>
        <v>FITS BITCH</v>
      </c>
      <c r="AQ139" s="17" t="str">
        <f aca="false">IF(AI140&lt;AI139,"FITS BITCH",IF(AI140&gt;AI139,"no"))</f>
        <v>no</v>
      </c>
      <c r="AR139" s="17" t="str">
        <f aca="false">IF(AJ139&lt;AH140,"FITS BITCH",IF(AJ139&gt;AH140,"no"))</f>
        <v>no</v>
      </c>
      <c r="AS139" s="17" t="str">
        <f aca="false">IF(AJ139&gt;AJ140,"FITS BITCH",IF(AJ139&lt;AJ140,"no"))</f>
        <v>FITS BITCH</v>
      </c>
      <c r="AT139" s="91" t="str">
        <f aca="false">IF(AND($AO139="FITS BITCH",$AP139="FITS BITCH",$AR139="FITS BITCH"),"BULLISH","")</f>
        <v/>
      </c>
      <c r="AU139" s="91" t="str">
        <f aca="false">IF(AND($AO139="FITS BITCH",$AQ139="FITS BITCH",$AS139="FITS BITCH"),"BEARISH","")</f>
        <v/>
      </c>
      <c r="AV139" s="86"/>
      <c r="AW139" s="86"/>
      <c r="AX139" s="86"/>
      <c r="CL139" s="99" t="n">
        <v>42935</v>
      </c>
      <c r="CM139" s="23" t="n">
        <f aca="false">$BA$68*CL139+$BA$70</f>
        <v>154.564927008303</v>
      </c>
    </row>
    <row r="140" customFormat="false" ht="15" hidden="false" customHeight="true" outlineLevel="0" collapsed="false">
      <c r="A140" s="0"/>
      <c r="B140" s="0"/>
      <c r="C140" s="0"/>
      <c r="D140" s="0"/>
      <c r="E140" s="0"/>
      <c r="AE140" s="90" t="n">
        <f aca="false">Data!A135</f>
        <v>42774</v>
      </c>
      <c r="AF140" s="17" t="n">
        <f aca="false">Data!B135</f>
        <v>131.35</v>
      </c>
      <c r="AG140" s="17" t="n">
        <f aca="false">Data!F135</f>
        <v>23004072</v>
      </c>
      <c r="AH140" s="17" t="n">
        <f aca="false">Data!C135</f>
        <v>132.22</v>
      </c>
      <c r="AI140" s="17" t="n">
        <f aca="false">Data!D135</f>
        <v>131.22</v>
      </c>
      <c r="AJ140" s="17" t="n">
        <f aca="false">Data!E135</f>
        <v>132.04</v>
      </c>
      <c r="AK140" s="17" t="n">
        <f aca="false">Data!F135</f>
        <v>23004072</v>
      </c>
      <c r="AL140" s="17" t="n">
        <f aca="false">AJ140</f>
        <v>132.04</v>
      </c>
      <c r="AM140" s="17" t="n">
        <f aca="false">(AL140-AL139)/AL140*100</f>
        <v>-0.2877915783096</v>
      </c>
      <c r="AN140" s="17" t="n">
        <f aca="false">(AK140-AK139)/AK140*100</f>
        <v>-23.2384379600273</v>
      </c>
      <c r="AO140" s="17" t="str">
        <f aca="false">IF(AN140&lt;-8,"FITS BITCH",IF(AN140&gt;-8,"no"))</f>
        <v>FITS BITCH</v>
      </c>
      <c r="AP140" s="17" t="str">
        <f aca="false">IF(AH141&lt;AH140,"FITS BITCH",IF(AH141&gt;AH140,"no"))</f>
        <v>FITS BITCH</v>
      </c>
      <c r="AQ140" s="17" t="str">
        <f aca="false">IF(AI141&lt;AI140,"FITS BITCH",IF(AI141&gt;AI140,"no"))</f>
        <v>FITS BITCH</v>
      </c>
      <c r="AR140" s="17" t="str">
        <f aca="false">IF(AJ140&lt;AH141,"FITS BITCH",IF(AJ140&gt;AH141,"no"))</f>
        <v>FITS BITCH</v>
      </c>
      <c r="AS140" s="17" t="str">
        <f aca="false">IF(AJ140&gt;AJ141,"FITS BITCH",IF(AJ140&lt;AJ141,"no"))</f>
        <v>FITS BITCH</v>
      </c>
      <c r="AT140" s="91" t="str">
        <f aca="false">IF(AND($AO140="FITS BITCH",$AP140="FITS BITCH",$AR140="FITS BITCH"),"BULLISH","")</f>
        <v>BULLISH</v>
      </c>
      <c r="AU140" s="91" t="str">
        <f aca="false">IF(AND($AO140="FITS BITCH",$AQ140="FITS BITCH",$AS140="FITS BITCH"),"BEARISH","")</f>
        <v>BEARISH</v>
      </c>
      <c r="AV140" s="86"/>
      <c r="AW140" s="86"/>
      <c r="AX140" s="86"/>
      <c r="CL140" s="99" t="n">
        <v>42934</v>
      </c>
      <c r="CM140" s="23" t="n">
        <f aca="false">$BA$68*CL140+$BA$70</f>
        <v>154.410808778061</v>
      </c>
    </row>
    <row r="141" customFormat="false" ht="15" hidden="false" customHeight="true" outlineLevel="0" collapsed="false">
      <c r="A141" s="0"/>
      <c r="B141" s="0"/>
      <c r="C141" s="0"/>
      <c r="D141" s="0"/>
      <c r="E141" s="0"/>
      <c r="AE141" s="90" t="n">
        <f aca="false">Data!A136</f>
        <v>42773</v>
      </c>
      <c r="AF141" s="17" t="n">
        <f aca="false">Data!B136</f>
        <v>130.54</v>
      </c>
      <c r="AG141" s="17" t="n">
        <f aca="false">Data!F136</f>
        <v>38183841</v>
      </c>
      <c r="AH141" s="17" t="n">
        <f aca="false">Data!C136</f>
        <v>132.09</v>
      </c>
      <c r="AI141" s="17" t="n">
        <f aca="false">Data!D136</f>
        <v>130.45</v>
      </c>
      <c r="AJ141" s="17" t="n">
        <f aca="false">Data!E136</f>
        <v>131.53</v>
      </c>
      <c r="AK141" s="17" t="n">
        <f aca="false">Data!F136</f>
        <v>38183841</v>
      </c>
      <c r="AL141" s="17" t="n">
        <f aca="false">AJ141</f>
        <v>131.53</v>
      </c>
      <c r="AM141" s="17" t="n">
        <f aca="false">(AL141-AL140)/AL141*100</f>
        <v>-0.387744240857592</v>
      </c>
      <c r="AN141" s="17" t="n">
        <f aca="false">(AK141-AK140)/AK141*100</f>
        <v>39.7544317241422</v>
      </c>
      <c r="AO141" s="17" t="str">
        <f aca="false">IF(AN141&lt;-8,"FITS BITCH",IF(AN141&gt;-8,"no"))</f>
        <v>no</v>
      </c>
      <c r="AP141" s="17" t="str">
        <f aca="false">IF(AH142&lt;AH141,"FITS BITCH",IF(AH142&gt;AH141,"no"))</f>
        <v>FITS BITCH</v>
      </c>
      <c r="AQ141" s="17" t="str">
        <f aca="false">IF(AI142&lt;AI141,"FITS BITCH",IF(AI142&gt;AI141,"no"))</f>
        <v>FITS BITCH</v>
      </c>
      <c r="AR141" s="17" t="str">
        <f aca="false">IF(AJ141&lt;AH142,"FITS BITCH",IF(AJ141&gt;AH142,"no"))</f>
        <v>no</v>
      </c>
      <c r="AS141" s="17" t="str">
        <f aca="false">IF(AJ141&gt;AJ142,"FITS BITCH",IF(AJ141&lt;AJ142,"no"))</f>
        <v>FITS BITCH</v>
      </c>
      <c r="AT141" s="91" t="str">
        <f aca="false">IF(AND($AO141="FITS BITCH",$AP141="FITS BITCH",$AR141="FITS BITCH"),"BULLISH","")</f>
        <v/>
      </c>
      <c r="AU141" s="91" t="str">
        <f aca="false">IF(AND($AO141="FITS BITCH",$AQ141="FITS BITCH",$AS141="FITS BITCH"),"BEARISH","")</f>
        <v/>
      </c>
      <c r="AV141" s="86"/>
      <c r="AW141" s="86"/>
      <c r="AX141" s="86"/>
      <c r="CL141" s="99" t="n">
        <v>42933</v>
      </c>
      <c r="CM141" s="23" t="n">
        <f aca="false">$BA$68*CL141+$BA$70</f>
        <v>154.256690547818</v>
      </c>
    </row>
    <row r="142" customFormat="false" ht="15" hidden="false" customHeight="true" outlineLevel="0" collapsed="false">
      <c r="A142" s="0"/>
      <c r="B142" s="0"/>
      <c r="C142" s="0"/>
      <c r="D142" s="0"/>
      <c r="E142" s="0"/>
      <c r="AE142" s="90" t="n">
        <f aca="false">Data!A137</f>
        <v>42772</v>
      </c>
      <c r="AF142" s="17" t="n">
        <f aca="false">Data!B137</f>
        <v>129.13</v>
      </c>
      <c r="AG142" s="17" t="n">
        <f aca="false">Data!F137</f>
        <v>26845924</v>
      </c>
      <c r="AH142" s="17" t="n">
        <f aca="false">Data!C137</f>
        <v>130.5</v>
      </c>
      <c r="AI142" s="17" t="n">
        <f aca="false">Data!D137</f>
        <v>128.9</v>
      </c>
      <c r="AJ142" s="17" t="n">
        <f aca="false">Data!E137</f>
        <v>130.29</v>
      </c>
      <c r="AK142" s="17" t="n">
        <f aca="false">Data!F137</f>
        <v>26845924</v>
      </c>
      <c r="AL142" s="17" t="n">
        <f aca="false">AJ142</f>
        <v>130.29</v>
      </c>
      <c r="AM142" s="17" t="n">
        <f aca="false">(AL142-AL141)/AL142*100</f>
        <v>-0.95172307928468</v>
      </c>
      <c r="AN142" s="17" t="n">
        <f aca="false">(AK142-AK141)/AK142*100</f>
        <v>-42.2332902380265</v>
      </c>
      <c r="AO142" s="17" t="str">
        <f aca="false">IF(AN142&lt;-8,"FITS BITCH",IF(AN142&gt;-8,"no"))</f>
        <v>FITS BITCH</v>
      </c>
      <c r="AP142" s="17" t="str">
        <f aca="false">IF(AH143&lt;AH142,"FITS BITCH",IF(AH143&gt;AH142,"no"))</f>
        <v>FITS BITCH</v>
      </c>
      <c r="AQ142" s="17" t="str">
        <f aca="false">IF(AI143&lt;AI142,"FITS BITCH",IF(AI143&gt;AI142,"no"))</f>
        <v>FITS BITCH</v>
      </c>
      <c r="AR142" s="17" t="str">
        <f aca="false">IF(AJ142&lt;AH143,"FITS BITCH",IF(AJ142&gt;AH143,"no"))</f>
        <v>no</v>
      </c>
      <c r="AS142" s="17" t="str">
        <f aca="false">IF(AJ142&gt;AJ143,"FITS BITCH",IF(AJ142&lt;AJ143,"no"))</f>
        <v>FITS BITCH</v>
      </c>
      <c r="AT142" s="91" t="str">
        <f aca="false">IF(AND($AO142="FITS BITCH",$AP142="FITS BITCH",$AR142="FITS BITCH"),"BULLISH","")</f>
        <v/>
      </c>
      <c r="AU142" s="91" t="str">
        <f aca="false">IF(AND($AO142="FITS BITCH",$AQ142="FITS BITCH",$AS142="FITS BITCH"),"BEARISH","")</f>
        <v>BEARISH</v>
      </c>
      <c r="AV142" s="86"/>
      <c r="AW142" s="86"/>
      <c r="AX142" s="86"/>
      <c r="CL142" s="99" t="n">
        <v>42930</v>
      </c>
      <c r="CM142" s="23" t="n">
        <f aca="false">$BA$68*CL142+$BA$70</f>
        <v>153.79433585709</v>
      </c>
    </row>
    <row r="143" customFormat="false" ht="15" hidden="false" customHeight="true" outlineLevel="0" collapsed="false">
      <c r="A143" s="0"/>
      <c r="B143" s="0"/>
      <c r="C143" s="0"/>
      <c r="D143" s="0"/>
      <c r="E143" s="0"/>
      <c r="AE143" s="90" t="n">
        <f aca="false">Data!A138</f>
        <v>42769</v>
      </c>
      <c r="AF143" s="17" t="n">
        <f aca="false">Data!B138</f>
        <v>128.31</v>
      </c>
      <c r="AG143" s="17" t="n">
        <f aca="false">Data!F138</f>
        <v>24507301</v>
      </c>
      <c r="AH143" s="17" t="n">
        <f aca="false">Data!C138</f>
        <v>129.19</v>
      </c>
      <c r="AI143" s="17" t="n">
        <f aca="false">Data!D138</f>
        <v>128.16</v>
      </c>
      <c r="AJ143" s="17" t="n">
        <f aca="false">Data!E138</f>
        <v>129.08</v>
      </c>
      <c r="AK143" s="17" t="n">
        <f aca="false">Data!F138</f>
        <v>24507301</v>
      </c>
      <c r="AL143" s="17" t="n">
        <f aca="false">AJ143</f>
        <v>129.08</v>
      </c>
      <c r="AM143" s="17" t="n">
        <f aca="false">(AL143-AL142)/AL143*100</f>
        <v>-0.937403160830477</v>
      </c>
      <c r="AN143" s="17" t="n">
        <f aca="false">(AK143-AK142)/AK143*100</f>
        <v>-9.54255631821717</v>
      </c>
      <c r="AO143" s="17" t="str">
        <f aca="false">IF(AN143&lt;-8,"FITS BITCH",IF(AN143&gt;-8,"no"))</f>
        <v>FITS BITCH</v>
      </c>
      <c r="AP143" s="17" t="str">
        <f aca="false">IF(AH144&lt;AH143,"FITS BITCH",IF(AH144&gt;AH143,"no"))</f>
        <v>no</v>
      </c>
      <c r="AQ143" s="17" t="str">
        <f aca="false">IF(AI144&lt;AI143,"FITS BITCH",IF(AI144&gt;AI143,"no"))</f>
        <v>FITS BITCH</v>
      </c>
      <c r="AR143" s="17" t="str">
        <f aca="false">IF(AJ143&lt;AH144,"FITS BITCH",IF(AJ143&gt;AH144,"no"))</f>
        <v>FITS BITCH</v>
      </c>
      <c r="AS143" s="17" t="str">
        <f aca="false">IF(AJ143&gt;AJ144,"FITS BITCH",IF(AJ143&lt;AJ144,"no"))</f>
        <v>FITS BITCH</v>
      </c>
      <c r="AT143" s="91" t="str">
        <f aca="false">IF(AND($AO143="FITS BITCH",$AP143="FITS BITCH",$AR143="FITS BITCH"),"BULLISH","")</f>
        <v/>
      </c>
      <c r="AU143" s="91" t="str">
        <f aca="false">IF(AND($AO143="FITS BITCH",$AQ143="FITS BITCH",$AS143="FITS BITCH"),"BEARISH","")</f>
        <v>BEARISH</v>
      </c>
      <c r="AV143" s="86"/>
      <c r="AW143" s="86"/>
      <c r="AX143" s="86"/>
      <c r="CL143" s="99" t="n">
        <v>42929</v>
      </c>
      <c r="CM143" s="23" t="n">
        <f aca="false">$BA$68*CL143+$BA$70</f>
        <v>153.640217626848</v>
      </c>
    </row>
    <row r="144" customFormat="false" ht="15" hidden="false" customHeight="true" outlineLevel="0" collapsed="false">
      <c r="A144" s="0"/>
      <c r="B144" s="0"/>
      <c r="C144" s="0"/>
      <c r="D144" s="0"/>
      <c r="E144" s="0"/>
      <c r="AE144" s="90" t="n">
        <f aca="false">Data!A139</f>
        <v>42768</v>
      </c>
      <c r="AF144" s="17" t="n">
        <f aca="false">Data!B139</f>
        <v>127.98</v>
      </c>
      <c r="AG144" s="17" t="n">
        <f aca="false">Data!F139</f>
        <v>33710411</v>
      </c>
      <c r="AH144" s="17" t="n">
        <f aca="false">Data!C139</f>
        <v>129.39</v>
      </c>
      <c r="AI144" s="17" t="n">
        <f aca="false">Data!D139</f>
        <v>127.78</v>
      </c>
      <c r="AJ144" s="17" t="n">
        <f aca="false">Data!E139</f>
        <v>128.53</v>
      </c>
      <c r="AK144" s="17" t="n">
        <f aca="false">Data!F139</f>
        <v>33710411</v>
      </c>
      <c r="AL144" s="17" t="n">
        <f aca="false">AJ144</f>
        <v>128.53</v>
      </c>
      <c r="AM144" s="17" t="n">
        <f aca="false">(AL144-AL143)/AL144*100</f>
        <v>-0.427915661713227</v>
      </c>
      <c r="AN144" s="17" t="n">
        <f aca="false">(AK144-AK143)/AK144*100</f>
        <v>27.3004977601727</v>
      </c>
      <c r="AO144" s="17" t="str">
        <f aca="false">IF(AN144&lt;-8,"FITS BITCH",IF(AN144&gt;-8,"no"))</f>
        <v>no</v>
      </c>
      <c r="AP144" s="17" t="str">
        <f aca="false">IF(AH145&lt;AH144,"FITS BITCH",IF(AH145&gt;AH144,"no"))</f>
        <v>no</v>
      </c>
      <c r="AQ144" s="17" t="str">
        <f aca="false">IF(AI145&lt;AI144,"FITS BITCH",IF(AI145&gt;AI144,"no"))</f>
        <v>FITS BITCH</v>
      </c>
      <c r="AR144" s="17" t="str">
        <f aca="false">IF(AJ144&lt;AH145,"FITS BITCH",IF(AJ144&gt;AH145,"no"))</f>
        <v>FITS BITCH</v>
      </c>
      <c r="AS144" s="17" t="str">
        <f aca="false">IF(AJ144&gt;AJ145,"FITS BITCH",IF(AJ144&lt;AJ145,"no"))</f>
        <v>no</v>
      </c>
      <c r="AT144" s="91" t="str">
        <f aca="false">IF(AND($AO144="FITS BITCH",$AP144="FITS BITCH",$AR144="FITS BITCH"),"BULLISH","")</f>
        <v/>
      </c>
      <c r="AU144" s="91" t="str">
        <f aca="false">IF(AND($AO144="FITS BITCH",$AQ144="FITS BITCH",$AS144="FITS BITCH"),"BEARISH","")</f>
        <v/>
      </c>
      <c r="AV144" s="86"/>
      <c r="AW144" s="86"/>
      <c r="AX144" s="86"/>
      <c r="CL144" s="99" t="n">
        <v>42928</v>
      </c>
      <c r="CM144" s="23" t="n">
        <f aca="false">$BA$68*CL144+$BA$70</f>
        <v>153.486099396605</v>
      </c>
    </row>
    <row r="145" customFormat="false" ht="15" hidden="false" customHeight="true" outlineLevel="0" collapsed="false">
      <c r="A145" s="0"/>
      <c r="B145" s="0"/>
      <c r="C145" s="0"/>
      <c r="D145" s="0"/>
      <c r="E145" s="0"/>
      <c r="AE145" s="90" t="n">
        <f aca="false">Data!A140</f>
        <v>42767</v>
      </c>
      <c r="AF145" s="17" t="n">
        <f aca="false">Data!B140</f>
        <v>127.03</v>
      </c>
      <c r="AG145" s="17" t="n">
        <f aca="false">Data!F140</f>
        <v>111985040</v>
      </c>
      <c r="AH145" s="17" t="n">
        <f aca="false">Data!C140</f>
        <v>130.49</v>
      </c>
      <c r="AI145" s="17" t="n">
        <f aca="false">Data!D140</f>
        <v>127.01</v>
      </c>
      <c r="AJ145" s="17" t="n">
        <f aca="false">Data!E140</f>
        <v>128.75</v>
      </c>
      <c r="AK145" s="17" t="n">
        <f aca="false">Data!F140</f>
        <v>111985040</v>
      </c>
      <c r="AL145" s="17" t="n">
        <f aca="false">AJ145</f>
        <v>128.75</v>
      </c>
      <c r="AM145" s="17" t="n">
        <f aca="false">(AL145-AL144)/AL145*100</f>
        <v>0.170873786407766</v>
      </c>
      <c r="AN145" s="17" t="n">
        <f aca="false">(AK145-AK144)/AK145*100</f>
        <v>69.8973979024341</v>
      </c>
      <c r="AO145" s="17" t="str">
        <f aca="false">IF(AN145&lt;-8,"FITS BITCH",IF(AN145&gt;-8,"no"))</f>
        <v>no</v>
      </c>
      <c r="AP145" s="17" t="str">
        <f aca="false">IF(AH146&lt;AH145,"FITS BITCH",IF(AH146&gt;AH145,"no"))</f>
        <v>FITS BITCH</v>
      </c>
      <c r="AQ145" s="17" t="str">
        <f aca="false">IF(AI146&lt;AI145,"FITS BITCH",IF(AI146&gt;AI145,"no"))</f>
        <v>FITS BITCH</v>
      </c>
      <c r="AR145" s="17" t="str">
        <f aca="false">IF(AJ145&lt;AH146,"FITS BITCH",IF(AJ145&gt;AH146,"no"))</f>
        <v>no</v>
      </c>
      <c r="AS145" s="17" t="str">
        <f aca="false">IF(AJ145&gt;AJ146,"FITS BITCH",IF(AJ145&lt;AJ146,"no"))</f>
        <v>FITS BITCH</v>
      </c>
      <c r="AT145" s="91" t="str">
        <f aca="false">IF(AND($AO145="FITS BITCH",$AP145="FITS BITCH",$AR145="FITS BITCH"),"BULLISH","")</f>
        <v/>
      </c>
      <c r="AU145" s="91" t="str">
        <f aca="false">IF(AND($AO145="FITS BITCH",$AQ145="FITS BITCH",$AS145="FITS BITCH"),"BEARISH","")</f>
        <v/>
      </c>
      <c r="AV145" s="86"/>
      <c r="AW145" s="86"/>
      <c r="AX145" s="86"/>
      <c r="CL145" s="99" t="n">
        <v>42927</v>
      </c>
      <c r="CM145" s="23" t="n">
        <f aca="false">$BA$68*CL145+$BA$70</f>
        <v>153.331981166362</v>
      </c>
    </row>
    <row r="146" customFormat="false" ht="15" hidden="false" customHeight="true" outlineLevel="0" collapsed="false">
      <c r="A146" s="0"/>
      <c r="B146" s="0"/>
      <c r="C146" s="0"/>
      <c r="D146" s="0"/>
      <c r="E146" s="0"/>
      <c r="AE146" s="90" t="n">
        <f aca="false">Data!A141</f>
        <v>42766</v>
      </c>
      <c r="AF146" s="17" t="n">
        <f aca="false">Data!B141</f>
        <v>121.15</v>
      </c>
      <c r="AG146" s="17" t="n">
        <f aca="false">Data!F141</f>
        <v>49200993</v>
      </c>
      <c r="AH146" s="17" t="n">
        <f aca="false">Data!C141</f>
        <v>121.39</v>
      </c>
      <c r="AI146" s="17" t="n">
        <f aca="false">Data!D141</f>
        <v>120.62</v>
      </c>
      <c r="AJ146" s="17" t="n">
        <f aca="false">Data!E141</f>
        <v>121.35</v>
      </c>
      <c r="AK146" s="17" t="n">
        <f aca="false">Data!F141</f>
        <v>49200993</v>
      </c>
      <c r="AL146" s="17" t="n">
        <f aca="false">AJ146</f>
        <v>121.35</v>
      </c>
      <c r="AM146" s="17" t="n">
        <f aca="false">(AL146-AL145)/AL146*100</f>
        <v>-6.09806345282242</v>
      </c>
      <c r="AN146" s="17" t="n">
        <f aca="false">(AK146-AK145)/AK146*100</f>
        <v>-127.607276137699</v>
      </c>
      <c r="AO146" s="17" t="str">
        <f aca="false">IF(AN146&lt;-8,"FITS BITCH",IF(AN146&gt;-8,"no"))</f>
        <v>FITS BITCH</v>
      </c>
      <c r="AP146" s="17" t="str">
        <f aca="false">IF(AH147&lt;AH146,"FITS BITCH",IF(AH147&gt;AH146,"no"))</f>
        <v>no</v>
      </c>
      <c r="AQ146" s="17" t="str">
        <f aca="false">IF(AI147&lt;AI146,"FITS BITCH",IF(AI147&gt;AI146,"no"))</f>
        <v>no</v>
      </c>
      <c r="AR146" s="17" t="str">
        <f aca="false">IF(AJ146&lt;AH147,"FITS BITCH",IF(AJ146&gt;AH147,"no"))</f>
        <v>FITS BITCH</v>
      </c>
      <c r="AS146" s="17" t="str">
        <f aca="false">IF(AJ146&gt;AJ147,"FITS BITCH",IF(AJ146&lt;AJ147,"no"))</f>
        <v>no</v>
      </c>
      <c r="AT146" s="91" t="str">
        <f aca="false">IF(AND($AO146="FITS BITCH",$AP146="FITS BITCH",$AR146="FITS BITCH"),"BULLISH","")</f>
        <v/>
      </c>
      <c r="AU146" s="91" t="str">
        <f aca="false">IF(AND($AO146="FITS BITCH",$AQ146="FITS BITCH",$AS146="FITS BITCH"),"BEARISH","")</f>
        <v/>
      </c>
      <c r="AV146" s="86"/>
      <c r="AW146" s="86"/>
      <c r="AX146" s="86"/>
      <c r="CL146" s="99" t="n">
        <v>42926</v>
      </c>
      <c r="CM146" s="23" t="n">
        <f aca="false">$BA$68*CL146+$BA$70</f>
        <v>153.17786293612</v>
      </c>
    </row>
    <row r="147" customFormat="false" ht="15" hidden="false" customHeight="true" outlineLevel="0" collapsed="false">
      <c r="A147" s="0"/>
      <c r="B147" s="0"/>
      <c r="C147" s="0"/>
      <c r="D147" s="0"/>
      <c r="E147" s="0"/>
      <c r="AE147" s="90" t="n">
        <f aca="false">Data!A142</f>
        <v>42765</v>
      </c>
      <c r="AF147" s="17" t="n">
        <f aca="false">Data!B142</f>
        <v>120.93</v>
      </c>
      <c r="AG147" s="17" t="n">
        <f aca="false">Data!F142</f>
        <v>30377503</v>
      </c>
      <c r="AH147" s="17" t="n">
        <f aca="false">Data!C142</f>
        <v>121.63</v>
      </c>
      <c r="AI147" s="17" t="n">
        <f aca="false">Data!D142</f>
        <v>120.66</v>
      </c>
      <c r="AJ147" s="17" t="n">
        <f aca="false">Data!E142</f>
        <v>121.63</v>
      </c>
      <c r="AK147" s="17" t="n">
        <f aca="false">Data!F142</f>
        <v>30377503</v>
      </c>
      <c r="AL147" s="17" t="n">
        <f aca="false">AJ147</f>
        <v>121.63</v>
      </c>
      <c r="AM147" s="17" t="n">
        <f aca="false">(AL147-AL146)/AL147*100</f>
        <v>0.230206363561622</v>
      </c>
      <c r="AN147" s="17" t="n">
        <f aca="false">(AK147-AK146)/AK147*100</f>
        <v>-61.965231309499</v>
      </c>
      <c r="AO147" s="17" t="str">
        <f aca="false">IF(AN147&lt;-8,"FITS BITCH",IF(AN147&gt;-8,"no"))</f>
        <v>FITS BITCH</v>
      </c>
      <c r="AP147" s="17" t="str">
        <f aca="false">IF(AH148&lt;AH147,"FITS BITCH",IF(AH148&gt;AH147,"no"))</f>
        <v>no</v>
      </c>
      <c r="AQ147" s="17" t="str">
        <f aca="false">IF(AI148&lt;AI147,"FITS BITCH",IF(AI148&gt;AI147,"no"))</f>
        <v>no</v>
      </c>
      <c r="AR147" s="17" t="str">
        <f aca="false">IF(AJ147&lt;AH148,"FITS BITCH",IF(AJ147&gt;AH148,"no"))</f>
        <v>FITS BITCH</v>
      </c>
      <c r="AS147" s="17" t="str">
        <f aca="false">IF(AJ147&gt;AJ148,"FITS BITCH",IF(AJ147&lt;AJ148,"no"))</f>
        <v>no</v>
      </c>
      <c r="AT147" s="91" t="str">
        <f aca="false">IF(AND($AO147="FITS BITCH",$AP147="FITS BITCH",$AR147="FITS BITCH"),"BULLISH","")</f>
        <v/>
      </c>
      <c r="AU147" s="91" t="str">
        <f aca="false">IF(AND($AO147="FITS BITCH",$AQ147="FITS BITCH",$AS147="FITS BITCH"),"BEARISH","")</f>
        <v/>
      </c>
      <c r="AV147" s="86"/>
      <c r="AW147" s="86"/>
      <c r="AX147" s="86"/>
      <c r="CL147" s="99" t="n">
        <v>42923</v>
      </c>
      <c r="CM147" s="23" t="n">
        <f aca="false">$BA$68*CL147+$BA$70</f>
        <v>152.715508245391</v>
      </c>
    </row>
    <row r="148" customFormat="false" ht="15" hidden="false" customHeight="true" outlineLevel="0" collapsed="false">
      <c r="A148" s="0"/>
      <c r="B148" s="0"/>
      <c r="C148" s="0"/>
      <c r="D148" s="0"/>
      <c r="E148" s="0"/>
      <c r="AE148" s="90" t="n">
        <f aca="false">Data!A143</f>
        <v>42762</v>
      </c>
      <c r="AF148" s="17" t="n">
        <f aca="false">Data!B143</f>
        <v>122.14</v>
      </c>
      <c r="AG148" s="17" t="n">
        <f aca="false">Data!F143</f>
        <v>20562944</v>
      </c>
      <c r="AH148" s="17" t="n">
        <f aca="false">Data!C143</f>
        <v>122.35</v>
      </c>
      <c r="AI148" s="17" t="n">
        <f aca="false">Data!D143</f>
        <v>121.6</v>
      </c>
      <c r="AJ148" s="17" t="n">
        <f aca="false">Data!E143</f>
        <v>121.95</v>
      </c>
      <c r="AK148" s="17" t="n">
        <f aca="false">Data!F143</f>
        <v>20562944</v>
      </c>
      <c r="AL148" s="17" t="n">
        <f aca="false">AJ148</f>
        <v>121.95</v>
      </c>
      <c r="AM148" s="17" t="n">
        <f aca="false">(AL148-AL147)/AL148*100</f>
        <v>0.262402624026246</v>
      </c>
      <c r="AN148" s="17" t="n">
        <f aca="false">(AK148-AK147)/AK148*100</f>
        <v>-47.7293475097729</v>
      </c>
      <c r="AO148" s="17" t="str">
        <f aca="false">IF(AN148&lt;-8,"FITS BITCH",IF(AN148&gt;-8,"no"))</f>
        <v>FITS BITCH</v>
      </c>
      <c r="AP148" s="17" t="str">
        <f aca="false">IF(AH149&lt;AH148,"FITS BITCH",IF(AH149&gt;AH148,"no"))</f>
        <v>no</v>
      </c>
      <c r="AQ148" s="17" t="n">
        <f aca="false">IF(AI149&lt;AI148,"FITS BITCH",IF(AI149&gt;AI148,"no"))</f>
        <v>0</v>
      </c>
      <c r="AR148" s="17" t="str">
        <f aca="false">IF(AJ148&lt;AH149,"FITS BITCH",IF(AJ148&gt;AH149,"no"))</f>
        <v>FITS BITCH</v>
      </c>
      <c r="AS148" s="17" t="str">
        <f aca="false">IF(AJ148&gt;AJ149,"FITS BITCH",IF(AJ148&lt;AJ149,"no"))</f>
        <v>FITS BITCH</v>
      </c>
      <c r="AT148" s="91" t="str">
        <f aca="false">IF(AND($AO148="FITS BITCH",$AP148="FITS BITCH",$AR148="FITS BITCH"),"BULLISH","")</f>
        <v/>
      </c>
      <c r="AU148" s="91" t="str">
        <f aca="false">IF(AND($AO148="FITS BITCH",$AQ148="FITS BITCH",$AS148="FITS BITCH"),"BEARISH","")</f>
        <v/>
      </c>
      <c r="AV148" s="86"/>
      <c r="AW148" s="86"/>
      <c r="AX148" s="86"/>
      <c r="CL148" s="99" t="n">
        <v>42922</v>
      </c>
      <c r="CM148" s="23" t="n">
        <f aca="false">$BA$68*CL148+$BA$70</f>
        <v>152.561390015148</v>
      </c>
    </row>
    <row r="149" customFormat="false" ht="15" hidden="false" customHeight="true" outlineLevel="0" collapsed="false">
      <c r="A149" s="0"/>
      <c r="B149" s="0"/>
      <c r="C149" s="0"/>
      <c r="D149" s="0"/>
      <c r="E149" s="0"/>
      <c r="AE149" s="90" t="n">
        <f aca="false">Data!A144</f>
        <v>42761</v>
      </c>
      <c r="AF149" s="17" t="n">
        <f aca="false">Data!B144</f>
        <v>121.67</v>
      </c>
      <c r="AG149" s="17" t="n">
        <f aca="false">Data!F144</f>
        <v>26337576</v>
      </c>
      <c r="AH149" s="17" t="n">
        <f aca="false">Data!C144</f>
        <v>122.44</v>
      </c>
      <c r="AI149" s="17" t="n">
        <f aca="false">Data!D144</f>
        <v>121.6</v>
      </c>
      <c r="AJ149" s="17" t="n">
        <f aca="false">Data!E144</f>
        <v>121.94</v>
      </c>
      <c r="AK149" s="17" t="n">
        <f aca="false">Data!F144</f>
        <v>26337576</v>
      </c>
      <c r="AL149" s="17" t="n">
        <f aca="false">AJ149</f>
        <v>121.94</v>
      </c>
      <c r="AM149" s="17" t="n">
        <f aca="false">(AL149-AL148)/AL149*100</f>
        <v>-0.00820075446941538</v>
      </c>
      <c r="AN149" s="17" t="n">
        <f aca="false">(AK149-AK148)/AK149*100</f>
        <v>21.9254497832299</v>
      </c>
      <c r="AO149" s="17" t="str">
        <f aca="false">IF(AN149&lt;-8,"FITS BITCH",IF(AN149&gt;-8,"no"))</f>
        <v>no</v>
      </c>
      <c r="AP149" s="17" t="str">
        <f aca="false">IF(AH150&lt;AH149,"FITS BITCH",IF(AH150&gt;AH149,"no"))</f>
        <v>FITS BITCH</v>
      </c>
      <c r="AQ149" s="17" t="str">
        <f aca="false">IF(AI150&lt;AI149,"FITS BITCH",IF(AI150&gt;AI149,"no"))</f>
        <v>FITS BITCH</v>
      </c>
      <c r="AR149" s="17" t="str">
        <f aca="false">IF(AJ149&lt;AH150,"FITS BITCH",IF(AJ149&gt;AH150,"no"))</f>
        <v>FITS BITCH</v>
      </c>
      <c r="AS149" s="17" t="str">
        <f aca="false">IF(AJ149&gt;AJ150,"FITS BITCH",IF(AJ149&lt;AJ150,"no"))</f>
        <v>FITS BITCH</v>
      </c>
      <c r="AT149" s="91" t="str">
        <f aca="false">IF(AND($AO149="FITS BITCH",$AP149="FITS BITCH",$AR149="FITS BITCH"),"BULLISH","")</f>
        <v/>
      </c>
      <c r="AU149" s="91" t="str">
        <f aca="false">IF(AND($AO149="FITS BITCH",$AQ149="FITS BITCH",$AS149="FITS BITCH"),"BEARISH","")</f>
        <v/>
      </c>
      <c r="AV149" s="86"/>
      <c r="AW149" s="86"/>
      <c r="AX149" s="86"/>
      <c r="CL149" s="99" t="n">
        <v>42921</v>
      </c>
      <c r="CM149" s="23" t="n">
        <f aca="false">$BA$68*CL149+$BA$70</f>
        <v>152.407271784906</v>
      </c>
    </row>
    <row r="150" customFormat="false" ht="15" hidden="false" customHeight="true" outlineLevel="0" collapsed="false">
      <c r="A150" s="0"/>
      <c r="B150" s="0"/>
      <c r="C150" s="0"/>
      <c r="D150" s="0"/>
      <c r="E150" s="0"/>
      <c r="AE150" s="90" t="n">
        <f aca="false">Data!A145</f>
        <v>42760</v>
      </c>
      <c r="AF150" s="17" t="n">
        <f aca="false">Data!B145</f>
        <v>120.42</v>
      </c>
      <c r="AG150" s="17" t="n">
        <f aca="false">Data!F145</f>
        <v>32586673</v>
      </c>
      <c r="AH150" s="17" t="n">
        <f aca="false">Data!C145</f>
        <v>122.1</v>
      </c>
      <c r="AI150" s="17" t="n">
        <f aca="false">Data!D145</f>
        <v>120.28</v>
      </c>
      <c r="AJ150" s="17" t="n">
        <f aca="false">Data!E145</f>
        <v>121.88</v>
      </c>
      <c r="AK150" s="17" t="n">
        <f aca="false">Data!F145</f>
        <v>32586673</v>
      </c>
      <c r="AL150" s="17" t="n">
        <f aca="false">AJ150</f>
        <v>121.88</v>
      </c>
      <c r="AM150" s="17" t="n">
        <f aca="false">(AL150-AL149)/AL150*100</f>
        <v>-0.0492287495897623</v>
      </c>
      <c r="AN150" s="17" t="n">
        <f aca="false">(AK150-AK149)/AK150*100</f>
        <v>19.1768487688203</v>
      </c>
      <c r="AO150" s="17" t="str">
        <f aca="false">IF(AN150&lt;-8,"FITS BITCH",IF(AN150&gt;-8,"no"))</f>
        <v>no</v>
      </c>
      <c r="AP150" s="17" t="str">
        <f aca="false">IF(AH151&lt;AH150,"FITS BITCH",IF(AH151&gt;AH150,"no"))</f>
        <v>FITS BITCH</v>
      </c>
      <c r="AQ150" s="17" t="str">
        <f aca="false">IF(AI151&lt;AI150,"FITS BITCH",IF(AI151&gt;AI150,"no"))</f>
        <v>FITS BITCH</v>
      </c>
      <c r="AR150" s="17" t="str">
        <f aca="false">IF(AJ150&lt;AH151,"FITS BITCH",IF(AJ150&gt;AH151,"no"))</f>
        <v>no</v>
      </c>
      <c r="AS150" s="17" t="str">
        <f aca="false">IF(AJ150&gt;AJ151,"FITS BITCH",IF(AJ150&lt;AJ151,"no"))</f>
        <v>FITS BITCH</v>
      </c>
      <c r="AT150" s="91" t="str">
        <f aca="false">IF(AND($AO150="FITS BITCH",$AP150="FITS BITCH",$AR150="FITS BITCH"),"BULLISH","")</f>
        <v/>
      </c>
      <c r="AU150" s="91" t="str">
        <f aca="false">IF(AND($AO150="FITS BITCH",$AQ150="FITS BITCH",$AS150="FITS BITCH"),"BEARISH","")</f>
        <v/>
      </c>
      <c r="AV150" s="86"/>
      <c r="AW150" s="86"/>
      <c r="AX150" s="86"/>
      <c r="CL150" s="99" t="n">
        <v>42920</v>
      </c>
      <c r="CM150" s="23" t="n">
        <f aca="false">$BA$68*CL150+$BA$70</f>
        <v>152.253153554663</v>
      </c>
    </row>
    <row r="151" customFormat="false" ht="15" hidden="false" customHeight="true" outlineLevel="0" collapsed="false">
      <c r="A151" s="0"/>
      <c r="B151" s="0"/>
      <c r="C151" s="0"/>
      <c r="D151" s="0"/>
      <c r="E151" s="0"/>
      <c r="AE151" s="90" t="n">
        <f aca="false">Data!A146</f>
        <v>42759</v>
      </c>
      <c r="AF151" s="17" t="n">
        <f aca="false">Data!B146</f>
        <v>119.55</v>
      </c>
      <c r="AG151" s="17" t="n">
        <f aca="false">Data!F146</f>
        <v>23211038</v>
      </c>
      <c r="AH151" s="17" t="n">
        <f aca="false">Data!C146</f>
        <v>120.1</v>
      </c>
      <c r="AI151" s="17" t="n">
        <f aca="false">Data!D146</f>
        <v>119.5</v>
      </c>
      <c r="AJ151" s="17" t="n">
        <f aca="false">Data!E146</f>
        <v>119.97</v>
      </c>
      <c r="AK151" s="17" t="n">
        <f aca="false">Data!F146</f>
        <v>23211038</v>
      </c>
      <c r="AL151" s="17" t="n">
        <f aca="false">AJ151</f>
        <v>119.97</v>
      </c>
      <c r="AM151" s="17" t="n">
        <f aca="false">(AL151-AL150)/AL151*100</f>
        <v>-1.59206468283737</v>
      </c>
      <c r="AN151" s="17" t="n">
        <f aca="false">(AK151-AK150)/AK151*100</f>
        <v>-40.3930018123274</v>
      </c>
      <c r="AO151" s="17" t="str">
        <f aca="false">IF(AN151&lt;-8,"FITS BITCH",IF(AN151&gt;-8,"no"))</f>
        <v>FITS BITCH</v>
      </c>
      <c r="AP151" s="17" t="str">
        <f aca="false">IF(AH152&lt;AH151,"FITS BITCH",IF(AH152&gt;AH151,"no"))</f>
        <v>no</v>
      </c>
      <c r="AQ151" s="17" t="str">
        <f aca="false">IF(AI152&lt;AI151,"FITS BITCH",IF(AI152&gt;AI151,"no"))</f>
        <v>no</v>
      </c>
      <c r="AR151" s="17" t="str">
        <f aca="false">IF(AJ151&lt;AH152,"FITS BITCH",IF(AJ151&gt;AH152,"no"))</f>
        <v>FITS BITCH</v>
      </c>
      <c r="AS151" s="17" t="str">
        <f aca="false">IF(AJ151&gt;AJ152,"FITS BITCH",IF(AJ151&lt;AJ152,"no"))</f>
        <v>no</v>
      </c>
      <c r="AT151" s="91" t="str">
        <f aca="false">IF(AND($AO151="FITS BITCH",$AP151="FITS BITCH",$AR151="FITS BITCH"),"BULLISH","")</f>
        <v/>
      </c>
      <c r="AU151" s="91" t="str">
        <f aca="false">IF(AND($AO151="FITS BITCH",$AQ151="FITS BITCH",$AS151="FITS BITCH"),"BEARISH","")</f>
        <v/>
      </c>
      <c r="AV151" s="86"/>
      <c r="AW151" s="86"/>
      <c r="AX151" s="86"/>
      <c r="CL151" s="99" t="n">
        <v>42919</v>
      </c>
      <c r="CM151" s="23" t="n">
        <f aca="false">$BA$68*CL151+$BA$70</f>
        <v>152.099035324421</v>
      </c>
    </row>
    <row r="152" customFormat="false" ht="15" hidden="false" customHeight="true" outlineLevel="0" collapsed="false">
      <c r="A152" s="0"/>
      <c r="B152" s="0"/>
      <c r="C152" s="0"/>
      <c r="D152" s="0"/>
      <c r="E152" s="0"/>
      <c r="AE152" s="90" t="n">
        <f aca="false">Data!A147</f>
        <v>42758</v>
      </c>
      <c r="AF152" s="17" t="n">
        <f aca="false">Data!B147</f>
        <v>120</v>
      </c>
      <c r="AG152" s="17" t="n">
        <f aca="false">Data!F147</f>
        <v>22050218</v>
      </c>
      <c r="AH152" s="17" t="n">
        <f aca="false">Data!C147</f>
        <v>120.81</v>
      </c>
      <c r="AI152" s="17" t="n">
        <f aca="false">Data!D147</f>
        <v>119.77</v>
      </c>
      <c r="AJ152" s="17" t="n">
        <f aca="false">Data!E147</f>
        <v>120.08</v>
      </c>
      <c r="AK152" s="17" t="n">
        <f aca="false">Data!F147</f>
        <v>22050218</v>
      </c>
      <c r="AL152" s="17" t="n">
        <f aca="false">AJ152</f>
        <v>120.08</v>
      </c>
      <c r="AM152" s="17" t="n">
        <f aca="false">(AL152-AL151)/AL152*100</f>
        <v>0.0916055962691534</v>
      </c>
      <c r="AN152" s="17" t="n">
        <f aca="false">(AK152-AK151)/AK152*100</f>
        <v>-5.26443774841591</v>
      </c>
      <c r="AO152" s="17" t="str">
        <f aca="false">IF(AN152&lt;-8,"FITS BITCH",IF(AN152&gt;-8,"no"))</f>
        <v>no</v>
      </c>
      <c r="AP152" s="17" t="str">
        <f aca="false">IF(AH153&lt;AH152,"FITS BITCH",IF(AH153&gt;AH152,"no"))</f>
        <v>FITS BITCH</v>
      </c>
      <c r="AQ152" s="17" t="str">
        <f aca="false">IF(AI153&lt;AI152,"FITS BITCH",IF(AI153&gt;AI152,"no"))</f>
        <v>FITS BITCH</v>
      </c>
      <c r="AR152" s="17" t="str">
        <f aca="false">IF(AJ152&lt;AH153,"FITS BITCH",IF(AJ152&gt;AH153,"no"))</f>
        <v>FITS BITCH</v>
      </c>
      <c r="AS152" s="17" t="str">
        <f aca="false">IF(AJ152&gt;AJ153,"FITS BITCH",IF(AJ152&lt;AJ153,"no"))</f>
        <v>FITS BITCH</v>
      </c>
      <c r="AT152" s="91" t="str">
        <f aca="false">IF(AND($AO152="FITS BITCH",$AP152="FITS BITCH",$AR152="FITS BITCH"),"BULLISH","")</f>
        <v/>
      </c>
      <c r="AU152" s="91" t="str">
        <f aca="false">IF(AND($AO152="FITS BITCH",$AQ152="FITS BITCH",$AS152="FITS BITCH"),"BEARISH","")</f>
        <v/>
      </c>
      <c r="AV152" s="86"/>
      <c r="AW152" s="86"/>
      <c r="AX152" s="86"/>
      <c r="CL152" s="99" t="n">
        <v>42916</v>
      </c>
      <c r="CM152" s="23" t="n">
        <f aca="false">$BA$68*CL152+$BA$70</f>
        <v>151.636680633693</v>
      </c>
    </row>
    <row r="153" customFormat="false" ht="15" hidden="false" customHeight="true" outlineLevel="0" collapsed="false">
      <c r="A153" s="0"/>
      <c r="B153" s="0"/>
      <c r="C153" s="0"/>
      <c r="D153" s="0"/>
      <c r="E153" s="0"/>
      <c r="AE153" s="90" t="n">
        <f aca="false">Data!A148</f>
        <v>42755</v>
      </c>
      <c r="AF153" s="17" t="n">
        <f aca="false">Data!B148</f>
        <v>120.45</v>
      </c>
      <c r="AG153" s="17" t="n">
        <f aca="false">Data!F148</f>
        <v>32597892</v>
      </c>
      <c r="AH153" s="17" t="n">
        <f aca="false">Data!C148</f>
        <v>120.45</v>
      </c>
      <c r="AI153" s="17" t="n">
        <f aca="false">Data!D148</f>
        <v>119.73</v>
      </c>
      <c r="AJ153" s="17" t="n">
        <f aca="false">Data!E148</f>
        <v>120</v>
      </c>
      <c r="AK153" s="17" t="n">
        <f aca="false">Data!F148</f>
        <v>32597892</v>
      </c>
      <c r="AL153" s="17" t="n">
        <f aca="false">AJ153</f>
        <v>120</v>
      </c>
      <c r="AM153" s="17" t="n">
        <f aca="false">(AL153-AL152)/AL153*100</f>
        <v>-0.0666666666666653</v>
      </c>
      <c r="AN153" s="17" t="n">
        <f aca="false">(AK153-AK152)/AK153*100</f>
        <v>32.3569205027123</v>
      </c>
      <c r="AO153" s="17" t="str">
        <f aca="false">IF(AN153&lt;-8,"FITS BITCH",IF(AN153&gt;-8,"no"))</f>
        <v>no</v>
      </c>
      <c r="AP153" s="17" t="str">
        <f aca="false">IF(AH154&lt;AH153,"FITS BITCH",IF(AH154&gt;AH153,"no"))</f>
        <v>FITS BITCH</v>
      </c>
      <c r="AQ153" s="17" t="str">
        <f aca="false">IF(AI154&lt;AI153,"FITS BITCH",IF(AI154&gt;AI153,"no"))</f>
        <v>FITS BITCH</v>
      </c>
      <c r="AR153" s="17" t="str">
        <f aca="false">IF(AJ153&lt;AH154,"FITS BITCH",IF(AJ153&gt;AH154,"no"))</f>
        <v>FITS BITCH</v>
      </c>
      <c r="AS153" s="17" t="str">
        <f aca="false">IF(AJ153&gt;AJ154,"FITS BITCH",IF(AJ153&lt;AJ154,"no"))</f>
        <v>FITS BITCH</v>
      </c>
      <c r="AT153" s="91" t="str">
        <f aca="false">IF(AND($AO153="FITS BITCH",$AP153="FITS BITCH",$AR153="FITS BITCH"),"BULLISH","")</f>
        <v/>
      </c>
      <c r="AU153" s="91" t="str">
        <f aca="false">IF(AND($AO153="FITS BITCH",$AQ153="FITS BITCH",$AS153="FITS BITCH"),"BEARISH","")</f>
        <v/>
      </c>
      <c r="AV153" s="86"/>
      <c r="AW153" s="86"/>
      <c r="AX153" s="86"/>
      <c r="CL153" s="99" t="n">
        <v>42915</v>
      </c>
      <c r="CM153" s="23" t="n">
        <f aca="false">$BA$68*CL153+$BA$70</f>
        <v>151.482562403449</v>
      </c>
    </row>
    <row r="154" customFormat="false" ht="15" hidden="false" customHeight="true" outlineLevel="0" collapsed="false">
      <c r="A154" s="0"/>
      <c r="B154" s="0"/>
      <c r="C154" s="0"/>
      <c r="D154" s="0"/>
      <c r="E154" s="0"/>
      <c r="AE154" s="90" t="n">
        <f aca="false">Data!A149</f>
        <v>42754</v>
      </c>
      <c r="AF154" s="17" t="n">
        <f aca="false">Data!B149</f>
        <v>119.4</v>
      </c>
      <c r="AG154" s="17" t="n">
        <f aca="false">Data!F149</f>
        <v>25597291</v>
      </c>
      <c r="AH154" s="17" t="n">
        <f aca="false">Data!C149</f>
        <v>120.09</v>
      </c>
      <c r="AI154" s="17" t="n">
        <f aca="false">Data!D149</f>
        <v>119.37</v>
      </c>
      <c r="AJ154" s="17" t="n">
        <f aca="false">Data!E149</f>
        <v>119.78</v>
      </c>
      <c r="AK154" s="17" t="n">
        <f aca="false">Data!F149</f>
        <v>25597291</v>
      </c>
      <c r="AL154" s="17" t="n">
        <f aca="false">AJ154</f>
        <v>119.78</v>
      </c>
      <c r="AM154" s="17" t="n">
        <f aca="false">(AL154-AL153)/AL154*100</f>
        <v>-0.183670061779929</v>
      </c>
      <c r="AN154" s="17" t="n">
        <f aca="false">(AK154-AK153)/AK154*100</f>
        <v>-27.348991735102</v>
      </c>
      <c r="AO154" s="17" t="str">
        <f aca="false">IF(AN154&lt;-8,"FITS BITCH",IF(AN154&gt;-8,"no"))</f>
        <v>FITS BITCH</v>
      </c>
      <c r="AP154" s="17" t="str">
        <f aca="false">IF(AH155&lt;AH154,"FITS BITCH",IF(AH155&gt;AH154,"no"))</f>
        <v>no</v>
      </c>
      <c r="AQ154" s="17" t="str">
        <f aca="false">IF(AI155&lt;AI154,"FITS BITCH",IF(AI155&gt;AI154,"no"))</f>
        <v>no</v>
      </c>
      <c r="AR154" s="17" t="str">
        <f aca="false">IF(AJ154&lt;AH155,"FITS BITCH",IF(AJ154&gt;AH155,"no"))</f>
        <v>FITS BITCH</v>
      </c>
      <c r="AS154" s="17" t="str">
        <f aca="false">IF(AJ154&gt;AJ155,"FITS BITCH",IF(AJ154&lt;AJ155,"no"))</f>
        <v>no</v>
      </c>
      <c r="AT154" s="91" t="str">
        <f aca="false">IF(AND($AO154="FITS BITCH",$AP154="FITS BITCH",$AR154="FITS BITCH"),"BULLISH","")</f>
        <v/>
      </c>
      <c r="AU154" s="91" t="str">
        <f aca="false">IF(AND($AO154="FITS BITCH",$AQ154="FITS BITCH",$AS154="FITS BITCH"),"BEARISH","")</f>
        <v/>
      </c>
      <c r="AV154" s="86"/>
      <c r="AW154" s="86"/>
      <c r="AX154" s="86"/>
      <c r="CL154" s="99" t="n">
        <v>42914</v>
      </c>
      <c r="CM154" s="23" t="n">
        <f aca="false">$BA$68*CL154+$BA$70</f>
        <v>151.328444173207</v>
      </c>
    </row>
    <row r="155" customFormat="false" ht="15" hidden="false" customHeight="true" outlineLevel="0" collapsed="false">
      <c r="A155" s="0"/>
      <c r="B155" s="0"/>
      <c r="C155" s="0"/>
      <c r="D155" s="0"/>
      <c r="E155" s="0"/>
      <c r="AE155" s="90" t="n">
        <f aca="false">Data!A150</f>
        <v>42753</v>
      </c>
      <c r="AF155" s="17" t="n">
        <f aca="false">Data!B150</f>
        <v>120</v>
      </c>
      <c r="AG155" s="17" t="n">
        <f aca="false">Data!F150</f>
        <v>23712961</v>
      </c>
      <c r="AH155" s="17" t="n">
        <f aca="false">Data!C150</f>
        <v>120.5</v>
      </c>
      <c r="AI155" s="17" t="n">
        <f aca="false">Data!D150</f>
        <v>119.71</v>
      </c>
      <c r="AJ155" s="17" t="n">
        <f aca="false">Data!E150</f>
        <v>119.99</v>
      </c>
      <c r="AK155" s="17" t="n">
        <f aca="false">Data!F150</f>
        <v>23712961</v>
      </c>
      <c r="AL155" s="17" t="n">
        <f aca="false">AJ155</f>
        <v>119.99</v>
      </c>
      <c r="AM155" s="17" t="n">
        <f aca="false">(AL155-AL154)/AL155*100</f>
        <v>0.175014584548707</v>
      </c>
      <c r="AN155" s="17" t="n">
        <f aca="false">(AK155-AK154)/AK155*100</f>
        <v>-7.94641377768049</v>
      </c>
      <c r="AO155" s="17" t="str">
        <f aca="false">IF(AN155&lt;-8,"FITS BITCH",IF(AN155&gt;-8,"no"))</f>
        <v>no</v>
      </c>
      <c r="AP155" s="17" t="str">
        <f aca="false">IF(AH156&lt;AH155,"FITS BITCH",IF(AH156&gt;AH155,"no"))</f>
        <v>FITS BITCH</v>
      </c>
      <c r="AQ155" s="17" t="str">
        <f aca="false">IF(AI156&lt;AI155,"FITS BITCH",IF(AI156&gt;AI155,"no"))</f>
        <v>FITS BITCH</v>
      </c>
      <c r="AR155" s="17" t="str">
        <f aca="false">IF(AJ155&lt;AH156,"FITS BITCH",IF(AJ155&gt;AH156,"no"))</f>
        <v>FITS BITCH</v>
      </c>
      <c r="AS155" s="17" t="str">
        <f aca="false">IF(AJ155&gt;AJ156,"FITS BITCH",IF(AJ155&lt;AJ156,"no"))</f>
        <v>no</v>
      </c>
      <c r="AT155" s="91" t="str">
        <f aca="false">IF(AND($AO155="FITS BITCH",$AP155="FITS BITCH",$AR155="FITS BITCH"),"BULLISH","")</f>
        <v/>
      </c>
      <c r="AU155" s="91" t="str">
        <f aca="false">IF(AND($AO155="FITS BITCH",$AQ155="FITS BITCH",$AS155="FITS BITCH"),"BEARISH","")</f>
        <v/>
      </c>
      <c r="AV155" s="86"/>
      <c r="AW155" s="86"/>
      <c r="AX155" s="86"/>
      <c r="CL155" s="99" t="n">
        <v>42913</v>
      </c>
      <c r="CM155" s="23" t="n">
        <f aca="false">$BA$68*CL155+$BA$70</f>
        <v>151.174325942964</v>
      </c>
    </row>
    <row r="156" customFormat="false" ht="15" hidden="false" customHeight="true" outlineLevel="0" collapsed="false">
      <c r="A156" s="0"/>
      <c r="B156" s="0"/>
      <c r="C156" s="0"/>
      <c r="D156" s="0"/>
      <c r="E156" s="0"/>
      <c r="AE156" s="90" t="n">
        <f aca="false">Data!A151</f>
        <v>42752</v>
      </c>
      <c r="AF156" s="17" t="n">
        <f aca="false">Data!B151</f>
        <v>118.34</v>
      </c>
      <c r="AG156" s="17" t="n">
        <f aca="false">Data!F151</f>
        <v>34439843</v>
      </c>
      <c r="AH156" s="17" t="n">
        <f aca="false">Data!C151</f>
        <v>120.24</v>
      </c>
      <c r="AI156" s="17" t="n">
        <f aca="false">Data!D151</f>
        <v>118.22</v>
      </c>
      <c r="AJ156" s="17" t="n">
        <f aca="false">Data!E151</f>
        <v>120</v>
      </c>
      <c r="AK156" s="17" t="n">
        <f aca="false">Data!F151</f>
        <v>34439843</v>
      </c>
      <c r="AL156" s="17" t="n">
        <f aca="false">AJ156</f>
        <v>120</v>
      </c>
      <c r="AM156" s="17" t="n">
        <f aca="false">(AL156-AL155)/AL156*100</f>
        <v>0.0083333333333376</v>
      </c>
      <c r="AN156" s="17" t="n">
        <f aca="false">(AK156-AK155)/AK156*100</f>
        <v>31.1467215457399</v>
      </c>
      <c r="AO156" s="17" t="str">
        <f aca="false">IF(AN156&lt;-8,"FITS BITCH",IF(AN156&gt;-8,"no"))</f>
        <v>no</v>
      </c>
      <c r="AP156" s="17" t="str">
        <f aca="false">IF(AH157&lt;AH156,"FITS BITCH",IF(AH157&gt;AH156,"no"))</f>
        <v>FITS BITCH</v>
      </c>
      <c r="AQ156" s="17" t="str">
        <f aca="false">IF(AI157&lt;AI156,"FITS BITCH",IF(AI157&gt;AI156,"no"))</f>
        <v>no</v>
      </c>
      <c r="AR156" s="17" t="str">
        <f aca="false">IF(AJ156&lt;AH157,"FITS BITCH",IF(AJ156&gt;AH157,"no"))</f>
        <v>no</v>
      </c>
      <c r="AS156" s="17" t="str">
        <f aca="false">IF(AJ156&gt;AJ157,"FITS BITCH",IF(AJ156&lt;AJ157,"no"))</f>
        <v>FITS BITCH</v>
      </c>
      <c r="AT156" s="91" t="str">
        <f aca="false">IF(AND($AO156="FITS BITCH",$AP156="FITS BITCH",$AR156="FITS BITCH"),"BULLISH","")</f>
        <v/>
      </c>
      <c r="AU156" s="91" t="str">
        <f aca="false">IF(AND($AO156="FITS BITCH",$AQ156="FITS BITCH",$AS156="FITS BITCH"),"BEARISH","")</f>
        <v/>
      </c>
      <c r="AV156" s="86"/>
      <c r="AW156" s="86"/>
      <c r="AX156" s="86"/>
      <c r="CL156" s="99" t="n">
        <v>42912</v>
      </c>
      <c r="CM156" s="23" t="n">
        <f aca="false">$BA$68*CL156+$BA$70</f>
        <v>151.020207712721</v>
      </c>
    </row>
    <row r="157" customFormat="false" ht="15" hidden="false" customHeight="true" outlineLevel="0" collapsed="false">
      <c r="A157" s="0"/>
      <c r="B157" s="0"/>
      <c r="C157" s="0"/>
      <c r="D157" s="0"/>
      <c r="E157" s="0"/>
      <c r="AE157" s="90" t="n">
        <f aca="false">Data!A152</f>
        <v>42748</v>
      </c>
      <c r="AF157" s="17" t="n">
        <f aca="false">Data!B152</f>
        <v>119.11</v>
      </c>
      <c r="AG157" s="17" t="n">
        <f aca="false">Data!F152</f>
        <v>26111948</v>
      </c>
      <c r="AH157" s="17" t="n">
        <f aca="false">Data!C152</f>
        <v>119.62</v>
      </c>
      <c r="AI157" s="17" t="n">
        <f aca="false">Data!D152</f>
        <v>118.81</v>
      </c>
      <c r="AJ157" s="17" t="n">
        <f aca="false">Data!E152</f>
        <v>119.04</v>
      </c>
      <c r="AK157" s="17" t="n">
        <f aca="false">Data!F152</f>
        <v>26111948</v>
      </c>
      <c r="AL157" s="17" t="n">
        <f aca="false">AJ157</f>
        <v>119.04</v>
      </c>
      <c r="AM157" s="17" t="n">
        <f aca="false">(AL157-AL156)/AL157*100</f>
        <v>-0.806451612903221</v>
      </c>
      <c r="AN157" s="17" t="n">
        <f aca="false">(AK157-AK156)/AK157*100</f>
        <v>-31.8930437514658</v>
      </c>
      <c r="AO157" s="17" t="str">
        <f aca="false">IF(AN157&lt;-8,"FITS BITCH",IF(AN157&gt;-8,"no"))</f>
        <v>FITS BITCH</v>
      </c>
      <c r="AP157" s="17" t="str">
        <f aca="false">IF(AH158&lt;AH157,"FITS BITCH",IF(AH158&gt;AH157,"no"))</f>
        <v>FITS BITCH</v>
      </c>
      <c r="AQ157" s="17" t="str">
        <f aca="false">IF(AI158&lt;AI157,"FITS BITCH",IF(AI158&gt;AI157,"no"))</f>
        <v>FITS BITCH</v>
      </c>
      <c r="AR157" s="17" t="str">
        <f aca="false">IF(AJ157&lt;AH158,"FITS BITCH",IF(AJ157&gt;AH158,"no"))</f>
        <v>FITS BITCH</v>
      </c>
      <c r="AS157" s="17" t="str">
        <f aca="false">IF(AJ157&gt;AJ158,"FITS BITCH",IF(AJ157&lt;AJ158,"no"))</f>
        <v>no</v>
      </c>
      <c r="AT157" s="91" t="str">
        <f aca="false">IF(AND($AO157="FITS BITCH",$AP157="FITS BITCH",$AR157="FITS BITCH"),"BULLISH","")</f>
        <v>BULLISH</v>
      </c>
      <c r="AU157" s="91" t="str">
        <f aca="false">IF(AND($AO157="FITS BITCH",$AQ157="FITS BITCH",$AS157="FITS BITCH"),"BEARISH","")</f>
        <v/>
      </c>
      <c r="AV157" s="86"/>
      <c r="AW157" s="86"/>
      <c r="AX157" s="86"/>
      <c r="CL157" s="99" t="n">
        <v>42909</v>
      </c>
      <c r="CM157" s="23" t="n">
        <f aca="false">$BA$68*CL157+$BA$70</f>
        <v>150.557853021994</v>
      </c>
    </row>
    <row r="158" customFormat="false" ht="15" hidden="false" customHeight="true" outlineLevel="0" collapsed="false">
      <c r="A158" s="0"/>
      <c r="B158" s="0"/>
      <c r="C158" s="0"/>
      <c r="D158" s="0"/>
      <c r="E158" s="0"/>
      <c r="AE158" s="90" t="n">
        <f aca="false">Data!A153</f>
        <v>42747</v>
      </c>
      <c r="AF158" s="17" t="n">
        <f aca="false">Data!B153</f>
        <v>118.9</v>
      </c>
      <c r="AG158" s="17" t="n">
        <f aca="false">Data!F153</f>
        <v>27086220</v>
      </c>
      <c r="AH158" s="17" t="n">
        <f aca="false">Data!C153</f>
        <v>119.3</v>
      </c>
      <c r="AI158" s="17" t="n">
        <f aca="false">Data!D153</f>
        <v>118.21</v>
      </c>
      <c r="AJ158" s="17" t="n">
        <f aca="false">Data!E153</f>
        <v>119.25</v>
      </c>
      <c r="AK158" s="17" t="n">
        <f aca="false">Data!F153</f>
        <v>27086220</v>
      </c>
      <c r="AL158" s="17" t="n">
        <f aca="false">AJ158</f>
        <v>119.25</v>
      </c>
      <c r="AM158" s="17" t="n">
        <f aca="false">(AL158-AL157)/AL158*100</f>
        <v>0.176100628930812</v>
      </c>
      <c r="AN158" s="17" t="n">
        <f aca="false">(AK158-AK157)/AK158*100</f>
        <v>3.59692862274618</v>
      </c>
      <c r="AO158" s="17" t="str">
        <f aca="false">IF(AN158&lt;-8,"FITS BITCH",IF(AN158&gt;-8,"no"))</f>
        <v>no</v>
      </c>
      <c r="AP158" s="17" t="str">
        <f aca="false">IF(AH159&lt;AH158,"FITS BITCH",IF(AH159&gt;AH158,"no"))</f>
        <v>no</v>
      </c>
      <c r="AQ158" s="17" t="str">
        <f aca="false">IF(AI159&lt;AI158,"FITS BITCH",IF(AI159&gt;AI158,"no"))</f>
        <v>no</v>
      </c>
      <c r="AR158" s="17" t="str">
        <f aca="false">IF(AJ158&lt;AH159,"FITS BITCH",IF(AJ158&gt;AH159,"no"))</f>
        <v>FITS BITCH</v>
      </c>
      <c r="AS158" s="17" t="str">
        <f aca="false">IF(AJ158&gt;AJ159,"FITS BITCH",IF(AJ158&lt;AJ159,"no"))</f>
        <v>no</v>
      </c>
      <c r="AT158" s="91" t="str">
        <f aca="false">IF(AND($AO158="FITS BITCH",$AP158="FITS BITCH",$AR158="FITS BITCH"),"BULLISH","")</f>
        <v/>
      </c>
      <c r="AU158" s="91" t="str">
        <f aca="false">IF(AND($AO158="FITS BITCH",$AQ158="FITS BITCH",$AS158="FITS BITCH"),"BEARISH","")</f>
        <v/>
      </c>
      <c r="AV158" s="86"/>
      <c r="AW158" s="86"/>
      <c r="AX158" s="86"/>
      <c r="CL158" s="99" t="n">
        <v>42908</v>
      </c>
      <c r="CM158" s="23" t="n">
        <f aca="false">$BA$68*CL158+$BA$70</f>
        <v>150.403734791751</v>
      </c>
    </row>
    <row r="159" customFormat="false" ht="15" hidden="false" customHeight="true" outlineLevel="0" collapsed="false">
      <c r="A159" s="0"/>
      <c r="B159" s="0"/>
      <c r="C159" s="0"/>
      <c r="D159" s="0"/>
      <c r="E159" s="0"/>
      <c r="AE159" s="90" t="n">
        <f aca="false">Data!A154</f>
        <v>42746</v>
      </c>
      <c r="AF159" s="17" t="n">
        <f aca="false">Data!B154</f>
        <v>118.74</v>
      </c>
      <c r="AG159" s="17" t="n">
        <f aca="false">Data!F154</f>
        <v>27588593</v>
      </c>
      <c r="AH159" s="17" t="n">
        <f aca="false">Data!C154</f>
        <v>119.93</v>
      </c>
      <c r="AI159" s="17" t="n">
        <f aca="false">Data!D154</f>
        <v>118.6</v>
      </c>
      <c r="AJ159" s="17" t="n">
        <f aca="false">Data!E154</f>
        <v>119.75</v>
      </c>
      <c r="AK159" s="17" t="n">
        <f aca="false">Data!F154</f>
        <v>27588593</v>
      </c>
      <c r="AL159" s="17" t="n">
        <f aca="false">AJ159</f>
        <v>119.75</v>
      </c>
      <c r="AM159" s="17" t="n">
        <f aca="false">(AL159-AL158)/AL159*100</f>
        <v>0.417536534446764</v>
      </c>
      <c r="AN159" s="17" t="n">
        <f aca="false">(AK159-AK158)/AK159*100</f>
        <v>1.8209446201189</v>
      </c>
      <c r="AO159" s="17" t="str">
        <f aca="false">IF(AN159&lt;-8,"FITS BITCH",IF(AN159&gt;-8,"no"))</f>
        <v>no</v>
      </c>
      <c r="AP159" s="17" t="str">
        <f aca="false">IF(AH160&lt;AH159,"FITS BITCH",IF(AH160&gt;AH159,"no"))</f>
        <v>FITS BITCH</v>
      </c>
      <c r="AQ159" s="17" t="str">
        <f aca="false">IF(AI160&lt;AI159,"FITS BITCH",IF(AI160&gt;AI159,"no"))</f>
        <v>FITS BITCH</v>
      </c>
      <c r="AR159" s="17" t="str">
        <f aca="false">IF(AJ159&lt;AH160,"FITS BITCH",IF(AJ159&gt;AH160,"no"))</f>
        <v>no</v>
      </c>
      <c r="AS159" s="17" t="str">
        <f aca="false">IF(AJ159&gt;AJ160,"FITS BITCH",IF(AJ159&lt;AJ160,"no"))</f>
        <v>FITS BITCH</v>
      </c>
      <c r="AT159" s="91" t="str">
        <f aca="false">IF(AND($AO159="FITS BITCH",$AP159="FITS BITCH",$AR159="FITS BITCH"),"BULLISH","")</f>
        <v/>
      </c>
      <c r="AU159" s="91" t="str">
        <f aca="false">IF(AND($AO159="FITS BITCH",$AQ159="FITS BITCH",$AS159="FITS BITCH"),"BEARISH","")</f>
        <v/>
      </c>
      <c r="AV159" s="86"/>
      <c r="AW159" s="86"/>
      <c r="AX159" s="86"/>
      <c r="CL159" s="99" t="n">
        <v>42907</v>
      </c>
      <c r="CM159" s="23" t="n">
        <f aca="false">$BA$68*CL159+$BA$70</f>
        <v>150.249616561508</v>
      </c>
    </row>
    <row r="160" customFormat="false" ht="15" hidden="false" customHeight="true" outlineLevel="0" collapsed="false">
      <c r="A160" s="0"/>
      <c r="B160" s="0"/>
      <c r="C160" s="0"/>
      <c r="D160" s="0"/>
      <c r="E160" s="0"/>
      <c r="AE160" s="90" t="n">
        <f aca="false">Data!A155</f>
        <v>42745</v>
      </c>
      <c r="AF160" s="17" t="n">
        <f aca="false">Data!B155</f>
        <v>118.77</v>
      </c>
      <c r="AG160" s="17" t="n">
        <f aca="false">Data!F155</f>
        <v>24462051</v>
      </c>
      <c r="AH160" s="17" t="n">
        <f aca="false">Data!C155</f>
        <v>119.38</v>
      </c>
      <c r="AI160" s="17" t="n">
        <f aca="false">Data!D155</f>
        <v>118.3</v>
      </c>
      <c r="AJ160" s="17" t="n">
        <f aca="false">Data!E155</f>
        <v>119.11</v>
      </c>
      <c r="AK160" s="17" t="n">
        <f aca="false">Data!F155</f>
        <v>24462051</v>
      </c>
      <c r="AL160" s="17" t="n">
        <f aca="false">AJ160</f>
        <v>119.11</v>
      </c>
      <c r="AM160" s="17" t="n">
        <f aca="false">(AL160-AL159)/AL160*100</f>
        <v>-0.53731844513475</v>
      </c>
      <c r="AN160" s="17" t="n">
        <f aca="false">(AK160-AK159)/AK160*100</f>
        <v>-12.7811932041185</v>
      </c>
      <c r="AO160" s="17" t="str">
        <f aca="false">IF(AN160&lt;-8,"FITS BITCH",IF(AN160&gt;-8,"no"))</f>
        <v>FITS BITCH</v>
      </c>
      <c r="AP160" s="17" t="str">
        <f aca="false">IF(AH161&lt;AH160,"FITS BITCH",IF(AH161&gt;AH160,"no"))</f>
        <v>no</v>
      </c>
      <c r="AQ160" s="17" t="str">
        <f aca="false">IF(AI161&lt;AI160,"FITS BITCH",IF(AI161&gt;AI160,"no"))</f>
        <v>FITS BITCH</v>
      </c>
      <c r="AR160" s="17" t="str">
        <f aca="false">IF(AJ160&lt;AH161,"FITS BITCH",IF(AJ160&gt;AH161,"no"))</f>
        <v>FITS BITCH</v>
      </c>
      <c r="AS160" s="17" t="str">
        <f aca="false">IF(AJ160&gt;AJ161,"FITS BITCH",IF(AJ160&lt;AJ161,"no"))</f>
        <v>FITS BITCH</v>
      </c>
      <c r="AT160" s="91" t="str">
        <f aca="false">IF(AND($AO160="FITS BITCH",$AP160="FITS BITCH",$AR160="FITS BITCH"),"BULLISH","")</f>
        <v/>
      </c>
      <c r="AU160" s="91" t="str">
        <f aca="false">IF(AND($AO160="FITS BITCH",$AQ160="FITS BITCH",$AS160="FITS BITCH"),"BEARISH","")</f>
        <v>BEARISH</v>
      </c>
      <c r="AV160" s="86"/>
      <c r="AW160" s="86"/>
      <c r="AX160" s="86"/>
      <c r="CL160" s="99" t="n">
        <v>42906</v>
      </c>
      <c r="CM160" s="23" t="n">
        <f aca="false">$BA$68*CL160+$BA$70</f>
        <v>150.095498331266</v>
      </c>
    </row>
    <row r="161" customFormat="false" ht="15" hidden="false" customHeight="true" outlineLevel="0" collapsed="false">
      <c r="A161" s="0"/>
      <c r="B161" s="0"/>
      <c r="C161" s="0"/>
      <c r="D161" s="0"/>
      <c r="E161" s="0"/>
      <c r="AE161" s="90" t="n">
        <f aca="false">Data!A156</f>
        <v>42744</v>
      </c>
      <c r="AF161" s="17" t="n">
        <f aca="false">Data!B156</f>
        <v>117.95</v>
      </c>
      <c r="AG161" s="17" t="n">
        <f aca="false">Data!F156</f>
        <v>33561948</v>
      </c>
      <c r="AH161" s="17" t="n">
        <f aca="false">Data!C156</f>
        <v>119.43</v>
      </c>
      <c r="AI161" s="17" t="n">
        <f aca="false">Data!D156</f>
        <v>117.94</v>
      </c>
      <c r="AJ161" s="17" t="n">
        <f aca="false">Data!E156</f>
        <v>118.99</v>
      </c>
      <c r="AK161" s="17" t="n">
        <f aca="false">Data!F156</f>
        <v>33561948</v>
      </c>
      <c r="AL161" s="17" t="n">
        <f aca="false">AJ161</f>
        <v>118.99</v>
      </c>
      <c r="AM161" s="17" t="n">
        <f aca="false">(AL161-AL160)/AL161*100</f>
        <v>-0.100848810824443</v>
      </c>
      <c r="AN161" s="17" t="n">
        <f aca="false">(AK161-AK160)/AK161*100</f>
        <v>27.1137330884369</v>
      </c>
      <c r="AO161" s="17" t="str">
        <f aca="false">IF(AN161&lt;-8,"FITS BITCH",IF(AN161&gt;-8,"no"))</f>
        <v>no</v>
      </c>
      <c r="AP161" s="17" t="str">
        <f aca="false">IF(AH162&lt;AH161,"FITS BITCH",IF(AH162&gt;AH161,"no"))</f>
        <v>FITS BITCH</v>
      </c>
      <c r="AQ161" s="17" t="str">
        <f aca="false">IF(AI162&lt;AI161,"FITS BITCH",IF(AI162&gt;AI161,"no"))</f>
        <v>FITS BITCH</v>
      </c>
      <c r="AR161" s="17" t="str">
        <f aca="false">IF(AJ161&lt;AH162,"FITS BITCH",IF(AJ161&gt;AH162,"no"))</f>
        <v>no</v>
      </c>
      <c r="AS161" s="17" t="str">
        <f aca="false">IF(AJ161&gt;AJ162,"FITS BITCH",IF(AJ161&lt;AJ162,"no"))</f>
        <v>FITS BITCH</v>
      </c>
      <c r="AT161" s="91" t="str">
        <f aca="false">IF(AND($AO161="FITS BITCH",$AP161="FITS BITCH",$AR161="FITS BITCH"),"BULLISH","")</f>
        <v/>
      </c>
      <c r="AU161" s="91" t="str">
        <f aca="false">IF(AND($AO161="FITS BITCH",$AQ161="FITS BITCH",$AS161="FITS BITCH"),"BEARISH","")</f>
        <v/>
      </c>
      <c r="AV161" s="86"/>
      <c r="AW161" s="86"/>
      <c r="AX161" s="86"/>
      <c r="CL161" s="99" t="n">
        <v>42905</v>
      </c>
      <c r="CM161" s="23" t="n">
        <f aca="false">$BA$68*CL161+$BA$70</f>
        <v>149.941380101023</v>
      </c>
    </row>
    <row r="162" customFormat="false" ht="15" hidden="false" customHeight="true" outlineLevel="0" collapsed="false">
      <c r="A162" s="0"/>
      <c r="B162" s="0"/>
      <c r="C162" s="0"/>
      <c r="D162" s="0"/>
      <c r="E162" s="0"/>
      <c r="AE162" s="90" t="n">
        <f aca="false">Data!A157</f>
        <v>42741</v>
      </c>
      <c r="AF162" s="17" t="n">
        <f aca="false">Data!B157</f>
        <v>116.78</v>
      </c>
      <c r="AG162" s="17" t="n">
        <f aca="false">Data!F157</f>
        <v>31751900</v>
      </c>
      <c r="AH162" s="17" t="n">
        <f aca="false">Data!C157</f>
        <v>118.16</v>
      </c>
      <c r="AI162" s="17" t="n">
        <f aca="false">Data!D157</f>
        <v>116.47</v>
      </c>
      <c r="AJ162" s="17" t="n">
        <f aca="false">Data!E157</f>
        <v>117.91</v>
      </c>
      <c r="AK162" s="17" t="n">
        <f aca="false">Data!F157</f>
        <v>31751900</v>
      </c>
      <c r="AL162" s="17" t="n">
        <f aca="false">AJ162</f>
        <v>117.91</v>
      </c>
      <c r="AM162" s="17" t="n">
        <f aca="false">(AL162-AL161)/AL162*100</f>
        <v>-0.915952845390551</v>
      </c>
      <c r="AN162" s="17" t="n">
        <f aca="false">(AK162-AK161)/AK162*100</f>
        <v>-5.70059744456237</v>
      </c>
      <c r="AO162" s="17" t="str">
        <f aca="false">IF(AN162&lt;-8,"FITS BITCH",IF(AN162&gt;-8,"no"))</f>
        <v>no</v>
      </c>
      <c r="AP162" s="17" t="str">
        <f aca="false">IF(AH163&lt;AH162,"FITS BITCH",IF(AH163&gt;AH162,"no"))</f>
        <v>FITS BITCH</v>
      </c>
      <c r="AQ162" s="17" t="str">
        <f aca="false">IF(AI163&lt;AI162,"FITS BITCH",IF(AI163&gt;AI162,"no"))</f>
        <v>FITS BITCH</v>
      </c>
      <c r="AR162" s="17" t="str">
        <f aca="false">IF(AJ162&lt;AH163,"FITS BITCH",IF(AJ162&gt;AH163,"no"))</f>
        <v>no</v>
      </c>
      <c r="AS162" s="17" t="str">
        <f aca="false">IF(AJ162&gt;AJ163,"FITS BITCH",IF(AJ162&lt;AJ163,"no"))</f>
        <v>FITS BITCH</v>
      </c>
      <c r="AT162" s="91" t="str">
        <f aca="false">IF(AND($AO162="FITS BITCH",$AP162="FITS BITCH",$AR162="FITS BITCH"),"BULLISH","")</f>
        <v/>
      </c>
      <c r="AU162" s="91" t="str">
        <f aca="false">IF(AND($AO162="FITS BITCH",$AQ162="FITS BITCH",$AS162="FITS BITCH"),"BEARISH","")</f>
        <v/>
      </c>
      <c r="AV162" s="86"/>
      <c r="AW162" s="86"/>
      <c r="AX162" s="86"/>
      <c r="CL162" s="99" t="n">
        <v>42902</v>
      </c>
      <c r="CM162" s="23" t="n">
        <f aca="false">$BA$68*CL162+$BA$70</f>
        <v>149.479025410295</v>
      </c>
    </row>
    <row r="163" customFormat="false" ht="15" hidden="false" customHeight="true" outlineLevel="0" collapsed="false">
      <c r="A163" s="0"/>
      <c r="B163" s="0"/>
      <c r="C163" s="0"/>
      <c r="D163" s="0"/>
      <c r="E163" s="0"/>
      <c r="AE163" s="90" t="n">
        <f aca="false">Data!A158</f>
        <v>42740</v>
      </c>
      <c r="AF163" s="17" t="n">
        <f aca="false">Data!B158</f>
        <v>115.92</v>
      </c>
      <c r="AG163" s="17" t="n">
        <f aca="false">Data!F158</f>
        <v>22193587</v>
      </c>
      <c r="AH163" s="17" t="n">
        <f aca="false">Data!C158</f>
        <v>116.86</v>
      </c>
      <c r="AI163" s="17" t="n">
        <f aca="false">Data!D158</f>
        <v>115.81</v>
      </c>
      <c r="AJ163" s="17" t="n">
        <f aca="false">Data!E158</f>
        <v>116.61</v>
      </c>
      <c r="AK163" s="17" t="n">
        <f aca="false">Data!F158</f>
        <v>22193587</v>
      </c>
      <c r="AL163" s="17" t="n">
        <f aca="false">AJ163</f>
        <v>116.61</v>
      </c>
      <c r="AM163" s="17" t="n">
        <f aca="false">(AL163-AL162)/AL163*100</f>
        <v>-1.11482720178372</v>
      </c>
      <c r="AN163" s="17" t="n">
        <f aca="false">(AK163-AK162)/AK163*100</f>
        <v>-43.0679051565662</v>
      </c>
      <c r="AO163" s="17" t="str">
        <f aca="false">IF(AN163&lt;-8,"FITS BITCH",IF(AN163&gt;-8,"no"))</f>
        <v>FITS BITCH</v>
      </c>
      <c r="AP163" s="17" t="str">
        <f aca="false">IF(AH164&lt;AH163,"FITS BITCH",IF(AH164&gt;AH163,"no"))</f>
        <v>FITS BITCH</v>
      </c>
      <c r="AQ163" s="17" t="str">
        <f aca="false">IF(AI164&lt;AI163,"FITS BITCH",IF(AI164&gt;AI163,"no"))</f>
        <v>FITS BITCH</v>
      </c>
      <c r="AR163" s="17" t="str">
        <f aca="false">IF(AJ163&lt;AH164,"FITS BITCH",IF(AJ163&gt;AH164,"no"))</f>
        <v>no</v>
      </c>
      <c r="AS163" s="17" t="str">
        <f aca="false">IF(AJ163&gt;AJ164,"FITS BITCH",IF(AJ163&lt;AJ164,"no"))</f>
        <v>FITS BITCH</v>
      </c>
      <c r="AT163" s="91" t="str">
        <f aca="false">IF(AND($AO163="FITS BITCH",$AP163="FITS BITCH",$AR163="FITS BITCH"),"BULLISH","")</f>
        <v/>
      </c>
      <c r="AU163" s="91" t="str">
        <f aca="false">IF(AND($AO163="FITS BITCH",$AQ163="FITS BITCH",$AS163="FITS BITCH"),"BEARISH","")</f>
        <v>BEARISH</v>
      </c>
      <c r="AV163" s="86"/>
      <c r="AW163" s="86"/>
      <c r="AX163" s="86"/>
      <c r="CL163" s="99" t="n">
        <v>42901</v>
      </c>
      <c r="CM163" s="23" t="n">
        <f aca="false">$BA$68*CL163+$BA$70</f>
        <v>149.324907180052</v>
      </c>
    </row>
    <row r="164" customFormat="false" ht="15" hidden="false" customHeight="true" outlineLevel="0" collapsed="false">
      <c r="A164" s="0"/>
      <c r="B164" s="0"/>
      <c r="C164" s="0"/>
      <c r="D164" s="0"/>
      <c r="E164" s="0"/>
      <c r="AE164" s="90" t="n">
        <f aca="false">Data!A159</f>
        <v>42739</v>
      </c>
      <c r="AF164" s="17" t="n">
        <f aca="false">Data!B159</f>
        <v>115.85</v>
      </c>
      <c r="AG164" s="17" t="n">
        <f aca="false">Data!F159</f>
        <v>21118116</v>
      </c>
      <c r="AH164" s="17" t="n">
        <f aca="false">Data!C159</f>
        <v>116.51</v>
      </c>
      <c r="AI164" s="17" t="n">
        <f aca="false">Data!D159</f>
        <v>115.75</v>
      </c>
      <c r="AJ164" s="17" t="n">
        <f aca="false">Data!E159</f>
        <v>116.02</v>
      </c>
      <c r="AK164" s="17" t="n">
        <f aca="false">Data!F159</f>
        <v>21118116</v>
      </c>
      <c r="AL164" s="17" t="n">
        <f aca="false">AJ164</f>
        <v>116.02</v>
      </c>
      <c r="AM164" s="17" t="n">
        <f aca="false">(AL164-AL163)/AL164*100</f>
        <v>-0.508533011549736</v>
      </c>
      <c r="AN164" s="17" t="n">
        <f aca="false">(AK164-AK163)/AK164*100</f>
        <v>-5.09264652206665</v>
      </c>
      <c r="AO164" s="17" t="str">
        <f aca="false">IF(AN164&lt;-8,"FITS BITCH",IF(AN164&gt;-8,"no"))</f>
        <v>no</v>
      </c>
      <c r="AP164" s="17" t="str">
        <f aca="false">IF(AH165&lt;AH164,"FITS BITCH",IF(AH165&gt;AH164,"no"))</f>
        <v>FITS BITCH</v>
      </c>
      <c r="AQ164" s="17" t="str">
        <f aca="false">IF(AI165&lt;AI164,"FITS BITCH",IF(AI165&gt;AI164,"no"))</f>
        <v>FITS BITCH</v>
      </c>
      <c r="AR164" s="17" t="str">
        <f aca="false">IF(AJ164&lt;AH165,"FITS BITCH",IF(AJ164&gt;AH165,"no"))</f>
        <v>FITS BITCH</v>
      </c>
      <c r="AS164" s="17" t="str">
        <f aca="false">IF(AJ164&gt;AJ165,"FITS BITCH",IF(AJ164&lt;AJ165,"no"))</f>
        <v>no</v>
      </c>
      <c r="AT164" s="91" t="str">
        <f aca="false">IF(AND($AO164="FITS BITCH",$AP164="FITS BITCH",$AR164="FITS BITCH"),"BULLISH","")</f>
        <v/>
      </c>
      <c r="AU164" s="91" t="str">
        <f aca="false">IF(AND($AO164="FITS BITCH",$AQ164="FITS BITCH",$AS164="FITS BITCH"),"BEARISH","")</f>
        <v/>
      </c>
      <c r="AV164" s="86"/>
      <c r="AW164" s="86"/>
      <c r="AX164" s="86"/>
      <c r="CL164" s="99" t="n">
        <v>42900</v>
      </c>
      <c r="CM164" s="23" t="n">
        <f aca="false">$BA$68*CL164+$BA$70</f>
        <v>149.170788949809</v>
      </c>
    </row>
    <row r="165" customFormat="false" ht="15" hidden="false" customHeight="true" outlineLevel="0" collapsed="false">
      <c r="A165" s="0"/>
      <c r="B165" s="0"/>
      <c r="C165" s="0"/>
      <c r="D165" s="0"/>
      <c r="E165" s="0"/>
      <c r="AE165" s="90" t="n">
        <f aca="false">Data!A160</f>
        <v>42738</v>
      </c>
      <c r="AF165" s="17" t="n">
        <f aca="false">Data!B160</f>
        <v>115.8</v>
      </c>
      <c r="AG165" s="17" t="n">
        <f aca="false">Data!F160</f>
        <v>28781865</v>
      </c>
      <c r="AH165" s="17" t="n">
        <f aca="false">Data!C160</f>
        <v>116.33</v>
      </c>
      <c r="AI165" s="17" t="n">
        <f aca="false">Data!D160</f>
        <v>114.76</v>
      </c>
      <c r="AJ165" s="17" t="n">
        <f aca="false">Data!E160</f>
        <v>116.15</v>
      </c>
      <c r="AK165" s="17" t="n">
        <f aca="false">Data!F160</f>
        <v>28781865</v>
      </c>
      <c r="AL165" s="17" t="n">
        <f aca="false">AJ165</f>
        <v>116.15</v>
      </c>
      <c r="AM165" s="17" t="n">
        <f aca="false">(AL165-AL164)/AL165*100</f>
        <v>0.111924235901859</v>
      </c>
      <c r="AN165" s="17" t="n">
        <f aca="false">(AK165-AK164)/AK165*100</f>
        <v>26.627006276348</v>
      </c>
      <c r="AO165" s="17" t="str">
        <f aca="false">IF(AN165&lt;-8,"FITS BITCH",IF(AN165&gt;-8,"no"))</f>
        <v>no</v>
      </c>
      <c r="AP165" s="17" t="str">
        <f aca="false">IF(AH166&lt;AH165,"FITS BITCH",IF(AH166&gt;AH165,"no"))</f>
        <v>no</v>
      </c>
      <c r="AQ165" s="17" t="str">
        <f aca="false">IF(AI166&lt;AI165,"FITS BITCH",IF(AI166&gt;AI165,"no"))</f>
        <v>no</v>
      </c>
      <c r="AR165" s="17" t="str">
        <f aca="false">IF(AJ165&lt;AH166,"FITS BITCH",IF(AJ165&gt;AH166,"no"))</f>
        <v>FITS BITCH</v>
      </c>
      <c r="AS165" s="17" t="str">
        <f aca="false">IF(AJ165&gt;AJ166,"FITS BITCH",IF(AJ165&lt;AJ166,"no"))</f>
        <v>FITS BITCH</v>
      </c>
      <c r="AT165" s="91" t="str">
        <f aca="false">IF(AND($AO165="FITS BITCH",$AP165="FITS BITCH",$AR165="FITS BITCH"),"BULLISH","")</f>
        <v/>
      </c>
      <c r="AU165" s="91" t="str">
        <f aca="false">IF(AND($AO165="FITS BITCH",$AQ165="FITS BITCH",$AS165="FITS BITCH"),"BEARISH","")</f>
        <v/>
      </c>
      <c r="AV165" s="86"/>
      <c r="AW165" s="86"/>
      <c r="AX165" s="86"/>
      <c r="CL165" s="99" t="n">
        <v>42899</v>
      </c>
      <c r="CM165" s="23" t="n">
        <f aca="false">$BA$68*CL165+$BA$70</f>
        <v>149.016670719567</v>
      </c>
    </row>
    <row r="166" customFormat="false" ht="15" hidden="false" customHeight="true" outlineLevel="0" collapsed="false">
      <c r="A166" s="0"/>
      <c r="B166" s="0"/>
      <c r="C166" s="0"/>
      <c r="D166" s="0"/>
      <c r="E166" s="0"/>
      <c r="AE166" s="90" t="n">
        <f aca="false">Data!A161</f>
        <v>42734</v>
      </c>
      <c r="AF166" s="17" t="n">
        <f aca="false">Data!B161</f>
        <v>116.65</v>
      </c>
      <c r="AG166" s="17" t="n">
        <f aca="false">Data!F161</f>
        <v>30586265</v>
      </c>
      <c r="AH166" s="17" t="n">
        <f aca="false">Data!C161</f>
        <v>117.2</v>
      </c>
      <c r="AI166" s="17" t="n">
        <f aca="false">Data!D161</f>
        <v>115.43</v>
      </c>
      <c r="AJ166" s="17" t="n">
        <f aca="false">Data!E161</f>
        <v>115.82</v>
      </c>
      <c r="AK166" s="17" t="n">
        <f aca="false">Data!F161</f>
        <v>30586265</v>
      </c>
      <c r="AL166" s="17" t="n">
        <f aca="false">AJ166</f>
        <v>115.82</v>
      </c>
      <c r="AM166" s="17" t="n">
        <f aca="false">(AL166-AL165)/AL166*100</f>
        <v>-0.284924883439831</v>
      </c>
      <c r="AN166" s="17" t="n">
        <f aca="false">(AK166-AK165)/AK166*100</f>
        <v>5.8993799994867</v>
      </c>
      <c r="AO166" s="17" t="str">
        <f aca="false">IF(AN166&lt;-8,"FITS BITCH",IF(AN166&gt;-8,"no"))</f>
        <v>no</v>
      </c>
      <c r="AP166" s="17" t="str">
        <f aca="false">IF(AH167&lt;AH166,"FITS BITCH",IF(AH167&gt;AH166,"no"))</f>
        <v>FITS BITCH</v>
      </c>
      <c r="AQ166" s="17" t="str">
        <f aca="false">IF(AI167&lt;AI166,"FITS BITCH",IF(AI167&gt;AI166,"no"))</f>
        <v>no</v>
      </c>
      <c r="AR166" s="17" t="str">
        <f aca="false">IF(AJ166&lt;AH167,"FITS BITCH",IF(AJ166&gt;AH167,"no"))</f>
        <v>FITS BITCH</v>
      </c>
      <c r="AS166" s="17" t="str">
        <f aca="false">IF(AJ166&gt;AJ167,"FITS BITCH",IF(AJ166&lt;AJ167,"no"))</f>
        <v>no</v>
      </c>
      <c r="AT166" s="91" t="str">
        <f aca="false">IF(AND($AO166="FITS BITCH",$AP166="FITS BITCH",$AR166="FITS BITCH"),"BULLISH","")</f>
        <v/>
      </c>
      <c r="AU166" s="91" t="str">
        <f aca="false">IF(AND($AO166="FITS BITCH",$AQ166="FITS BITCH",$AS166="FITS BITCH"),"BEARISH","")</f>
        <v/>
      </c>
      <c r="AV166" s="86"/>
      <c r="AW166" s="86"/>
      <c r="AX166" s="86"/>
      <c r="CL166" s="99" t="n">
        <v>42898</v>
      </c>
      <c r="CM166" s="23" t="n">
        <f aca="false">$BA$68*CL166+$BA$70</f>
        <v>148.862552489324</v>
      </c>
    </row>
    <row r="167" customFormat="false" ht="15" hidden="false" customHeight="true" outlineLevel="0" collapsed="false">
      <c r="A167" s="0"/>
      <c r="B167" s="0"/>
      <c r="C167" s="0"/>
      <c r="D167" s="0"/>
      <c r="E167" s="0"/>
      <c r="AE167" s="90" t="n">
        <f aca="false">Data!A162</f>
        <v>42733</v>
      </c>
      <c r="AF167" s="17" t="n">
        <f aca="false">Data!B162</f>
        <v>116.45</v>
      </c>
      <c r="AG167" s="17" t="n">
        <f aca="false">Data!F162</f>
        <v>15039519</v>
      </c>
      <c r="AH167" s="17" t="n">
        <f aca="false">Data!C162</f>
        <v>117.11</v>
      </c>
      <c r="AI167" s="17" t="n">
        <f aca="false">Data!D162</f>
        <v>116.4</v>
      </c>
      <c r="AJ167" s="17" t="n">
        <f aca="false">Data!E162</f>
        <v>116.73</v>
      </c>
      <c r="AK167" s="17" t="n">
        <f aca="false">Data!F162</f>
        <v>15039519</v>
      </c>
      <c r="AL167" s="17" t="n">
        <f aca="false">AJ167</f>
        <v>116.73</v>
      </c>
      <c r="AM167" s="17" t="n">
        <f aca="false">(AL167-AL166)/AL167*100</f>
        <v>0.779576801165091</v>
      </c>
      <c r="AN167" s="17" t="n">
        <f aca="false">(AK167-AK166)/AK167*100</f>
        <v>-103.37262780811</v>
      </c>
      <c r="AO167" s="17" t="str">
        <f aca="false">IF(AN167&lt;-8,"FITS BITCH",IF(AN167&gt;-8,"no"))</f>
        <v>FITS BITCH</v>
      </c>
      <c r="AP167" s="17" t="str">
        <f aca="false">IF(AH168&lt;AH167,"FITS BITCH",IF(AH168&gt;AH167,"no"))</f>
        <v>no</v>
      </c>
      <c r="AQ167" s="17" t="str">
        <f aca="false">IF(AI168&lt;AI167,"FITS BITCH",IF(AI168&gt;AI167,"no"))</f>
        <v>FITS BITCH</v>
      </c>
      <c r="AR167" s="17" t="str">
        <f aca="false">IF(AJ167&lt;AH168,"FITS BITCH",IF(AJ167&gt;AH168,"no"))</f>
        <v>FITS BITCH</v>
      </c>
      <c r="AS167" s="17" t="str">
        <f aca="false">IF(AJ167&gt;AJ168,"FITS BITCH",IF(AJ167&lt;AJ168,"no"))</f>
        <v>no</v>
      </c>
      <c r="AT167" s="91" t="str">
        <f aca="false">IF(AND($AO167="FITS BITCH",$AP167="FITS BITCH",$AR167="FITS BITCH"),"BULLISH","")</f>
        <v/>
      </c>
      <c r="AU167" s="91" t="str">
        <f aca="false">IF(AND($AO167="FITS BITCH",$AQ167="FITS BITCH",$AS167="FITS BITCH"),"BEARISH","")</f>
        <v/>
      </c>
      <c r="AV167" s="86"/>
      <c r="AW167" s="86"/>
      <c r="AX167" s="86"/>
      <c r="CL167" s="99" t="n">
        <v>42895</v>
      </c>
      <c r="CM167" s="23" t="n">
        <f aca="false">$BA$68*CL167+$BA$70</f>
        <v>148.400197798596</v>
      </c>
    </row>
    <row r="168" customFormat="false" ht="15" hidden="false" customHeight="true" outlineLevel="0" collapsed="false">
      <c r="A168" s="0"/>
      <c r="B168" s="0"/>
      <c r="C168" s="0"/>
      <c r="D168" s="0"/>
      <c r="E168" s="0"/>
      <c r="AE168" s="90" t="n">
        <f aca="false">Data!A163</f>
        <v>42732</v>
      </c>
      <c r="AF168" s="17" t="n">
        <f aca="false">Data!B163</f>
        <v>117.52</v>
      </c>
      <c r="AG168" s="17" t="n">
        <f aca="false">Data!F163</f>
        <v>20905892</v>
      </c>
      <c r="AH168" s="17" t="n">
        <f aca="false">Data!C163</f>
        <v>118.02</v>
      </c>
      <c r="AI168" s="17" t="n">
        <f aca="false">Data!D163</f>
        <v>116.2</v>
      </c>
      <c r="AJ168" s="17" t="n">
        <f aca="false">Data!E163</f>
        <v>116.76</v>
      </c>
      <c r="AK168" s="17" t="n">
        <f aca="false">Data!F163</f>
        <v>20905892</v>
      </c>
      <c r="AL168" s="17" t="n">
        <f aca="false">AJ168</f>
        <v>116.76</v>
      </c>
      <c r="AM168" s="17" t="n">
        <f aca="false">(AL168-AL167)/AL168*100</f>
        <v>0.0256937307297029</v>
      </c>
      <c r="AN168" s="17" t="n">
        <f aca="false">(AK168-AK167)/AK168*100</f>
        <v>28.0608595892488</v>
      </c>
      <c r="AO168" s="17" t="str">
        <f aca="false">IF(AN168&lt;-8,"FITS BITCH",IF(AN168&gt;-8,"no"))</f>
        <v>no</v>
      </c>
      <c r="AP168" s="17" t="str">
        <f aca="false">IF(AH169&lt;AH168,"FITS BITCH",IF(AH169&gt;AH168,"no"))</f>
        <v>FITS BITCH</v>
      </c>
      <c r="AQ168" s="17" t="str">
        <f aca="false">IF(AI169&lt;AI168,"FITS BITCH",IF(AI169&gt;AI168,"no"))</f>
        <v>no</v>
      </c>
      <c r="AR168" s="17" t="str">
        <f aca="false">IF(AJ168&lt;AH169,"FITS BITCH",IF(AJ168&gt;AH169,"no"))</f>
        <v>FITS BITCH</v>
      </c>
      <c r="AS168" s="17" t="str">
        <f aca="false">IF(AJ168&gt;AJ169,"FITS BITCH",IF(AJ168&lt;AJ169,"no"))</f>
        <v>no</v>
      </c>
      <c r="AT168" s="91" t="str">
        <f aca="false">IF(AND($AO168="FITS BITCH",$AP168="FITS BITCH",$AR168="FITS BITCH"),"BULLISH","")</f>
        <v/>
      </c>
      <c r="AU168" s="91" t="str">
        <f aca="false">IF(AND($AO168="FITS BITCH",$AQ168="FITS BITCH",$AS168="FITS BITCH"),"BEARISH","")</f>
        <v/>
      </c>
      <c r="AV168" s="86"/>
      <c r="AW168" s="86"/>
      <c r="AX168" s="86"/>
      <c r="CL168" s="99" t="n">
        <v>42894</v>
      </c>
      <c r="CM168" s="23" t="n">
        <f aca="false">$BA$68*CL168+$BA$70</f>
        <v>148.246079568354</v>
      </c>
    </row>
    <row r="169" customFormat="false" ht="15" hidden="false" customHeight="true" outlineLevel="0" collapsed="false">
      <c r="A169" s="0"/>
      <c r="B169" s="0"/>
      <c r="C169" s="0"/>
      <c r="D169" s="0"/>
      <c r="E169" s="0"/>
      <c r="AE169" s="90" t="n">
        <f aca="false">Data!A164</f>
        <v>42731</v>
      </c>
      <c r="AF169" s="17" t="n">
        <f aca="false">Data!B164</f>
        <v>116.52</v>
      </c>
      <c r="AG169" s="17" t="n">
        <f aca="false">Data!F164</f>
        <v>18296855</v>
      </c>
      <c r="AH169" s="17" t="n">
        <f aca="false">Data!C164</f>
        <v>117.8</v>
      </c>
      <c r="AI169" s="17" t="n">
        <f aca="false">Data!D164</f>
        <v>116.49</v>
      </c>
      <c r="AJ169" s="17" t="n">
        <f aca="false">Data!E164</f>
        <v>117.26</v>
      </c>
      <c r="AK169" s="17" t="n">
        <f aca="false">Data!F164</f>
        <v>18296855</v>
      </c>
      <c r="AL169" s="17" t="n">
        <f aca="false">AJ169</f>
        <v>117.26</v>
      </c>
      <c r="AM169" s="17" t="n">
        <f aca="false">(AL169-AL168)/AL169*100</f>
        <v>0.426402865427256</v>
      </c>
      <c r="AN169" s="17" t="n">
        <f aca="false">(AK169-AK168)/AK169*100</f>
        <v>-14.2594833920912</v>
      </c>
      <c r="AO169" s="17" t="str">
        <f aca="false">IF(AN169&lt;-8,"FITS BITCH",IF(AN169&gt;-8,"no"))</f>
        <v>FITS BITCH</v>
      </c>
      <c r="AP169" s="17" t="str">
        <f aca="false">IF(AH170&lt;AH169,"FITS BITCH",IF(AH170&gt;AH169,"no"))</f>
        <v>FITS BITCH</v>
      </c>
      <c r="AQ169" s="17" t="str">
        <f aca="false">IF(AI170&lt;AI169,"FITS BITCH",IF(AI170&gt;AI169,"no"))</f>
        <v>FITS BITCH</v>
      </c>
      <c r="AR169" s="17" t="str">
        <f aca="false">IF(AJ169&lt;AH170,"FITS BITCH",IF(AJ169&gt;AH170,"no"))</f>
        <v>no</v>
      </c>
      <c r="AS169" s="17" t="str">
        <f aca="false">IF(AJ169&gt;AJ170,"FITS BITCH",IF(AJ169&lt;AJ170,"no"))</f>
        <v>FITS BITCH</v>
      </c>
      <c r="AT169" s="91" t="str">
        <f aca="false">IF(AND($AO169="FITS BITCH",$AP169="FITS BITCH",$AR169="FITS BITCH"),"BULLISH","")</f>
        <v/>
      </c>
      <c r="AU169" s="91" t="str">
        <f aca="false">IF(AND($AO169="FITS BITCH",$AQ169="FITS BITCH",$AS169="FITS BITCH"),"BEARISH","")</f>
        <v>BEARISH</v>
      </c>
      <c r="AV169" s="86"/>
      <c r="AW169" s="86"/>
      <c r="AX169" s="86"/>
      <c r="CL169" s="99" t="n">
        <v>42893</v>
      </c>
      <c r="CM169" s="23" t="n">
        <f aca="false">$BA$68*CL169+$BA$70</f>
        <v>148.09196133811</v>
      </c>
    </row>
    <row r="170" customFormat="false" ht="15" hidden="false" customHeight="true" outlineLevel="0" collapsed="false">
      <c r="A170" s="0"/>
      <c r="B170" s="0"/>
      <c r="C170" s="0"/>
      <c r="D170" s="0"/>
      <c r="E170" s="0"/>
      <c r="AE170" s="90" t="n">
        <f aca="false">Data!A165</f>
        <v>42727</v>
      </c>
      <c r="AF170" s="17" t="n">
        <f aca="false">Data!B165</f>
        <v>115.59</v>
      </c>
      <c r="AG170" s="17" t="n">
        <f aca="false">Data!F165</f>
        <v>14249484</v>
      </c>
      <c r="AH170" s="17" t="n">
        <f aca="false">Data!C165</f>
        <v>116.52</v>
      </c>
      <c r="AI170" s="17" t="n">
        <f aca="false">Data!D165</f>
        <v>115.59</v>
      </c>
      <c r="AJ170" s="17" t="n">
        <f aca="false">Data!E165</f>
        <v>116.52</v>
      </c>
      <c r="AK170" s="17" t="n">
        <f aca="false">Data!F165</f>
        <v>14249484</v>
      </c>
      <c r="AL170" s="17" t="n">
        <f aca="false">AJ170</f>
        <v>116.52</v>
      </c>
      <c r="AM170" s="17" t="n">
        <f aca="false">(AL170-AL169)/AL170*100</f>
        <v>-0.635084105732929</v>
      </c>
      <c r="AN170" s="17" t="n">
        <f aca="false">(AK170-AK169)/AK170*100</f>
        <v>-28.4036320192366</v>
      </c>
      <c r="AO170" s="17" t="str">
        <f aca="false">IF(AN170&lt;-8,"FITS BITCH",IF(AN170&gt;-8,"no"))</f>
        <v>FITS BITCH</v>
      </c>
      <c r="AP170" s="17" t="str">
        <f aca="false">IF(AH171&lt;AH170,"FITS BITCH",IF(AH171&gt;AH170,"no"))</f>
        <v>FITS BITCH</v>
      </c>
      <c r="AQ170" s="17" t="str">
        <f aca="false">IF(AI171&lt;AI170,"FITS BITCH",IF(AI171&gt;AI170,"no"))</f>
        <v>no</v>
      </c>
      <c r="AR170" s="17" t="str">
        <f aca="false">IF(AJ170&lt;AH171,"FITS BITCH",IF(AJ170&gt;AH171,"no"))</f>
        <v>no</v>
      </c>
      <c r="AS170" s="17" t="str">
        <f aca="false">IF(AJ170&gt;AJ171,"FITS BITCH",IF(AJ170&lt;AJ171,"no"))</f>
        <v>FITS BITCH</v>
      </c>
      <c r="AT170" s="91" t="str">
        <f aca="false">IF(AND($AO170="FITS BITCH",$AP170="FITS BITCH",$AR170="FITS BITCH"),"BULLISH","")</f>
        <v/>
      </c>
      <c r="AU170" s="91" t="str">
        <f aca="false">IF(AND($AO170="FITS BITCH",$AQ170="FITS BITCH",$AS170="FITS BITCH"),"BEARISH","")</f>
        <v/>
      </c>
      <c r="AV170" s="86"/>
      <c r="AW170" s="86"/>
      <c r="AX170" s="86"/>
      <c r="CL170" s="99" t="n">
        <v>42892</v>
      </c>
      <c r="CM170" s="23" t="n">
        <f aca="false">$BA$68*CL170+$BA$70</f>
        <v>147.937843107868</v>
      </c>
    </row>
    <row r="171" customFormat="false" ht="15" hidden="false" customHeight="true" outlineLevel="0" collapsed="false">
      <c r="A171" s="0"/>
      <c r="B171" s="0"/>
      <c r="C171" s="0"/>
      <c r="D171" s="0"/>
      <c r="E171" s="0"/>
      <c r="AE171" s="90" t="n">
        <f aca="false">Data!A166</f>
        <v>42726</v>
      </c>
      <c r="AF171" s="17" t="n">
        <f aca="false">Data!B166</f>
        <v>116.35</v>
      </c>
      <c r="AG171" s="17" t="n">
        <f aca="false">Data!F166</f>
        <v>26085854</v>
      </c>
      <c r="AH171" s="17" t="n">
        <f aca="false">Data!C166</f>
        <v>116.51</v>
      </c>
      <c r="AI171" s="17" t="n">
        <f aca="false">Data!D166</f>
        <v>115.64</v>
      </c>
      <c r="AJ171" s="17" t="n">
        <f aca="false">Data!E166</f>
        <v>116.29</v>
      </c>
      <c r="AK171" s="17" t="n">
        <f aca="false">Data!F166</f>
        <v>26085854</v>
      </c>
      <c r="AL171" s="17" t="n">
        <f aca="false">AJ171</f>
        <v>116.29</v>
      </c>
      <c r="AM171" s="17" t="n">
        <f aca="false">(AL171-AL170)/AL171*100</f>
        <v>-0.197781408547588</v>
      </c>
      <c r="AN171" s="17" t="n">
        <f aca="false">(AK171-AK170)/AK171*100</f>
        <v>45.3746693514424</v>
      </c>
      <c r="AO171" s="17" t="str">
        <f aca="false">IF(AN171&lt;-8,"FITS BITCH",IF(AN171&gt;-8,"no"))</f>
        <v>no</v>
      </c>
      <c r="AP171" s="17" t="str">
        <f aca="false">IF(AH172&lt;AH171,"FITS BITCH",IF(AH172&gt;AH171,"no"))</f>
        <v>no</v>
      </c>
      <c r="AQ171" s="17" t="str">
        <f aca="false">IF(AI172&lt;AI171,"FITS BITCH",IF(AI172&gt;AI171,"no"))</f>
        <v>no</v>
      </c>
      <c r="AR171" s="17" t="str">
        <f aca="false">IF(AJ171&lt;AH172,"FITS BITCH",IF(AJ171&gt;AH172,"no"))</f>
        <v>FITS BITCH</v>
      </c>
      <c r="AS171" s="17" t="str">
        <f aca="false">IF(AJ171&gt;AJ172,"FITS BITCH",IF(AJ171&lt;AJ172,"no"))</f>
        <v>no</v>
      </c>
      <c r="AT171" s="91" t="str">
        <f aca="false">IF(AND($AO171="FITS BITCH",$AP171="FITS BITCH",$AR171="FITS BITCH"),"BULLISH","")</f>
        <v/>
      </c>
      <c r="AU171" s="91" t="str">
        <f aca="false">IF(AND($AO171="FITS BITCH",$AQ171="FITS BITCH",$AS171="FITS BITCH"),"BEARISH","")</f>
        <v/>
      </c>
      <c r="AV171" s="86"/>
      <c r="AW171" s="86"/>
      <c r="AX171" s="86"/>
      <c r="CL171" s="99" t="n">
        <v>42891</v>
      </c>
      <c r="CM171" s="23" t="n">
        <f aca="false">$BA$68*CL171+$BA$70</f>
        <v>147.783724877625</v>
      </c>
    </row>
    <row r="172" customFormat="false" ht="15" hidden="false" customHeight="true" outlineLevel="0" collapsed="false">
      <c r="A172" s="0"/>
      <c r="B172" s="0"/>
      <c r="C172" s="0"/>
      <c r="D172" s="0"/>
      <c r="E172" s="0"/>
      <c r="AE172" s="90" t="n">
        <f aca="false">Data!A167</f>
        <v>42725</v>
      </c>
      <c r="AF172" s="17" t="n">
        <f aca="false">Data!B167</f>
        <v>116.8</v>
      </c>
      <c r="AG172" s="17" t="n">
        <f aca="false">Data!F167</f>
        <v>23783165</v>
      </c>
      <c r="AH172" s="17" t="n">
        <f aca="false">Data!C167</f>
        <v>117.4</v>
      </c>
      <c r="AI172" s="17" t="n">
        <f aca="false">Data!D167</f>
        <v>116.78</v>
      </c>
      <c r="AJ172" s="17" t="n">
        <f aca="false">Data!E167</f>
        <v>117.06</v>
      </c>
      <c r="AK172" s="17" t="n">
        <f aca="false">Data!F167</f>
        <v>23783165</v>
      </c>
      <c r="AL172" s="17" t="n">
        <f aca="false">AJ172</f>
        <v>117.06</v>
      </c>
      <c r="AM172" s="17" t="n">
        <f aca="false">(AL172-AL171)/AL172*100</f>
        <v>0.657782333845888</v>
      </c>
      <c r="AN172" s="17" t="n">
        <f aca="false">(AK172-AK171)/AK172*100</f>
        <v>-9.68201246554023</v>
      </c>
      <c r="AO172" s="17" t="str">
        <f aca="false">IF(AN172&lt;-8,"FITS BITCH",IF(AN172&gt;-8,"no"))</f>
        <v>FITS BITCH</v>
      </c>
      <c r="AP172" s="17" t="str">
        <f aca="false">IF(AH173&lt;AH172,"FITS BITCH",IF(AH173&gt;AH172,"no"))</f>
        <v>no</v>
      </c>
      <c r="AQ172" s="17" t="str">
        <f aca="false">IF(AI173&lt;AI172,"FITS BITCH",IF(AI173&gt;AI172,"no"))</f>
        <v>FITS BITCH</v>
      </c>
      <c r="AR172" s="17" t="str">
        <f aca="false">IF(AJ172&lt;AH173,"FITS BITCH",IF(AJ172&gt;AH173,"no"))</f>
        <v>FITS BITCH</v>
      </c>
      <c r="AS172" s="17" t="str">
        <f aca="false">IF(AJ172&gt;AJ173,"FITS BITCH",IF(AJ172&lt;AJ173,"no"))</f>
        <v>FITS BITCH</v>
      </c>
      <c r="AT172" s="91" t="str">
        <f aca="false">IF(AND($AO172="FITS BITCH",$AP172="FITS BITCH",$AR172="FITS BITCH"),"BULLISH","")</f>
        <v/>
      </c>
      <c r="AU172" s="91" t="str">
        <f aca="false">IF(AND($AO172="FITS BITCH",$AQ172="FITS BITCH",$AS172="FITS BITCH"),"BEARISH","")</f>
        <v>BEARISH</v>
      </c>
      <c r="AV172" s="86"/>
      <c r="AW172" s="86"/>
      <c r="AX172" s="86"/>
      <c r="CL172" s="99" t="n">
        <v>42888</v>
      </c>
      <c r="CM172" s="23" t="n">
        <f aca="false">$BA$68*CL172+$BA$70</f>
        <v>147.321370186897</v>
      </c>
    </row>
    <row r="173" customFormat="false" ht="15" hidden="false" customHeight="true" outlineLevel="0" collapsed="false">
      <c r="A173" s="0"/>
      <c r="B173" s="0"/>
      <c r="C173" s="0"/>
      <c r="D173" s="0"/>
      <c r="E173" s="0"/>
      <c r="AE173" s="90" t="n">
        <f aca="false">Data!A168</f>
        <v>42724</v>
      </c>
      <c r="AF173" s="17" t="n">
        <f aca="false">Data!B168</f>
        <v>116.74</v>
      </c>
      <c r="AG173" s="17" t="n">
        <f aca="false">Data!F168</f>
        <v>21424965</v>
      </c>
      <c r="AH173" s="17" t="n">
        <f aca="false">Data!C168</f>
        <v>117.5</v>
      </c>
      <c r="AI173" s="17" t="n">
        <f aca="false">Data!D168</f>
        <v>116.68</v>
      </c>
      <c r="AJ173" s="17" t="n">
        <f aca="false">Data!E168</f>
        <v>116.95</v>
      </c>
      <c r="AK173" s="17" t="n">
        <f aca="false">Data!F168</f>
        <v>21424965</v>
      </c>
      <c r="AL173" s="17" t="n">
        <f aca="false">AJ173</f>
        <v>116.95</v>
      </c>
      <c r="AM173" s="17" t="n">
        <f aca="false">(AL173-AL172)/AL173*100</f>
        <v>-0.0940572894399311</v>
      </c>
      <c r="AN173" s="17" t="n">
        <f aca="false">(AK173-AK172)/AK173*100</f>
        <v>-11.0067857753793</v>
      </c>
      <c r="AO173" s="17" t="str">
        <f aca="false">IF(AN173&lt;-8,"FITS BITCH",IF(AN173&gt;-8,"no"))</f>
        <v>FITS BITCH</v>
      </c>
      <c r="AP173" s="17" t="str">
        <f aca="false">IF(AH174&lt;AH173,"FITS BITCH",IF(AH174&gt;AH173,"no"))</f>
        <v>FITS BITCH</v>
      </c>
      <c r="AQ173" s="17" t="str">
        <f aca="false">IF(AI174&lt;AI173,"FITS BITCH",IF(AI174&gt;AI173,"no"))</f>
        <v>FITS BITCH</v>
      </c>
      <c r="AR173" s="17" t="str">
        <f aca="false">IF(AJ173&lt;AH174,"FITS BITCH",IF(AJ173&gt;AH174,"no"))</f>
        <v>FITS BITCH</v>
      </c>
      <c r="AS173" s="17" t="str">
        <f aca="false">IF(AJ173&gt;AJ174,"FITS BITCH",IF(AJ173&lt;AJ174,"no"))</f>
        <v>FITS BITCH</v>
      </c>
      <c r="AT173" s="91" t="str">
        <f aca="false">IF(AND($AO173="FITS BITCH",$AP173="FITS BITCH",$AR173="FITS BITCH"),"BULLISH","")</f>
        <v>BULLISH</v>
      </c>
      <c r="AU173" s="91" t="str">
        <f aca="false">IF(AND($AO173="FITS BITCH",$AQ173="FITS BITCH",$AS173="FITS BITCH"),"BEARISH","")</f>
        <v>BEARISH</v>
      </c>
      <c r="AV173" s="86"/>
      <c r="AW173" s="86"/>
      <c r="AX173" s="86"/>
      <c r="CL173" s="99" t="n">
        <v>42887</v>
      </c>
      <c r="CM173" s="23" t="n">
        <f aca="false">$BA$68*CL173+$BA$70</f>
        <v>147.167251956655</v>
      </c>
    </row>
    <row r="174" customFormat="false" ht="15" hidden="false" customHeight="true" outlineLevel="0" collapsed="false">
      <c r="A174" s="0"/>
      <c r="B174" s="0"/>
      <c r="C174" s="0"/>
      <c r="D174" s="0"/>
      <c r="E174" s="0"/>
      <c r="AE174" s="90" t="n">
        <f aca="false">Data!A169</f>
        <v>42723</v>
      </c>
      <c r="AF174" s="17" t="n">
        <f aca="false">Data!B169</f>
        <v>115.8</v>
      </c>
      <c r="AG174" s="17" t="n">
        <f aca="false">Data!F169</f>
        <v>27779423</v>
      </c>
      <c r="AH174" s="17" t="n">
        <f aca="false">Data!C169</f>
        <v>117.38</v>
      </c>
      <c r="AI174" s="17" t="n">
        <f aca="false">Data!D169</f>
        <v>115.75</v>
      </c>
      <c r="AJ174" s="17" t="n">
        <f aca="false">Data!E169</f>
        <v>116.64</v>
      </c>
      <c r="AK174" s="17" t="n">
        <f aca="false">Data!F169</f>
        <v>27779423</v>
      </c>
      <c r="AL174" s="17" t="n">
        <f aca="false">AJ174</f>
        <v>116.64</v>
      </c>
      <c r="AM174" s="17" t="n">
        <f aca="false">(AL174-AL173)/AL174*100</f>
        <v>-0.265775034293555</v>
      </c>
      <c r="AN174" s="17" t="n">
        <f aca="false">(AK174-AK173)/AK174*100</f>
        <v>22.8746939776251</v>
      </c>
      <c r="AO174" s="17" t="str">
        <f aca="false">IF(AN174&lt;-8,"FITS BITCH",IF(AN174&gt;-8,"no"))</f>
        <v>no</v>
      </c>
      <c r="AP174" s="17" t="str">
        <f aca="false">IF(AH175&lt;AH174,"FITS BITCH",IF(AH175&gt;AH174,"no"))</f>
        <v>FITS BITCH</v>
      </c>
      <c r="AQ174" s="17" t="str">
        <f aca="false">IF(AI175&lt;AI174,"FITS BITCH",IF(AI175&gt;AI174,"no"))</f>
        <v>FITS BITCH</v>
      </c>
      <c r="AR174" s="17" t="str">
        <f aca="false">IF(AJ174&lt;AH175,"FITS BITCH",IF(AJ174&gt;AH175,"no"))</f>
        <v>no</v>
      </c>
      <c r="AS174" s="17" t="str">
        <f aca="false">IF(AJ174&gt;AJ175,"FITS BITCH",IF(AJ174&lt;AJ175,"no"))</f>
        <v>FITS BITCH</v>
      </c>
      <c r="AT174" s="91" t="str">
        <f aca="false">IF(AND($AO174="FITS BITCH",$AP174="FITS BITCH",$AR174="FITS BITCH"),"BULLISH","")</f>
        <v/>
      </c>
      <c r="AU174" s="91" t="str">
        <f aca="false">IF(AND($AO174="FITS BITCH",$AQ174="FITS BITCH",$AS174="FITS BITCH"),"BEARISH","")</f>
        <v/>
      </c>
      <c r="AV174" s="86"/>
      <c r="AW174" s="86"/>
      <c r="AX174" s="86"/>
      <c r="CL174" s="99" t="n">
        <v>42886</v>
      </c>
      <c r="CM174" s="23" t="n">
        <f aca="false">$BA$68*CL174+$BA$70</f>
        <v>147.013133726412</v>
      </c>
    </row>
    <row r="175" customFormat="false" ht="15" hidden="false" customHeight="true" outlineLevel="0" collapsed="false">
      <c r="A175" s="0"/>
      <c r="B175" s="0"/>
      <c r="C175" s="0"/>
      <c r="D175" s="0"/>
      <c r="E175" s="0"/>
      <c r="AE175" s="90" t="n">
        <f aca="false">Data!A170</f>
        <v>42720</v>
      </c>
      <c r="AF175" s="17" t="n">
        <f aca="false">Data!B170</f>
        <v>116.47</v>
      </c>
      <c r="AG175" s="17" t="n">
        <f aca="false">Data!F170</f>
        <v>44351134</v>
      </c>
      <c r="AH175" s="17" t="n">
        <f aca="false">Data!C170</f>
        <v>116.5</v>
      </c>
      <c r="AI175" s="17" t="n">
        <f aca="false">Data!D170</f>
        <v>115.64</v>
      </c>
      <c r="AJ175" s="17" t="n">
        <f aca="false">Data!E170</f>
        <v>115.97</v>
      </c>
      <c r="AK175" s="17" t="n">
        <f aca="false">Data!F170</f>
        <v>44351134</v>
      </c>
      <c r="AL175" s="17" t="n">
        <f aca="false">AJ175</f>
        <v>115.97</v>
      </c>
      <c r="AM175" s="17" t="n">
        <f aca="false">(AL175-AL174)/AL175*100</f>
        <v>-0.577735621281367</v>
      </c>
      <c r="AN175" s="17" t="n">
        <f aca="false">(AK175-AK174)/AK175*100</f>
        <v>37.3647965799476</v>
      </c>
      <c r="AO175" s="17" t="str">
        <f aca="false">IF(AN175&lt;-8,"FITS BITCH",IF(AN175&gt;-8,"no"))</f>
        <v>no</v>
      </c>
      <c r="AP175" s="17" t="str">
        <f aca="false">IF(AH176&lt;AH175,"FITS BITCH",IF(AH176&gt;AH175,"no"))</f>
        <v>no</v>
      </c>
      <c r="AQ175" s="17" t="str">
        <f aca="false">IF(AI176&lt;AI175,"FITS BITCH",IF(AI176&gt;AI175,"no"))</f>
        <v>FITS BITCH</v>
      </c>
      <c r="AR175" s="17" t="str">
        <f aca="false">IF(AJ175&lt;AH176,"FITS BITCH",IF(AJ175&gt;AH176,"no"))</f>
        <v>FITS BITCH</v>
      </c>
      <c r="AS175" s="17" t="str">
        <f aca="false">IF(AJ175&gt;AJ176,"FITS BITCH",IF(AJ175&lt;AJ176,"no"))</f>
        <v>FITS BITCH</v>
      </c>
      <c r="AT175" s="91" t="str">
        <f aca="false">IF(AND($AO175="FITS BITCH",$AP175="FITS BITCH",$AR175="FITS BITCH"),"BULLISH","")</f>
        <v/>
      </c>
      <c r="AU175" s="91" t="str">
        <f aca="false">IF(AND($AO175="FITS BITCH",$AQ175="FITS BITCH",$AS175="FITS BITCH"),"BEARISH","")</f>
        <v/>
      </c>
      <c r="AV175" s="86"/>
      <c r="AW175" s="86"/>
      <c r="AX175" s="86"/>
      <c r="CL175" s="99" t="n">
        <v>42885</v>
      </c>
      <c r="CM175" s="23" t="n">
        <f aca="false">$BA$68*CL175+$BA$70</f>
        <v>146.859015496169</v>
      </c>
    </row>
    <row r="176" customFormat="false" ht="15" hidden="false" customHeight="true" outlineLevel="0" collapsed="false">
      <c r="A176" s="0"/>
      <c r="B176" s="0"/>
      <c r="C176" s="0"/>
      <c r="D176" s="0"/>
      <c r="E176" s="0"/>
      <c r="AE176" s="90" t="n">
        <f aca="false">Data!A171</f>
        <v>42719</v>
      </c>
      <c r="AF176" s="17" t="n">
        <f aca="false">Data!B171</f>
        <v>115.38</v>
      </c>
      <c r="AG176" s="17" t="n">
        <f aca="false">Data!F171</f>
        <v>46524544</v>
      </c>
      <c r="AH176" s="17" t="n">
        <f aca="false">Data!C171</f>
        <v>116.73</v>
      </c>
      <c r="AI176" s="17" t="n">
        <f aca="false">Data!D171</f>
        <v>115.23</v>
      </c>
      <c r="AJ176" s="17" t="n">
        <f aca="false">Data!E171</f>
        <v>115.82</v>
      </c>
      <c r="AK176" s="17" t="n">
        <f aca="false">Data!F171</f>
        <v>46524544</v>
      </c>
      <c r="AL176" s="17" t="n">
        <f aca="false">AJ176</f>
        <v>115.82</v>
      </c>
      <c r="AM176" s="17" t="n">
        <f aca="false">(AL176-AL175)/AL176*100</f>
        <v>-0.129511310654469</v>
      </c>
      <c r="AN176" s="17" t="n">
        <f aca="false">(AK176-AK175)/AK176*100</f>
        <v>4.67153423362946</v>
      </c>
      <c r="AO176" s="17" t="str">
        <f aca="false">IF(AN176&lt;-8,"FITS BITCH",IF(AN176&gt;-8,"no"))</f>
        <v>no</v>
      </c>
      <c r="AP176" s="17" t="str">
        <f aca="false">IF(AH177&lt;AH176,"FITS BITCH",IF(AH177&gt;AH176,"no"))</f>
        <v>FITS BITCH</v>
      </c>
      <c r="AQ176" s="17" t="str">
        <f aca="false">IF(AI177&lt;AI176,"FITS BITCH",IF(AI177&gt;AI176,"no"))</f>
        <v>FITS BITCH</v>
      </c>
      <c r="AR176" s="17" t="str">
        <f aca="false">IF(AJ176&lt;AH177,"FITS BITCH",IF(AJ176&gt;AH177,"no"))</f>
        <v>FITS BITCH</v>
      </c>
      <c r="AS176" s="17" t="str">
        <f aca="false">IF(AJ176&gt;AJ177,"FITS BITCH",IF(AJ176&lt;AJ177,"no"))</f>
        <v>FITS BITCH</v>
      </c>
      <c r="AT176" s="91" t="str">
        <f aca="false">IF(AND($AO176="FITS BITCH",$AP176="FITS BITCH",$AR176="FITS BITCH"),"BULLISH","")</f>
        <v/>
      </c>
      <c r="AU176" s="91" t="str">
        <f aca="false">IF(AND($AO176="FITS BITCH",$AQ176="FITS BITCH",$AS176="FITS BITCH"),"BEARISH","")</f>
        <v/>
      </c>
      <c r="AV176" s="86"/>
      <c r="AW176" s="86"/>
      <c r="AX176" s="86"/>
      <c r="CL176" s="99" t="n">
        <v>42884</v>
      </c>
      <c r="CM176" s="23" t="n">
        <f aca="false">$BA$68*CL176+$BA$70</f>
        <v>146.704897265927</v>
      </c>
    </row>
    <row r="177" customFormat="false" ht="15" hidden="false" customHeight="true" outlineLevel="0" collapsed="false">
      <c r="A177" s="0"/>
      <c r="B177" s="0"/>
      <c r="C177" s="0"/>
      <c r="D177" s="0"/>
      <c r="E177" s="0"/>
      <c r="AE177" s="90" t="n">
        <f aca="false">Data!A172</f>
        <v>42718</v>
      </c>
      <c r="AF177" s="17" t="n">
        <f aca="false">Data!B172</f>
        <v>115.04</v>
      </c>
      <c r="AG177" s="17" t="n">
        <f aca="false">Data!F172</f>
        <v>34031834</v>
      </c>
      <c r="AH177" s="17" t="n">
        <f aca="false">Data!C172</f>
        <v>116.2</v>
      </c>
      <c r="AI177" s="17" t="n">
        <f aca="false">Data!D172</f>
        <v>114.98</v>
      </c>
      <c r="AJ177" s="17" t="n">
        <f aca="false">Data!E172</f>
        <v>115.19</v>
      </c>
      <c r="AK177" s="17" t="n">
        <f aca="false">Data!F172</f>
        <v>34031834</v>
      </c>
      <c r="AL177" s="17" t="n">
        <f aca="false">AJ177</f>
        <v>115.19</v>
      </c>
      <c r="AM177" s="17" t="n">
        <f aca="false">(AL177-AL176)/AL177*100</f>
        <v>-0.546922475909363</v>
      </c>
      <c r="AN177" s="17" t="n">
        <f aca="false">(AK177-AK176)/AK177*100</f>
        <v>-36.7088943840053</v>
      </c>
      <c r="AO177" s="17" t="str">
        <f aca="false">IF(AN177&lt;-8,"FITS BITCH",IF(AN177&gt;-8,"no"))</f>
        <v>FITS BITCH</v>
      </c>
      <c r="AP177" s="17" t="str">
        <f aca="false">IF(AH178&lt;AH177,"FITS BITCH",IF(AH178&gt;AH177,"no"))</f>
        <v>FITS BITCH</v>
      </c>
      <c r="AQ177" s="17" t="str">
        <f aca="false">IF(AI178&lt;AI177,"FITS BITCH",IF(AI178&gt;AI177,"no"))</f>
        <v>FITS BITCH</v>
      </c>
      <c r="AR177" s="17" t="str">
        <f aca="false">IF(AJ177&lt;AH178,"FITS BITCH",IF(AJ177&gt;AH178,"no"))</f>
        <v>FITS BITCH</v>
      </c>
      <c r="AS177" s="17" t="n">
        <f aca="false">IF(AJ177&gt;AJ178,"FITS BITCH",IF(AJ177&lt;AJ178,"no"))</f>
        <v>0</v>
      </c>
      <c r="AT177" s="91" t="str">
        <f aca="false">IF(AND($AO177="FITS BITCH",$AP177="FITS BITCH",$AR177="FITS BITCH"),"BULLISH","")</f>
        <v>BULLISH</v>
      </c>
      <c r="AU177" s="91" t="str">
        <f aca="false">IF(AND($AO177="FITS BITCH",$AQ177="FITS BITCH",$AS177="FITS BITCH"),"BEARISH","")</f>
        <v/>
      </c>
      <c r="AV177" s="86"/>
      <c r="AW177" s="86"/>
      <c r="AX177" s="86"/>
      <c r="CL177" s="99" t="n">
        <v>42881</v>
      </c>
      <c r="CM177" s="23" t="n">
        <f aca="false">$BA$68*CL177+$BA$70</f>
        <v>146.242542575198</v>
      </c>
    </row>
    <row r="178" customFormat="false" ht="15" hidden="false" customHeight="true" outlineLevel="0" collapsed="false">
      <c r="A178" s="0"/>
      <c r="B178" s="0"/>
      <c r="C178" s="0"/>
      <c r="D178" s="0"/>
      <c r="E178" s="0"/>
      <c r="AE178" s="90" t="n">
        <f aca="false">Data!A173</f>
        <v>42717</v>
      </c>
      <c r="AF178" s="17" t="n">
        <f aca="false">Data!B173</f>
        <v>113.84</v>
      </c>
      <c r="AG178" s="17" t="n">
        <f aca="false">Data!F173</f>
        <v>43733811</v>
      </c>
      <c r="AH178" s="17" t="n">
        <f aca="false">Data!C173</f>
        <v>115.92</v>
      </c>
      <c r="AI178" s="17" t="n">
        <f aca="false">Data!D173</f>
        <v>113.75</v>
      </c>
      <c r="AJ178" s="17" t="n">
        <f aca="false">Data!E173</f>
        <v>115.19</v>
      </c>
      <c r="AK178" s="17" t="n">
        <f aca="false">Data!F173</f>
        <v>43733811</v>
      </c>
      <c r="AL178" s="17" t="n">
        <f aca="false">AJ178</f>
        <v>115.19</v>
      </c>
      <c r="AM178" s="17" t="n">
        <f aca="false">(AL178-AL177)/AL178*100</f>
        <v>0</v>
      </c>
      <c r="AN178" s="17" t="n">
        <f aca="false">(AK178-AK177)/AK178*100</f>
        <v>22.1841563270121</v>
      </c>
      <c r="AO178" s="17" t="str">
        <f aca="false">IF(AN178&lt;-8,"FITS BITCH",IF(AN178&gt;-8,"no"))</f>
        <v>no</v>
      </c>
      <c r="AP178" s="17" t="str">
        <f aca="false">IF(AH179&lt;AH178,"FITS BITCH",IF(AH179&gt;AH178,"no"))</f>
        <v>FITS BITCH</v>
      </c>
      <c r="AQ178" s="17" t="str">
        <f aca="false">IF(AI179&lt;AI178,"FITS BITCH",IF(AI179&gt;AI178,"no"))</f>
        <v>FITS BITCH</v>
      </c>
      <c r="AR178" s="17" t="str">
        <f aca="false">IF(AJ178&lt;AH179,"FITS BITCH",IF(AJ178&gt;AH179,"no"))</f>
        <v>no</v>
      </c>
      <c r="AS178" s="17" t="str">
        <f aca="false">IF(AJ178&gt;AJ179,"FITS BITCH",IF(AJ178&lt;AJ179,"no"))</f>
        <v>FITS BITCH</v>
      </c>
      <c r="AT178" s="91" t="str">
        <f aca="false">IF(AND($AO178="FITS BITCH",$AP178="FITS BITCH",$AR178="FITS BITCH"),"BULLISH","")</f>
        <v/>
      </c>
      <c r="AU178" s="91" t="str">
        <f aca="false">IF(AND($AO178="FITS BITCH",$AQ178="FITS BITCH",$AS178="FITS BITCH"),"BEARISH","")</f>
        <v/>
      </c>
      <c r="AV178" s="86"/>
      <c r="AW178" s="86"/>
      <c r="AX178" s="86"/>
      <c r="CL178" s="99" t="n">
        <v>42880</v>
      </c>
      <c r="CM178" s="23" t="n">
        <f aca="false">$BA$68*CL178+$BA$70</f>
        <v>146.088424344955</v>
      </c>
    </row>
    <row r="179" customFormat="false" ht="15" hidden="false" customHeight="true" outlineLevel="0" collapsed="false">
      <c r="A179" s="0"/>
      <c r="B179" s="0"/>
      <c r="C179" s="0"/>
      <c r="D179" s="0"/>
      <c r="E179" s="0"/>
      <c r="AE179" s="90" t="n">
        <f aca="false">Data!A174</f>
        <v>42716</v>
      </c>
      <c r="AF179" s="17" t="n">
        <f aca="false">Data!B174</f>
        <v>113.29</v>
      </c>
      <c r="AG179" s="17" t="n">
        <f aca="false">Data!F174</f>
        <v>26374377</v>
      </c>
      <c r="AH179" s="17" t="n">
        <f aca="false">Data!C174</f>
        <v>115</v>
      </c>
      <c r="AI179" s="17" t="n">
        <f aca="false">Data!D174</f>
        <v>112.49</v>
      </c>
      <c r="AJ179" s="17" t="n">
        <f aca="false">Data!E174</f>
        <v>113.3</v>
      </c>
      <c r="AK179" s="17" t="n">
        <f aca="false">Data!F174</f>
        <v>26374377</v>
      </c>
      <c r="AL179" s="17" t="n">
        <f aca="false">AJ179</f>
        <v>113.3</v>
      </c>
      <c r="AM179" s="17" t="n">
        <f aca="false">(AL179-AL178)/AL179*100</f>
        <v>-1.66813768755516</v>
      </c>
      <c r="AN179" s="17" t="n">
        <f aca="false">(AK179-AK178)/AK179*100</f>
        <v>-65.8193139500508</v>
      </c>
      <c r="AO179" s="17" t="str">
        <f aca="false">IF(AN179&lt;-8,"FITS BITCH",IF(AN179&gt;-8,"no"))</f>
        <v>FITS BITCH</v>
      </c>
      <c r="AP179" s="17" t="str">
        <f aca="false">IF(AH180&lt;AH179,"FITS BITCH",IF(AH180&gt;AH179,"no"))</f>
        <v>FITS BITCH</v>
      </c>
      <c r="AQ179" s="17" t="str">
        <f aca="false">IF(AI180&lt;AI179,"FITS BITCH",IF(AI180&gt;AI179,"no"))</f>
        <v>FITS BITCH</v>
      </c>
      <c r="AR179" s="17" t="str">
        <f aca="false">IF(AJ179&lt;AH180,"FITS BITCH",IF(AJ179&gt;AH180,"no"))</f>
        <v>FITS BITCH</v>
      </c>
      <c r="AS179" s="17" t="str">
        <f aca="false">IF(AJ179&gt;AJ180,"FITS BITCH",IF(AJ179&lt;AJ180,"no"))</f>
        <v>no</v>
      </c>
      <c r="AT179" s="91" t="str">
        <f aca="false">IF(AND($AO179="FITS BITCH",$AP179="FITS BITCH",$AR179="FITS BITCH"),"BULLISH","")</f>
        <v>BULLISH</v>
      </c>
      <c r="AU179" s="91" t="str">
        <f aca="false">IF(AND($AO179="FITS BITCH",$AQ179="FITS BITCH",$AS179="FITS BITCH"),"BEARISH","")</f>
        <v/>
      </c>
      <c r="AV179" s="86"/>
      <c r="AW179" s="86"/>
      <c r="AX179" s="86"/>
      <c r="CL179" s="99" t="n">
        <v>42879</v>
      </c>
      <c r="CM179" s="23" t="n">
        <f aca="false">$BA$68*CL179+$BA$70</f>
        <v>145.934306114713</v>
      </c>
    </row>
    <row r="180" customFormat="false" ht="15" hidden="false" customHeight="true" outlineLevel="0" collapsed="false">
      <c r="A180" s="0"/>
      <c r="B180" s="0"/>
      <c r="C180" s="0"/>
      <c r="D180" s="0"/>
      <c r="E180" s="0"/>
      <c r="AE180" s="90" t="n">
        <f aca="false">Data!A175</f>
        <v>42713</v>
      </c>
      <c r="AF180" s="17" t="n">
        <f aca="false">Data!B175</f>
        <v>112.31</v>
      </c>
      <c r="AG180" s="17" t="n">
        <f aca="false">Data!F175</f>
        <v>34402627</v>
      </c>
      <c r="AH180" s="17" t="n">
        <f aca="false">Data!C175</f>
        <v>114.7</v>
      </c>
      <c r="AI180" s="17" t="n">
        <f aca="false">Data!D175</f>
        <v>112.31</v>
      </c>
      <c r="AJ180" s="17" t="n">
        <f aca="false">Data!E175</f>
        <v>113.95</v>
      </c>
      <c r="AK180" s="17" t="n">
        <f aca="false">Data!F175</f>
        <v>34402627</v>
      </c>
      <c r="AL180" s="17" t="n">
        <f aca="false">AJ180</f>
        <v>113.95</v>
      </c>
      <c r="AM180" s="17" t="n">
        <f aca="false">(AL180-AL179)/AL180*100</f>
        <v>0.570425625274248</v>
      </c>
      <c r="AN180" s="17" t="n">
        <f aca="false">(AK180-AK179)/AK180*100</f>
        <v>23.3361539512666</v>
      </c>
      <c r="AO180" s="17" t="str">
        <f aca="false">IF(AN180&lt;-8,"FITS BITCH",IF(AN180&gt;-8,"no"))</f>
        <v>no</v>
      </c>
      <c r="AP180" s="17" t="str">
        <f aca="false">IF(AH181&lt;AH180,"FITS BITCH",IF(AH181&gt;AH180,"no"))</f>
        <v>FITS BITCH</v>
      </c>
      <c r="AQ180" s="17" t="str">
        <f aca="false">IF(AI181&lt;AI180,"FITS BITCH",IF(AI181&gt;AI180,"no"))</f>
        <v>FITS BITCH</v>
      </c>
      <c r="AR180" s="17" t="str">
        <f aca="false">IF(AJ180&lt;AH181,"FITS BITCH",IF(AJ180&gt;AH181,"no"))</f>
        <v>no</v>
      </c>
      <c r="AS180" s="17" t="str">
        <f aca="false">IF(AJ180&gt;AJ181,"FITS BITCH",IF(AJ180&lt;AJ181,"no"))</f>
        <v>FITS BITCH</v>
      </c>
      <c r="AT180" s="91" t="str">
        <f aca="false">IF(AND($AO180="FITS BITCH",$AP180="FITS BITCH",$AR180="FITS BITCH"),"BULLISH","")</f>
        <v/>
      </c>
      <c r="AU180" s="91" t="str">
        <f aca="false">IF(AND($AO180="FITS BITCH",$AQ180="FITS BITCH",$AS180="FITS BITCH"),"BEARISH","")</f>
        <v/>
      </c>
      <c r="AV180" s="86"/>
      <c r="AW180" s="86"/>
      <c r="AX180" s="86"/>
      <c r="CL180" s="99" t="n">
        <v>42878</v>
      </c>
      <c r="CM180" s="23" t="n">
        <f aca="false">$BA$68*CL180+$BA$70</f>
        <v>145.78018788447</v>
      </c>
    </row>
    <row r="181" customFormat="false" ht="15" hidden="false" customHeight="true" outlineLevel="0" collapsed="false">
      <c r="A181" s="0"/>
      <c r="B181" s="0"/>
      <c r="C181" s="0"/>
      <c r="D181" s="0"/>
      <c r="E181" s="0"/>
      <c r="AE181" s="90" t="n">
        <f aca="false">Data!A176</f>
        <v>42712</v>
      </c>
      <c r="AF181" s="17" t="n">
        <f aca="false">Data!B176</f>
        <v>110.86</v>
      </c>
      <c r="AG181" s="17" t="n">
        <f aca="false">Data!F176</f>
        <v>27068316</v>
      </c>
      <c r="AH181" s="17" t="n">
        <f aca="false">Data!C176</f>
        <v>112.43</v>
      </c>
      <c r="AI181" s="17" t="n">
        <f aca="false">Data!D176</f>
        <v>110.6</v>
      </c>
      <c r="AJ181" s="17" t="n">
        <f aca="false">Data!E176</f>
        <v>112.12</v>
      </c>
      <c r="AK181" s="17" t="n">
        <f aca="false">Data!F176</f>
        <v>27068316</v>
      </c>
      <c r="AL181" s="17" t="n">
        <f aca="false">AJ181</f>
        <v>112.12</v>
      </c>
      <c r="AM181" s="17" t="n">
        <f aca="false">(AL181-AL180)/AL181*100</f>
        <v>-1.63217980734927</v>
      </c>
      <c r="AN181" s="17" t="n">
        <f aca="false">(AK181-AK180)/AK181*100</f>
        <v>-27.0955570342832</v>
      </c>
      <c r="AO181" s="17" t="str">
        <f aca="false">IF(AN181&lt;-8,"FITS BITCH",IF(AN181&gt;-8,"no"))</f>
        <v>FITS BITCH</v>
      </c>
      <c r="AP181" s="17" t="str">
        <f aca="false">IF(AH182&lt;AH181,"FITS BITCH",IF(AH182&gt;AH181,"no"))</f>
        <v>FITS BITCH</v>
      </c>
      <c r="AQ181" s="17" t="str">
        <f aca="false">IF(AI182&lt;AI181,"FITS BITCH",IF(AI182&gt;AI181,"no"))</f>
        <v>FITS BITCH</v>
      </c>
      <c r="AR181" s="17" t="str">
        <f aca="false">IF(AJ181&lt;AH182,"FITS BITCH",IF(AJ181&gt;AH182,"no"))</f>
        <v>no</v>
      </c>
      <c r="AS181" s="17" t="str">
        <f aca="false">IF(AJ181&gt;AJ182,"FITS BITCH",IF(AJ181&lt;AJ182,"no"))</f>
        <v>FITS BITCH</v>
      </c>
      <c r="AT181" s="91" t="str">
        <f aca="false">IF(AND($AO181="FITS BITCH",$AP181="FITS BITCH",$AR181="FITS BITCH"),"BULLISH","")</f>
        <v/>
      </c>
      <c r="AU181" s="91" t="str">
        <f aca="false">IF(AND($AO181="FITS BITCH",$AQ181="FITS BITCH",$AS181="FITS BITCH"),"BEARISH","")</f>
        <v>BEARISH</v>
      </c>
      <c r="AV181" s="86"/>
      <c r="AW181" s="86"/>
      <c r="AX181" s="86"/>
      <c r="CL181" s="99" t="n">
        <v>42877</v>
      </c>
      <c r="CM181" s="23" t="n">
        <f aca="false">$BA$68*CL181+$BA$70</f>
        <v>145.626069654228</v>
      </c>
    </row>
    <row r="182" customFormat="false" ht="15" hidden="false" customHeight="true" outlineLevel="0" collapsed="false">
      <c r="A182" s="0"/>
      <c r="B182" s="0"/>
      <c r="C182" s="0"/>
      <c r="D182" s="0"/>
      <c r="E182" s="0"/>
      <c r="AE182" s="90" t="n">
        <f aca="false">Data!A177</f>
        <v>42711</v>
      </c>
      <c r="AF182" s="17" t="n">
        <f aca="false">Data!B177</f>
        <v>109.26</v>
      </c>
      <c r="AG182" s="17" t="n">
        <f aca="false">Data!F177</f>
        <v>29998719</v>
      </c>
      <c r="AH182" s="17" t="n">
        <f aca="false">Data!C177</f>
        <v>111.19</v>
      </c>
      <c r="AI182" s="17" t="n">
        <f aca="false">Data!D177</f>
        <v>109.16</v>
      </c>
      <c r="AJ182" s="17" t="n">
        <f aca="false">Data!E177</f>
        <v>111.03</v>
      </c>
      <c r="AK182" s="17" t="n">
        <f aca="false">Data!F177</f>
        <v>29998719</v>
      </c>
      <c r="AL182" s="17" t="n">
        <f aca="false">AJ182</f>
        <v>111.03</v>
      </c>
      <c r="AM182" s="17" t="n">
        <f aca="false">(AL182-AL181)/AL182*100</f>
        <v>-0.981716653156807</v>
      </c>
      <c r="AN182" s="17" t="n">
        <f aca="false">(AK182-AK181)/AK182*100</f>
        <v>9.76842711183768</v>
      </c>
      <c r="AO182" s="17" t="str">
        <f aca="false">IF(AN182&lt;-8,"FITS BITCH",IF(AN182&gt;-8,"no"))</f>
        <v>no</v>
      </c>
      <c r="AP182" s="17" t="str">
        <f aca="false">IF(AH183&lt;AH182,"FITS BITCH",IF(AH183&gt;AH182,"no"))</f>
        <v>FITS BITCH</v>
      </c>
      <c r="AQ182" s="17" t="str">
        <f aca="false">IF(AI183&lt;AI182,"FITS BITCH",IF(AI183&gt;AI182,"no"))</f>
        <v>no</v>
      </c>
      <c r="AR182" s="17" t="str">
        <f aca="false">IF(AJ182&lt;AH183,"FITS BITCH",IF(AJ182&gt;AH183,"no"))</f>
        <v>no</v>
      </c>
      <c r="AS182" s="17" t="str">
        <f aca="false">IF(AJ182&gt;AJ183,"FITS BITCH",IF(AJ182&lt;AJ183,"no"))</f>
        <v>FITS BITCH</v>
      </c>
      <c r="AT182" s="91" t="str">
        <f aca="false">IF(AND($AO182="FITS BITCH",$AP182="FITS BITCH",$AR182="FITS BITCH"),"BULLISH","")</f>
        <v/>
      </c>
      <c r="AU182" s="91" t="str">
        <f aca="false">IF(AND($AO182="FITS BITCH",$AQ182="FITS BITCH",$AS182="FITS BITCH"),"BEARISH","")</f>
        <v/>
      </c>
      <c r="AV182" s="86"/>
      <c r="AW182" s="86"/>
      <c r="AX182" s="86"/>
      <c r="CL182" s="99" t="n">
        <v>42874</v>
      </c>
      <c r="CM182" s="23" t="n">
        <f aca="false">$BA$68*CL182+$BA$70</f>
        <v>145.1637149635</v>
      </c>
    </row>
    <row r="183" customFormat="false" ht="15" hidden="false" customHeight="true" outlineLevel="0" collapsed="false">
      <c r="A183" s="0"/>
      <c r="B183" s="0"/>
      <c r="C183" s="0"/>
      <c r="D183" s="0"/>
      <c r="E183" s="0"/>
      <c r="AE183" s="90" t="n">
        <f aca="false">Data!A178</f>
        <v>42710</v>
      </c>
      <c r="AF183" s="17" t="n">
        <f aca="false">Data!B178</f>
        <v>109.5</v>
      </c>
      <c r="AG183" s="17" t="n">
        <f aca="false">Data!F178</f>
        <v>26195462</v>
      </c>
      <c r="AH183" s="17" t="n">
        <f aca="false">Data!C178</f>
        <v>110.36</v>
      </c>
      <c r="AI183" s="17" t="n">
        <f aca="false">Data!D178</f>
        <v>109.19</v>
      </c>
      <c r="AJ183" s="17" t="n">
        <f aca="false">Data!E178</f>
        <v>109.95</v>
      </c>
      <c r="AK183" s="17" t="n">
        <f aca="false">Data!F178</f>
        <v>26195462</v>
      </c>
      <c r="AL183" s="17" t="n">
        <f aca="false">AJ183</f>
        <v>109.95</v>
      </c>
      <c r="AM183" s="17" t="n">
        <f aca="false">(AL183-AL182)/AL183*100</f>
        <v>-0.982264665757161</v>
      </c>
      <c r="AN183" s="17" t="n">
        <f aca="false">(AK183-AK182)/AK183*100</f>
        <v>-14.5187628299894</v>
      </c>
      <c r="AO183" s="17" t="str">
        <f aca="false">IF(AN183&lt;-8,"FITS BITCH",IF(AN183&gt;-8,"no"))</f>
        <v>FITS BITCH</v>
      </c>
      <c r="AP183" s="17" t="str">
        <f aca="false">IF(AH184&lt;AH183,"FITS BITCH",IF(AH184&gt;AH183,"no"))</f>
        <v>FITS BITCH</v>
      </c>
      <c r="AQ183" s="17" t="str">
        <f aca="false">IF(AI184&lt;AI183,"FITS BITCH",IF(AI184&gt;AI183,"no"))</f>
        <v>FITS BITCH</v>
      </c>
      <c r="AR183" s="17" t="str">
        <f aca="false">IF(AJ183&lt;AH184,"FITS BITCH",IF(AJ183&gt;AH184,"no"))</f>
        <v>FITS BITCH</v>
      </c>
      <c r="AS183" s="17" t="str">
        <f aca="false">IF(AJ183&gt;AJ184,"FITS BITCH",IF(AJ183&lt;AJ184,"no"))</f>
        <v>FITS BITCH</v>
      </c>
      <c r="AT183" s="91" t="str">
        <f aca="false">IF(AND($AO183="FITS BITCH",$AP183="FITS BITCH",$AR183="FITS BITCH"),"BULLISH","")</f>
        <v>BULLISH</v>
      </c>
      <c r="AU183" s="91" t="str">
        <f aca="false">IF(AND($AO183="FITS BITCH",$AQ183="FITS BITCH",$AS183="FITS BITCH"),"BEARISH","")</f>
        <v>BEARISH</v>
      </c>
      <c r="AV183" s="86"/>
      <c r="AW183" s="86"/>
      <c r="AX183" s="86"/>
      <c r="CL183" s="99" t="n">
        <v>42873</v>
      </c>
      <c r="CM183" s="23" t="n">
        <f aca="false">$BA$68*CL183+$BA$70</f>
        <v>145.009596733257</v>
      </c>
    </row>
    <row r="184" customFormat="false" ht="15" hidden="false" customHeight="true" outlineLevel="0" collapsed="false">
      <c r="A184" s="0"/>
      <c r="B184" s="0"/>
      <c r="C184" s="0"/>
      <c r="D184" s="0"/>
      <c r="E184" s="0"/>
      <c r="AE184" s="90" t="n">
        <f aca="false">Data!A179</f>
        <v>42709</v>
      </c>
      <c r="AF184" s="17" t="n">
        <f aca="false">Data!B179</f>
        <v>110</v>
      </c>
      <c r="AG184" s="17" t="n">
        <f aca="false">Data!F179</f>
        <v>34324540</v>
      </c>
      <c r="AH184" s="17" t="n">
        <f aca="false">Data!C179</f>
        <v>110.03</v>
      </c>
      <c r="AI184" s="17" t="n">
        <f aca="false">Data!D179</f>
        <v>108.25</v>
      </c>
      <c r="AJ184" s="17" t="n">
        <f aca="false">Data!E179</f>
        <v>109.11</v>
      </c>
      <c r="AK184" s="17" t="n">
        <f aca="false">Data!F179</f>
        <v>34324540</v>
      </c>
      <c r="AL184" s="17" t="n">
        <f aca="false">AJ184</f>
        <v>109.11</v>
      </c>
      <c r="AM184" s="17" t="n">
        <f aca="false">(AL184-AL183)/AL184*100</f>
        <v>-0.769865273577127</v>
      </c>
      <c r="AN184" s="17" t="n">
        <f aca="false">(AK184-AK183)/AK184*100</f>
        <v>23.6829918186813</v>
      </c>
      <c r="AO184" s="17" t="str">
        <f aca="false">IF(AN184&lt;-8,"FITS BITCH",IF(AN184&gt;-8,"no"))</f>
        <v>no</v>
      </c>
      <c r="AP184" s="17" t="str">
        <f aca="false">IF(AH185&lt;AH184,"FITS BITCH",IF(AH185&gt;AH184,"no"))</f>
        <v>no</v>
      </c>
      <c r="AQ184" s="17" t="str">
        <f aca="false">IF(AI185&lt;AI184,"FITS BITCH",IF(AI185&gt;AI184,"no"))</f>
        <v>no</v>
      </c>
      <c r="AR184" s="17" t="str">
        <f aca="false">IF(AJ184&lt;AH185,"FITS BITCH",IF(AJ184&gt;AH185,"no"))</f>
        <v>FITS BITCH</v>
      </c>
      <c r="AS184" s="17" t="str">
        <f aca="false">IF(AJ184&gt;AJ185,"FITS BITCH",IF(AJ184&lt;AJ185,"no"))</f>
        <v>no</v>
      </c>
      <c r="AT184" s="91" t="str">
        <f aca="false">IF(AND($AO184="FITS BITCH",$AP184="FITS BITCH",$AR184="FITS BITCH"),"BULLISH","")</f>
        <v/>
      </c>
      <c r="AU184" s="91" t="str">
        <f aca="false">IF(AND($AO184="FITS BITCH",$AQ184="FITS BITCH",$AS184="FITS BITCH"),"BEARISH","")</f>
        <v/>
      </c>
      <c r="AV184" s="86"/>
      <c r="AW184" s="86"/>
      <c r="AX184" s="86"/>
      <c r="CL184" s="99" t="n">
        <v>42872</v>
      </c>
      <c r="CM184" s="23" t="n">
        <f aca="false">$BA$68*CL184+$BA$70</f>
        <v>144.855478503014</v>
      </c>
    </row>
    <row r="185" customFormat="false" ht="15" hidden="false" customHeight="true" outlineLevel="0" collapsed="false">
      <c r="A185" s="0"/>
      <c r="B185" s="0"/>
      <c r="C185" s="0"/>
      <c r="D185" s="0"/>
      <c r="E185" s="0"/>
      <c r="AE185" s="90" t="n">
        <f aca="false">Data!A180</f>
        <v>42706</v>
      </c>
      <c r="AF185" s="17" t="n">
        <f aca="false">Data!B180</f>
        <v>109.17</v>
      </c>
      <c r="AG185" s="17" t="n">
        <f aca="false">Data!F180</f>
        <v>26527997</v>
      </c>
      <c r="AH185" s="17" t="n">
        <f aca="false">Data!C180</f>
        <v>110.09</v>
      </c>
      <c r="AI185" s="17" t="n">
        <f aca="false">Data!D180</f>
        <v>108.85</v>
      </c>
      <c r="AJ185" s="17" t="n">
        <f aca="false">Data!E180</f>
        <v>109.9</v>
      </c>
      <c r="AK185" s="17" t="n">
        <f aca="false">Data!F180</f>
        <v>26527997</v>
      </c>
      <c r="AL185" s="17" t="n">
        <f aca="false">AJ185</f>
        <v>109.9</v>
      </c>
      <c r="AM185" s="17" t="n">
        <f aca="false">(AL185-AL184)/AL185*100</f>
        <v>0.718835304822572</v>
      </c>
      <c r="AN185" s="17" t="n">
        <f aca="false">(AK185-AK184)/AK185*100</f>
        <v>-29.3898668640531</v>
      </c>
      <c r="AO185" s="17" t="str">
        <f aca="false">IF(AN185&lt;-8,"FITS BITCH",IF(AN185&gt;-8,"no"))</f>
        <v>FITS BITCH</v>
      </c>
      <c r="AP185" s="17" t="str">
        <f aca="false">IF(AH186&lt;AH185,"FITS BITCH",IF(AH186&gt;AH185,"no"))</f>
        <v>no</v>
      </c>
      <c r="AQ185" s="17" t="str">
        <f aca="false">IF(AI186&lt;AI185,"FITS BITCH",IF(AI186&gt;AI185,"no"))</f>
        <v>no</v>
      </c>
      <c r="AR185" s="17" t="str">
        <f aca="false">IF(AJ185&lt;AH186,"FITS BITCH",IF(AJ185&gt;AH186,"no"))</f>
        <v>FITS BITCH</v>
      </c>
      <c r="AS185" s="17" t="str">
        <f aca="false">IF(AJ185&gt;AJ186,"FITS BITCH",IF(AJ185&lt;AJ186,"no"))</f>
        <v>FITS BITCH</v>
      </c>
      <c r="AT185" s="91" t="str">
        <f aca="false">IF(AND($AO185="FITS BITCH",$AP185="FITS BITCH",$AR185="FITS BITCH"),"BULLISH","")</f>
        <v/>
      </c>
      <c r="AU185" s="91" t="str">
        <f aca="false">IF(AND($AO185="FITS BITCH",$AQ185="FITS BITCH",$AS185="FITS BITCH"),"BEARISH","")</f>
        <v/>
      </c>
      <c r="AV185" s="86"/>
      <c r="AW185" s="86"/>
      <c r="AX185" s="86"/>
      <c r="CL185" s="99" t="n">
        <v>42871</v>
      </c>
      <c r="CM185" s="23" t="n">
        <f aca="false">$BA$68*CL185+$BA$70</f>
        <v>144.701360272771</v>
      </c>
    </row>
    <row r="186" customFormat="false" ht="15" hidden="false" customHeight="true" outlineLevel="0" collapsed="false">
      <c r="A186" s="0"/>
      <c r="B186" s="0"/>
      <c r="C186" s="0"/>
      <c r="D186" s="0"/>
      <c r="E186" s="0"/>
      <c r="AE186" s="90" t="n">
        <f aca="false">Data!A181</f>
        <v>42705</v>
      </c>
      <c r="AF186" s="17" t="n">
        <f aca="false">Data!B181</f>
        <v>110.36</v>
      </c>
      <c r="AG186" s="17" t="n">
        <f aca="false">Data!F181</f>
        <v>37086862</v>
      </c>
      <c r="AH186" s="17" t="n">
        <f aca="false">Data!C181</f>
        <v>110.94</v>
      </c>
      <c r="AI186" s="17" t="n">
        <f aca="false">Data!D181</f>
        <v>109.03</v>
      </c>
      <c r="AJ186" s="17" t="n">
        <f aca="false">Data!E181</f>
        <v>109.49</v>
      </c>
      <c r="AK186" s="17" t="n">
        <f aca="false">Data!F181</f>
        <v>37086862</v>
      </c>
      <c r="AL186" s="17" t="n">
        <f aca="false">AJ186</f>
        <v>109.49</v>
      </c>
      <c r="AM186" s="17" t="n">
        <f aca="false">(AL186-AL185)/AL186*100</f>
        <v>-0.374463421317025</v>
      </c>
      <c r="AN186" s="17" t="n">
        <f aca="false">(AK186-AK185)/AK186*100</f>
        <v>28.4706346953808</v>
      </c>
      <c r="AO186" s="17" t="str">
        <f aca="false">IF(AN186&lt;-8,"FITS BITCH",IF(AN186&gt;-8,"no"))</f>
        <v>no</v>
      </c>
      <c r="AP186" s="17" t="str">
        <f aca="false">IF(AH187&lt;AH186,"FITS BITCH",IF(AH187&gt;AH186,"no"))</f>
        <v>no</v>
      </c>
      <c r="AQ186" s="17" t="str">
        <f aca="false">IF(AI187&lt;AI186,"FITS BITCH",IF(AI187&gt;AI186,"no"))</f>
        <v>no</v>
      </c>
      <c r="AR186" s="17" t="str">
        <f aca="false">IF(AJ186&lt;AH187,"FITS BITCH",IF(AJ186&gt;AH187,"no"))</f>
        <v>FITS BITCH</v>
      </c>
      <c r="AS186" s="17" t="str">
        <f aca="false">IF(AJ186&gt;AJ187,"FITS BITCH",IF(AJ186&lt;AJ187,"no"))</f>
        <v>no</v>
      </c>
      <c r="AT186" s="91" t="str">
        <f aca="false">IF(AND($AO186="FITS BITCH",$AP186="FITS BITCH",$AR186="FITS BITCH"),"BULLISH","")</f>
        <v/>
      </c>
      <c r="AU186" s="91" t="str">
        <f aca="false">IF(AND($AO186="FITS BITCH",$AQ186="FITS BITCH",$AS186="FITS BITCH"),"BEARISH","")</f>
        <v/>
      </c>
      <c r="AV186" s="86"/>
      <c r="AW186" s="86"/>
      <c r="AX186" s="86"/>
      <c r="CL186" s="99" t="n">
        <v>42870</v>
      </c>
      <c r="CM186" s="23" t="n">
        <f aca="false">$BA$68*CL186+$BA$70</f>
        <v>144.547242042529</v>
      </c>
    </row>
    <row r="187" customFormat="false" ht="15" hidden="false" customHeight="true" outlineLevel="0" collapsed="false">
      <c r="A187" s="0"/>
      <c r="B187" s="0"/>
      <c r="C187" s="0"/>
      <c r="D187" s="0"/>
      <c r="E187" s="0"/>
      <c r="AE187" s="90" t="n">
        <f aca="false">Data!A182</f>
        <v>42704</v>
      </c>
      <c r="AF187" s="17" t="n">
        <f aca="false">Data!B182</f>
        <v>111.6</v>
      </c>
      <c r="AG187" s="17" t="n">
        <f aca="false">Data!F182</f>
        <v>36162258</v>
      </c>
      <c r="AH187" s="17" t="n">
        <f aca="false">Data!C182</f>
        <v>112.2</v>
      </c>
      <c r="AI187" s="17" t="n">
        <f aca="false">Data!D182</f>
        <v>110.27</v>
      </c>
      <c r="AJ187" s="17" t="n">
        <f aca="false">Data!E182</f>
        <v>110.52</v>
      </c>
      <c r="AK187" s="17" t="n">
        <f aca="false">Data!F182</f>
        <v>36162258</v>
      </c>
      <c r="AL187" s="17" t="n">
        <f aca="false">AJ187</f>
        <v>110.52</v>
      </c>
      <c r="AM187" s="17" t="n">
        <f aca="false">(AL187-AL186)/AL187*100</f>
        <v>0.931958016648571</v>
      </c>
      <c r="AN187" s="17" t="n">
        <f aca="false">(AK187-AK186)/AK187*100</f>
        <v>-2.55682042863584</v>
      </c>
      <c r="AO187" s="17" t="str">
        <f aca="false">IF(AN187&lt;-8,"FITS BITCH",IF(AN187&gt;-8,"no"))</f>
        <v>no</v>
      </c>
      <c r="AP187" s="17" t="str">
        <f aca="false">IF(AH188&lt;AH187,"FITS BITCH",IF(AH188&gt;AH187,"no"))</f>
        <v>FITS BITCH</v>
      </c>
      <c r="AQ187" s="17" t="str">
        <f aca="false">IF(AI188&lt;AI187,"FITS BITCH",IF(AI188&gt;AI187,"no"))</f>
        <v>FITS BITCH</v>
      </c>
      <c r="AR187" s="17" t="str">
        <f aca="false">IF(AJ187&lt;AH188,"FITS BITCH",IF(AJ187&gt;AH188,"no"))</f>
        <v>FITS BITCH</v>
      </c>
      <c r="AS187" s="17" t="str">
        <f aca="false">IF(AJ187&gt;AJ188,"FITS BITCH",IF(AJ187&lt;AJ188,"no"))</f>
        <v>no</v>
      </c>
      <c r="AT187" s="91" t="str">
        <f aca="false">IF(AND($AO187="FITS BITCH",$AP187="FITS BITCH",$AR187="FITS BITCH"),"BULLISH","")</f>
        <v/>
      </c>
      <c r="AU187" s="91" t="str">
        <f aca="false">IF(AND($AO187="FITS BITCH",$AQ187="FITS BITCH",$AS187="FITS BITCH"),"BEARISH","")</f>
        <v/>
      </c>
      <c r="AV187" s="86"/>
      <c r="AW187" s="86"/>
      <c r="AX187" s="86"/>
      <c r="CL187" s="99" t="n">
        <v>42867</v>
      </c>
      <c r="CM187" s="23" t="n">
        <f aca="false">$BA$68*CL187+$BA$70</f>
        <v>144.084887351801</v>
      </c>
    </row>
    <row r="188" customFormat="false" ht="15" hidden="false" customHeight="true" outlineLevel="0" collapsed="false">
      <c r="A188" s="0"/>
      <c r="B188" s="0"/>
      <c r="C188" s="0"/>
      <c r="D188" s="0"/>
      <c r="E188" s="0"/>
      <c r="AE188" s="90" t="n">
        <f aca="false">Data!A183</f>
        <v>42703</v>
      </c>
      <c r="AF188" s="17" t="n">
        <f aca="false">Data!B183</f>
        <v>110.78</v>
      </c>
      <c r="AG188" s="17" t="n">
        <f aca="false">Data!F183</f>
        <v>28528750</v>
      </c>
      <c r="AH188" s="17" t="n">
        <f aca="false">Data!C183</f>
        <v>112.03</v>
      </c>
      <c r="AI188" s="17" t="n">
        <f aca="false">Data!D183</f>
        <v>110.07</v>
      </c>
      <c r="AJ188" s="17" t="n">
        <f aca="false">Data!E183</f>
        <v>111.46</v>
      </c>
      <c r="AK188" s="17" t="n">
        <f aca="false">Data!F183</f>
        <v>28528750</v>
      </c>
      <c r="AL188" s="17" t="n">
        <f aca="false">AJ188</f>
        <v>111.46</v>
      </c>
      <c r="AM188" s="17" t="n">
        <f aca="false">(AL188-AL187)/AL188*100</f>
        <v>0.843351875112146</v>
      </c>
      <c r="AN188" s="17" t="n">
        <f aca="false">(AK188-AK187)/AK188*100</f>
        <v>-26.7572466371643</v>
      </c>
      <c r="AO188" s="17" t="str">
        <f aca="false">IF(AN188&lt;-8,"FITS BITCH",IF(AN188&gt;-8,"no"))</f>
        <v>FITS BITCH</v>
      </c>
      <c r="AP188" s="17" t="str">
        <f aca="false">IF(AH189&lt;AH188,"FITS BITCH",IF(AH189&gt;AH188,"no"))</f>
        <v>no</v>
      </c>
      <c r="AQ188" s="17" t="str">
        <f aca="false">IF(AI189&lt;AI188,"FITS BITCH",IF(AI189&gt;AI188,"no"))</f>
        <v>no</v>
      </c>
      <c r="AR188" s="17" t="str">
        <f aca="false">IF(AJ188&lt;AH189,"FITS BITCH",IF(AJ188&gt;AH189,"no"))</f>
        <v>FITS BITCH</v>
      </c>
      <c r="AS188" s="17" t="str">
        <f aca="false">IF(AJ188&gt;AJ189,"FITS BITCH",IF(AJ188&lt;AJ189,"no"))</f>
        <v>no</v>
      </c>
      <c r="AT188" s="91" t="str">
        <f aca="false">IF(AND($AO188="FITS BITCH",$AP188="FITS BITCH",$AR188="FITS BITCH"),"BULLISH","")</f>
        <v/>
      </c>
      <c r="AU188" s="91" t="str">
        <f aca="false">IF(AND($AO188="FITS BITCH",$AQ188="FITS BITCH",$AS188="FITS BITCH"),"BEARISH","")</f>
        <v/>
      </c>
      <c r="AV188" s="86"/>
      <c r="AW188" s="86"/>
      <c r="AX188" s="86"/>
      <c r="CL188" s="99" t="n">
        <v>42866</v>
      </c>
      <c r="CM188" s="23" t="n">
        <f aca="false">$BA$68*CL188+$BA$70</f>
        <v>143.930769121558</v>
      </c>
    </row>
    <row r="189" customFormat="false" ht="15" hidden="false" customHeight="true" outlineLevel="0" collapsed="false">
      <c r="A189" s="0"/>
      <c r="B189" s="0"/>
      <c r="C189" s="0"/>
      <c r="D189" s="0"/>
      <c r="E189" s="0"/>
      <c r="AE189" s="90" t="n">
        <f aca="false">Data!A184</f>
        <v>42702</v>
      </c>
      <c r="AF189" s="17" t="n">
        <f aca="false">Data!B184</f>
        <v>111.43</v>
      </c>
      <c r="AG189" s="17" t="n">
        <f aca="false">Data!F184</f>
        <v>27193983</v>
      </c>
      <c r="AH189" s="17" t="n">
        <f aca="false">Data!C184</f>
        <v>112.46</v>
      </c>
      <c r="AI189" s="17" t="n">
        <f aca="false">Data!D184</f>
        <v>111.39</v>
      </c>
      <c r="AJ189" s="17" t="n">
        <f aca="false">Data!E184</f>
        <v>111.57</v>
      </c>
      <c r="AK189" s="17" t="n">
        <f aca="false">Data!F184</f>
        <v>27193983</v>
      </c>
      <c r="AL189" s="17" t="n">
        <f aca="false">AJ189</f>
        <v>111.57</v>
      </c>
      <c r="AM189" s="17" t="n">
        <f aca="false">(AL189-AL188)/AL189*100</f>
        <v>0.0985928116877292</v>
      </c>
      <c r="AN189" s="17" t="n">
        <f aca="false">(AK189-AK188)/AK189*100</f>
        <v>-4.9083174024195</v>
      </c>
      <c r="AO189" s="17" t="str">
        <f aca="false">IF(AN189&lt;-8,"FITS BITCH",IF(AN189&gt;-8,"no"))</f>
        <v>no</v>
      </c>
      <c r="AP189" s="17" t="str">
        <f aca="false">IF(AH190&lt;AH189,"FITS BITCH",IF(AH190&gt;AH189,"no"))</f>
        <v>FITS BITCH</v>
      </c>
      <c r="AQ189" s="17" t="str">
        <f aca="false">IF(AI190&lt;AI189,"FITS BITCH",IF(AI190&gt;AI189,"no"))</f>
        <v>FITS BITCH</v>
      </c>
      <c r="AR189" s="17" t="str">
        <f aca="false">IF(AJ189&lt;AH190,"FITS BITCH",IF(AJ189&gt;AH190,"no"))</f>
        <v>FITS BITCH</v>
      </c>
      <c r="AS189" s="17" t="str">
        <f aca="false">IF(AJ189&gt;AJ190,"FITS BITCH",IF(AJ189&lt;AJ190,"no"))</f>
        <v>no</v>
      </c>
      <c r="AT189" s="91" t="str">
        <f aca="false">IF(AND($AO189="FITS BITCH",$AP189="FITS BITCH",$AR189="FITS BITCH"),"BULLISH","")</f>
        <v/>
      </c>
      <c r="AU189" s="91" t="str">
        <f aca="false">IF(AND($AO189="FITS BITCH",$AQ189="FITS BITCH",$AS189="FITS BITCH"),"BEARISH","")</f>
        <v/>
      </c>
      <c r="AV189" s="86"/>
      <c r="AW189" s="86"/>
      <c r="AX189" s="86"/>
      <c r="CL189" s="99" t="n">
        <v>42865</v>
      </c>
      <c r="CM189" s="23" t="n">
        <f aca="false">$BA$68*CL189+$BA$70</f>
        <v>143.776650891316</v>
      </c>
    </row>
    <row r="190" customFormat="false" ht="15" hidden="false" customHeight="true" outlineLevel="0" collapsed="false">
      <c r="A190" s="0"/>
      <c r="B190" s="0"/>
      <c r="C190" s="0"/>
      <c r="D190" s="0"/>
      <c r="E190" s="0"/>
      <c r="AE190" s="90" t="n">
        <f aca="false">Data!A185</f>
        <v>42699</v>
      </c>
      <c r="AF190" s="17" t="n">
        <f aca="false">Data!B185</f>
        <v>111.47</v>
      </c>
      <c r="AG190" s="17" t="n">
        <f aca="false">Data!F185</f>
        <v>11475922</v>
      </c>
      <c r="AH190" s="17" t="n">
        <f aca="false">Data!C185</f>
        <v>111.87</v>
      </c>
      <c r="AI190" s="17" t="n">
        <f aca="false">Data!D185</f>
        <v>110.95</v>
      </c>
      <c r="AJ190" s="17" t="n">
        <f aca="false">Data!E185</f>
        <v>111.79</v>
      </c>
      <c r="AK190" s="17" t="n">
        <f aca="false">Data!F185</f>
        <v>11475922</v>
      </c>
      <c r="AL190" s="17" t="n">
        <f aca="false">AJ190</f>
        <v>111.79</v>
      </c>
      <c r="AM190" s="17" t="n">
        <f aca="false">(AL190-AL189)/AL190*100</f>
        <v>0.196797566866458</v>
      </c>
      <c r="AN190" s="17" t="n">
        <f aca="false">(AK190-AK189)/AK190*100</f>
        <v>-136.965561459898</v>
      </c>
      <c r="AO190" s="17" t="str">
        <f aca="false">IF(AN190&lt;-8,"FITS BITCH",IF(AN190&gt;-8,"no"))</f>
        <v>FITS BITCH</v>
      </c>
      <c r="AP190" s="17" t="str">
        <f aca="false">IF(AH191&lt;AH190,"FITS BITCH",IF(AH191&gt;AH190,"no"))</f>
        <v>FITS BITCH</v>
      </c>
      <c r="AQ190" s="17" t="str">
        <f aca="false">IF(AI191&lt;AI190,"FITS BITCH",IF(AI191&gt;AI190,"no"))</f>
        <v>FITS BITCH</v>
      </c>
      <c r="AR190" s="17" t="str">
        <f aca="false">IF(AJ190&lt;AH191,"FITS BITCH",IF(AJ190&gt;AH191,"no"))</f>
        <v>no</v>
      </c>
      <c r="AS190" s="17" t="str">
        <f aca="false">IF(AJ190&gt;AJ191,"FITS BITCH",IF(AJ190&lt;AJ191,"no"))</f>
        <v>FITS BITCH</v>
      </c>
      <c r="AT190" s="91" t="str">
        <f aca="false">IF(AND($AO190="FITS BITCH",$AP190="FITS BITCH",$AR190="FITS BITCH"),"BULLISH","")</f>
        <v/>
      </c>
      <c r="AU190" s="91" t="str">
        <f aca="false">IF(AND($AO190="FITS BITCH",$AQ190="FITS BITCH",$AS190="FITS BITCH"),"BEARISH","")</f>
        <v>BEARISH</v>
      </c>
      <c r="AV190" s="86"/>
      <c r="AW190" s="86"/>
      <c r="AX190" s="86"/>
      <c r="CL190" s="99" t="n">
        <v>42864</v>
      </c>
      <c r="CM190" s="23" t="n">
        <f aca="false">$BA$68*CL190+$BA$70</f>
        <v>143.622532661073</v>
      </c>
    </row>
    <row r="191" customFormat="false" ht="15" hidden="false" customHeight="true" outlineLevel="0" collapsed="false">
      <c r="A191" s="0"/>
      <c r="B191" s="0"/>
      <c r="C191" s="0"/>
      <c r="D191" s="0"/>
      <c r="E191" s="0"/>
      <c r="AE191" s="90" t="n">
        <f aca="false">Data!A186</f>
        <v>42697</v>
      </c>
      <c r="AF191" s="17" t="n">
        <f aca="false">Data!B186</f>
        <v>111.36</v>
      </c>
      <c r="AG191" s="17" t="n">
        <f aca="false">Data!F186</f>
        <v>27426394</v>
      </c>
      <c r="AH191" s="17" t="n">
        <f aca="false">Data!C186</f>
        <v>111.51</v>
      </c>
      <c r="AI191" s="17" t="n">
        <f aca="false">Data!D186</f>
        <v>110.33</v>
      </c>
      <c r="AJ191" s="17" t="n">
        <f aca="false">Data!E186</f>
        <v>111.23</v>
      </c>
      <c r="AK191" s="17" t="n">
        <f aca="false">Data!F186</f>
        <v>27426394</v>
      </c>
      <c r="AL191" s="17" t="n">
        <f aca="false">AJ191</f>
        <v>111.23</v>
      </c>
      <c r="AM191" s="17" t="n">
        <f aca="false">(AL191-AL190)/AL191*100</f>
        <v>-0.50346129641284</v>
      </c>
      <c r="AN191" s="17" t="n">
        <f aca="false">(AK191-AK190)/AK191*100</f>
        <v>58.1573793477918</v>
      </c>
      <c r="AO191" s="17" t="str">
        <f aca="false">IF(AN191&lt;-8,"FITS BITCH",IF(AN191&gt;-8,"no"))</f>
        <v>no</v>
      </c>
      <c r="AP191" s="17" t="str">
        <f aca="false">IF(AH192&lt;AH191,"FITS BITCH",IF(AH192&gt;AH191,"no"))</f>
        <v>no</v>
      </c>
      <c r="AQ191" s="17" t="str">
        <f aca="false">IF(AI192&lt;AI191,"FITS BITCH",IF(AI192&gt;AI191,"no"))</f>
        <v>no</v>
      </c>
      <c r="AR191" s="17" t="str">
        <f aca="false">IF(AJ191&lt;AH192,"FITS BITCH",IF(AJ191&gt;AH192,"no"))</f>
        <v>FITS BITCH</v>
      </c>
      <c r="AS191" s="17" t="str">
        <f aca="false">IF(AJ191&gt;AJ192,"FITS BITCH",IF(AJ191&lt;AJ192,"no"))</f>
        <v>no</v>
      </c>
      <c r="AT191" s="91" t="str">
        <f aca="false">IF(AND($AO191="FITS BITCH",$AP191="FITS BITCH",$AR191="FITS BITCH"),"BULLISH","")</f>
        <v/>
      </c>
      <c r="AU191" s="91" t="str">
        <f aca="false">IF(AND($AO191="FITS BITCH",$AQ191="FITS BITCH",$AS191="FITS BITCH"),"BEARISH","")</f>
        <v/>
      </c>
      <c r="AV191" s="86"/>
      <c r="AW191" s="86"/>
      <c r="AX191" s="86"/>
      <c r="CL191" s="99" t="n">
        <v>42863</v>
      </c>
      <c r="CM191" s="23" t="n">
        <f aca="false">$BA$68*CL191+$BA$70</f>
        <v>143.46841443083</v>
      </c>
    </row>
    <row r="192" customFormat="false" ht="15" hidden="false" customHeight="true" outlineLevel="0" collapsed="false">
      <c r="A192" s="0"/>
      <c r="B192" s="0"/>
      <c r="C192" s="0"/>
      <c r="D192" s="0"/>
      <c r="E192" s="0"/>
      <c r="AE192" s="90" t="n">
        <f aca="false">Data!A187</f>
        <v>42696</v>
      </c>
      <c r="AF192" s="17" t="n">
        <f aca="false">Data!B187</f>
        <v>111.95</v>
      </c>
      <c r="AG192" s="17" t="n">
        <f aca="false">Data!F187</f>
        <v>25965534</v>
      </c>
      <c r="AH192" s="17" t="n">
        <f aca="false">Data!C187</f>
        <v>112.42</v>
      </c>
      <c r="AI192" s="17" t="n">
        <f aca="false">Data!D187</f>
        <v>111.4</v>
      </c>
      <c r="AJ192" s="17" t="n">
        <f aca="false">Data!E187</f>
        <v>111.8</v>
      </c>
      <c r="AK192" s="17" t="n">
        <f aca="false">Data!F187</f>
        <v>25965534</v>
      </c>
      <c r="AL192" s="17" t="n">
        <f aca="false">AJ192</f>
        <v>111.8</v>
      </c>
      <c r="AM192" s="17" t="n">
        <f aca="false">(AL192-AL191)/AL192*100</f>
        <v>0.509838998211085</v>
      </c>
      <c r="AN192" s="17" t="n">
        <f aca="false">(AK192-AK191)/AK192*100</f>
        <v>-5.62615041924422</v>
      </c>
      <c r="AO192" s="17" t="str">
        <f aca="false">IF(AN192&lt;-8,"FITS BITCH",IF(AN192&gt;-8,"no"))</f>
        <v>no</v>
      </c>
      <c r="AP192" s="17" t="str">
        <f aca="false">IF(AH193&lt;AH192,"FITS BITCH",IF(AH193&gt;AH192,"no"))</f>
        <v>FITS BITCH</v>
      </c>
      <c r="AQ192" s="17" t="str">
        <f aca="false">IF(AI193&lt;AI192,"FITS BITCH",IF(AI193&gt;AI192,"no"))</f>
        <v>FITS BITCH</v>
      </c>
      <c r="AR192" s="17" t="str">
        <f aca="false">IF(AJ192&lt;AH193,"FITS BITCH",IF(AJ192&gt;AH193,"no"))</f>
        <v>FITS BITCH</v>
      </c>
      <c r="AS192" s="17" t="str">
        <f aca="false">IF(AJ192&gt;AJ193,"FITS BITCH",IF(AJ192&lt;AJ193,"no"))</f>
        <v>FITS BITCH</v>
      </c>
      <c r="AT192" s="91" t="str">
        <f aca="false">IF(AND($AO192="FITS BITCH",$AP192="FITS BITCH",$AR192="FITS BITCH"),"BULLISH","")</f>
        <v/>
      </c>
      <c r="AU192" s="91" t="str">
        <f aca="false">IF(AND($AO192="FITS BITCH",$AQ192="FITS BITCH",$AS192="FITS BITCH"),"BEARISH","")</f>
        <v/>
      </c>
      <c r="AV192" s="86"/>
      <c r="AW192" s="86"/>
      <c r="AX192" s="86"/>
      <c r="CL192" s="99" t="n">
        <v>42860</v>
      </c>
      <c r="CM192" s="23" t="n">
        <f aca="false">$BA$68*CL192+$BA$70</f>
        <v>143.006059740102</v>
      </c>
    </row>
    <row r="193" customFormat="false" ht="15" hidden="false" customHeight="true" outlineLevel="0" collapsed="false">
      <c r="A193" s="0"/>
      <c r="B193" s="0"/>
      <c r="C193" s="0"/>
      <c r="D193" s="0"/>
      <c r="E193" s="0"/>
      <c r="AE193" s="90" t="n">
        <f aca="false">Data!A188</f>
        <v>42695</v>
      </c>
      <c r="AF193" s="17" t="n">
        <f aca="false">Data!B188</f>
        <v>110.12</v>
      </c>
      <c r="AG193" s="17" t="n">
        <f aca="false">Data!F188</f>
        <v>29264571</v>
      </c>
      <c r="AH193" s="17" t="n">
        <f aca="false">Data!C188</f>
        <v>111.99</v>
      </c>
      <c r="AI193" s="17" t="n">
        <f aca="false">Data!D188</f>
        <v>110.01</v>
      </c>
      <c r="AJ193" s="17" t="n">
        <f aca="false">Data!E188</f>
        <v>111.73</v>
      </c>
      <c r="AK193" s="17" t="n">
        <f aca="false">Data!F188</f>
        <v>29264571</v>
      </c>
      <c r="AL193" s="17" t="n">
        <f aca="false">AJ193</f>
        <v>111.73</v>
      </c>
      <c r="AM193" s="17" t="n">
        <f aca="false">(AL193-AL192)/AL193*100</f>
        <v>-0.0626510337420506</v>
      </c>
      <c r="AN193" s="17" t="n">
        <f aca="false">(AK193-AK192)/AK193*100</f>
        <v>11.2731432147083</v>
      </c>
      <c r="AO193" s="17" t="str">
        <f aca="false">IF(AN193&lt;-8,"FITS BITCH",IF(AN193&gt;-8,"no"))</f>
        <v>no</v>
      </c>
      <c r="AP193" s="17" t="str">
        <f aca="false">IF(AH194&lt;AH193,"FITS BITCH",IF(AH194&gt;AH193,"no"))</f>
        <v>FITS BITCH</v>
      </c>
      <c r="AQ193" s="17" t="str">
        <f aca="false">IF(AI194&lt;AI193,"FITS BITCH",IF(AI194&gt;AI193,"no"))</f>
        <v>FITS BITCH</v>
      </c>
      <c r="AR193" s="17" t="str">
        <f aca="false">IF(AJ193&lt;AH194,"FITS BITCH",IF(AJ193&gt;AH194,"no"))</f>
        <v>no</v>
      </c>
      <c r="AS193" s="17" t="str">
        <f aca="false">IF(AJ193&gt;AJ194,"FITS BITCH",IF(AJ193&lt;AJ194,"no"))</f>
        <v>FITS BITCH</v>
      </c>
      <c r="AT193" s="91" t="str">
        <f aca="false">IF(AND($AO193="FITS BITCH",$AP193="FITS BITCH",$AR193="FITS BITCH"),"BULLISH","")</f>
        <v/>
      </c>
      <c r="AU193" s="91" t="str">
        <f aca="false">IF(AND($AO193="FITS BITCH",$AQ193="FITS BITCH",$AS193="FITS BITCH"),"BEARISH","")</f>
        <v/>
      </c>
      <c r="AV193" s="86"/>
      <c r="AW193" s="86"/>
      <c r="AX193" s="86"/>
      <c r="CL193" s="99" t="n">
        <v>42859</v>
      </c>
      <c r="CM193" s="23" t="n">
        <f aca="false">$BA$68*CL193+$BA$70</f>
        <v>142.851941509859</v>
      </c>
    </row>
    <row r="194" customFormat="false" ht="15" hidden="false" customHeight="true" outlineLevel="0" collapsed="false">
      <c r="A194" s="0"/>
      <c r="B194" s="0"/>
      <c r="C194" s="0"/>
      <c r="D194" s="0"/>
      <c r="E194" s="0"/>
      <c r="AE194" s="90" t="n">
        <f aca="false">Data!A189</f>
        <v>42692</v>
      </c>
      <c r="AF194" s="17" t="n">
        <f aca="false">Data!B189</f>
        <v>109.72</v>
      </c>
      <c r="AG194" s="17" t="n">
        <f aca="false">Data!F189</f>
        <v>28428917</v>
      </c>
      <c r="AH194" s="17" t="n">
        <f aca="false">Data!C189</f>
        <v>110.54</v>
      </c>
      <c r="AI194" s="17" t="n">
        <f aca="false">Data!D189</f>
        <v>109.66</v>
      </c>
      <c r="AJ194" s="17" t="n">
        <f aca="false">Data!E189</f>
        <v>110.06</v>
      </c>
      <c r="AK194" s="17" t="n">
        <f aca="false">Data!F189</f>
        <v>28428917</v>
      </c>
      <c r="AL194" s="17" t="n">
        <f aca="false">AJ194</f>
        <v>110.06</v>
      </c>
      <c r="AM194" s="17" t="n">
        <f aca="false">(AL194-AL193)/AL194*100</f>
        <v>-1.51735417045248</v>
      </c>
      <c r="AN194" s="17" t="n">
        <f aca="false">(AK194-AK193)/AK194*100</f>
        <v>-2.93945070084801</v>
      </c>
      <c r="AO194" s="17" t="str">
        <f aca="false">IF(AN194&lt;-8,"FITS BITCH",IF(AN194&gt;-8,"no"))</f>
        <v>no</v>
      </c>
      <c r="AP194" s="17" t="str">
        <f aca="false">IF(AH195&lt;AH194,"FITS BITCH",IF(AH195&gt;AH194,"no"))</f>
        <v>FITS BITCH</v>
      </c>
      <c r="AQ194" s="17" t="str">
        <f aca="false">IF(AI195&lt;AI194,"FITS BITCH",IF(AI195&gt;AI194,"no"))</f>
        <v>FITS BITCH</v>
      </c>
      <c r="AR194" s="17" t="str">
        <f aca="false">IF(AJ194&lt;AH195,"FITS BITCH",IF(AJ194&gt;AH195,"no"))</f>
        <v>FITS BITCH</v>
      </c>
      <c r="AS194" s="17" t="str">
        <f aca="false">IF(AJ194&gt;AJ195,"FITS BITCH",IF(AJ194&lt;AJ195,"no"))</f>
        <v>FITS BITCH</v>
      </c>
      <c r="AT194" s="91" t="str">
        <f aca="false">IF(AND($AO194="FITS BITCH",$AP194="FITS BITCH",$AR194="FITS BITCH"),"BULLISH","")</f>
        <v/>
      </c>
      <c r="AU194" s="91" t="str">
        <f aca="false">IF(AND($AO194="FITS BITCH",$AQ194="FITS BITCH",$AS194="FITS BITCH"),"BEARISH","")</f>
        <v/>
      </c>
      <c r="AV194" s="86"/>
      <c r="AW194" s="86"/>
      <c r="AX194" s="86"/>
      <c r="CL194" s="99" t="n">
        <v>42858</v>
      </c>
      <c r="CM194" s="23" t="n">
        <f aca="false">$BA$68*CL194+$BA$70</f>
        <v>142.697823279616</v>
      </c>
    </row>
    <row r="195" customFormat="false" ht="15" hidden="false" customHeight="true" outlineLevel="0" collapsed="false">
      <c r="A195" s="0"/>
      <c r="B195" s="0"/>
      <c r="C195" s="0"/>
      <c r="D195" s="0"/>
      <c r="E195" s="0"/>
      <c r="AE195" s="90" t="n">
        <f aca="false">Data!A190</f>
        <v>42691</v>
      </c>
      <c r="AF195" s="17" t="n">
        <f aca="false">Data!B190</f>
        <v>109.81</v>
      </c>
      <c r="AG195" s="17" t="n">
        <f aca="false">Data!F190</f>
        <v>26964598</v>
      </c>
      <c r="AH195" s="17" t="n">
        <f aca="false">Data!C190</f>
        <v>110.35</v>
      </c>
      <c r="AI195" s="17" t="n">
        <f aca="false">Data!D190</f>
        <v>108.83</v>
      </c>
      <c r="AJ195" s="17" t="n">
        <f aca="false">Data!E190</f>
        <v>109.95</v>
      </c>
      <c r="AK195" s="17" t="n">
        <f aca="false">Data!F190</f>
        <v>26964598</v>
      </c>
      <c r="AL195" s="17" t="n">
        <f aca="false">AJ195</f>
        <v>109.95</v>
      </c>
      <c r="AM195" s="17" t="n">
        <f aca="false">(AL195-AL194)/AL195*100</f>
        <v>-0.100045475216007</v>
      </c>
      <c r="AN195" s="17" t="n">
        <f aca="false">(AK195-AK194)/AK195*100</f>
        <v>-5.43052412648614</v>
      </c>
      <c r="AO195" s="17" t="str">
        <f aca="false">IF(AN195&lt;-8,"FITS BITCH",IF(AN195&gt;-8,"no"))</f>
        <v>no</v>
      </c>
      <c r="AP195" s="17" t="str">
        <f aca="false">IF(AH196&lt;AH195,"FITS BITCH",IF(AH196&gt;AH195,"no"))</f>
        <v>FITS BITCH</v>
      </c>
      <c r="AQ195" s="17" t="str">
        <f aca="false">IF(AI196&lt;AI195,"FITS BITCH",IF(AI196&gt;AI195,"no"))</f>
        <v>FITS BITCH</v>
      </c>
      <c r="AR195" s="17" t="str">
        <f aca="false">IF(AJ195&lt;AH196,"FITS BITCH",IF(AJ195&gt;AH196,"no"))</f>
        <v>FITS BITCH</v>
      </c>
      <c r="AS195" s="17" t="str">
        <f aca="false">IF(AJ195&gt;AJ196,"FITS BITCH",IF(AJ195&lt;AJ196,"no"))</f>
        <v>no</v>
      </c>
      <c r="AT195" s="91" t="str">
        <f aca="false">IF(AND($AO195="FITS BITCH",$AP195="FITS BITCH",$AR195="FITS BITCH"),"BULLISH","")</f>
        <v/>
      </c>
      <c r="AU195" s="91" t="str">
        <f aca="false">IF(AND($AO195="FITS BITCH",$AQ195="FITS BITCH",$AS195="FITS BITCH"),"BEARISH","")</f>
        <v/>
      </c>
      <c r="AV195" s="86"/>
      <c r="AW195" s="86"/>
      <c r="AX195" s="86"/>
      <c r="CL195" s="99" t="n">
        <v>42857</v>
      </c>
      <c r="CM195" s="23" t="n">
        <f aca="false">$BA$68*CL195+$BA$70</f>
        <v>142.543705049374</v>
      </c>
    </row>
    <row r="196" customFormat="false" ht="15" hidden="false" customHeight="true" outlineLevel="0" collapsed="false">
      <c r="A196" s="0"/>
      <c r="B196" s="0"/>
      <c r="C196" s="0"/>
      <c r="D196" s="0"/>
      <c r="E196" s="0"/>
      <c r="AE196" s="90" t="n">
        <f aca="false">Data!A191</f>
        <v>42690</v>
      </c>
      <c r="AF196" s="17" t="n">
        <f aca="false">Data!B191</f>
        <v>106.7</v>
      </c>
      <c r="AG196" s="17" t="n">
        <f aca="false">Data!F191</f>
        <v>58840522</v>
      </c>
      <c r="AH196" s="17" t="n">
        <f aca="false">Data!C191</f>
        <v>110.23</v>
      </c>
      <c r="AI196" s="17" t="n">
        <f aca="false">Data!D191</f>
        <v>106.6</v>
      </c>
      <c r="AJ196" s="17" t="n">
        <f aca="false">Data!E191</f>
        <v>109.99</v>
      </c>
      <c r="AK196" s="17" t="n">
        <f aca="false">Data!F191</f>
        <v>58840522</v>
      </c>
      <c r="AL196" s="17" t="n">
        <f aca="false">AJ196</f>
        <v>109.99</v>
      </c>
      <c r="AM196" s="17" t="n">
        <f aca="false">(AL196-AL195)/AL196*100</f>
        <v>0.0363669424493063</v>
      </c>
      <c r="AN196" s="17" t="n">
        <f aca="false">(AK196-AK195)/AK196*100</f>
        <v>54.1734215070356</v>
      </c>
      <c r="AO196" s="17" t="str">
        <f aca="false">IF(AN196&lt;-8,"FITS BITCH",IF(AN196&gt;-8,"no"))</f>
        <v>no</v>
      </c>
      <c r="AP196" s="17" t="str">
        <f aca="false">IF(AH197&lt;AH196,"FITS BITCH",IF(AH197&gt;AH196,"no"))</f>
        <v>FITS BITCH</v>
      </c>
      <c r="AQ196" s="17" t="str">
        <f aca="false">IF(AI197&lt;AI196,"FITS BITCH",IF(AI197&gt;AI196,"no"))</f>
        <v>FITS BITCH</v>
      </c>
      <c r="AR196" s="17" t="str">
        <f aca="false">IF(AJ196&lt;AH197,"FITS BITCH",IF(AJ196&gt;AH197,"no"))</f>
        <v>no</v>
      </c>
      <c r="AS196" s="17" t="str">
        <f aca="false">IF(AJ196&gt;AJ197,"FITS BITCH",IF(AJ196&lt;AJ197,"no"))</f>
        <v>FITS BITCH</v>
      </c>
      <c r="AT196" s="91" t="str">
        <f aca="false">IF(AND($AO196="FITS BITCH",$AP196="FITS BITCH",$AR196="FITS BITCH"),"BULLISH","")</f>
        <v/>
      </c>
      <c r="AU196" s="91" t="str">
        <f aca="false">IF(AND($AO196="FITS BITCH",$AQ196="FITS BITCH",$AS196="FITS BITCH"),"BEARISH","")</f>
        <v/>
      </c>
      <c r="AV196" s="86"/>
      <c r="AW196" s="86"/>
      <c r="AX196" s="86"/>
      <c r="CL196" s="99" t="n">
        <v>42856</v>
      </c>
      <c r="CM196" s="23" t="n">
        <f aca="false">$BA$68*CL196+$BA$70</f>
        <v>142.389586819131</v>
      </c>
    </row>
    <row r="197" customFormat="false" ht="15" hidden="false" customHeight="true" outlineLevel="0" collapsed="false">
      <c r="A197" s="0"/>
      <c r="B197" s="0"/>
      <c r="C197" s="0"/>
      <c r="D197" s="0"/>
      <c r="E197" s="0"/>
      <c r="AE197" s="90" t="n">
        <f aca="false">Data!A192</f>
        <v>42689</v>
      </c>
      <c r="AF197" s="17" t="n">
        <f aca="false">Data!B192</f>
        <v>106.57</v>
      </c>
      <c r="AG197" s="17" t="n">
        <f aca="false">Data!F192</f>
        <v>32264510</v>
      </c>
      <c r="AH197" s="17" t="n">
        <f aca="false">Data!C192</f>
        <v>107.68</v>
      </c>
      <c r="AI197" s="17" t="n">
        <f aca="false">Data!D192</f>
        <v>106.16</v>
      </c>
      <c r="AJ197" s="17" t="n">
        <f aca="false">Data!E192</f>
        <v>107.11</v>
      </c>
      <c r="AK197" s="17" t="n">
        <f aca="false">Data!F192</f>
        <v>32264510</v>
      </c>
      <c r="AL197" s="17" t="n">
        <f aca="false">AJ197</f>
        <v>107.11</v>
      </c>
      <c r="AM197" s="17" t="n">
        <f aca="false">(AL197-AL196)/AL197*100</f>
        <v>-2.68882457286901</v>
      </c>
      <c r="AN197" s="17" t="n">
        <f aca="false">(AK197-AK196)/AK197*100</f>
        <v>-82.3691790143412</v>
      </c>
      <c r="AO197" s="17" t="str">
        <f aca="false">IF(AN197&lt;-8,"FITS BITCH",IF(AN197&gt;-8,"no"))</f>
        <v>FITS BITCH</v>
      </c>
      <c r="AP197" s="17" t="str">
        <f aca="false">IF(AH198&lt;AH197,"FITS BITCH",IF(AH198&gt;AH197,"no"))</f>
        <v>no</v>
      </c>
      <c r="AQ197" s="17" t="str">
        <f aca="false">IF(AI198&lt;AI197,"FITS BITCH",IF(AI198&gt;AI197,"no"))</f>
        <v>FITS BITCH</v>
      </c>
      <c r="AR197" s="17" t="str">
        <f aca="false">IF(AJ197&lt;AH198,"FITS BITCH",IF(AJ197&gt;AH198,"no"))</f>
        <v>FITS BITCH</v>
      </c>
      <c r="AS197" s="17" t="str">
        <f aca="false">IF(AJ197&gt;AJ198,"FITS BITCH",IF(AJ197&lt;AJ198,"no"))</f>
        <v>FITS BITCH</v>
      </c>
      <c r="AT197" s="91" t="str">
        <f aca="false">IF(AND($AO197="FITS BITCH",$AP197="FITS BITCH",$AR197="FITS BITCH"),"BULLISH","")</f>
        <v/>
      </c>
      <c r="AU197" s="91" t="str">
        <f aca="false">IF(AND($AO197="FITS BITCH",$AQ197="FITS BITCH",$AS197="FITS BITCH"),"BEARISH","")</f>
        <v>BEARISH</v>
      </c>
      <c r="AV197" s="86"/>
      <c r="AW197" s="86"/>
      <c r="AX197" s="86"/>
      <c r="CL197" s="99" t="n">
        <v>42853</v>
      </c>
      <c r="CM197" s="23" t="n">
        <f aca="false">$BA$68*CL197+$BA$70</f>
        <v>141.927232128403</v>
      </c>
    </row>
    <row r="198" customFormat="false" ht="15" hidden="false" customHeight="true" outlineLevel="0" collapsed="false">
      <c r="A198" s="0"/>
      <c r="B198" s="0"/>
      <c r="C198" s="0"/>
      <c r="D198" s="0"/>
      <c r="E198" s="0"/>
      <c r="AE198" s="90" t="n">
        <f aca="false">Data!A193</f>
        <v>42688</v>
      </c>
      <c r="AF198" s="17" t="n">
        <f aca="false">Data!B193</f>
        <v>107.71</v>
      </c>
      <c r="AG198" s="17" t="n">
        <f aca="false">Data!F193</f>
        <v>51175504</v>
      </c>
      <c r="AH198" s="17" t="n">
        <f aca="false">Data!C193</f>
        <v>107.81</v>
      </c>
      <c r="AI198" s="17" t="n">
        <f aca="false">Data!D193</f>
        <v>104.08</v>
      </c>
      <c r="AJ198" s="17" t="n">
        <f aca="false">Data!E193</f>
        <v>105.71</v>
      </c>
      <c r="AK198" s="17" t="n">
        <f aca="false">Data!F193</f>
        <v>51175504</v>
      </c>
      <c r="AL198" s="17" t="n">
        <f aca="false">AJ198</f>
        <v>105.71</v>
      </c>
      <c r="AM198" s="17" t="n">
        <f aca="false">(AL198-AL197)/AL198*100</f>
        <v>-1.32437801532495</v>
      </c>
      <c r="AN198" s="17" t="n">
        <f aca="false">(AK198-AK197)/AK198*100</f>
        <v>36.9532149600324</v>
      </c>
      <c r="AO198" s="17" t="str">
        <f aca="false">IF(AN198&lt;-8,"FITS BITCH",IF(AN198&gt;-8,"no"))</f>
        <v>no</v>
      </c>
      <c r="AP198" s="17" t="str">
        <f aca="false">IF(AH199&lt;AH198,"FITS BITCH",IF(AH199&gt;AH198,"no"))</f>
        <v>no</v>
      </c>
      <c r="AQ198" s="17" t="str">
        <f aca="false">IF(AI199&lt;AI198,"FITS BITCH",IF(AI199&gt;AI198,"no"))</f>
        <v>no</v>
      </c>
      <c r="AR198" s="17" t="str">
        <f aca="false">IF(AJ198&lt;AH199,"FITS BITCH",IF(AJ198&gt;AH199,"no"))</f>
        <v>FITS BITCH</v>
      </c>
      <c r="AS198" s="17" t="str">
        <f aca="false">IF(AJ198&gt;AJ199,"FITS BITCH",IF(AJ198&lt;AJ199,"no"))</f>
        <v>no</v>
      </c>
      <c r="AT198" s="91" t="str">
        <f aca="false">IF(AND($AO198="FITS BITCH",$AP198="FITS BITCH",$AR198="FITS BITCH"),"BULLISH","")</f>
        <v/>
      </c>
      <c r="AU198" s="91" t="str">
        <f aca="false">IF(AND($AO198="FITS BITCH",$AQ198="FITS BITCH",$AS198="FITS BITCH"),"BEARISH","")</f>
        <v/>
      </c>
      <c r="AV198" s="86"/>
      <c r="AW198" s="86"/>
      <c r="AX198" s="86"/>
      <c r="CL198" s="99" t="n">
        <v>42852</v>
      </c>
      <c r="CM198" s="23" t="n">
        <f aca="false">$BA$68*CL198+$BA$70</f>
        <v>141.773113898161</v>
      </c>
    </row>
    <row r="199" customFormat="false" ht="15" hidden="false" customHeight="true" outlineLevel="0" collapsed="false">
      <c r="A199" s="0"/>
      <c r="B199" s="0"/>
      <c r="C199" s="0"/>
      <c r="D199" s="0"/>
      <c r="E199" s="0"/>
      <c r="AE199" s="90" t="n">
        <f aca="false">Data!A194</f>
        <v>42685</v>
      </c>
      <c r="AF199" s="17" t="n">
        <f aca="false">Data!B194</f>
        <v>107.12</v>
      </c>
      <c r="AG199" s="17" t="n">
        <f aca="false">Data!F194</f>
        <v>34143898</v>
      </c>
      <c r="AH199" s="17" t="n">
        <f aca="false">Data!C194</f>
        <v>108.87</v>
      </c>
      <c r="AI199" s="17" t="n">
        <f aca="false">Data!D194</f>
        <v>106.55</v>
      </c>
      <c r="AJ199" s="17" t="n">
        <f aca="false">Data!E194</f>
        <v>108.43</v>
      </c>
      <c r="AK199" s="17" t="n">
        <f aca="false">Data!F194</f>
        <v>34143898</v>
      </c>
      <c r="AL199" s="17" t="n">
        <f aca="false">AJ199</f>
        <v>108.43</v>
      </c>
      <c r="AM199" s="17" t="n">
        <f aca="false">(AL199-AL198)/AL199*100</f>
        <v>2.50853084939594</v>
      </c>
      <c r="AN199" s="17" t="n">
        <f aca="false">(AK199-AK198)/AK199*100</f>
        <v>-49.881844187796</v>
      </c>
      <c r="AO199" s="17" t="str">
        <f aca="false">IF(AN199&lt;-8,"FITS BITCH",IF(AN199&gt;-8,"no"))</f>
        <v>FITS BITCH</v>
      </c>
      <c r="AP199" s="17" t="str">
        <f aca="false">IF(AH200&lt;AH199,"FITS BITCH",IF(AH200&gt;AH199,"no"))</f>
        <v>no</v>
      </c>
      <c r="AQ199" s="17" t="str">
        <f aca="false">IF(AI200&lt;AI199,"FITS BITCH",IF(AI200&gt;AI199,"no"))</f>
        <v>FITS BITCH</v>
      </c>
      <c r="AR199" s="17" t="str">
        <f aca="false">IF(AJ199&lt;AH200,"FITS BITCH",IF(AJ199&gt;AH200,"no"))</f>
        <v>FITS BITCH</v>
      </c>
      <c r="AS199" s="17" t="str">
        <f aca="false">IF(AJ199&gt;AJ200,"FITS BITCH",IF(AJ199&lt;AJ200,"no"))</f>
        <v>FITS BITCH</v>
      </c>
      <c r="AT199" s="91" t="str">
        <f aca="false">IF(AND($AO199="FITS BITCH",$AP199="FITS BITCH",$AR199="FITS BITCH"),"BULLISH","")</f>
        <v/>
      </c>
      <c r="AU199" s="91" t="str">
        <f aca="false">IF(AND($AO199="FITS BITCH",$AQ199="FITS BITCH",$AS199="FITS BITCH"),"BEARISH","")</f>
        <v>BEARISH</v>
      </c>
      <c r="AV199" s="86"/>
      <c r="AW199" s="86"/>
      <c r="AX199" s="86"/>
      <c r="CL199" s="99" t="n">
        <v>42851</v>
      </c>
      <c r="CM199" s="23" t="n">
        <f aca="false">$BA$68*CL199+$BA$70</f>
        <v>141.618995667917</v>
      </c>
    </row>
    <row r="200" customFormat="false" ht="15" hidden="false" customHeight="true" outlineLevel="0" collapsed="false">
      <c r="A200" s="0"/>
      <c r="B200" s="0"/>
      <c r="C200" s="0"/>
      <c r="D200" s="0"/>
      <c r="E200" s="0"/>
      <c r="AE200" s="90" t="n">
        <f aca="false">Data!A195</f>
        <v>42684</v>
      </c>
      <c r="AF200" s="17" t="n">
        <f aca="false">Data!B195</f>
        <v>111.09</v>
      </c>
      <c r="AG200" s="17" t="n">
        <f aca="false">Data!F195</f>
        <v>57134541</v>
      </c>
      <c r="AH200" s="17" t="n">
        <f aca="false">Data!C195</f>
        <v>111.09</v>
      </c>
      <c r="AI200" s="17" t="n">
        <f aca="false">Data!D195</f>
        <v>105.83</v>
      </c>
      <c r="AJ200" s="17" t="n">
        <f aca="false">Data!E195</f>
        <v>107.79</v>
      </c>
      <c r="AK200" s="17" t="n">
        <f aca="false">Data!F195</f>
        <v>57134541</v>
      </c>
      <c r="AL200" s="17" t="n">
        <f aca="false">AJ200</f>
        <v>107.79</v>
      </c>
      <c r="AM200" s="17" t="n">
        <f aca="false">(AL200-AL199)/AL200*100</f>
        <v>-0.593747100844235</v>
      </c>
      <c r="AN200" s="17" t="n">
        <f aca="false">(AK200-AK199)/AK200*100</f>
        <v>40.2394814023272</v>
      </c>
      <c r="AO200" s="17" t="str">
        <f aca="false">IF(AN200&lt;-8,"FITS BITCH",IF(AN200&gt;-8,"no"))</f>
        <v>no</v>
      </c>
      <c r="AP200" s="17" t="str">
        <f aca="false">IF(AH201&lt;AH200,"FITS BITCH",IF(AH201&gt;AH200,"no"))</f>
        <v>no</v>
      </c>
      <c r="AQ200" s="17" t="str">
        <f aca="false">IF(AI201&lt;AI200,"FITS BITCH",IF(AI201&gt;AI200,"no"))</f>
        <v>no</v>
      </c>
      <c r="AR200" s="17" t="str">
        <f aca="false">IF(AJ200&lt;AH201,"FITS BITCH",IF(AJ200&gt;AH201,"no"))</f>
        <v>FITS BITCH</v>
      </c>
      <c r="AS200" s="17" t="str">
        <f aca="false">IF(AJ200&gt;AJ201,"FITS BITCH",IF(AJ200&lt;AJ201,"no"))</f>
        <v>no</v>
      </c>
      <c r="AT200" s="91" t="str">
        <f aca="false">IF(AND($AO200="FITS BITCH",$AP200="FITS BITCH",$AR200="FITS BITCH"),"BULLISH","")</f>
        <v/>
      </c>
      <c r="AU200" s="91" t="str">
        <f aca="false">IF(AND($AO200="FITS BITCH",$AQ200="FITS BITCH",$AS200="FITS BITCH"),"BEARISH","")</f>
        <v/>
      </c>
      <c r="AV200" s="86"/>
      <c r="AW200" s="86"/>
      <c r="AX200" s="86"/>
      <c r="CL200" s="99" t="n">
        <v>42850</v>
      </c>
      <c r="CM200" s="23" t="n">
        <f aca="false">$BA$68*CL200+$BA$70</f>
        <v>141.464877437675</v>
      </c>
    </row>
    <row r="201" customFormat="false" ht="15" hidden="false" customHeight="true" outlineLevel="0" collapsed="false">
      <c r="AE201" s="90" t="n">
        <f aca="false">Data!A196</f>
        <v>42683</v>
      </c>
      <c r="AF201" s="17" t="n">
        <f aca="false">Data!B196</f>
        <v>109.88</v>
      </c>
      <c r="AG201" s="17" t="n">
        <f aca="false">Data!F196</f>
        <v>59176361</v>
      </c>
      <c r="AH201" s="17" t="n">
        <f aca="false">Data!C196</f>
        <v>111.32</v>
      </c>
      <c r="AI201" s="17" t="n">
        <f aca="false">Data!D196</f>
        <v>108.05</v>
      </c>
      <c r="AJ201" s="17" t="n">
        <f aca="false">Data!E196</f>
        <v>110.88</v>
      </c>
      <c r="AK201" s="17" t="n">
        <f aca="false">Data!F196</f>
        <v>59176361</v>
      </c>
      <c r="AL201" s="17" t="n">
        <f aca="false">AJ201</f>
        <v>110.88</v>
      </c>
      <c r="AM201" s="17" t="n">
        <f aca="false">(AL201-AL200)/AL201*100</f>
        <v>2.78679653679653</v>
      </c>
      <c r="AN201" s="17" t="n">
        <f aca="false">(AK201-AK200)/AK201*100</f>
        <v>3.45039803985243</v>
      </c>
      <c r="AO201" s="17" t="str">
        <f aca="false">IF(AN201&lt;-8,"FITS BITCH",IF(AN201&gt;-8,"no"))</f>
        <v>no</v>
      </c>
      <c r="AP201" s="17" t="str">
        <f aca="false">IF(AH202&lt;AH201,"FITS BITCH",IF(AH202&gt;AH201,"no"))</f>
        <v>no</v>
      </c>
      <c r="AQ201" s="17" t="str">
        <f aca="false">IF(AI202&lt;AI201,"FITS BITCH",IF(AI202&gt;AI201,"no"))</f>
        <v>no</v>
      </c>
      <c r="AR201" s="17" t="str">
        <f aca="false">IF(AJ201&lt;AH202,"FITS BITCH",IF(AJ201&gt;AH202,"no"))</f>
        <v>FITS BITCH</v>
      </c>
      <c r="AS201" s="17" t="str">
        <f aca="false">IF(AJ201&gt;AJ202,"FITS BITCH",IF(AJ201&lt;AJ202,"no"))</f>
        <v>no</v>
      </c>
      <c r="AT201" s="91" t="str">
        <f aca="false">IF(AND($AO201="FITS BITCH",$AP201="FITS BITCH",$AR201="FITS BITCH"),"BULLISH","")</f>
        <v/>
      </c>
      <c r="AU201" s="91" t="str">
        <f aca="false">IF(AND($AO201="FITS BITCH",$AQ201="FITS BITCH",$AS201="FITS BITCH"),"BEARISH","")</f>
        <v/>
      </c>
      <c r="AV201" s="86"/>
      <c r="AW201" s="86"/>
      <c r="AX201" s="86"/>
      <c r="CL201" s="99" t="n">
        <v>42849</v>
      </c>
      <c r="CM201" s="23" t="n">
        <f aca="false">$BA$68*CL201+$BA$70</f>
        <v>141.310759207432</v>
      </c>
    </row>
    <row r="202" customFormat="false" ht="15" hidden="false" customHeight="true" outlineLevel="0" collapsed="false">
      <c r="AE202" s="90" t="n">
        <f aca="false">Data!A197</f>
        <v>42682</v>
      </c>
      <c r="AF202" s="17" t="n">
        <f aca="false">Data!B197</f>
        <v>110.31</v>
      </c>
      <c r="AG202" s="17" t="n">
        <f aca="false">Data!F197</f>
        <v>24254179</v>
      </c>
      <c r="AH202" s="17" t="n">
        <f aca="false">Data!C197</f>
        <v>111.72</v>
      </c>
      <c r="AI202" s="17" t="n">
        <f aca="false">Data!D197</f>
        <v>109.7</v>
      </c>
      <c r="AJ202" s="17" t="n">
        <f aca="false">Data!E197</f>
        <v>111.06</v>
      </c>
      <c r="AK202" s="17" t="n">
        <f aca="false">Data!F197</f>
        <v>24254179</v>
      </c>
      <c r="AL202" s="17" t="n">
        <f aca="false">AJ202</f>
        <v>111.06</v>
      </c>
      <c r="AM202" s="17" t="n">
        <f aca="false">(AL202-AL201)/AL202*100</f>
        <v>0.162074554294982</v>
      </c>
      <c r="AN202" s="17" t="n">
        <f aca="false">(AK202-AK201)/AK202*100</f>
        <v>-143.98418515836</v>
      </c>
      <c r="AO202" s="17" t="str">
        <f aca="false">IF(AN202&lt;-8,"FITS BITCH",IF(AN202&gt;-8,"no"))</f>
        <v>FITS BITCH</v>
      </c>
      <c r="AP202" s="17" t="str">
        <f aca="false">IF(AH203&lt;AH202,"FITS BITCH",IF(AH203&gt;AH202,"no"))</f>
        <v>FITS BITCH</v>
      </c>
      <c r="AQ202" s="17" t="str">
        <f aca="false">IF(AI203&lt;AI202,"FITS BITCH",IF(AI203&gt;AI202,"no"))</f>
        <v>FITS BITCH</v>
      </c>
      <c r="AR202" s="17" t="str">
        <f aca="false">IF(AJ202&lt;AH203,"FITS BITCH",IF(AJ202&gt;AH203,"no"))</f>
        <v>no</v>
      </c>
      <c r="AS202" s="17" t="str">
        <f aca="false">IF(AJ202&gt;AJ203,"FITS BITCH",IF(AJ202&lt;AJ203,"no"))</f>
        <v>FITS BITCH</v>
      </c>
      <c r="AT202" s="91" t="str">
        <f aca="false">IF(AND($AO202="FITS BITCH",$AP202="FITS BITCH",$AR202="FITS BITCH"),"BULLISH","")</f>
        <v/>
      </c>
      <c r="AU202" s="91" t="str">
        <f aca="false">IF(AND($AO202="FITS BITCH",$AQ202="FITS BITCH",$AS202="FITS BITCH"),"BEARISH","")</f>
        <v>BEARISH</v>
      </c>
      <c r="AV202" s="86"/>
      <c r="AW202" s="86"/>
      <c r="AX202" s="86"/>
      <c r="CL202" s="99" t="n">
        <v>42846</v>
      </c>
      <c r="CM202" s="23" t="n">
        <f aca="false">$BA$68*CL202+$BA$70</f>
        <v>140.848404516704</v>
      </c>
    </row>
    <row r="203" customFormat="false" ht="15" hidden="false" customHeight="true" outlineLevel="0" collapsed="false">
      <c r="AE203" s="90" t="n">
        <f aca="false">Data!A198</f>
        <v>42681</v>
      </c>
      <c r="AF203" s="17" t="n">
        <f aca="false">Data!B198</f>
        <v>110.08</v>
      </c>
      <c r="AG203" s="17" t="n">
        <f aca="false">Data!F198</f>
        <v>32560000</v>
      </c>
      <c r="AH203" s="17" t="n">
        <f aca="false">Data!C198</f>
        <v>110.51</v>
      </c>
      <c r="AI203" s="17" t="n">
        <f aca="false">Data!D198</f>
        <v>109.46</v>
      </c>
      <c r="AJ203" s="17" t="n">
        <f aca="false">Data!E198</f>
        <v>110.41</v>
      </c>
      <c r="AK203" s="17" t="n">
        <f aca="false">Data!F198</f>
        <v>32560000</v>
      </c>
      <c r="AL203" s="17" t="n">
        <f aca="false">AJ203</f>
        <v>110.41</v>
      </c>
      <c r="AM203" s="17" t="n">
        <f aca="false">(AL203-AL202)/AL203*100</f>
        <v>-0.588714790326968</v>
      </c>
      <c r="AN203" s="17" t="n">
        <f aca="false">(AK203-AK202)/AK203*100</f>
        <v>25.5092782555283</v>
      </c>
      <c r="AO203" s="17" t="str">
        <f aca="false">IF(AN203&lt;-8,"FITS BITCH",IF(AN203&gt;-8,"no"))</f>
        <v>no</v>
      </c>
      <c r="AP203" s="17" t="str">
        <f aca="false">IF(AH204&lt;AH203,"FITS BITCH",IF(AH204&gt;AH203,"no"))</f>
        <v>FITS BITCH</v>
      </c>
      <c r="AQ203" s="17" t="str">
        <f aca="false">IF(AI204&lt;AI203,"FITS BITCH",IF(AI204&gt;AI203,"no"))</f>
        <v>FITS BITCH</v>
      </c>
      <c r="AR203" s="17" t="str">
        <f aca="false">IF(AJ203&lt;AH204,"FITS BITCH",IF(AJ203&gt;AH204,"no"))</f>
        <v>no</v>
      </c>
      <c r="AS203" s="17" t="str">
        <f aca="false">IF(AJ203&gt;AJ204,"FITS BITCH",IF(AJ203&lt;AJ204,"no"))</f>
        <v>FITS BITCH</v>
      </c>
      <c r="AT203" s="91" t="str">
        <f aca="false">IF(AND($AO203="FITS BITCH",$AP203="FITS BITCH",$AR203="FITS BITCH"),"BULLISH","")</f>
        <v/>
      </c>
      <c r="AU203" s="91" t="str">
        <f aca="false">IF(AND($AO203="FITS BITCH",$AQ203="FITS BITCH",$AS203="FITS BITCH"),"BEARISH","")</f>
        <v/>
      </c>
      <c r="AV203" s="86"/>
      <c r="AW203" s="86"/>
      <c r="AX203" s="86"/>
      <c r="CL203" s="99" t="n">
        <v>42845</v>
      </c>
      <c r="CM203" s="23" t="n">
        <f aca="false">$BA$68*CL203+$BA$70</f>
        <v>140.694286286462</v>
      </c>
    </row>
    <row r="204" customFormat="false" ht="15" hidden="false" customHeight="true" outlineLevel="0" collapsed="false">
      <c r="AE204" s="90" t="n">
        <f aca="false">Data!A199</f>
        <v>42678</v>
      </c>
      <c r="AF204" s="17" t="n">
        <f aca="false">Data!B199</f>
        <v>108.53</v>
      </c>
      <c r="AG204" s="17" t="n">
        <f aca="false">Data!F199</f>
        <v>30836997</v>
      </c>
      <c r="AH204" s="17" t="n">
        <f aca="false">Data!C199</f>
        <v>110.25</v>
      </c>
      <c r="AI204" s="17" t="n">
        <f aca="false">Data!D199</f>
        <v>108.11</v>
      </c>
      <c r="AJ204" s="17" t="n">
        <f aca="false">Data!E199</f>
        <v>108.84</v>
      </c>
      <c r="AK204" s="17" t="n">
        <f aca="false">Data!F199</f>
        <v>30836997</v>
      </c>
      <c r="AL204" s="17" t="n">
        <f aca="false">AJ204</f>
        <v>108.84</v>
      </c>
      <c r="AM204" s="17" t="n">
        <f aca="false">(AL204-AL203)/AL204*100</f>
        <v>-1.44248438074237</v>
      </c>
      <c r="AN204" s="17" t="n">
        <f aca="false">(AK204-AK203)/AK204*100</f>
        <v>-5.58745392750144</v>
      </c>
      <c r="AO204" s="17" t="str">
        <f aca="false">IF(AN204&lt;-8,"FITS BITCH",IF(AN204&gt;-8,"no"))</f>
        <v>no</v>
      </c>
      <c r="AP204" s="17" t="str">
        <f aca="false">IF(AH205&lt;AH204,"FITS BITCH",IF(AH205&gt;AH204,"no"))</f>
        <v>no</v>
      </c>
      <c r="AQ204" s="17" t="str">
        <f aca="false">IF(AI205&lt;AI204,"FITS BITCH",IF(AI205&gt;AI204,"no"))</f>
        <v>no</v>
      </c>
      <c r="AR204" s="17" t="str">
        <f aca="false">IF(AJ204&lt;AH205,"FITS BITCH",IF(AJ204&gt;AH205,"no"))</f>
        <v>FITS BITCH</v>
      </c>
      <c r="AS204" s="17" t="str">
        <f aca="false">IF(AJ204&gt;AJ205,"FITS BITCH",IF(AJ204&lt;AJ205,"no"))</f>
        <v>no</v>
      </c>
      <c r="AT204" s="91" t="str">
        <f aca="false">IF(AND($AO204="FITS BITCH",$AP204="FITS BITCH",$AR204="FITS BITCH"),"BULLISH","")</f>
        <v/>
      </c>
      <c r="AU204" s="91" t="str">
        <f aca="false">IF(AND($AO204="FITS BITCH",$AQ204="FITS BITCH",$AS204="FITS BITCH"),"BEARISH","")</f>
        <v/>
      </c>
      <c r="AV204" s="86"/>
      <c r="AW204" s="86"/>
      <c r="AX204" s="86"/>
      <c r="CL204" s="99" t="n">
        <v>42844</v>
      </c>
      <c r="CM204" s="23" t="n">
        <f aca="false">$BA$68*CL204+$BA$70</f>
        <v>140.540168056219</v>
      </c>
    </row>
    <row r="205" customFormat="false" ht="15" hidden="false" customHeight="true" outlineLevel="0" collapsed="false">
      <c r="AE205" s="90" t="n">
        <f aca="false">Data!A200</f>
        <v>42677</v>
      </c>
      <c r="AF205" s="17" t="n">
        <f aca="false">Data!B200</f>
        <v>110.98</v>
      </c>
      <c r="AG205" s="17" t="n">
        <f aca="false">Data!F200</f>
        <v>26932602</v>
      </c>
      <c r="AH205" s="17" t="n">
        <f aca="false">Data!C200</f>
        <v>111.46</v>
      </c>
      <c r="AI205" s="17" t="n">
        <f aca="false">Data!D200</f>
        <v>109.55</v>
      </c>
      <c r="AJ205" s="17" t="n">
        <f aca="false">Data!E200</f>
        <v>109.83</v>
      </c>
      <c r="AK205" s="17" t="n">
        <f aca="false">Data!F200</f>
        <v>26932602</v>
      </c>
      <c r="AL205" s="17" t="n">
        <f aca="false">AJ205</f>
        <v>109.83</v>
      </c>
      <c r="AM205" s="17" t="n">
        <f aca="false">(AL205-AL204)/AL205*100</f>
        <v>0.901393062004912</v>
      </c>
      <c r="AN205" s="17" t="n">
        <f aca="false">(AK205-AK204)/AK205*100</f>
        <v>-14.4969097304449</v>
      </c>
      <c r="AO205" s="17" t="str">
        <f aca="false">IF(AN205&lt;-8,"FITS BITCH",IF(AN205&gt;-8,"no"))</f>
        <v>FITS BITCH</v>
      </c>
      <c r="AP205" s="17" t="str">
        <f aca="false">IF(AH206&lt;AH205,"FITS BITCH",IF(AH206&gt;AH205,"no"))</f>
        <v>no</v>
      </c>
      <c r="AQ205" s="17" t="str">
        <f aca="false">IF(AI206&lt;AI205,"FITS BITCH",IF(AI206&gt;AI205,"no"))</f>
        <v>no</v>
      </c>
      <c r="AR205" s="17" t="str">
        <f aca="false">IF(AJ205&lt;AH206,"FITS BITCH",IF(AJ205&gt;AH206,"no"))</f>
        <v>FITS BITCH</v>
      </c>
      <c r="AS205" s="17" t="str">
        <f aca="false">IF(AJ205&gt;AJ206,"FITS BITCH",IF(AJ205&lt;AJ206,"no"))</f>
        <v>no</v>
      </c>
      <c r="AT205" s="91" t="str">
        <f aca="false">IF(AND($AO205="FITS BITCH",$AP205="FITS BITCH",$AR205="FITS BITCH"),"BULLISH","")</f>
        <v/>
      </c>
      <c r="AU205" s="91" t="str">
        <f aca="false">IF(AND($AO205="FITS BITCH",$AQ205="FITS BITCH",$AS205="FITS BITCH"),"BEARISH","")</f>
        <v/>
      </c>
      <c r="AV205" s="86"/>
      <c r="AW205" s="86"/>
      <c r="AX205" s="86"/>
      <c r="CL205" s="99" t="n">
        <v>42843</v>
      </c>
      <c r="CM205" s="23" t="n">
        <f aca="false">$BA$68*CL205+$BA$70</f>
        <v>140.386049825976</v>
      </c>
    </row>
    <row r="206" customFormat="false" ht="15" hidden="false" customHeight="true" outlineLevel="0" collapsed="false">
      <c r="AE206" s="90" t="n">
        <f aca="false">Data!A201</f>
        <v>42676</v>
      </c>
      <c r="AF206" s="17" t="n">
        <f aca="false">Data!B201</f>
        <v>111.4</v>
      </c>
      <c r="AG206" s="17" t="n">
        <f aca="false">Data!F201</f>
        <v>28331709</v>
      </c>
      <c r="AH206" s="17" t="n">
        <f aca="false">Data!C201</f>
        <v>112.35</v>
      </c>
      <c r="AI206" s="17" t="n">
        <f aca="false">Data!D201</f>
        <v>111.23</v>
      </c>
      <c r="AJ206" s="17" t="n">
        <f aca="false">Data!E201</f>
        <v>111.59</v>
      </c>
      <c r="AK206" s="17" t="n">
        <f aca="false">Data!F201</f>
        <v>28331709</v>
      </c>
      <c r="AL206" s="17" t="n">
        <f aca="false">AJ206</f>
        <v>111.59</v>
      </c>
      <c r="AM206" s="17" t="n">
        <f aca="false">(AL206-AL205)/AL206*100</f>
        <v>1.57720225826687</v>
      </c>
      <c r="AN206" s="17" t="n">
        <f aca="false">(AK206-AK205)/AK206*100</f>
        <v>4.93830781616457</v>
      </c>
      <c r="AO206" s="17" t="str">
        <f aca="false">IF(AN206&lt;-8,"FITS BITCH",IF(AN206&gt;-8,"no"))</f>
        <v>no</v>
      </c>
      <c r="AP206" s="17" t="str">
        <f aca="false">IF(AH207&lt;AH206,"FITS BITCH",IF(AH207&gt;AH206,"no"))</f>
        <v>no</v>
      </c>
      <c r="AQ206" s="17" t="str">
        <f aca="false">IF(AI207&lt;AI206,"FITS BITCH",IF(AI207&gt;AI206,"no"))</f>
        <v>FITS BITCH</v>
      </c>
      <c r="AR206" s="17" t="str">
        <f aca="false">IF(AJ206&lt;AH207,"FITS BITCH",IF(AJ206&gt;AH207,"no"))</f>
        <v>FITS BITCH</v>
      </c>
      <c r="AS206" s="17" t="str">
        <f aca="false">IF(AJ206&gt;AJ207,"FITS BITCH",IF(AJ206&lt;AJ207,"no"))</f>
        <v>FITS BITCH</v>
      </c>
      <c r="AT206" s="91" t="str">
        <f aca="false">IF(AND($AO206="FITS BITCH",$AP206="FITS BITCH",$AR206="FITS BITCH"),"BULLISH","")</f>
        <v/>
      </c>
      <c r="AU206" s="91" t="str">
        <f aca="false">IF(AND($AO206="FITS BITCH",$AQ206="FITS BITCH",$AS206="FITS BITCH"),"BEARISH","")</f>
        <v/>
      </c>
      <c r="AV206" s="86"/>
      <c r="AW206" s="86"/>
      <c r="AX206" s="86"/>
      <c r="CL206" s="99" t="n">
        <v>42842</v>
      </c>
      <c r="CM206" s="23" t="n">
        <f aca="false">$BA$68*CL206+$BA$70</f>
        <v>140.231931595734</v>
      </c>
    </row>
    <row r="207" customFormat="false" ht="15" hidden="false" customHeight="true" outlineLevel="0" collapsed="false">
      <c r="AE207" s="90" t="n">
        <f aca="false">Data!A202</f>
        <v>42675</v>
      </c>
      <c r="AF207" s="17" t="n">
        <f aca="false">Data!B202</f>
        <v>113.46</v>
      </c>
      <c r="AG207" s="17" t="n">
        <f aca="false">Data!F202</f>
        <v>43825812</v>
      </c>
      <c r="AH207" s="17" t="n">
        <f aca="false">Data!C202</f>
        <v>113.77</v>
      </c>
      <c r="AI207" s="17" t="n">
        <f aca="false">Data!D202</f>
        <v>110.53</v>
      </c>
      <c r="AJ207" s="17" t="n">
        <f aca="false">Data!E202</f>
        <v>111.49</v>
      </c>
      <c r="AK207" s="17" t="n">
        <f aca="false">Data!F202</f>
        <v>43825812</v>
      </c>
      <c r="AL207" s="17" t="n">
        <f aca="false">AJ207</f>
        <v>111.49</v>
      </c>
      <c r="AM207" s="17" t="n">
        <f aca="false">(AL207-AL206)/AL207*100</f>
        <v>-0.0896941429724716</v>
      </c>
      <c r="AN207" s="17" t="n">
        <f aca="false">(AK207-AK206)/AK207*100</f>
        <v>35.3538298389086</v>
      </c>
      <c r="AO207" s="17" t="str">
        <f aca="false">IF(AN207&lt;-8,"FITS BITCH",IF(AN207&gt;-8,"no"))</f>
        <v>no</v>
      </c>
      <c r="AP207" s="17" t="str">
        <f aca="false">IF(AH208&lt;AH207,"FITS BITCH",IF(AH208&gt;AH207,"no"))</f>
        <v>no</v>
      </c>
      <c r="AQ207" s="17" t="str">
        <f aca="false">IF(AI208&lt;AI207,"FITS BITCH",IF(AI208&gt;AI207,"no"))</f>
        <v>no</v>
      </c>
      <c r="AR207" s="17" t="str">
        <f aca="false">IF(AJ207&lt;AH208,"FITS BITCH",IF(AJ207&gt;AH208,"no"))</f>
        <v>FITS BITCH</v>
      </c>
      <c r="AS207" s="17" t="str">
        <f aca="false">IF(AJ207&gt;AJ208,"FITS BITCH",IF(AJ207&lt;AJ208,"no"))</f>
        <v>no</v>
      </c>
      <c r="AT207" s="91" t="str">
        <f aca="false">IF(AND($AO207="FITS BITCH",$AP207="FITS BITCH",$AR207="FITS BITCH"),"BULLISH","")</f>
        <v/>
      </c>
      <c r="AU207" s="91" t="str">
        <f aca="false">IF(AND($AO207="FITS BITCH",$AQ207="FITS BITCH",$AS207="FITS BITCH"),"BEARISH","")</f>
        <v/>
      </c>
      <c r="AV207" s="86"/>
      <c r="AW207" s="86"/>
      <c r="AX207" s="86"/>
      <c r="CL207" s="99" t="n">
        <v>42839</v>
      </c>
      <c r="CM207" s="23" t="n">
        <f aca="false">$BA$68*CL207+$BA$70</f>
        <v>139.769576905005</v>
      </c>
    </row>
    <row r="208" customFormat="false" ht="15" hidden="false" customHeight="true" outlineLevel="0" collapsed="false">
      <c r="AE208" s="90" t="n">
        <f aca="false">Data!A203</f>
        <v>42674</v>
      </c>
      <c r="AF208" s="17" t="n">
        <f aca="false">Data!B203</f>
        <v>113.65</v>
      </c>
      <c r="AG208" s="17" t="n">
        <f aca="false">Data!F203</f>
        <v>26419398</v>
      </c>
      <c r="AH208" s="17" t="n">
        <f aca="false">Data!C203</f>
        <v>114.23</v>
      </c>
      <c r="AI208" s="17" t="n">
        <f aca="false">Data!D203</f>
        <v>113.2</v>
      </c>
      <c r="AJ208" s="17" t="n">
        <f aca="false">Data!E203</f>
        <v>113.54</v>
      </c>
      <c r="AK208" s="17" t="n">
        <f aca="false">Data!F203</f>
        <v>26419398</v>
      </c>
      <c r="AL208" s="17" t="n">
        <f aca="false">AJ208</f>
        <v>113.54</v>
      </c>
      <c r="AM208" s="17" t="n">
        <f aca="false">(AL208-AL207)/AL208*100</f>
        <v>1.80553109036464</v>
      </c>
      <c r="AN208" s="17" t="n">
        <f aca="false">(AK208-AK207)/AK208*100</f>
        <v>-65.8849758802226</v>
      </c>
      <c r="AO208" s="17" t="str">
        <f aca="false">IF(AN208&lt;-8,"FITS BITCH",IF(AN208&gt;-8,"no"))</f>
        <v>FITS BITCH</v>
      </c>
      <c r="AP208" s="17" t="str">
        <f aca="false">IF(AH209&lt;AH208,"FITS BITCH",IF(AH209&gt;AH208,"no"))</f>
        <v>no</v>
      </c>
      <c r="AQ208" s="17" t="str">
        <f aca="false">IF(AI209&lt;AI208,"FITS BITCH",IF(AI209&gt;AI208,"no"))</f>
        <v>no</v>
      </c>
      <c r="AR208" s="17" t="str">
        <f aca="false">IF(AJ208&lt;AH209,"FITS BITCH",IF(AJ208&gt;AH209,"no"))</f>
        <v>FITS BITCH</v>
      </c>
      <c r="AS208" s="17" t="str">
        <f aca="false">IF(AJ208&gt;AJ209,"FITS BITCH",IF(AJ208&lt;AJ209,"no"))</f>
        <v>no</v>
      </c>
      <c r="AT208" s="91" t="str">
        <f aca="false">IF(AND($AO208="FITS BITCH",$AP208="FITS BITCH",$AR208="FITS BITCH"),"BULLISH","")</f>
        <v/>
      </c>
      <c r="AU208" s="91" t="str">
        <f aca="false">IF(AND($AO208="FITS BITCH",$AQ208="FITS BITCH",$AS208="FITS BITCH"),"BEARISH","")</f>
        <v/>
      </c>
      <c r="AV208" s="86"/>
      <c r="AW208" s="86"/>
      <c r="AX208" s="86"/>
      <c r="CL208" s="99" t="n">
        <v>42838</v>
      </c>
      <c r="CM208" s="23" t="n">
        <f aca="false">$BA$68*CL208+$BA$70</f>
        <v>139.615458674763</v>
      </c>
    </row>
    <row r="209" customFormat="false" ht="15" hidden="false" customHeight="true" outlineLevel="0" collapsed="false">
      <c r="AE209" s="90" t="n">
        <f aca="false">Data!A204</f>
        <v>42671</v>
      </c>
      <c r="AF209" s="17" t="n">
        <f aca="false">Data!B204</f>
        <v>113.87</v>
      </c>
      <c r="AG209" s="17" t="n">
        <f aca="false">Data!F204</f>
        <v>37861662</v>
      </c>
      <c r="AH209" s="17" t="n">
        <f aca="false">Data!C204</f>
        <v>115.21</v>
      </c>
      <c r="AI209" s="17" t="n">
        <f aca="false">Data!D204</f>
        <v>113.45</v>
      </c>
      <c r="AJ209" s="17" t="n">
        <f aca="false">Data!E204</f>
        <v>113.72</v>
      </c>
      <c r="AK209" s="17" t="n">
        <f aca="false">Data!F204</f>
        <v>37861662</v>
      </c>
      <c r="AL209" s="17" t="n">
        <f aca="false">AJ209</f>
        <v>113.72</v>
      </c>
      <c r="AM209" s="17" t="n">
        <f aca="false">(AL209-AL208)/AL209*100</f>
        <v>0.158283503341534</v>
      </c>
      <c r="AN209" s="17" t="n">
        <f aca="false">(AK209-AK208)/AK209*100</f>
        <v>30.221240684046</v>
      </c>
      <c r="AO209" s="17" t="str">
        <f aca="false">IF(AN209&lt;-8,"FITS BITCH",IF(AN209&gt;-8,"no"))</f>
        <v>no</v>
      </c>
      <c r="AP209" s="17" t="str">
        <f aca="false">IF(AH210&lt;AH209,"FITS BITCH",IF(AH210&gt;AH209,"no"))</f>
        <v>no</v>
      </c>
      <c r="AQ209" s="17" t="str">
        <f aca="false">IF(AI210&lt;AI209,"FITS BITCH",IF(AI210&gt;AI209,"no"))</f>
        <v>no</v>
      </c>
      <c r="AR209" s="17" t="str">
        <f aca="false">IF(AJ209&lt;AH210,"FITS BITCH",IF(AJ209&gt;AH210,"no"))</f>
        <v>FITS BITCH</v>
      </c>
      <c r="AS209" s="17" t="str">
        <f aca="false">IF(AJ209&gt;AJ210,"FITS BITCH",IF(AJ209&lt;AJ210,"no"))</f>
        <v>no</v>
      </c>
      <c r="AT209" s="91" t="str">
        <f aca="false">IF(AND($AO209="FITS BITCH",$AP209="FITS BITCH",$AR209="FITS BITCH"),"BULLISH","")</f>
        <v/>
      </c>
      <c r="AU209" s="91" t="str">
        <f aca="false">IF(AND($AO209="FITS BITCH",$AQ209="FITS BITCH",$AS209="FITS BITCH"),"BEARISH","")</f>
        <v/>
      </c>
      <c r="AV209" s="86"/>
      <c r="AW209" s="86"/>
      <c r="AX209" s="86"/>
      <c r="CL209" s="99" t="n">
        <v>42837</v>
      </c>
      <c r="CM209" s="23" t="n">
        <f aca="false">$BA$68*CL209+$BA$70</f>
        <v>139.46134044452</v>
      </c>
    </row>
    <row r="210" customFormat="false" ht="15" hidden="false" customHeight="true" outlineLevel="0" collapsed="false">
      <c r="AE210" s="90" t="n">
        <f aca="false">Data!A205</f>
        <v>42670</v>
      </c>
      <c r="AF210" s="17" t="n">
        <f aca="false">Data!B205</f>
        <v>115.39</v>
      </c>
      <c r="AG210" s="17" t="n">
        <f aca="false">Data!F205</f>
        <v>34562045</v>
      </c>
      <c r="AH210" s="17" t="n">
        <f aca="false">Data!C205</f>
        <v>115.86</v>
      </c>
      <c r="AI210" s="17" t="n">
        <f aca="false">Data!D205</f>
        <v>114.1</v>
      </c>
      <c r="AJ210" s="17" t="n">
        <f aca="false">Data!E205</f>
        <v>114.48</v>
      </c>
      <c r="AK210" s="17" t="n">
        <f aca="false">Data!F205</f>
        <v>34562045</v>
      </c>
      <c r="AL210" s="17" t="n">
        <f aca="false">AJ210</f>
        <v>114.48</v>
      </c>
      <c r="AM210" s="17" t="n">
        <f aca="false">(AL210-AL209)/AL210*100</f>
        <v>0.663871418588404</v>
      </c>
      <c r="AN210" s="17" t="n">
        <f aca="false">(AK210-AK209)/AK210*100</f>
        <v>-9.54693797777302</v>
      </c>
      <c r="AO210" s="17" t="str">
        <f aca="false">IF(AN210&lt;-8,"FITS BITCH",IF(AN210&gt;-8,"no"))</f>
        <v>FITS BITCH</v>
      </c>
      <c r="AP210" s="17" t="str">
        <f aca="false">IF(AH211&lt;AH210,"FITS BITCH",IF(AH211&gt;AH210,"no"))</f>
        <v>FITS BITCH</v>
      </c>
      <c r="AQ210" s="17" t="str">
        <f aca="false">IF(AI211&lt;AI210,"FITS BITCH",IF(AI211&gt;AI210,"no"))</f>
        <v>FITS BITCH</v>
      </c>
      <c r="AR210" s="17" t="str">
        <f aca="false">IF(AJ210&lt;AH211,"FITS BITCH",IF(AJ210&gt;AH211,"no"))</f>
        <v>FITS BITCH</v>
      </c>
      <c r="AS210" s="17" t="str">
        <f aca="false">IF(AJ210&gt;AJ211,"FITS BITCH",IF(AJ210&lt;AJ211,"no"))</f>
        <v>no</v>
      </c>
      <c r="AT210" s="91" t="str">
        <f aca="false">IF(AND($AO210="FITS BITCH",$AP210="FITS BITCH",$AR210="FITS BITCH"),"BULLISH","")</f>
        <v>BULLISH</v>
      </c>
      <c r="AU210" s="91" t="str">
        <f aca="false">IF(AND($AO210="FITS BITCH",$AQ210="FITS BITCH",$AS210="FITS BITCH"),"BEARISH","")</f>
        <v/>
      </c>
      <c r="AV210" s="86"/>
      <c r="AW210" s="86"/>
      <c r="AX210" s="86"/>
      <c r="CL210" s="99" t="n">
        <v>42836</v>
      </c>
      <c r="CM210" s="23" t="n">
        <f aca="false">$BA$68*CL210+$BA$70</f>
        <v>139.307222214277</v>
      </c>
    </row>
    <row r="211" customFormat="false" ht="15" hidden="false" customHeight="true" outlineLevel="0" collapsed="false">
      <c r="AE211" s="90" t="n">
        <f aca="false">Data!A206</f>
        <v>42669</v>
      </c>
      <c r="AF211" s="17" t="n">
        <f aca="false">Data!B206</f>
        <v>114.31</v>
      </c>
      <c r="AG211" s="17" t="n">
        <f aca="false">Data!F206</f>
        <v>66134219</v>
      </c>
      <c r="AH211" s="17" t="n">
        <f aca="false">Data!C206</f>
        <v>115.7</v>
      </c>
      <c r="AI211" s="17" t="n">
        <f aca="false">Data!D206</f>
        <v>113.31</v>
      </c>
      <c r="AJ211" s="17" t="n">
        <f aca="false">Data!E206</f>
        <v>115.59</v>
      </c>
      <c r="AK211" s="17" t="n">
        <f aca="false">Data!F206</f>
        <v>66134219</v>
      </c>
      <c r="AL211" s="17" t="n">
        <f aca="false">AJ211</f>
        <v>115.59</v>
      </c>
      <c r="AM211" s="17" t="n">
        <f aca="false">(AL211-AL210)/AL211*100</f>
        <v>0.960290682584998</v>
      </c>
      <c r="AN211" s="17" t="n">
        <f aca="false">(AK211-AK210)/AK211*100</f>
        <v>47.739543125171</v>
      </c>
      <c r="AO211" s="17" t="str">
        <f aca="false">IF(AN211&lt;-8,"FITS BITCH",IF(AN211&gt;-8,"no"))</f>
        <v>no</v>
      </c>
      <c r="AP211" s="17" t="str">
        <f aca="false">IF(AH212&lt;AH211,"FITS BITCH",IF(AH212&gt;AH211,"no"))</f>
        <v>no</v>
      </c>
      <c r="AQ211" s="17" t="str">
        <f aca="false">IF(AI212&lt;AI211,"FITS BITCH",IF(AI212&gt;AI211,"no"))</f>
        <v>no</v>
      </c>
      <c r="AR211" s="17" t="str">
        <f aca="false">IF(AJ211&lt;AH212,"FITS BITCH",IF(AJ211&gt;AH212,"no"))</f>
        <v>FITS BITCH</v>
      </c>
      <c r="AS211" s="17" t="str">
        <f aca="false">IF(AJ211&gt;AJ212,"FITS BITCH",IF(AJ211&lt;AJ212,"no"))</f>
        <v>no</v>
      </c>
      <c r="AT211" s="91" t="str">
        <f aca="false">IF(AND($AO211="FITS BITCH",$AP211="FITS BITCH",$AR211="FITS BITCH"),"BULLISH","")</f>
        <v/>
      </c>
      <c r="AU211" s="91" t="str">
        <f aca="false">IF(AND($AO211="FITS BITCH",$AQ211="FITS BITCH",$AS211="FITS BITCH"),"BEARISH","")</f>
        <v/>
      </c>
      <c r="AV211" s="86"/>
      <c r="AW211" s="86"/>
      <c r="AX211" s="86"/>
      <c r="CL211" s="99" t="n">
        <v>42835</v>
      </c>
      <c r="CM211" s="23" t="n">
        <f aca="false">$BA$68*CL211+$BA$70</f>
        <v>139.153103984035</v>
      </c>
    </row>
    <row r="212" customFormat="false" ht="15" hidden="false" customHeight="true" outlineLevel="0" collapsed="false">
      <c r="AE212" s="90" t="n">
        <f aca="false">Data!A207</f>
        <v>42668</v>
      </c>
      <c r="AF212" s="17" t="n">
        <f aca="false">Data!B207</f>
        <v>117.95</v>
      </c>
      <c r="AG212" s="17" t="n">
        <f aca="false">Data!F207</f>
        <v>48128970</v>
      </c>
      <c r="AH212" s="17" t="n">
        <f aca="false">Data!C207</f>
        <v>118.36</v>
      </c>
      <c r="AI212" s="17" t="n">
        <f aca="false">Data!D207</f>
        <v>117.31</v>
      </c>
      <c r="AJ212" s="17" t="n">
        <f aca="false">Data!E207</f>
        <v>118.25</v>
      </c>
      <c r="AK212" s="17" t="n">
        <f aca="false">Data!F207</f>
        <v>48128970</v>
      </c>
      <c r="AL212" s="17" t="n">
        <f aca="false">AJ212</f>
        <v>118.25</v>
      </c>
      <c r="AM212" s="17" t="n">
        <f aca="false">(AL212-AL211)/AL212*100</f>
        <v>2.24947145877378</v>
      </c>
      <c r="AN212" s="17" t="n">
        <f aca="false">(AK212-AK211)/AK212*100</f>
        <v>-37.4104182989995</v>
      </c>
      <c r="AO212" s="17" t="str">
        <f aca="false">IF(AN212&lt;-8,"FITS BITCH",IF(AN212&gt;-8,"no"))</f>
        <v>FITS BITCH</v>
      </c>
      <c r="AP212" s="17" t="str">
        <f aca="false">IF(AH213&lt;AH212,"FITS BITCH",IF(AH213&gt;AH212,"no"))</f>
        <v>FITS BITCH</v>
      </c>
      <c r="AQ212" s="17" t="str">
        <f aca="false">IF(AI213&lt;AI212,"FITS BITCH",IF(AI213&gt;AI212,"no"))</f>
        <v>FITS BITCH</v>
      </c>
      <c r="AR212" s="17" t="str">
        <f aca="false">IF(AJ212&lt;AH213,"FITS BITCH",IF(AJ212&gt;AH213,"no"))</f>
        <v>no</v>
      </c>
      <c r="AS212" s="17" t="str">
        <f aca="false">IF(AJ212&gt;AJ213,"FITS BITCH",IF(AJ212&lt;AJ213,"no"))</f>
        <v>FITS BITCH</v>
      </c>
      <c r="AT212" s="91" t="str">
        <f aca="false">IF(AND($AO212="FITS BITCH",$AP212="FITS BITCH",$AR212="FITS BITCH"),"BULLISH","")</f>
        <v/>
      </c>
      <c r="AU212" s="91" t="str">
        <f aca="false">IF(AND($AO212="FITS BITCH",$AQ212="FITS BITCH",$AS212="FITS BITCH"),"BEARISH","")</f>
        <v>BEARISH</v>
      </c>
      <c r="AV212" s="86"/>
      <c r="AW212" s="86"/>
      <c r="AX212" s="86"/>
      <c r="CL212" s="99" t="n">
        <v>42832</v>
      </c>
      <c r="CM212" s="23" t="n">
        <f aca="false">$BA$68*CL212+$BA$70</f>
        <v>138.690749293307</v>
      </c>
    </row>
    <row r="213" customFormat="false" ht="15" hidden="false" customHeight="true" outlineLevel="0" collapsed="false">
      <c r="AE213" s="90" t="n">
        <f aca="false">Data!A208</f>
        <v>42667</v>
      </c>
      <c r="AF213" s="17" t="n">
        <f aca="false">Data!B208</f>
        <v>117.1</v>
      </c>
      <c r="AG213" s="17" t="n">
        <f aca="false">Data!F208</f>
        <v>23538673</v>
      </c>
      <c r="AH213" s="17" t="n">
        <f aca="false">Data!C208</f>
        <v>117.74</v>
      </c>
      <c r="AI213" s="17" t="n">
        <f aca="false">Data!D208</f>
        <v>117</v>
      </c>
      <c r="AJ213" s="17" t="n">
        <f aca="false">Data!E208</f>
        <v>117.65</v>
      </c>
      <c r="AK213" s="17" t="n">
        <f aca="false">Data!F208</f>
        <v>23538673</v>
      </c>
      <c r="AL213" s="17" t="n">
        <f aca="false">AJ213</f>
        <v>117.65</v>
      </c>
      <c r="AM213" s="17" t="n">
        <f aca="false">(AL213-AL212)/AL213*100</f>
        <v>-0.509987250318737</v>
      </c>
      <c r="AN213" s="17" t="n">
        <f aca="false">(AK213-AK212)/AK213*100</f>
        <v>-104.46764352434</v>
      </c>
      <c r="AO213" s="17" t="str">
        <f aca="false">IF(AN213&lt;-8,"FITS BITCH",IF(AN213&gt;-8,"no"))</f>
        <v>FITS BITCH</v>
      </c>
      <c r="AP213" s="17" t="str">
        <f aca="false">IF(AH214&lt;AH213,"FITS BITCH",IF(AH214&gt;AH213,"no"))</f>
        <v>FITS BITCH</v>
      </c>
      <c r="AQ213" s="17" t="str">
        <f aca="false">IF(AI214&lt;AI213,"FITS BITCH",IF(AI214&gt;AI213,"no"))</f>
        <v>FITS BITCH</v>
      </c>
      <c r="AR213" s="17" t="str">
        <f aca="false">IF(AJ213&lt;AH214,"FITS BITCH",IF(AJ213&gt;AH214,"no"))</f>
        <v>no</v>
      </c>
      <c r="AS213" s="17" t="str">
        <f aca="false">IF(AJ213&gt;AJ214,"FITS BITCH",IF(AJ213&lt;AJ214,"no"))</f>
        <v>FITS BITCH</v>
      </c>
      <c r="AT213" s="91" t="str">
        <f aca="false">IF(AND($AO213="FITS BITCH",$AP213="FITS BITCH",$AR213="FITS BITCH"),"BULLISH","")</f>
        <v/>
      </c>
      <c r="AU213" s="91" t="str">
        <f aca="false">IF(AND($AO213="FITS BITCH",$AQ213="FITS BITCH",$AS213="FITS BITCH"),"BEARISH","")</f>
        <v>BEARISH</v>
      </c>
      <c r="AV213" s="86"/>
      <c r="AW213" s="86"/>
      <c r="AX213" s="86"/>
      <c r="CL213" s="99" t="n">
        <v>42831</v>
      </c>
      <c r="CM213" s="23" t="n">
        <f aca="false">$BA$68*CL213+$BA$70</f>
        <v>138.536631063064</v>
      </c>
    </row>
    <row r="214" customFormat="false" ht="15" hidden="false" customHeight="true" outlineLevel="0" collapsed="false">
      <c r="AE214" s="90" t="n">
        <f aca="false">Data!A209</f>
        <v>42664</v>
      </c>
      <c r="AF214" s="17" t="n">
        <f aca="false">Data!B209</f>
        <v>116.81</v>
      </c>
      <c r="AG214" s="17" t="n">
        <f aca="false">Data!F209</f>
        <v>23192665</v>
      </c>
      <c r="AH214" s="17" t="n">
        <f aca="false">Data!C209</f>
        <v>116.91</v>
      </c>
      <c r="AI214" s="17" t="n">
        <f aca="false">Data!D209</f>
        <v>116.28</v>
      </c>
      <c r="AJ214" s="17" t="n">
        <f aca="false">Data!E209</f>
        <v>116.6</v>
      </c>
      <c r="AK214" s="17" t="n">
        <f aca="false">Data!F209</f>
        <v>23192665</v>
      </c>
      <c r="AL214" s="17" t="n">
        <f aca="false">AJ214</f>
        <v>116.6</v>
      </c>
      <c r="AM214" s="17" t="n">
        <f aca="false">(AL214-AL213)/AL214*100</f>
        <v>-0.900514579759873</v>
      </c>
      <c r="AN214" s="17" t="n">
        <f aca="false">(AK214-AK213)/AK214*100</f>
        <v>-1.49188547327355</v>
      </c>
      <c r="AO214" s="17" t="str">
        <f aca="false">IF(AN214&lt;-8,"FITS BITCH",IF(AN214&gt;-8,"no"))</f>
        <v>no</v>
      </c>
      <c r="AP214" s="17" t="str">
        <f aca="false">IF(AH215&lt;AH214,"FITS BITCH",IF(AH215&gt;AH214,"no"))</f>
        <v>no</v>
      </c>
      <c r="AQ214" s="17" t="str">
        <f aca="false">IF(AI215&lt;AI214,"FITS BITCH",IF(AI215&gt;AI214,"no"))</f>
        <v>no</v>
      </c>
      <c r="AR214" s="17" t="str">
        <f aca="false">IF(AJ214&lt;AH215,"FITS BITCH",IF(AJ214&gt;AH215,"no"))</f>
        <v>FITS BITCH</v>
      </c>
      <c r="AS214" s="17" t="str">
        <f aca="false">IF(AJ214&gt;AJ215,"FITS BITCH",IF(AJ214&lt;AJ215,"no"))</f>
        <v>no</v>
      </c>
      <c r="AT214" s="91" t="str">
        <f aca="false">IF(AND($AO214="FITS BITCH",$AP214="FITS BITCH",$AR214="FITS BITCH"),"BULLISH","")</f>
        <v/>
      </c>
      <c r="AU214" s="91" t="str">
        <f aca="false">IF(AND($AO214="FITS BITCH",$AQ214="FITS BITCH",$AS214="FITS BITCH"),"BEARISH","")</f>
        <v/>
      </c>
      <c r="AV214" s="86"/>
      <c r="AW214" s="86"/>
      <c r="AX214" s="86"/>
      <c r="CL214" s="99" t="n">
        <v>42830</v>
      </c>
      <c r="CM214" s="23" t="n">
        <f aca="false">$BA$68*CL214+$BA$70</f>
        <v>138.382512832821</v>
      </c>
    </row>
    <row r="215" customFormat="false" ht="15" hidden="false" customHeight="true" outlineLevel="0" collapsed="false">
      <c r="AE215" s="90" t="n">
        <f aca="false">Data!A210</f>
        <v>42663</v>
      </c>
      <c r="AF215" s="17" t="n">
        <f aca="false">Data!B210</f>
        <v>116.86</v>
      </c>
      <c r="AG215" s="17" t="n">
        <f aca="false">Data!F210</f>
        <v>24125801</v>
      </c>
      <c r="AH215" s="17" t="n">
        <f aca="false">Data!C210</f>
        <v>117.38</v>
      </c>
      <c r="AI215" s="17" t="n">
        <f aca="false">Data!D210</f>
        <v>116.33</v>
      </c>
      <c r="AJ215" s="17" t="n">
        <f aca="false">Data!E210</f>
        <v>117.06</v>
      </c>
      <c r="AK215" s="17" t="n">
        <f aca="false">Data!F210</f>
        <v>24125801</v>
      </c>
      <c r="AL215" s="17" t="n">
        <f aca="false">AJ215</f>
        <v>117.06</v>
      </c>
      <c r="AM215" s="17" t="n">
        <f aca="false">(AL215-AL214)/AL215*100</f>
        <v>0.392960874765084</v>
      </c>
      <c r="AN215" s="17" t="n">
        <f aca="false">(AK215-AK214)/AK215*100</f>
        <v>3.86779282478538</v>
      </c>
      <c r="AO215" s="17" t="str">
        <f aca="false">IF(AN215&lt;-8,"FITS BITCH",IF(AN215&gt;-8,"no"))</f>
        <v>no</v>
      </c>
      <c r="AP215" s="17" t="str">
        <f aca="false">IF(AH216&lt;AH215,"FITS BITCH",IF(AH216&gt;AH215,"no"))</f>
        <v>no</v>
      </c>
      <c r="AQ215" s="17" t="str">
        <f aca="false">IF(AI216&lt;AI215,"FITS BITCH",IF(AI216&gt;AI215,"no"))</f>
        <v>FITS BITCH</v>
      </c>
      <c r="AR215" s="17" t="str">
        <f aca="false">IF(AJ215&lt;AH216,"FITS BITCH",IF(AJ215&gt;AH216,"no"))</f>
        <v>FITS BITCH</v>
      </c>
      <c r="AS215" s="17" t="str">
        <f aca="false">IF(AJ215&gt;AJ216,"FITS BITCH",IF(AJ215&lt;AJ216,"no"))</f>
        <v>no</v>
      </c>
      <c r="AT215" s="91" t="str">
        <f aca="false">IF(AND($AO215="FITS BITCH",$AP215="FITS BITCH",$AR215="FITS BITCH"),"BULLISH","")</f>
        <v/>
      </c>
      <c r="AU215" s="91" t="str">
        <f aca="false">IF(AND($AO215="FITS BITCH",$AQ215="FITS BITCH",$AS215="FITS BITCH"),"BEARISH","")</f>
        <v/>
      </c>
      <c r="AV215" s="86"/>
      <c r="AW215" s="86"/>
      <c r="AX215" s="86"/>
      <c r="CL215" s="99" t="n">
        <v>42829</v>
      </c>
      <c r="CM215" s="23" t="n">
        <f aca="false">$BA$68*CL215+$BA$70</f>
        <v>138.228394602578</v>
      </c>
    </row>
    <row r="216" customFormat="false" ht="15" hidden="false" customHeight="true" outlineLevel="0" collapsed="false">
      <c r="AE216" s="90" t="n">
        <f aca="false">Data!A211</f>
        <v>42662</v>
      </c>
      <c r="AF216" s="17" t="n">
        <f aca="false">Data!B211</f>
        <v>117.25</v>
      </c>
      <c r="AG216" s="17" t="n">
        <f aca="false">Data!F211</f>
        <v>20034594</v>
      </c>
      <c r="AH216" s="17" t="n">
        <f aca="false">Data!C211</f>
        <v>117.76</v>
      </c>
      <c r="AI216" s="17" t="n">
        <f aca="false">Data!D211</f>
        <v>113.8</v>
      </c>
      <c r="AJ216" s="17" t="n">
        <f aca="false">Data!E211</f>
        <v>117.12</v>
      </c>
      <c r="AK216" s="17" t="n">
        <f aca="false">Data!F211</f>
        <v>20034594</v>
      </c>
      <c r="AL216" s="17" t="n">
        <f aca="false">AJ216</f>
        <v>117.12</v>
      </c>
      <c r="AM216" s="17" t="n">
        <f aca="false">(AL216-AL215)/AL216*100</f>
        <v>0.0512295081967233</v>
      </c>
      <c r="AN216" s="17" t="n">
        <f aca="false">(AK216-AK215)/AK216*100</f>
        <v>-20.4207132922185</v>
      </c>
      <c r="AO216" s="17" t="str">
        <f aca="false">IF(AN216&lt;-8,"FITS BITCH",IF(AN216&gt;-8,"no"))</f>
        <v>FITS BITCH</v>
      </c>
      <c r="AP216" s="17" t="str">
        <f aca="false">IF(AH217&lt;AH216,"FITS BITCH",IF(AH217&gt;AH216,"no"))</f>
        <v>no</v>
      </c>
      <c r="AQ216" s="17" t="str">
        <f aca="false">IF(AI217&lt;AI216,"FITS BITCH",IF(AI217&gt;AI216,"no"))</f>
        <v>no</v>
      </c>
      <c r="AR216" s="17" t="str">
        <f aca="false">IF(AJ216&lt;AH217,"FITS BITCH",IF(AJ216&gt;AH217,"no"))</f>
        <v>FITS BITCH</v>
      </c>
      <c r="AS216" s="17" t="str">
        <f aca="false">IF(AJ216&gt;AJ217,"FITS BITCH",IF(AJ216&lt;AJ217,"no"))</f>
        <v>no</v>
      </c>
      <c r="AT216" s="91" t="str">
        <f aca="false">IF(AND($AO216="FITS BITCH",$AP216="FITS BITCH",$AR216="FITS BITCH"),"BULLISH","")</f>
        <v/>
      </c>
      <c r="AU216" s="91" t="str">
        <f aca="false">IF(AND($AO216="FITS BITCH",$AQ216="FITS BITCH",$AS216="FITS BITCH"),"BEARISH","")</f>
        <v/>
      </c>
      <c r="AV216" s="86"/>
      <c r="AW216" s="86"/>
      <c r="AX216" s="86"/>
      <c r="CL216" s="99" t="n">
        <v>42828</v>
      </c>
      <c r="CM216" s="23" t="n">
        <f aca="false">$BA$68*CL216+$BA$70</f>
        <v>138.074276372336</v>
      </c>
    </row>
    <row r="217" customFormat="false" ht="15" hidden="false" customHeight="true" outlineLevel="0" collapsed="false">
      <c r="AE217" s="90" t="n">
        <f aca="false">Data!A212</f>
        <v>42661</v>
      </c>
      <c r="AF217" s="17" t="n">
        <f aca="false">Data!B212</f>
        <v>118.18</v>
      </c>
      <c r="AG217" s="17" t="n">
        <f aca="false">Data!F212</f>
        <v>24553478</v>
      </c>
      <c r="AH217" s="17" t="n">
        <f aca="false">Data!C212</f>
        <v>118.21</v>
      </c>
      <c r="AI217" s="17" t="n">
        <f aca="false">Data!D212</f>
        <v>117.45</v>
      </c>
      <c r="AJ217" s="17" t="n">
        <f aca="false">Data!E212</f>
        <v>117.47</v>
      </c>
      <c r="AK217" s="17" t="n">
        <f aca="false">Data!F212</f>
        <v>24553478</v>
      </c>
      <c r="AL217" s="17" t="n">
        <f aca="false">AJ217</f>
        <v>117.47</v>
      </c>
      <c r="AM217" s="17" t="n">
        <f aca="false">(AL217-AL216)/AL217*100</f>
        <v>0.297948412360598</v>
      </c>
      <c r="AN217" s="17" t="n">
        <f aca="false">(AK217-AK216)/AK217*100</f>
        <v>18.4042521389434</v>
      </c>
      <c r="AO217" s="17" t="str">
        <f aca="false">IF(AN217&lt;-8,"FITS BITCH",IF(AN217&gt;-8,"no"))</f>
        <v>no</v>
      </c>
      <c r="AP217" s="17" t="str">
        <f aca="false">IF(AH218&lt;AH217,"FITS BITCH",IF(AH218&gt;AH217,"no"))</f>
        <v>FITS BITCH</v>
      </c>
      <c r="AQ217" s="17" t="str">
        <f aca="false">IF(AI218&lt;AI217,"FITS BITCH",IF(AI218&gt;AI217,"no"))</f>
        <v>FITS BITCH</v>
      </c>
      <c r="AR217" s="17" t="str">
        <f aca="false">IF(AJ217&lt;AH218,"FITS BITCH",IF(AJ217&gt;AH218,"no"))</f>
        <v>FITS BITCH</v>
      </c>
      <c r="AS217" s="17" t="str">
        <f aca="false">IF(AJ217&gt;AJ218,"FITS BITCH",IF(AJ217&lt;AJ218,"no"))</f>
        <v>no</v>
      </c>
      <c r="AT217" s="91" t="str">
        <f aca="false">IF(AND($AO217="FITS BITCH",$AP217="FITS BITCH",$AR217="FITS BITCH"),"BULLISH","")</f>
        <v/>
      </c>
      <c r="AU217" s="91" t="str">
        <f aca="false">IF(AND($AO217="FITS BITCH",$AQ217="FITS BITCH",$AS217="FITS BITCH"),"BEARISH","")</f>
        <v/>
      </c>
      <c r="AV217" s="86"/>
      <c r="AW217" s="86"/>
      <c r="AX217" s="86"/>
      <c r="CL217" s="99" t="n">
        <v>42825</v>
      </c>
      <c r="CM217" s="23" t="n">
        <f aca="false">$BA$68*CL217+$BA$70</f>
        <v>137.611921681608</v>
      </c>
    </row>
    <row r="218" customFormat="false" ht="15" hidden="false" customHeight="true" outlineLevel="0" collapsed="false">
      <c r="AE218" s="90" t="n">
        <f aca="false">Data!A213</f>
        <v>42660</v>
      </c>
      <c r="AF218" s="17" t="n">
        <f aca="false">Data!B213</f>
        <v>117.33</v>
      </c>
      <c r="AG218" s="17" t="n">
        <f aca="false">Data!F213</f>
        <v>23624896</v>
      </c>
      <c r="AH218" s="17" t="n">
        <f aca="false">Data!C213</f>
        <v>117.84</v>
      </c>
      <c r="AI218" s="17" t="n">
        <f aca="false">Data!D213</f>
        <v>116.78</v>
      </c>
      <c r="AJ218" s="17" t="n">
        <f aca="false">Data!E213</f>
        <v>117.55</v>
      </c>
      <c r="AK218" s="17" t="n">
        <f aca="false">Data!F213</f>
        <v>23624896</v>
      </c>
      <c r="AL218" s="17" t="n">
        <f aca="false">AJ218</f>
        <v>117.55</v>
      </c>
      <c r="AM218" s="17" t="n">
        <f aca="false">(AL218-AL217)/AL218*100</f>
        <v>0.0680561463207131</v>
      </c>
      <c r="AN218" s="17" t="n">
        <f aca="false">(AK218-AK217)/AK218*100</f>
        <v>-3.93052312272613</v>
      </c>
      <c r="AO218" s="17" t="str">
        <f aca="false">IF(AN218&lt;-8,"FITS BITCH",IF(AN218&gt;-8,"no"))</f>
        <v>no</v>
      </c>
      <c r="AP218" s="17" t="str">
        <f aca="false">IF(AH219&lt;AH218,"FITS BITCH",IF(AH219&gt;AH218,"no"))</f>
        <v>no</v>
      </c>
      <c r="AQ218" s="17" t="str">
        <f aca="false">IF(AI219&lt;AI218,"FITS BITCH",IF(AI219&gt;AI218,"no"))</f>
        <v>no</v>
      </c>
      <c r="AR218" s="17" t="str">
        <f aca="false">IF(AJ218&lt;AH219,"FITS BITCH",IF(AJ218&gt;AH219,"no"))</f>
        <v>FITS BITCH</v>
      </c>
      <c r="AS218" s="17" t="str">
        <f aca="false">IF(AJ218&gt;AJ219,"FITS BITCH",IF(AJ218&lt;AJ219,"no"))</f>
        <v>no</v>
      </c>
      <c r="AT218" s="91" t="str">
        <f aca="false">IF(AND($AO218="FITS BITCH",$AP218="FITS BITCH",$AR218="FITS BITCH"),"BULLISH","")</f>
        <v/>
      </c>
      <c r="AU218" s="91" t="str">
        <f aca="false">IF(AND($AO218="FITS BITCH",$AQ218="FITS BITCH",$AS218="FITS BITCH"),"BEARISH","")</f>
        <v/>
      </c>
      <c r="AV218" s="86"/>
      <c r="AW218" s="86"/>
      <c r="AX218" s="86"/>
      <c r="CL218" s="99" t="n">
        <v>42824</v>
      </c>
      <c r="CM218" s="23" t="n">
        <f aca="false">$BA$68*CL218+$BA$70</f>
        <v>137.457803451365</v>
      </c>
    </row>
    <row r="219" customFormat="false" ht="15" hidden="false" customHeight="true" outlineLevel="0" collapsed="false">
      <c r="AE219" s="90" t="n">
        <f aca="false">Data!A214</f>
        <v>42657</v>
      </c>
      <c r="AF219" s="17" t="n">
        <f aca="false">Data!B214</f>
        <v>117.88</v>
      </c>
      <c r="AG219" s="17" t="n">
        <f aca="false">Data!F214</f>
        <v>35652191</v>
      </c>
      <c r="AH219" s="17" t="n">
        <f aca="false">Data!C214</f>
        <v>118.17</v>
      </c>
      <c r="AI219" s="17" t="n">
        <f aca="false">Data!D214</f>
        <v>117.13</v>
      </c>
      <c r="AJ219" s="17" t="n">
        <f aca="false">Data!E214</f>
        <v>117.63</v>
      </c>
      <c r="AK219" s="17" t="n">
        <f aca="false">Data!F214</f>
        <v>35652191</v>
      </c>
      <c r="AL219" s="17" t="n">
        <f aca="false">AJ219</f>
        <v>117.63</v>
      </c>
      <c r="AM219" s="17" t="n">
        <f aca="false">(AL219-AL218)/AL219*100</f>
        <v>0.0680098614299059</v>
      </c>
      <c r="AN219" s="17" t="n">
        <f aca="false">(AK219-AK218)/AK219*100</f>
        <v>33.7350795635533</v>
      </c>
      <c r="AO219" s="17" t="str">
        <f aca="false">IF(AN219&lt;-8,"FITS BITCH",IF(AN219&gt;-8,"no"))</f>
        <v>no</v>
      </c>
      <c r="AP219" s="17" t="str">
        <f aca="false">IF(AH220&lt;AH219,"FITS BITCH",IF(AH220&gt;AH219,"no"))</f>
        <v>FITS BITCH</v>
      </c>
      <c r="AQ219" s="17" t="str">
        <f aca="false">IF(AI220&lt;AI219,"FITS BITCH",IF(AI220&gt;AI219,"no"))</f>
        <v>FITS BITCH</v>
      </c>
      <c r="AR219" s="17" t="str">
        <f aca="false">IF(AJ219&lt;AH220,"FITS BITCH",IF(AJ219&gt;AH220,"no"))</f>
        <v>no</v>
      </c>
      <c r="AS219" s="17" t="str">
        <f aca="false">IF(AJ219&gt;AJ220,"FITS BITCH",IF(AJ219&lt;AJ220,"no"))</f>
        <v>FITS BITCH</v>
      </c>
      <c r="AT219" s="91" t="str">
        <f aca="false">IF(AND($AO219="FITS BITCH",$AP219="FITS BITCH",$AR219="FITS BITCH"),"BULLISH","")</f>
        <v/>
      </c>
      <c r="AU219" s="91" t="str">
        <f aca="false">IF(AND($AO219="FITS BITCH",$AQ219="FITS BITCH",$AS219="FITS BITCH"),"BEARISH","")</f>
        <v/>
      </c>
      <c r="AV219" s="86"/>
      <c r="AW219" s="86"/>
      <c r="AX219" s="86"/>
      <c r="CL219" s="99" t="n">
        <v>42823</v>
      </c>
      <c r="CM219" s="23" t="n">
        <f aca="false">$BA$68*CL219+$BA$70</f>
        <v>137.303685221123</v>
      </c>
    </row>
    <row r="220" customFormat="false" ht="15" hidden="false" customHeight="true" outlineLevel="0" collapsed="false">
      <c r="AE220" s="90" t="n">
        <f aca="false">Data!A215</f>
        <v>42656</v>
      </c>
      <c r="AF220" s="17" t="n">
        <f aca="false">Data!B215</f>
        <v>116.79</v>
      </c>
      <c r="AG220" s="17" t="n">
        <f aca="false">Data!F215</f>
        <v>35192406</v>
      </c>
      <c r="AH220" s="17" t="n">
        <f aca="false">Data!C215</f>
        <v>117.44</v>
      </c>
      <c r="AI220" s="17" t="n">
        <f aca="false">Data!D215</f>
        <v>115.72</v>
      </c>
      <c r="AJ220" s="17" t="n">
        <f aca="false">Data!E215</f>
        <v>116.98</v>
      </c>
      <c r="AK220" s="17" t="n">
        <f aca="false">Data!F215</f>
        <v>35192406</v>
      </c>
      <c r="AL220" s="17" t="n">
        <f aca="false">AJ220</f>
        <v>116.98</v>
      </c>
      <c r="AM220" s="17" t="n">
        <f aca="false">(AL220-AL219)/AL220*100</f>
        <v>-0.555650538553592</v>
      </c>
      <c r="AN220" s="17" t="n">
        <f aca="false">(AK220-AK219)/AK220*100</f>
        <v>-1.30648924657212</v>
      </c>
      <c r="AO220" s="17" t="str">
        <f aca="false">IF(AN220&lt;-8,"FITS BITCH",IF(AN220&gt;-8,"no"))</f>
        <v>no</v>
      </c>
      <c r="AP220" s="17" t="str">
        <f aca="false">IF(AH221&lt;AH220,"FITS BITCH",IF(AH221&gt;AH220,"no"))</f>
        <v>no</v>
      </c>
      <c r="AQ220" s="17" t="str">
        <f aca="false">IF(AI221&lt;AI220,"FITS BITCH",IF(AI221&gt;AI220,"no"))</f>
        <v>no</v>
      </c>
      <c r="AR220" s="17" t="str">
        <f aca="false">IF(AJ220&lt;AH221,"FITS BITCH",IF(AJ220&gt;AH221,"no"))</f>
        <v>FITS BITCH</v>
      </c>
      <c r="AS220" s="17" t="str">
        <f aca="false">IF(AJ220&gt;AJ221,"FITS BITCH",IF(AJ220&lt;AJ221,"no"))</f>
        <v>no</v>
      </c>
      <c r="AT220" s="91" t="str">
        <f aca="false">IF(AND($AO220="FITS BITCH",$AP220="FITS BITCH",$AR220="FITS BITCH"),"BULLISH","")</f>
        <v/>
      </c>
      <c r="AU220" s="91" t="str">
        <f aca="false">IF(AND($AO220="FITS BITCH",$AQ220="FITS BITCH",$AS220="FITS BITCH"),"BEARISH","")</f>
        <v/>
      </c>
      <c r="AV220" s="86"/>
      <c r="AW220" s="86"/>
      <c r="AX220" s="86"/>
      <c r="CL220" s="99" t="n">
        <v>42822</v>
      </c>
      <c r="CM220" s="23" t="n">
        <f aca="false">$BA$68*CL220+$BA$70</f>
        <v>137.14956699088</v>
      </c>
    </row>
    <row r="221" customFormat="false" ht="15" hidden="false" customHeight="true" outlineLevel="0" collapsed="false">
      <c r="AE221" s="90" t="n">
        <f aca="false">Data!A216</f>
        <v>42655</v>
      </c>
      <c r="AF221" s="17" t="n">
        <f aca="false">Data!B216</f>
        <v>117.35</v>
      </c>
      <c r="AG221" s="17" t="n">
        <f aca="false">Data!F216</f>
        <v>37586787</v>
      </c>
      <c r="AH221" s="17" t="n">
        <f aca="false">Data!C216</f>
        <v>117.98</v>
      </c>
      <c r="AI221" s="17" t="n">
        <f aca="false">Data!D216</f>
        <v>116.75</v>
      </c>
      <c r="AJ221" s="17" t="n">
        <f aca="false">Data!E216</f>
        <v>117.34</v>
      </c>
      <c r="AK221" s="17" t="n">
        <f aca="false">Data!F216</f>
        <v>37586787</v>
      </c>
      <c r="AL221" s="17" t="n">
        <f aca="false">AJ221</f>
        <v>117.34</v>
      </c>
      <c r="AM221" s="17" t="n">
        <f aca="false">(AL221-AL220)/AL221*100</f>
        <v>0.306800749957388</v>
      </c>
      <c r="AN221" s="17" t="n">
        <f aca="false">(AK221-AK220)/AK221*100</f>
        <v>6.37027314944478</v>
      </c>
      <c r="AO221" s="17" t="str">
        <f aca="false">IF(AN221&lt;-8,"FITS BITCH",IF(AN221&gt;-8,"no"))</f>
        <v>no</v>
      </c>
      <c r="AP221" s="17" t="str">
        <f aca="false">IF(AH222&lt;AH221,"FITS BITCH",IF(AH222&gt;AH221,"no"))</f>
        <v>no</v>
      </c>
      <c r="AQ221" s="17" t="str">
        <f aca="false">IF(AI222&lt;AI221,"FITS BITCH",IF(AI222&gt;AI221,"no"))</f>
        <v>FITS BITCH</v>
      </c>
      <c r="AR221" s="17" t="str">
        <f aca="false">IF(AJ221&lt;AH222,"FITS BITCH",IF(AJ221&gt;AH222,"no"))</f>
        <v>FITS BITCH</v>
      </c>
      <c r="AS221" s="17" t="str">
        <f aca="false">IF(AJ221&gt;AJ222,"FITS BITCH",IF(AJ221&lt;AJ222,"no"))</f>
        <v>FITS BITCH</v>
      </c>
      <c r="AT221" s="91" t="str">
        <f aca="false">IF(AND($AO221="FITS BITCH",$AP221="FITS BITCH",$AR221="FITS BITCH"),"BULLISH","")</f>
        <v/>
      </c>
      <c r="AU221" s="91" t="str">
        <f aca="false">IF(AND($AO221="FITS BITCH",$AQ221="FITS BITCH",$AS221="FITS BITCH"),"BEARISH","")</f>
        <v/>
      </c>
      <c r="AV221" s="86"/>
      <c r="AW221" s="86"/>
      <c r="AX221" s="86"/>
      <c r="CL221" s="99" t="n">
        <v>42821</v>
      </c>
      <c r="CM221" s="23" t="n">
        <f aca="false">$BA$68*CL221+$BA$70</f>
        <v>136.995448760637</v>
      </c>
    </row>
    <row r="222" customFormat="false" ht="15" hidden="false" customHeight="true" outlineLevel="0" collapsed="false">
      <c r="AE222" s="90" t="n">
        <f aca="false">Data!A217</f>
        <v>42654</v>
      </c>
      <c r="AF222" s="17" t="n">
        <f aca="false">Data!B217</f>
        <v>117.7</v>
      </c>
      <c r="AG222" s="17" t="n">
        <f aca="false">Data!F217</f>
        <v>64041043</v>
      </c>
      <c r="AH222" s="17" t="n">
        <f aca="false">Data!C217</f>
        <v>118.69</v>
      </c>
      <c r="AI222" s="17" t="n">
        <f aca="false">Data!D217</f>
        <v>116.2</v>
      </c>
      <c r="AJ222" s="17" t="n">
        <f aca="false">Data!E217</f>
        <v>116.3</v>
      </c>
      <c r="AK222" s="17" t="n">
        <f aca="false">Data!F217</f>
        <v>64041043</v>
      </c>
      <c r="AL222" s="17" t="n">
        <f aca="false">AJ222</f>
        <v>116.3</v>
      </c>
      <c r="AM222" s="17" t="n">
        <f aca="false">(AL222-AL221)/AL222*100</f>
        <v>-0.89423903697335</v>
      </c>
      <c r="AN222" s="17" t="n">
        <f aca="false">(AK222-AK221)/AK222*100</f>
        <v>41.3082841264781</v>
      </c>
      <c r="AO222" s="17" t="str">
        <f aca="false">IF(AN222&lt;-8,"FITS BITCH",IF(AN222&gt;-8,"no"))</f>
        <v>no</v>
      </c>
      <c r="AP222" s="17" t="str">
        <f aca="false">IF(AH223&lt;AH222,"FITS BITCH",IF(AH223&gt;AH222,"no"))</f>
        <v>FITS BITCH</v>
      </c>
      <c r="AQ222" s="17" t="str">
        <f aca="false">IF(AI223&lt;AI222,"FITS BITCH",IF(AI223&gt;AI222,"no"))</f>
        <v>FITS BITCH</v>
      </c>
      <c r="AR222" s="17" t="str">
        <f aca="false">IF(AJ222&lt;AH223,"FITS BITCH",IF(AJ222&gt;AH223,"no"))</f>
        <v>FITS BITCH</v>
      </c>
      <c r="AS222" s="17" t="str">
        <f aca="false">IF(AJ222&gt;AJ223,"FITS BITCH",IF(AJ222&lt;AJ223,"no"))</f>
        <v>FITS BITCH</v>
      </c>
      <c r="AT222" s="91" t="str">
        <f aca="false">IF(AND($AO222="FITS BITCH",$AP222="FITS BITCH",$AR222="FITS BITCH"),"BULLISH","")</f>
        <v/>
      </c>
      <c r="AU222" s="91" t="str">
        <f aca="false">IF(AND($AO222="FITS BITCH",$AQ222="FITS BITCH",$AS222="FITS BITCH"),"BEARISH","")</f>
        <v/>
      </c>
      <c r="AV222" s="86"/>
      <c r="AW222" s="86"/>
      <c r="AX222" s="86"/>
      <c r="CL222" s="99" t="n">
        <v>42818</v>
      </c>
      <c r="CM222" s="23" t="n">
        <f aca="false">$BA$68*CL222+$BA$70</f>
        <v>136.533094069909</v>
      </c>
    </row>
    <row r="223" customFormat="false" ht="15" hidden="false" customHeight="true" outlineLevel="0" collapsed="false">
      <c r="AE223" s="90" t="n">
        <f aca="false">Data!A218</f>
        <v>42653</v>
      </c>
      <c r="AF223" s="17" t="n">
        <f aca="false">Data!B218</f>
        <v>115.02</v>
      </c>
      <c r="AG223" s="17" t="n">
        <f aca="false">Data!F218</f>
        <v>36235956</v>
      </c>
      <c r="AH223" s="17" t="n">
        <f aca="false">Data!C218</f>
        <v>116.75</v>
      </c>
      <c r="AI223" s="17" t="n">
        <f aca="false">Data!D218</f>
        <v>114.72</v>
      </c>
      <c r="AJ223" s="17" t="n">
        <f aca="false">Data!E218</f>
        <v>116.05</v>
      </c>
      <c r="AK223" s="17" t="n">
        <f aca="false">Data!F218</f>
        <v>36235956</v>
      </c>
      <c r="AL223" s="17" t="n">
        <f aca="false">AJ223</f>
        <v>116.05</v>
      </c>
      <c r="AM223" s="17" t="n">
        <f aca="false">(AL223-AL222)/AL223*100</f>
        <v>-0.2154243860405</v>
      </c>
      <c r="AN223" s="17" t="n">
        <f aca="false">(AK223-AK222)/AK223*100</f>
        <v>-76.7334163889591</v>
      </c>
      <c r="AO223" s="17" t="str">
        <f aca="false">IF(AN223&lt;-8,"FITS BITCH",IF(AN223&gt;-8,"no"))</f>
        <v>FITS BITCH</v>
      </c>
      <c r="AP223" s="17" t="str">
        <f aca="false">IF(AH224&lt;AH223,"FITS BITCH",IF(AH224&gt;AH223,"no"))</f>
        <v>FITS BITCH</v>
      </c>
      <c r="AQ223" s="17" t="str">
        <f aca="false">IF(AI224&lt;AI223,"FITS BITCH",IF(AI224&gt;AI223,"no"))</f>
        <v>FITS BITCH</v>
      </c>
      <c r="AR223" s="17" t="str">
        <f aca="false">IF(AJ223&lt;AH224,"FITS BITCH",IF(AJ223&gt;AH224,"no"))</f>
        <v>no</v>
      </c>
      <c r="AS223" s="17" t="str">
        <f aca="false">IF(AJ223&gt;AJ224,"FITS BITCH",IF(AJ223&lt;AJ224,"no"))</f>
        <v>FITS BITCH</v>
      </c>
      <c r="AT223" s="91" t="str">
        <f aca="false">IF(AND($AO223="FITS BITCH",$AP223="FITS BITCH",$AR223="FITS BITCH"),"BULLISH","")</f>
        <v/>
      </c>
      <c r="AU223" s="91" t="str">
        <f aca="false">IF(AND($AO223="FITS BITCH",$AQ223="FITS BITCH",$AS223="FITS BITCH"),"BEARISH","")</f>
        <v>BEARISH</v>
      </c>
      <c r="AV223" s="86"/>
      <c r="AW223" s="86"/>
      <c r="AX223" s="86"/>
      <c r="CL223" s="99" t="n">
        <v>42817</v>
      </c>
      <c r="CM223" s="23" t="n">
        <f aca="false">$BA$68*CL223+$BA$70</f>
        <v>136.378975839666</v>
      </c>
    </row>
    <row r="224" customFormat="false" ht="15" hidden="false" customHeight="true" outlineLevel="0" collapsed="false">
      <c r="AE224" s="90" t="n">
        <f aca="false">Data!A219</f>
        <v>42650</v>
      </c>
      <c r="AF224" s="17" t="n">
        <f aca="false">Data!B219</f>
        <v>114.31</v>
      </c>
      <c r="AG224" s="17" t="n">
        <f aca="false">Data!F219</f>
        <v>24358443</v>
      </c>
      <c r="AH224" s="17" t="n">
        <f aca="false">Data!C219</f>
        <v>114.56</v>
      </c>
      <c r="AI224" s="17" t="n">
        <f aca="false">Data!D219</f>
        <v>113.51</v>
      </c>
      <c r="AJ224" s="17" t="n">
        <f aca="false">Data!E219</f>
        <v>114.06</v>
      </c>
      <c r="AK224" s="17" t="n">
        <f aca="false">Data!F219</f>
        <v>24358443</v>
      </c>
      <c r="AL224" s="17" t="n">
        <f aca="false">AJ224</f>
        <v>114.06</v>
      </c>
      <c r="AM224" s="17" t="n">
        <f aca="false">(AL224-AL223)/AL224*100</f>
        <v>-1.74469577415395</v>
      </c>
      <c r="AN224" s="17" t="n">
        <f aca="false">(AK224-AK223)/AK224*100</f>
        <v>-48.761380191665</v>
      </c>
      <c r="AO224" s="17" t="str">
        <f aca="false">IF(AN224&lt;-8,"FITS BITCH",IF(AN224&gt;-8,"no"))</f>
        <v>FITS BITCH</v>
      </c>
      <c r="AP224" s="17" t="str">
        <f aca="false">IF(AH225&lt;AH224,"FITS BITCH",IF(AH225&gt;AH224,"no"))</f>
        <v>FITS BITCH</v>
      </c>
      <c r="AQ224" s="17" t="str">
        <f aca="false">IF(AI225&lt;AI224,"FITS BITCH",IF(AI225&gt;AI224,"no"))</f>
        <v>FITS BITCH</v>
      </c>
      <c r="AR224" s="17" t="str">
        <f aca="false">IF(AJ224&lt;AH225,"FITS BITCH",IF(AJ224&gt;AH225,"no"))</f>
        <v>FITS BITCH</v>
      </c>
      <c r="AS224" s="17" t="str">
        <f aca="false">IF(AJ224&gt;AJ225,"FITS BITCH",IF(AJ224&lt;AJ225,"no"))</f>
        <v>FITS BITCH</v>
      </c>
      <c r="AT224" s="91" t="str">
        <f aca="false">IF(AND($AO224="FITS BITCH",$AP224="FITS BITCH",$AR224="FITS BITCH"),"BULLISH","")</f>
        <v>BULLISH</v>
      </c>
      <c r="AU224" s="91" t="str">
        <f aca="false">IF(AND($AO224="FITS BITCH",$AQ224="FITS BITCH",$AS224="FITS BITCH"),"BEARISH","")</f>
        <v>BEARISH</v>
      </c>
      <c r="AV224" s="86"/>
      <c r="AW224" s="86"/>
      <c r="AX224" s="86"/>
      <c r="CL224" s="99" t="n">
        <v>42816</v>
      </c>
      <c r="CM224" s="23" t="n">
        <f aca="false">$BA$68*CL224+$BA$70</f>
        <v>136.224857609423</v>
      </c>
    </row>
    <row r="225" customFormat="false" ht="15" hidden="false" customHeight="true" outlineLevel="0" collapsed="false">
      <c r="AE225" s="90" t="n">
        <f aca="false">Data!A220</f>
        <v>42649</v>
      </c>
      <c r="AF225" s="17" t="n">
        <f aca="false">Data!B220</f>
        <v>113.7</v>
      </c>
      <c r="AG225" s="17" t="n">
        <f aca="false">Data!F220</f>
        <v>28779313</v>
      </c>
      <c r="AH225" s="17" t="n">
        <f aca="false">Data!C220</f>
        <v>114.34</v>
      </c>
      <c r="AI225" s="17" t="n">
        <f aca="false">Data!D220</f>
        <v>113.13</v>
      </c>
      <c r="AJ225" s="17" t="n">
        <f aca="false">Data!E220</f>
        <v>113.89</v>
      </c>
      <c r="AK225" s="17" t="n">
        <f aca="false">Data!F220</f>
        <v>28779313</v>
      </c>
      <c r="AL225" s="17" t="n">
        <f aca="false">AJ225</f>
        <v>113.89</v>
      </c>
      <c r="AM225" s="17" t="n">
        <f aca="false">(AL225-AL224)/AL225*100</f>
        <v>-0.14926683642111</v>
      </c>
      <c r="AN225" s="17" t="n">
        <f aca="false">(AK225-AK224)/AK225*100</f>
        <v>15.3612770395179</v>
      </c>
      <c r="AO225" s="17" t="str">
        <f aca="false">IF(AN225&lt;-8,"FITS BITCH",IF(AN225&gt;-8,"no"))</f>
        <v>no</v>
      </c>
      <c r="AP225" s="17" t="str">
        <f aca="false">IF(AH226&lt;AH225,"FITS BITCH",IF(AH226&gt;AH225,"no"))</f>
        <v>FITS BITCH</v>
      </c>
      <c r="AQ225" s="17" t="str">
        <f aca="false">IF(AI226&lt;AI225,"FITS BITCH",IF(AI226&gt;AI225,"no"))</f>
        <v>FITS BITCH</v>
      </c>
      <c r="AR225" s="17" t="str">
        <f aca="false">IF(AJ225&lt;AH226,"FITS BITCH",IF(AJ225&gt;AH226,"no"))</f>
        <v>no</v>
      </c>
      <c r="AS225" s="17" t="str">
        <f aca="false">IF(AJ225&gt;AJ226,"FITS BITCH",IF(AJ225&lt;AJ226,"no"))</f>
        <v>FITS BITCH</v>
      </c>
      <c r="AT225" s="91" t="str">
        <f aca="false">IF(AND($AO225="FITS BITCH",$AP225="FITS BITCH",$AR225="FITS BITCH"),"BULLISH","")</f>
        <v/>
      </c>
      <c r="AU225" s="91" t="str">
        <f aca="false">IF(AND($AO225="FITS BITCH",$AQ225="FITS BITCH",$AS225="FITS BITCH"),"BEARISH","")</f>
        <v/>
      </c>
      <c r="AV225" s="86"/>
      <c r="AW225" s="86"/>
      <c r="AX225" s="86"/>
      <c r="CL225" s="99" t="n">
        <v>42815</v>
      </c>
      <c r="CM225" s="23" t="n">
        <f aca="false">$BA$68*CL225+$BA$70</f>
        <v>136.070739379181</v>
      </c>
    </row>
    <row r="226" customFormat="false" ht="15" hidden="false" customHeight="true" outlineLevel="0" collapsed="false">
      <c r="AE226" s="90" t="n">
        <f aca="false">Data!A221</f>
        <v>42648</v>
      </c>
      <c r="AF226" s="17" t="n">
        <f aca="false">Data!B221</f>
        <v>113.4</v>
      </c>
      <c r="AG226" s="17" t="n">
        <f aca="false">Data!F221</f>
        <v>21453089</v>
      </c>
      <c r="AH226" s="17" t="n">
        <f aca="false">Data!C221</f>
        <v>113.66</v>
      </c>
      <c r="AI226" s="17" t="n">
        <f aca="false">Data!D221</f>
        <v>112.69</v>
      </c>
      <c r="AJ226" s="17" t="n">
        <f aca="false">Data!E221</f>
        <v>113.05</v>
      </c>
      <c r="AK226" s="17" t="n">
        <f aca="false">Data!F221</f>
        <v>21453089</v>
      </c>
      <c r="AL226" s="17" t="n">
        <f aca="false">AJ226</f>
        <v>113.05</v>
      </c>
      <c r="AM226" s="17" t="n">
        <f aca="false">(AL226-AL225)/AL226*100</f>
        <v>-0.743034055727557</v>
      </c>
      <c r="AN226" s="17" t="n">
        <f aca="false">(AK226-AK225)/AK226*100</f>
        <v>-34.1499725284317</v>
      </c>
      <c r="AO226" s="17" t="str">
        <f aca="false">IF(AN226&lt;-8,"FITS BITCH",IF(AN226&gt;-8,"no"))</f>
        <v>FITS BITCH</v>
      </c>
      <c r="AP226" s="17" t="str">
        <f aca="false">IF(AH227&lt;AH226,"FITS BITCH",IF(AH227&gt;AH226,"no"))</f>
        <v>no</v>
      </c>
      <c r="AQ226" s="17" t="str">
        <f aca="false">IF(AI227&lt;AI226,"FITS BITCH",IF(AI227&gt;AI226,"no"))</f>
        <v>FITS BITCH</v>
      </c>
      <c r="AR226" s="17" t="str">
        <f aca="false">IF(AJ226&lt;AH227,"FITS BITCH",IF(AJ226&gt;AH227,"no"))</f>
        <v>FITS BITCH</v>
      </c>
      <c r="AS226" s="17" t="str">
        <f aca="false">IF(AJ226&gt;AJ227,"FITS BITCH",IF(AJ226&lt;AJ227,"no"))</f>
        <v>FITS BITCH</v>
      </c>
      <c r="AT226" s="91" t="str">
        <f aca="false">IF(AND($AO226="FITS BITCH",$AP226="FITS BITCH",$AR226="FITS BITCH"),"BULLISH","")</f>
        <v/>
      </c>
      <c r="AU226" s="91" t="str">
        <f aca="false">IF(AND($AO226="FITS BITCH",$AQ226="FITS BITCH",$AS226="FITS BITCH"),"BEARISH","")</f>
        <v>BEARISH</v>
      </c>
      <c r="AV226" s="86"/>
      <c r="AW226" s="86"/>
      <c r="AX226" s="86"/>
      <c r="CL226" s="99" t="n">
        <v>42814</v>
      </c>
      <c r="CM226" s="23" t="n">
        <f aca="false">$BA$68*CL226+$BA$70</f>
        <v>135.916621148938</v>
      </c>
    </row>
    <row r="227" customFormat="false" ht="15" hidden="false" customHeight="true" outlineLevel="0" collapsed="false">
      <c r="AE227" s="90" t="n">
        <f aca="false">Data!A222</f>
        <v>42647</v>
      </c>
      <c r="AF227" s="17" t="n">
        <f aca="false">Data!B222</f>
        <v>113.06</v>
      </c>
      <c r="AG227" s="17" t="n">
        <f aca="false">Data!F222</f>
        <v>29736835</v>
      </c>
      <c r="AH227" s="17" t="n">
        <f aca="false">Data!C222</f>
        <v>114.31</v>
      </c>
      <c r="AI227" s="17" t="n">
        <f aca="false">Data!D222</f>
        <v>112.63</v>
      </c>
      <c r="AJ227" s="17" t="n">
        <f aca="false">Data!E222</f>
        <v>113</v>
      </c>
      <c r="AK227" s="17" t="n">
        <f aca="false">Data!F222</f>
        <v>29736835</v>
      </c>
      <c r="AL227" s="17" t="n">
        <f aca="false">AJ227</f>
        <v>113</v>
      </c>
      <c r="AM227" s="17" t="n">
        <f aca="false">(AL227-AL226)/AL227*100</f>
        <v>-0.044247787610617</v>
      </c>
      <c r="AN227" s="17" t="n">
        <f aca="false">(AK227-AK226)/AK227*100</f>
        <v>27.8568516118141</v>
      </c>
      <c r="AO227" s="17" t="str">
        <f aca="false">IF(AN227&lt;-8,"FITS BITCH",IF(AN227&gt;-8,"no"))</f>
        <v>no</v>
      </c>
      <c r="AP227" s="17" t="str">
        <f aca="false">IF(AH228&lt;AH227,"FITS BITCH",IF(AH228&gt;AH227,"no"))</f>
        <v>FITS BITCH</v>
      </c>
      <c r="AQ227" s="17" t="str">
        <f aca="false">IF(AI228&lt;AI227,"FITS BITCH",IF(AI228&gt;AI227,"no"))</f>
        <v>FITS BITCH</v>
      </c>
      <c r="AR227" s="17" t="str">
        <f aca="false">IF(AJ227&lt;AH228,"FITS BITCH",IF(AJ227&gt;AH228,"no"))</f>
        <v>FITS BITCH</v>
      </c>
      <c r="AS227" s="17" t="str">
        <f aca="false">IF(AJ227&gt;AJ228,"FITS BITCH",IF(AJ227&lt;AJ228,"no"))</f>
        <v>FITS BITCH</v>
      </c>
      <c r="AT227" s="91" t="str">
        <f aca="false">IF(AND($AO227="FITS BITCH",$AP227="FITS BITCH",$AR227="FITS BITCH"),"BULLISH","")</f>
        <v/>
      </c>
      <c r="AU227" s="91" t="str">
        <f aca="false">IF(AND($AO227="FITS BITCH",$AQ227="FITS BITCH",$AS227="FITS BITCH"),"BEARISH","")</f>
        <v/>
      </c>
      <c r="AV227" s="86"/>
      <c r="AW227" s="86"/>
      <c r="AX227" s="86"/>
      <c r="CL227" s="99" t="n">
        <v>42811</v>
      </c>
      <c r="CM227" s="23" t="n">
        <f aca="false">$BA$68*CL227+$BA$70</f>
        <v>135.45426645821</v>
      </c>
    </row>
    <row r="228" customFormat="false" ht="15" hidden="false" customHeight="true" outlineLevel="0" collapsed="false">
      <c r="AE228" s="90" t="n">
        <f aca="false">Data!A223</f>
        <v>42646</v>
      </c>
      <c r="AF228" s="17" t="n">
        <f aca="false">Data!B223</f>
        <v>112.71</v>
      </c>
      <c r="AG228" s="17" t="n">
        <f aca="false">Data!F223</f>
        <v>21701760</v>
      </c>
      <c r="AH228" s="17" t="n">
        <f aca="false">Data!C223</f>
        <v>113.05</v>
      </c>
      <c r="AI228" s="17" t="n">
        <f aca="false">Data!D223</f>
        <v>112.28</v>
      </c>
      <c r="AJ228" s="17" t="n">
        <f aca="false">Data!E223</f>
        <v>112.52</v>
      </c>
      <c r="AK228" s="17" t="n">
        <f aca="false">Data!F223</f>
        <v>21701760</v>
      </c>
      <c r="AL228" s="17" t="n">
        <f aca="false">AJ228</f>
        <v>112.52</v>
      </c>
      <c r="AM228" s="17" t="n">
        <f aca="false">(AL228-AL227)/AL228*100</f>
        <v>-0.426590828297195</v>
      </c>
      <c r="AN228" s="17" t="n">
        <f aca="false">(AK228-AK227)/AK228*100</f>
        <v>-37.0249924430092</v>
      </c>
      <c r="AO228" s="17" t="str">
        <f aca="false">IF(AN228&lt;-8,"FITS BITCH",IF(AN228&gt;-8,"no"))</f>
        <v>FITS BITCH</v>
      </c>
      <c r="AP228" s="17" t="str">
        <f aca="false">IF(AH229&lt;AH228,"FITS BITCH",IF(AH229&gt;AH228,"no"))</f>
        <v>no</v>
      </c>
      <c r="AQ228" s="17" t="str">
        <f aca="false">IF(AI229&lt;AI228,"FITS BITCH",IF(AI229&gt;AI228,"no"))</f>
        <v>FITS BITCH</v>
      </c>
      <c r="AR228" s="17" t="str">
        <f aca="false">IF(AJ228&lt;AH229,"FITS BITCH",IF(AJ228&gt;AH229,"no"))</f>
        <v>FITS BITCH</v>
      </c>
      <c r="AS228" s="17" t="str">
        <f aca="false">IF(AJ228&gt;AJ229,"FITS BITCH",IF(AJ228&lt;AJ229,"no"))</f>
        <v>no</v>
      </c>
      <c r="AT228" s="91" t="str">
        <f aca="false">IF(AND($AO228="FITS BITCH",$AP228="FITS BITCH",$AR228="FITS BITCH"),"BULLISH","")</f>
        <v/>
      </c>
      <c r="AU228" s="91" t="str">
        <f aca="false">IF(AND($AO228="FITS BITCH",$AQ228="FITS BITCH",$AS228="FITS BITCH"),"BEARISH","")</f>
        <v/>
      </c>
      <c r="AV228" s="86"/>
      <c r="AW228" s="86"/>
      <c r="AX228" s="86"/>
      <c r="CL228" s="99" t="n">
        <v>42810</v>
      </c>
      <c r="CM228" s="23" t="n">
        <f aca="false">$BA$68*CL228+$BA$70</f>
        <v>135.300148227968</v>
      </c>
    </row>
    <row r="229" customFormat="false" ht="15" hidden="false" customHeight="true" outlineLevel="0" collapsed="false">
      <c r="AE229" s="90" t="n">
        <f aca="false">Data!A224</f>
        <v>42643</v>
      </c>
      <c r="AF229" s="17" t="n">
        <f aca="false">Data!B224</f>
        <v>112.46</v>
      </c>
      <c r="AG229" s="17" t="n">
        <f aca="false">Data!F224</f>
        <v>36379106</v>
      </c>
      <c r="AH229" s="17" t="n">
        <f aca="false">Data!C224</f>
        <v>113.37</v>
      </c>
      <c r="AI229" s="17" t="n">
        <f aca="false">Data!D224</f>
        <v>111.8</v>
      </c>
      <c r="AJ229" s="17" t="n">
        <f aca="false">Data!E224</f>
        <v>113.05</v>
      </c>
      <c r="AK229" s="17" t="n">
        <f aca="false">Data!F224</f>
        <v>36379106</v>
      </c>
      <c r="AL229" s="17" t="n">
        <f aca="false">AJ229</f>
        <v>113.05</v>
      </c>
      <c r="AM229" s="17" t="n">
        <f aca="false">(AL229-AL228)/AL229*100</f>
        <v>0.468819106590005</v>
      </c>
      <c r="AN229" s="17" t="n">
        <f aca="false">(AK229-AK228)/AK229*100</f>
        <v>40.345537902993</v>
      </c>
      <c r="AO229" s="17" t="str">
        <f aca="false">IF(AN229&lt;-8,"FITS BITCH",IF(AN229&gt;-8,"no"))</f>
        <v>no</v>
      </c>
      <c r="AP229" s="17" t="str">
        <f aca="false">IF(AH230&lt;AH229,"FITS BITCH",IF(AH230&gt;AH229,"no"))</f>
        <v>no</v>
      </c>
      <c r="AQ229" s="17" t="n">
        <f aca="false">IF(AI230&lt;AI229,"FITS BITCH",IF(AI230&gt;AI229,"no"))</f>
        <v>0</v>
      </c>
      <c r="AR229" s="17" t="str">
        <f aca="false">IF(AJ229&lt;AH230,"FITS BITCH",IF(AJ229&gt;AH230,"no"))</f>
        <v>FITS BITCH</v>
      </c>
      <c r="AS229" s="17" t="str">
        <f aca="false">IF(AJ229&gt;AJ230,"FITS BITCH",IF(AJ229&lt;AJ230,"no"))</f>
        <v>FITS BITCH</v>
      </c>
      <c r="AT229" s="91" t="str">
        <f aca="false">IF(AND($AO229="FITS BITCH",$AP229="FITS BITCH",$AR229="FITS BITCH"),"BULLISH","")</f>
        <v/>
      </c>
      <c r="AU229" s="91" t="str">
        <f aca="false">IF(AND($AO229="FITS BITCH",$AQ229="FITS BITCH",$AS229="FITS BITCH"),"BEARISH","")</f>
        <v/>
      </c>
      <c r="AV229" s="86"/>
      <c r="AW229" s="86"/>
      <c r="AX229" s="86"/>
      <c r="CL229" s="99" t="n">
        <v>42809</v>
      </c>
      <c r="CM229" s="23" t="n">
        <f aca="false">$BA$68*CL229+$BA$70</f>
        <v>135.146029997724</v>
      </c>
    </row>
    <row r="230" customFormat="false" ht="15" hidden="false" customHeight="true" outlineLevel="0" collapsed="false">
      <c r="AE230" s="90" t="n">
        <f aca="false">Data!A225</f>
        <v>42642</v>
      </c>
      <c r="AF230" s="17" t="n">
        <f aca="false">Data!B225</f>
        <v>113.16</v>
      </c>
      <c r="AG230" s="17" t="n">
        <f aca="false">Data!F225</f>
        <v>35886990</v>
      </c>
      <c r="AH230" s="17" t="n">
        <f aca="false">Data!C225</f>
        <v>113.8</v>
      </c>
      <c r="AI230" s="17" t="n">
        <f aca="false">Data!D225</f>
        <v>111.8</v>
      </c>
      <c r="AJ230" s="17" t="n">
        <f aca="false">Data!E225</f>
        <v>112.18</v>
      </c>
      <c r="AK230" s="17" t="n">
        <f aca="false">Data!F225</f>
        <v>35886990</v>
      </c>
      <c r="AL230" s="17" t="n">
        <f aca="false">AJ230</f>
        <v>112.18</v>
      </c>
      <c r="AM230" s="17" t="n">
        <f aca="false">(AL230-AL229)/AL230*100</f>
        <v>-0.77553931182028</v>
      </c>
      <c r="AN230" s="17" t="n">
        <f aca="false">(AK230-AK229)/AK230*100</f>
        <v>-1.37129360807357</v>
      </c>
      <c r="AO230" s="17" t="str">
        <f aca="false">IF(AN230&lt;-8,"FITS BITCH",IF(AN230&gt;-8,"no"))</f>
        <v>no</v>
      </c>
      <c r="AP230" s="17" t="str">
        <f aca="false">IF(AH231&lt;AH230,"FITS BITCH",IF(AH231&gt;AH230,"no"))</f>
        <v>no</v>
      </c>
      <c r="AQ230" s="17" t="str">
        <f aca="false">IF(AI231&lt;AI230,"FITS BITCH",IF(AI231&gt;AI230,"no"))</f>
        <v>no</v>
      </c>
      <c r="AR230" s="17" t="str">
        <f aca="false">IF(AJ230&lt;AH231,"FITS BITCH",IF(AJ230&gt;AH231,"no"))</f>
        <v>FITS BITCH</v>
      </c>
      <c r="AS230" s="17" t="str">
        <f aca="false">IF(AJ230&gt;AJ231,"FITS BITCH",IF(AJ230&lt;AJ231,"no"))</f>
        <v>no</v>
      </c>
      <c r="AT230" s="91" t="str">
        <f aca="false">IF(AND($AO230="FITS BITCH",$AP230="FITS BITCH",$AR230="FITS BITCH"),"BULLISH","")</f>
        <v/>
      </c>
      <c r="AU230" s="91" t="str">
        <f aca="false">IF(AND($AO230="FITS BITCH",$AQ230="FITS BITCH",$AS230="FITS BITCH"),"BEARISH","")</f>
        <v/>
      </c>
      <c r="AV230" s="86"/>
      <c r="AW230" s="86"/>
      <c r="AX230" s="86"/>
      <c r="CL230" s="99" t="n">
        <v>42808</v>
      </c>
      <c r="CM230" s="23" t="n">
        <f aca="false">$BA$68*CL230+$BA$70</f>
        <v>134.991911767482</v>
      </c>
    </row>
    <row r="231" customFormat="false" ht="15" hidden="false" customHeight="true" outlineLevel="0" collapsed="false">
      <c r="AE231" s="90" t="n">
        <f aca="false">Data!A226</f>
        <v>42641</v>
      </c>
      <c r="AF231" s="17" t="n">
        <f aca="false">Data!B226</f>
        <v>113.69</v>
      </c>
      <c r="AG231" s="17" t="n">
        <f aca="false">Data!F226</f>
        <v>29641085</v>
      </c>
      <c r="AH231" s="17" t="n">
        <f aca="false">Data!C226</f>
        <v>114.64</v>
      </c>
      <c r="AI231" s="17" t="n">
        <f aca="false">Data!D226</f>
        <v>113.43</v>
      </c>
      <c r="AJ231" s="17" t="n">
        <f aca="false">Data!E226</f>
        <v>113.95</v>
      </c>
      <c r="AK231" s="17" t="n">
        <f aca="false">Data!F226</f>
        <v>29641085</v>
      </c>
      <c r="AL231" s="17" t="n">
        <f aca="false">AJ231</f>
        <v>113.95</v>
      </c>
      <c r="AM231" s="17" t="n">
        <f aca="false">(AL231-AL230)/AL231*100</f>
        <v>1.55331285651601</v>
      </c>
      <c r="AN231" s="17" t="n">
        <f aca="false">(AK231-AK230)/AK231*100</f>
        <v>-21.0717826287398</v>
      </c>
      <c r="AO231" s="17" t="str">
        <f aca="false">IF(AN231&lt;-8,"FITS BITCH",IF(AN231&gt;-8,"no"))</f>
        <v>FITS BITCH</v>
      </c>
      <c r="AP231" s="17" t="str">
        <f aca="false">IF(AH232&lt;AH231,"FITS BITCH",IF(AH232&gt;AH231,"no"))</f>
        <v>FITS BITCH</v>
      </c>
      <c r="AQ231" s="17" t="str">
        <f aca="false">IF(AI232&lt;AI231,"FITS BITCH",IF(AI232&gt;AI231,"no"))</f>
        <v>FITS BITCH</v>
      </c>
      <c r="AR231" s="17" t="str">
        <f aca="false">IF(AJ231&lt;AH232,"FITS BITCH",IF(AJ231&gt;AH232,"no"))</f>
        <v>no</v>
      </c>
      <c r="AS231" s="17" t="str">
        <f aca="false">IF(AJ231&gt;AJ232,"FITS BITCH",IF(AJ231&lt;AJ232,"no"))</f>
        <v>FITS BITCH</v>
      </c>
      <c r="AT231" s="91" t="str">
        <f aca="false">IF(AND($AO231="FITS BITCH",$AP231="FITS BITCH",$AR231="FITS BITCH"),"BULLISH","")</f>
        <v/>
      </c>
      <c r="AU231" s="91" t="str">
        <f aca="false">IF(AND($AO231="FITS BITCH",$AQ231="FITS BITCH",$AS231="FITS BITCH"),"BEARISH","")</f>
        <v>BEARISH</v>
      </c>
      <c r="AV231" s="86"/>
      <c r="AW231" s="86"/>
      <c r="AX231" s="86"/>
      <c r="CL231" s="99" t="n">
        <v>42807</v>
      </c>
      <c r="CM231" s="23" t="n">
        <f aca="false">$BA$68*CL231+$BA$70</f>
        <v>134.837793537239</v>
      </c>
    </row>
    <row r="232" customFormat="false" ht="15" hidden="false" customHeight="true" outlineLevel="0" collapsed="false">
      <c r="AE232" s="90" t="n">
        <f aca="false">Data!A227</f>
        <v>42640</v>
      </c>
      <c r="AF232" s="17" t="n">
        <f aca="false">Data!B227</f>
        <v>113</v>
      </c>
      <c r="AG232" s="17" t="n">
        <f aca="false">Data!F227</f>
        <v>24607412</v>
      </c>
      <c r="AH232" s="17" t="n">
        <f aca="false">Data!C227</f>
        <v>113.18</v>
      </c>
      <c r="AI232" s="17" t="n">
        <f aca="false">Data!D227</f>
        <v>112.34</v>
      </c>
      <c r="AJ232" s="17" t="n">
        <f aca="false">Data!E227</f>
        <v>113.09</v>
      </c>
      <c r="AK232" s="17" t="n">
        <f aca="false">Data!F227</f>
        <v>24607412</v>
      </c>
      <c r="AL232" s="17" t="n">
        <f aca="false">AJ232</f>
        <v>113.09</v>
      </c>
      <c r="AM232" s="17" t="n">
        <f aca="false">(AL232-AL231)/AL232*100</f>
        <v>-0.760456273764258</v>
      </c>
      <c r="AN232" s="17" t="n">
        <f aca="false">(AK232-AK231)/AK232*100</f>
        <v>-20.4559219799303</v>
      </c>
      <c r="AO232" s="17" t="str">
        <f aca="false">IF(AN232&lt;-8,"FITS BITCH",IF(AN232&gt;-8,"no"))</f>
        <v>FITS BITCH</v>
      </c>
      <c r="AP232" s="17" t="str">
        <f aca="false">IF(AH233&lt;AH232,"FITS BITCH",IF(AH233&gt;AH232,"no"))</f>
        <v>no</v>
      </c>
      <c r="AQ232" s="17" t="str">
        <f aca="false">IF(AI233&lt;AI232,"FITS BITCH",IF(AI233&gt;AI232,"no"))</f>
        <v>FITS BITCH</v>
      </c>
      <c r="AR232" s="17" t="str">
        <f aca="false">IF(AJ232&lt;AH233,"FITS BITCH",IF(AJ232&gt;AH233,"no"))</f>
        <v>FITS BITCH</v>
      </c>
      <c r="AS232" s="17" t="str">
        <f aca="false">IF(AJ232&gt;AJ233,"FITS BITCH",IF(AJ232&lt;AJ233,"no"))</f>
        <v>FITS BITCH</v>
      </c>
      <c r="AT232" s="91" t="str">
        <f aca="false">IF(AND($AO232="FITS BITCH",$AP232="FITS BITCH",$AR232="FITS BITCH"),"BULLISH","")</f>
        <v/>
      </c>
      <c r="AU232" s="91" t="str">
        <f aca="false">IF(AND($AO232="FITS BITCH",$AQ232="FITS BITCH",$AS232="FITS BITCH"),"BEARISH","")</f>
        <v>BEARISH</v>
      </c>
      <c r="AV232" s="86"/>
      <c r="AW232" s="86"/>
      <c r="AX232" s="86"/>
      <c r="CL232" s="99" t="n">
        <v>42804</v>
      </c>
      <c r="CM232" s="23" t="n">
        <f aca="false">$BA$68*CL232+$BA$70</f>
        <v>134.375438846511</v>
      </c>
    </row>
    <row r="233" customFormat="false" ht="15" hidden="false" customHeight="true" outlineLevel="0" collapsed="false">
      <c r="AE233" s="90" t="n">
        <f aca="false">Data!A228</f>
        <v>42639</v>
      </c>
      <c r="AF233" s="17" t="n">
        <f aca="false">Data!B228</f>
        <v>111.64</v>
      </c>
      <c r="AG233" s="17" t="n">
        <f aca="false">Data!F228</f>
        <v>29869442</v>
      </c>
      <c r="AH233" s="17" t="n">
        <f aca="false">Data!C228</f>
        <v>113.39</v>
      </c>
      <c r="AI233" s="17" t="n">
        <f aca="false">Data!D228</f>
        <v>111.55</v>
      </c>
      <c r="AJ233" s="17" t="n">
        <f aca="false">Data!E228</f>
        <v>112.88</v>
      </c>
      <c r="AK233" s="17" t="n">
        <f aca="false">Data!F228</f>
        <v>29869442</v>
      </c>
      <c r="AL233" s="17" t="n">
        <f aca="false">AJ233</f>
        <v>112.88</v>
      </c>
      <c r="AM233" s="17" t="n">
        <f aca="false">(AL233-AL232)/AL233*100</f>
        <v>-0.186038270729986</v>
      </c>
      <c r="AN233" s="17" t="n">
        <f aca="false">(AK233-AK232)/AK233*100</f>
        <v>17.6167669955133</v>
      </c>
      <c r="AO233" s="17" t="str">
        <f aca="false">IF(AN233&lt;-8,"FITS BITCH",IF(AN233&gt;-8,"no"))</f>
        <v>no</v>
      </c>
      <c r="AP233" s="17" t="str">
        <f aca="false">IF(AH234&lt;AH233,"FITS BITCH",IF(AH234&gt;AH233,"no"))</f>
        <v>no</v>
      </c>
      <c r="AQ233" s="17" t="n">
        <f aca="false">IF(AI234&lt;AI233,"FITS BITCH",IF(AI234&gt;AI233,"no"))</f>
        <v>0</v>
      </c>
      <c r="AR233" s="17" t="str">
        <f aca="false">IF(AJ233&lt;AH234,"FITS BITCH",IF(AJ233&gt;AH234,"no"))</f>
        <v>FITS BITCH</v>
      </c>
      <c r="AS233" s="17" t="str">
        <f aca="false">IF(AJ233&gt;AJ234,"FITS BITCH",IF(AJ233&lt;AJ234,"no"))</f>
        <v>FITS BITCH</v>
      </c>
      <c r="AT233" s="91" t="str">
        <f aca="false">IF(AND($AO233="FITS BITCH",$AP233="FITS BITCH",$AR233="FITS BITCH"),"BULLISH","")</f>
        <v/>
      </c>
      <c r="AU233" s="91" t="str">
        <f aca="false">IF(AND($AO233="FITS BITCH",$AQ233="FITS BITCH",$AS233="FITS BITCH"),"BEARISH","")</f>
        <v/>
      </c>
      <c r="AV233" s="86"/>
      <c r="AW233" s="86"/>
      <c r="AX233" s="86"/>
      <c r="CL233" s="99" t="n">
        <v>42803</v>
      </c>
      <c r="CM233" s="23" t="n">
        <f aca="false">$BA$68*CL233+$BA$70</f>
        <v>134.221320616269</v>
      </c>
    </row>
    <row r="234" customFormat="false" ht="15" hidden="false" customHeight="true" outlineLevel="0" collapsed="false">
      <c r="AE234" s="90" t="n">
        <f aca="false">Data!A229</f>
        <v>42636</v>
      </c>
      <c r="AF234" s="17" t="n">
        <f aca="false">Data!B229</f>
        <v>114.42</v>
      </c>
      <c r="AG234" s="17" t="n">
        <f aca="false">Data!F229</f>
        <v>52481151</v>
      </c>
      <c r="AH234" s="17" t="n">
        <f aca="false">Data!C229</f>
        <v>114.79</v>
      </c>
      <c r="AI234" s="17" t="n">
        <f aca="false">Data!D229</f>
        <v>111.55</v>
      </c>
      <c r="AJ234" s="17" t="n">
        <f aca="false">Data!E229</f>
        <v>112.71</v>
      </c>
      <c r="AK234" s="17" t="n">
        <f aca="false">Data!F229</f>
        <v>52481151</v>
      </c>
      <c r="AL234" s="17" t="n">
        <f aca="false">AJ234</f>
        <v>112.71</v>
      </c>
      <c r="AM234" s="17" t="n">
        <f aca="false">(AL234-AL233)/AL234*100</f>
        <v>-0.15082956259427</v>
      </c>
      <c r="AN234" s="17" t="n">
        <f aca="false">(AK234-AK233)/AK234*100</f>
        <v>43.0853907910671</v>
      </c>
      <c r="AO234" s="17" t="str">
        <f aca="false">IF(AN234&lt;-8,"FITS BITCH",IF(AN234&gt;-8,"no"))</f>
        <v>no</v>
      </c>
      <c r="AP234" s="17" t="str">
        <f aca="false">IF(AH235&lt;AH234,"FITS BITCH",IF(AH235&gt;AH234,"no"))</f>
        <v>no</v>
      </c>
      <c r="AQ234" s="17" t="str">
        <f aca="false">IF(AI235&lt;AI234,"FITS BITCH",IF(AI235&gt;AI234,"no"))</f>
        <v>no</v>
      </c>
      <c r="AR234" s="17" t="str">
        <f aca="false">IF(AJ234&lt;AH235,"FITS BITCH",IF(AJ234&gt;AH235,"no"))</f>
        <v>FITS BITCH</v>
      </c>
      <c r="AS234" s="17" t="str">
        <f aca="false">IF(AJ234&gt;AJ235,"FITS BITCH",IF(AJ234&lt;AJ235,"no"))</f>
        <v>no</v>
      </c>
      <c r="AT234" s="91" t="str">
        <f aca="false">IF(AND($AO234="FITS BITCH",$AP234="FITS BITCH",$AR234="FITS BITCH"),"BULLISH","")</f>
        <v/>
      </c>
      <c r="AU234" s="91" t="str">
        <f aca="false">IF(AND($AO234="FITS BITCH",$AQ234="FITS BITCH",$AS234="FITS BITCH"),"BEARISH","")</f>
        <v/>
      </c>
      <c r="AV234" s="86"/>
      <c r="AW234" s="86"/>
      <c r="AX234" s="86"/>
      <c r="CL234" s="99" t="n">
        <v>42802</v>
      </c>
      <c r="CM234" s="23" t="n">
        <f aca="false">$BA$68*CL234+$BA$70</f>
        <v>134.067202386026</v>
      </c>
    </row>
    <row r="235" customFormat="false" ht="15" hidden="false" customHeight="true" outlineLevel="0" collapsed="false">
      <c r="AE235" s="90" t="n">
        <f aca="false">Data!A230</f>
        <v>42635</v>
      </c>
      <c r="AF235" s="17" t="n">
        <f aca="false">Data!B230</f>
        <v>114.35</v>
      </c>
      <c r="AG235" s="17" t="n">
        <f aca="false">Data!F230</f>
        <v>31073984</v>
      </c>
      <c r="AH235" s="17" t="n">
        <f aca="false">Data!C230</f>
        <v>114.94</v>
      </c>
      <c r="AI235" s="17" t="n">
        <f aca="false">Data!D230</f>
        <v>114</v>
      </c>
      <c r="AJ235" s="17" t="n">
        <f aca="false">Data!E230</f>
        <v>114.62</v>
      </c>
      <c r="AK235" s="17" t="n">
        <f aca="false">Data!F230</f>
        <v>31073984</v>
      </c>
      <c r="AL235" s="17" t="n">
        <f aca="false">AJ235</f>
        <v>114.62</v>
      </c>
      <c r="AM235" s="17" t="n">
        <f aca="false">(AL235-AL234)/AL235*100</f>
        <v>1.6663758506369</v>
      </c>
      <c r="AN235" s="17" t="n">
        <f aca="false">(AK235-AK234)/AK235*100</f>
        <v>-68.8909635790506</v>
      </c>
      <c r="AO235" s="17" t="str">
        <f aca="false">IF(AN235&lt;-8,"FITS BITCH",IF(AN235&gt;-8,"no"))</f>
        <v>FITS BITCH</v>
      </c>
      <c r="AP235" s="17" t="str">
        <f aca="false">IF(AH236&lt;AH235,"FITS BITCH",IF(AH236&gt;AH235,"no"))</f>
        <v>FITS BITCH</v>
      </c>
      <c r="AQ235" s="17" t="str">
        <f aca="false">IF(AI236&lt;AI235,"FITS BITCH",IF(AI236&gt;AI235,"no"))</f>
        <v>FITS BITCH</v>
      </c>
      <c r="AR235" s="17" t="str">
        <f aca="false">IF(AJ235&lt;AH236,"FITS BITCH",IF(AJ235&gt;AH236,"no"))</f>
        <v>no</v>
      </c>
      <c r="AS235" s="17" t="str">
        <f aca="false">IF(AJ235&gt;AJ236,"FITS BITCH",IF(AJ235&lt;AJ236,"no"))</f>
        <v>FITS BITCH</v>
      </c>
      <c r="AT235" s="91" t="str">
        <f aca="false">IF(AND($AO235="FITS BITCH",$AP235="FITS BITCH",$AR235="FITS BITCH"),"BULLISH","")</f>
        <v/>
      </c>
      <c r="AU235" s="91" t="str">
        <f aca="false">IF(AND($AO235="FITS BITCH",$AQ235="FITS BITCH",$AS235="FITS BITCH"),"BEARISH","")</f>
        <v>BEARISH</v>
      </c>
      <c r="AV235" s="86"/>
      <c r="AW235" s="86"/>
      <c r="AX235" s="86"/>
      <c r="CL235" s="99" t="n">
        <v>42801</v>
      </c>
      <c r="CM235" s="23" t="n">
        <f aca="false">$BA$68*CL235+$BA$70</f>
        <v>133.913084155784</v>
      </c>
    </row>
    <row r="236" customFormat="false" ht="15" hidden="false" customHeight="true" outlineLevel="0" collapsed="false">
      <c r="AE236" s="90" t="n">
        <f aca="false">Data!A231</f>
        <v>42634</v>
      </c>
      <c r="AF236" s="17" t="n">
        <f aca="false">Data!B231</f>
        <v>113.85</v>
      </c>
      <c r="AG236" s="17" t="n">
        <f aca="false">Data!F231</f>
        <v>36003185</v>
      </c>
      <c r="AH236" s="17" t="n">
        <f aca="false">Data!C231</f>
        <v>113.99</v>
      </c>
      <c r="AI236" s="17" t="n">
        <f aca="false">Data!D231</f>
        <v>112.44</v>
      </c>
      <c r="AJ236" s="17" t="n">
        <f aca="false">Data!E231</f>
        <v>113.55</v>
      </c>
      <c r="AK236" s="17" t="n">
        <f aca="false">Data!F231</f>
        <v>36003185</v>
      </c>
      <c r="AL236" s="17" t="n">
        <f aca="false">AJ236</f>
        <v>113.55</v>
      </c>
      <c r="AM236" s="17" t="n">
        <f aca="false">(AL236-AL235)/AL236*100</f>
        <v>-0.942316160281821</v>
      </c>
      <c r="AN236" s="17" t="n">
        <f aca="false">(AK236-AK235)/AK236*100</f>
        <v>13.6910137255912</v>
      </c>
      <c r="AO236" s="17" t="str">
        <f aca="false">IF(AN236&lt;-8,"FITS BITCH",IF(AN236&gt;-8,"no"))</f>
        <v>no</v>
      </c>
      <c r="AP236" s="17" t="str">
        <f aca="false">IF(AH237&lt;AH236,"FITS BITCH",IF(AH237&gt;AH236,"no"))</f>
        <v>no</v>
      </c>
      <c r="AQ236" s="17" t="str">
        <f aca="false">IF(AI237&lt;AI236,"FITS BITCH",IF(AI237&gt;AI236,"no"))</f>
        <v>no</v>
      </c>
      <c r="AR236" s="17" t="str">
        <f aca="false">IF(AJ236&lt;AH237,"FITS BITCH",IF(AJ236&gt;AH237,"no"))</f>
        <v>FITS BITCH</v>
      </c>
      <c r="AS236" s="17" t="str">
        <f aca="false">IF(AJ236&gt;AJ237,"FITS BITCH",IF(AJ236&lt;AJ237,"no"))</f>
        <v>no</v>
      </c>
      <c r="AT236" s="91" t="str">
        <f aca="false">IF(AND($AO236="FITS BITCH",$AP236="FITS BITCH",$AR236="FITS BITCH"),"BULLISH","")</f>
        <v/>
      </c>
      <c r="AU236" s="91" t="str">
        <f aca="false">IF(AND($AO236="FITS BITCH",$AQ236="FITS BITCH",$AS236="FITS BITCH"),"BEARISH","")</f>
        <v/>
      </c>
      <c r="AV236" s="86"/>
      <c r="AW236" s="86"/>
      <c r="AX236" s="86"/>
      <c r="CL236" s="99" t="n">
        <v>42800</v>
      </c>
      <c r="CM236" s="23" t="n">
        <f aca="false">$BA$68*CL236+$BA$70</f>
        <v>133.758965925541</v>
      </c>
    </row>
    <row r="237" customFormat="false" ht="15" hidden="false" customHeight="true" outlineLevel="0" collapsed="false">
      <c r="AE237" s="90" t="n">
        <f aca="false">Data!A232</f>
        <v>42633</v>
      </c>
      <c r="AF237" s="17" t="n">
        <f aca="false">Data!B232</f>
        <v>113.05</v>
      </c>
      <c r="AG237" s="17" t="n">
        <f aca="false">Data!F232</f>
        <v>34514269</v>
      </c>
      <c r="AH237" s="17" t="n">
        <f aca="false">Data!C232</f>
        <v>114.12</v>
      </c>
      <c r="AI237" s="17" t="n">
        <f aca="false">Data!D232</f>
        <v>112.51</v>
      </c>
      <c r="AJ237" s="17" t="n">
        <f aca="false">Data!E232</f>
        <v>113.57</v>
      </c>
      <c r="AK237" s="17" t="n">
        <f aca="false">Data!F232</f>
        <v>34514269</v>
      </c>
      <c r="AL237" s="17" t="n">
        <f aca="false">AJ237</f>
        <v>113.57</v>
      </c>
      <c r="AM237" s="17" t="n">
        <f aca="false">(AL237-AL236)/AL237*100</f>
        <v>0.0176102844060897</v>
      </c>
      <c r="AN237" s="17" t="n">
        <f aca="false">(AK237-AK236)/AK237*100</f>
        <v>-4.3139143407615</v>
      </c>
      <c r="AO237" s="17" t="str">
        <f aca="false">IF(AN237&lt;-8,"FITS BITCH",IF(AN237&gt;-8,"no"))</f>
        <v>no</v>
      </c>
      <c r="AP237" s="17" t="str">
        <f aca="false">IF(AH238&lt;AH237,"FITS BITCH",IF(AH238&gt;AH237,"no"))</f>
        <v>no</v>
      </c>
      <c r="AQ237" s="17" t="str">
        <f aca="false">IF(AI238&lt;AI237,"FITS BITCH",IF(AI238&gt;AI237,"no"))</f>
        <v>no</v>
      </c>
      <c r="AR237" s="17" t="str">
        <f aca="false">IF(AJ237&lt;AH238,"FITS BITCH",IF(AJ237&gt;AH238,"no"))</f>
        <v>FITS BITCH</v>
      </c>
      <c r="AS237" s="17" t="str">
        <f aca="false">IF(AJ237&gt;AJ238,"FITS BITCH",IF(AJ237&lt;AJ238,"no"))</f>
        <v>no</v>
      </c>
      <c r="AT237" s="91" t="str">
        <f aca="false">IF(AND($AO237="FITS BITCH",$AP237="FITS BITCH",$AR237="FITS BITCH"),"BULLISH","")</f>
        <v/>
      </c>
      <c r="AU237" s="91" t="str">
        <f aca="false">IF(AND($AO237="FITS BITCH",$AQ237="FITS BITCH",$AS237="FITS BITCH"),"BEARISH","")</f>
        <v/>
      </c>
      <c r="AV237" s="86"/>
      <c r="AW237" s="86"/>
      <c r="AX237" s="86"/>
      <c r="CL237" s="99" t="n">
        <v>42797</v>
      </c>
      <c r="CM237" s="23" t="n">
        <f aca="false">$BA$68*CL237+$BA$70</f>
        <v>133.296611234812</v>
      </c>
    </row>
    <row r="238" customFormat="false" ht="15" hidden="false" customHeight="true" outlineLevel="0" collapsed="false">
      <c r="AE238" s="90" t="n">
        <f aca="false">Data!A233</f>
        <v>42632</v>
      </c>
      <c r="AF238" s="17" t="n">
        <f aca="false">Data!B233</f>
        <v>115.19</v>
      </c>
      <c r="AG238" s="17" t="n">
        <f aca="false">Data!F233</f>
        <v>47023046</v>
      </c>
      <c r="AH238" s="17" t="n">
        <f aca="false">Data!C233</f>
        <v>116.18</v>
      </c>
      <c r="AI238" s="17" t="n">
        <f aca="false">Data!D233</f>
        <v>113.25</v>
      </c>
      <c r="AJ238" s="17" t="n">
        <f aca="false">Data!E233</f>
        <v>113.58</v>
      </c>
      <c r="AK238" s="17" t="n">
        <f aca="false">Data!F233</f>
        <v>47023046</v>
      </c>
      <c r="AL238" s="17" t="n">
        <f aca="false">AJ238</f>
        <v>113.58</v>
      </c>
      <c r="AM238" s="17" t="n">
        <f aca="false">(AL238-AL237)/AL238*100</f>
        <v>0.00880436696601965</v>
      </c>
      <c r="AN238" s="17" t="n">
        <f aca="false">(AK238-AK237)/AK238*100</f>
        <v>26.6013754191934</v>
      </c>
      <c r="AO238" s="17" t="str">
        <f aca="false">IF(AN238&lt;-8,"FITS BITCH",IF(AN238&gt;-8,"no"))</f>
        <v>no</v>
      </c>
      <c r="AP238" s="17" t="str">
        <f aca="false">IF(AH239&lt;AH238,"FITS BITCH",IF(AH239&gt;AH238,"no"))</f>
        <v>FITS BITCH</v>
      </c>
      <c r="AQ238" s="17" t="str">
        <f aca="false">IF(AI239&lt;AI238,"FITS BITCH",IF(AI239&gt;AI238,"no"))</f>
        <v>no</v>
      </c>
      <c r="AR238" s="17" t="str">
        <f aca="false">IF(AJ238&lt;AH239,"FITS BITCH",IF(AJ238&gt;AH239,"no"))</f>
        <v>FITS BITCH</v>
      </c>
      <c r="AS238" s="17" t="str">
        <f aca="false">IF(AJ238&gt;AJ239,"FITS BITCH",IF(AJ238&lt;AJ239,"no"))</f>
        <v>no</v>
      </c>
      <c r="AT238" s="91" t="str">
        <f aca="false">IF(AND($AO238="FITS BITCH",$AP238="FITS BITCH",$AR238="FITS BITCH"),"BULLISH","")</f>
        <v/>
      </c>
      <c r="AU238" s="91" t="str">
        <f aca="false">IF(AND($AO238="FITS BITCH",$AQ238="FITS BITCH",$AS238="FITS BITCH"),"BEARISH","")</f>
        <v/>
      </c>
      <c r="AV238" s="86"/>
      <c r="AW238" s="86"/>
      <c r="AX238" s="86"/>
      <c r="CL238" s="99" t="n">
        <v>42796</v>
      </c>
      <c r="CM238" s="23" t="n">
        <f aca="false">$BA$68*CL238+$BA$70</f>
        <v>133.14249300457</v>
      </c>
    </row>
    <row r="239" customFormat="false" ht="15" hidden="false" customHeight="true" outlineLevel="0" collapsed="false">
      <c r="AE239" s="90" t="n">
        <f aca="false">Data!A234</f>
        <v>42629</v>
      </c>
      <c r="AF239" s="17" t="n">
        <f aca="false">Data!B234</f>
        <v>115.12</v>
      </c>
      <c r="AG239" s="17" t="n">
        <f aca="false">Data!F234</f>
        <v>79886911</v>
      </c>
      <c r="AH239" s="17" t="n">
        <f aca="false">Data!C234</f>
        <v>116.13</v>
      </c>
      <c r="AI239" s="17" t="n">
        <f aca="false">Data!D234</f>
        <v>114.04</v>
      </c>
      <c r="AJ239" s="17" t="n">
        <f aca="false">Data!E234</f>
        <v>114.92</v>
      </c>
      <c r="AK239" s="17" t="n">
        <f aca="false">Data!F234</f>
        <v>79886911</v>
      </c>
      <c r="AL239" s="17" t="n">
        <f aca="false">AJ239</f>
        <v>114.92</v>
      </c>
      <c r="AM239" s="17" t="n">
        <f aca="false">(AL239-AL238)/AL239*100</f>
        <v>1.16602854159416</v>
      </c>
      <c r="AN239" s="17" t="n">
        <f aca="false">(AK239-AK238)/AK239*100</f>
        <v>41.1379844189995</v>
      </c>
      <c r="AO239" s="17" t="str">
        <f aca="false">IF(AN239&lt;-8,"FITS BITCH",IF(AN239&gt;-8,"no"))</f>
        <v>no</v>
      </c>
      <c r="AP239" s="17" t="str">
        <f aca="false">IF(AH240&lt;AH239,"FITS BITCH",IF(AH240&gt;AH239,"no"))</f>
        <v>FITS BITCH</v>
      </c>
      <c r="AQ239" s="17" t="str">
        <f aca="false">IF(AI240&lt;AI239,"FITS BITCH",IF(AI240&gt;AI239,"no"))</f>
        <v>FITS BITCH</v>
      </c>
      <c r="AR239" s="17" t="str">
        <f aca="false">IF(AJ239&lt;AH240,"FITS BITCH",IF(AJ239&gt;AH240,"no"))</f>
        <v>FITS BITCH</v>
      </c>
      <c r="AS239" s="17" t="str">
        <f aca="false">IF(AJ239&gt;AJ240,"FITS BITCH",IF(AJ239&lt;AJ240,"no"))</f>
        <v>no</v>
      </c>
      <c r="AT239" s="91" t="str">
        <f aca="false">IF(AND($AO239="FITS BITCH",$AP239="FITS BITCH",$AR239="FITS BITCH"),"BULLISH","")</f>
        <v/>
      </c>
      <c r="AU239" s="91" t="str">
        <f aca="false">IF(AND($AO239="FITS BITCH",$AQ239="FITS BITCH",$AS239="FITS BITCH"),"BEARISH","")</f>
        <v/>
      </c>
      <c r="AV239" s="86"/>
      <c r="AW239" s="86"/>
      <c r="AX239" s="86"/>
      <c r="CL239" s="99" t="n">
        <v>42795</v>
      </c>
      <c r="CM239" s="23" t="n">
        <f aca="false">$BA$68*CL239+$BA$70</f>
        <v>132.988374774327</v>
      </c>
    </row>
    <row r="240" customFormat="false" ht="15" hidden="false" customHeight="true" outlineLevel="0" collapsed="false">
      <c r="AE240" s="90" t="n">
        <f aca="false">Data!A235</f>
        <v>42628</v>
      </c>
      <c r="AF240" s="17" t="n">
        <f aca="false">Data!B235</f>
        <v>113.86</v>
      </c>
      <c r="AG240" s="17" t="n">
        <f aca="false">Data!F235</f>
        <v>90613177</v>
      </c>
      <c r="AH240" s="17" t="n">
        <f aca="false">Data!C235</f>
        <v>115.73</v>
      </c>
      <c r="AI240" s="17" t="n">
        <f aca="false">Data!D235</f>
        <v>113.49</v>
      </c>
      <c r="AJ240" s="17" t="n">
        <f aca="false">Data!E235</f>
        <v>115.57</v>
      </c>
      <c r="AK240" s="17" t="n">
        <f aca="false">Data!F235</f>
        <v>90613177</v>
      </c>
      <c r="AL240" s="17" t="n">
        <f aca="false">AJ240</f>
        <v>115.57</v>
      </c>
      <c r="AM240" s="17" t="n">
        <f aca="false">(AL240-AL239)/AL240*100</f>
        <v>0.562429696287957</v>
      </c>
      <c r="AN240" s="17" t="n">
        <f aca="false">(AK240-AK239)/AK240*100</f>
        <v>11.8374240426423</v>
      </c>
      <c r="AO240" s="17" t="str">
        <f aca="false">IF(AN240&lt;-8,"FITS BITCH",IF(AN240&gt;-8,"no"))</f>
        <v>no</v>
      </c>
      <c r="AP240" s="17" t="str">
        <f aca="false">IF(AH241&lt;AH240,"FITS BITCH",IF(AH241&gt;AH240,"no"))</f>
        <v>FITS BITCH</v>
      </c>
      <c r="AQ240" s="17" t="str">
        <f aca="false">IF(AI241&lt;AI240,"FITS BITCH",IF(AI241&gt;AI240,"no"))</f>
        <v>FITS BITCH</v>
      </c>
      <c r="AR240" s="17" t="str">
        <f aca="false">IF(AJ240&lt;AH241,"FITS BITCH",IF(AJ240&gt;AH241,"no"))</f>
        <v>no</v>
      </c>
      <c r="AS240" s="17" t="str">
        <f aca="false">IF(AJ240&gt;AJ241,"FITS BITCH",IF(AJ240&lt;AJ241,"no"))</f>
        <v>FITS BITCH</v>
      </c>
      <c r="AT240" s="91" t="str">
        <f aca="false">IF(AND($AO240="FITS BITCH",$AP240="FITS BITCH",$AR240="FITS BITCH"),"BULLISH","")</f>
        <v/>
      </c>
      <c r="AU240" s="91" t="str">
        <f aca="false">IF(AND($AO240="FITS BITCH",$AQ240="FITS BITCH",$AS240="FITS BITCH"),"BEARISH","")</f>
        <v/>
      </c>
      <c r="AV240" s="86"/>
      <c r="AW240" s="86"/>
      <c r="AX240" s="86"/>
      <c r="CL240" s="99" t="n">
        <v>42794</v>
      </c>
      <c r="CM240" s="23" t="n">
        <f aca="false">$BA$68*CL240+$BA$70</f>
        <v>132.834256544084</v>
      </c>
    </row>
    <row r="241" customFormat="false" ht="15" hidden="false" customHeight="true" outlineLevel="0" collapsed="false">
      <c r="AE241" s="90" t="n">
        <f aca="false">Data!A236</f>
        <v>42627</v>
      </c>
      <c r="AF241" s="17" t="n">
        <f aca="false">Data!B236</f>
        <v>108.73</v>
      </c>
      <c r="AG241" s="17" t="n">
        <f aca="false">Data!F236</f>
        <v>112340318</v>
      </c>
      <c r="AH241" s="17" t="n">
        <f aca="false">Data!C236</f>
        <v>113.03</v>
      </c>
      <c r="AI241" s="17" t="n">
        <f aca="false">Data!D236</f>
        <v>108.6</v>
      </c>
      <c r="AJ241" s="17" t="n">
        <f aca="false">Data!E236</f>
        <v>111.77</v>
      </c>
      <c r="AK241" s="17" t="n">
        <f aca="false">Data!F236</f>
        <v>112340318</v>
      </c>
      <c r="AL241" s="17" t="n">
        <f aca="false">AJ241</f>
        <v>111.77</v>
      </c>
      <c r="AM241" s="17" t="n">
        <f aca="false">(AL241-AL240)/AL241*100</f>
        <v>-3.39983895499687</v>
      </c>
      <c r="AN241" s="17" t="n">
        <f aca="false">(AK241-AK240)/AK241*100</f>
        <v>19.3404659936961</v>
      </c>
      <c r="AO241" s="17" t="str">
        <f aca="false">IF(AN241&lt;-8,"FITS BITCH",IF(AN241&gt;-8,"no"))</f>
        <v>no</v>
      </c>
      <c r="AP241" s="17" t="str">
        <f aca="false">IF(AH242&lt;AH241,"FITS BITCH",IF(AH242&gt;AH241,"no"))</f>
        <v>FITS BITCH</v>
      </c>
      <c r="AQ241" s="17" t="str">
        <f aca="false">IF(AI242&lt;AI241,"FITS BITCH",IF(AI242&gt;AI241,"no"))</f>
        <v>FITS BITCH</v>
      </c>
      <c r="AR241" s="17" t="str">
        <f aca="false">IF(AJ241&lt;AH242,"FITS BITCH",IF(AJ241&gt;AH242,"no"))</f>
        <v>no</v>
      </c>
      <c r="AS241" s="17" t="str">
        <f aca="false">IF(AJ241&gt;AJ242,"FITS BITCH",IF(AJ241&lt;AJ242,"no"))</f>
        <v>FITS BITCH</v>
      </c>
      <c r="AT241" s="91" t="str">
        <f aca="false">IF(AND($AO241="FITS BITCH",$AP241="FITS BITCH",$AR241="FITS BITCH"),"BULLISH","")</f>
        <v/>
      </c>
      <c r="AU241" s="91" t="str">
        <f aca="false">IF(AND($AO241="FITS BITCH",$AQ241="FITS BITCH",$AS241="FITS BITCH"),"BEARISH","")</f>
        <v/>
      </c>
      <c r="AV241" s="86"/>
      <c r="AW241" s="86"/>
      <c r="AX241" s="86"/>
      <c r="CL241" s="99" t="n">
        <v>42793</v>
      </c>
      <c r="CM241" s="23" t="n">
        <f aca="false">$BA$68*CL241+$BA$70</f>
        <v>132.680138313842</v>
      </c>
    </row>
    <row r="242" customFormat="false" ht="15" hidden="false" customHeight="true" outlineLevel="0" collapsed="false">
      <c r="AE242" s="90" t="n">
        <f aca="false">Data!A237</f>
        <v>42626</v>
      </c>
      <c r="AF242" s="17" t="n">
        <f aca="false">Data!B237</f>
        <v>107.51</v>
      </c>
      <c r="AG242" s="17" t="n">
        <f aca="false">Data!F237</f>
        <v>62176190</v>
      </c>
      <c r="AH242" s="17" t="n">
        <f aca="false">Data!C237</f>
        <v>108.79</v>
      </c>
      <c r="AI242" s="17" t="n">
        <f aca="false">Data!D237</f>
        <v>107.24</v>
      </c>
      <c r="AJ242" s="17" t="n">
        <f aca="false">Data!E237</f>
        <v>107.95</v>
      </c>
      <c r="AK242" s="17" t="n">
        <f aca="false">Data!F237</f>
        <v>62176190</v>
      </c>
      <c r="AL242" s="17" t="n">
        <f aca="false">AJ242</f>
        <v>107.95</v>
      </c>
      <c r="AM242" s="17" t="n">
        <f aca="false">(AL242-AL241)/AL242*100</f>
        <v>-3.53867531264474</v>
      </c>
      <c r="AN242" s="17" t="n">
        <f aca="false">(AK242-AK241)/AK242*100</f>
        <v>-80.6806078017968</v>
      </c>
      <c r="AO242" s="17" t="str">
        <f aca="false">IF(AN242&lt;-8,"FITS BITCH",IF(AN242&gt;-8,"no"))</f>
        <v>FITS BITCH</v>
      </c>
      <c r="AP242" s="17" t="str">
        <f aca="false">IF(AH243&lt;AH242,"FITS BITCH",IF(AH243&gt;AH242,"no"))</f>
        <v>FITS BITCH</v>
      </c>
      <c r="AQ242" s="17" t="str">
        <f aca="false">IF(AI243&lt;AI242,"FITS BITCH",IF(AI243&gt;AI242,"no"))</f>
        <v>FITS BITCH</v>
      </c>
      <c r="AR242" s="17" t="str">
        <f aca="false">IF(AJ242&lt;AH243,"FITS BITCH",IF(AJ242&gt;AH243,"no"))</f>
        <v>no</v>
      </c>
      <c r="AS242" s="17" t="str">
        <f aca="false">IF(AJ242&gt;AJ243,"FITS BITCH",IF(AJ242&lt;AJ243,"no"))</f>
        <v>FITS BITCH</v>
      </c>
      <c r="AT242" s="91" t="str">
        <f aca="false">IF(AND($AO242="FITS BITCH",$AP242="FITS BITCH",$AR242="FITS BITCH"),"BULLISH","")</f>
        <v/>
      </c>
      <c r="AU242" s="91" t="str">
        <f aca="false">IF(AND($AO242="FITS BITCH",$AQ242="FITS BITCH",$AS242="FITS BITCH"),"BEARISH","")</f>
        <v>BEARISH</v>
      </c>
      <c r="AV242" s="86"/>
      <c r="AW242" s="86"/>
      <c r="AX242" s="86"/>
      <c r="CL242" s="99" t="n">
        <v>42790</v>
      </c>
      <c r="CM242" s="23" t="n">
        <f aca="false">$BA$68*CL242+$BA$70</f>
        <v>132.217783623114</v>
      </c>
    </row>
    <row r="243" customFormat="false" ht="15" hidden="false" customHeight="true" outlineLevel="0" collapsed="false">
      <c r="AE243" s="90" t="n">
        <f aca="false">Data!A238</f>
        <v>42625</v>
      </c>
      <c r="AF243" s="17" t="n">
        <f aca="false">Data!B238</f>
        <v>102.65</v>
      </c>
      <c r="AG243" s="17" t="n">
        <f aca="false">Data!F238</f>
        <v>45292770</v>
      </c>
      <c r="AH243" s="17" t="n">
        <f aca="false">Data!C238</f>
        <v>105.72</v>
      </c>
      <c r="AI243" s="17" t="n">
        <f aca="false">Data!D238</f>
        <v>102.53</v>
      </c>
      <c r="AJ243" s="17" t="n">
        <f aca="false">Data!E238</f>
        <v>105.44</v>
      </c>
      <c r="AK243" s="17" t="n">
        <f aca="false">Data!F238</f>
        <v>45292770</v>
      </c>
      <c r="AL243" s="17" t="n">
        <f aca="false">AJ243</f>
        <v>105.44</v>
      </c>
      <c r="AM243" s="17" t="n">
        <f aca="false">(AL243-AL242)/AL243*100</f>
        <v>-2.38050075872535</v>
      </c>
      <c r="AN243" s="17" t="n">
        <f aca="false">(AK243-AK242)/AK243*100</f>
        <v>-37.2761922046278</v>
      </c>
      <c r="AO243" s="17" t="str">
        <f aca="false">IF(AN243&lt;-8,"FITS BITCH",IF(AN243&gt;-8,"no"))</f>
        <v>FITS BITCH</v>
      </c>
      <c r="AP243" s="17" t="n">
        <f aca="false">IF(AH244&lt;AH243,"FITS BITCH",IF(AH244&gt;AH243,"no"))</f>
        <v>0</v>
      </c>
      <c r="AQ243" s="17" t="str">
        <f aca="false">IF(AI244&lt;AI243,"FITS BITCH",IF(AI244&gt;AI243,"no"))</f>
        <v>no</v>
      </c>
      <c r="AR243" s="17" t="str">
        <f aca="false">IF(AJ243&lt;AH244,"FITS BITCH",IF(AJ243&gt;AH244,"no"))</f>
        <v>FITS BITCH</v>
      </c>
      <c r="AS243" s="17" t="str">
        <f aca="false">IF(AJ243&gt;AJ244,"FITS BITCH",IF(AJ243&lt;AJ244,"no"))</f>
        <v>FITS BITCH</v>
      </c>
      <c r="AT243" s="91" t="str">
        <f aca="false">IF(AND($AO243="FITS BITCH",$AP243="FITS BITCH",$AR243="FITS BITCH"),"BULLISH","")</f>
        <v/>
      </c>
      <c r="AU243" s="91" t="str">
        <f aca="false">IF(AND($AO243="FITS BITCH",$AQ243="FITS BITCH",$AS243="FITS BITCH"),"BEARISH","")</f>
        <v/>
      </c>
      <c r="AV243" s="86"/>
      <c r="AW243" s="86"/>
      <c r="AX243" s="86"/>
      <c r="CL243" s="99" t="n">
        <v>42789</v>
      </c>
      <c r="CM243" s="23" t="n">
        <f aca="false">$BA$68*CL243+$BA$70</f>
        <v>132.063665392871</v>
      </c>
    </row>
    <row r="244" customFormat="false" ht="15" hidden="false" customHeight="true" outlineLevel="0" collapsed="false">
      <c r="AE244" s="90" t="n">
        <f aca="false">Data!A239</f>
        <v>42622</v>
      </c>
      <c r="AF244" s="17" t="n">
        <f aca="false">Data!B239</f>
        <v>104.64</v>
      </c>
      <c r="AG244" s="17" t="n">
        <f aca="false">Data!F239</f>
        <v>46556984</v>
      </c>
      <c r="AH244" s="17" t="n">
        <f aca="false">Data!C239</f>
        <v>105.72</v>
      </c>
      <c r="AI244" s="17" t="n">
        <f aca="false">Data!D239</f>
        <v>103.13</v>
      </c>
      <c r="AJ244" s="17" t="n">
        <f aca="false">Data!E239</f>
        <v>103.13</v>
      </c>
      <c r="AK244" s="17" t="n">
        <f aca="false">Data!F239</f>
        <v>46556984</v>
      </c>
      <c r="AL244" s="17" t="n">
        <f aca="false">AJ244</f>
        <v>103.13</v>
      </c>
      <c r="AM244" s="17" t="n">
        <f aca="false">(AL244-AL243)/AL244*100</f>
        <v>-2.23989139920489</v>
      </c>
      <c r="AN244" s="17" t="n">
        <f aca="false">(AK244-AK243)/AK244*100</f>
        <v>2.71541214954989</v>
      </c>
      <c r="AO244" s="17" t="str">
        <f aca="false">IF(AN244&lt;-8,"FITS BITCH",IF(AN244&gt;-8,"no"))</f>
        <v>no</v>
      </c>
      <c r="AP244" s="17" t="str">
        <f aca="false">IF(AH245&lt;AH244,"FITS BITCH",IF(AH245&gt;AH244,"no"))</f>
        <v>no</v>
      </c>
      <c r="AQ244" s="17" t="str">
        <f aca="false">IF(AI245&lt;AI244,"FITS BITCH",IF(AI245&gt;AI244,"no"))</f>
        <v>no</v>
      </c>
      <c r="AR244" s="17" t="str">
        <f aca="false">IF(AJ244&lt;AH245,"FITS BITCH",IF(AJ244&gt;AH245,"no"))</f>
        <v>FITS BITCH</v>
      </c>
      <c r="AS244" s="17" t="str">
        <f aca="false">IF(AJ244&gt;AJ245,"FITS BITCH",IF(AJ244&lt;AJ245,"no"))</f>
        <v>no</v>
      </c>
      <c r="AT244" s="91" t="str">
        <f aca="false">IF(AND($AO244="FITS BITCH",$AP244="FITS BITCH",$AR244="FITS BITCH"),"BULLISH","")</f>
        <v/>
      </c>
      <c r="AU244" s="91" t="str">
        <f aca="false">IF(AND($AO244="FITS BITCH",$AQ244="FITS BITCH",$AS244="FITS BITCH"),"BEARISH","")</f>
        <v/>
      </c>
      <c r="AV244" s="86"/>
      <c r="AW244" s="86"/>
      <c r="AX244" s="86"/>
      <c r="CL244" s="99" t="n">
        <v>42788</v>
      </c>
      <c r="CM244" s="23" t="n">
        <f aca="false">$BA$68*CL244+$BA$70</f>
        <v>131.909547162628</v>
      </c>
    </row>
    <row r="245" customFormat="false" ht="15" hidden="false" customHeight="true" outlineLevel="0" collapsed="false">
      <c r="AE245" s="90" t="n">
        <f aca="false">Data!A240</f>
        <v>42621</v>
      </c>
      <c r="AF245" s="17" t="n">
        <f aca="false">Data!B240</f>
        <v>107.25</v>
      </c>
      <c r="AG245" s="17" t="n">
        <f aca="false">Data!F240</f>
        <v>53002026</v>
      </c>
      <c r="AH245" s="17" t="n">
        <f aca="false">Data!C240</f>
        <v>107.27</v>
      </c>
      <c r="AI245" s="17" t="n">
        <f aca="false">Data!D240</f>
        <v>105.24</v>
      </c>
      <c r="AJ245" s="17" t="n">
        <f aca="false">Data!E240</f>
        <v>105.52</v>
      </c>
      <c r="AK245" s="17" t="n">
        <f aca="false">Data!F240</f>
        <v>53002026</v>
      </c>
      <c r="AL245" s="17" t="n">
        <f aca="false">AJ245</f>
        <v>105.52</v>
      </c>
      <c r="AM245" s="17" t="n">
        <f aca="false">(AL245-AL244)/AL245*100</f>
        <v>2.26497346474602</v>
      </c>
      <c r="AN245" s="17" t="n">
        <f aca="false">(AK245-AK244)/AK245*100</f>
        <v>12.1599917708806</v>
      </c>
      <c r="AO245" s="17" t="str">
        <f aca="false">IF(AN245&lt;-8,"FITS BITCH",IF(AN245&gt;-8,"no"))</f>
        <v>no</v>
      </c>
      <c r="AP245" s="17" t="str">
        <f aca="false">IF(AH246&lt;AH245,"FITS BITCH",IF(AH246&gt;AH245,"no"))</f>
        <v>no</v>
      </c>
      <c r="AQ245" s="17" t="str">
        <f aca="false">IF(AI246&lt;AI245,"FITS BITCH",IF(AI246&gt;AI245,"no"))</f>
        <v>no</v>
      </c>
      <c r="AR245" s="17" t="str">
        <f aca="false">IF(AJ245&lt;AH246,"FITS BITCH",IF(AJ245&gt;AH246,"no"))</f>
        <v>FITS BITCH</v>
      </c>
      <c r="AS245" s="17" t="str">
        <f aca="false">IF(AJ245&gt;AJ246,"FITS BITCH",IF(AJ245&lt;AJ246,"no"))</f>
        <v>no</v>
      </c>
      <c r="AT245" s="91" t="str">
        <f aca="false">IF(AND($AO245="FITS BITCH",$AP245="FITS BITCH",$AR245="FITS BITCH"),"BULLISH","")</f>
        <v/>
      </c>
      <c r="AU245" s="91" t="str">
        <f aca="false">IF(AND($AO245="FITS BITCH",$AQ245="FITS BITCH",$AS245="FITS BITCH"),"BEARISH","")</f>
        <v/>
      </c>
      <c r="AV245" s="86"/>
      <c r="AW245" s="86"/>
      <c r="AX245" s="86"/>
      <c r="CL245" s="99" t="n">
        <v>42787</v>
      </c>
      <c r="CM245" s="23" t="n">
        <f aca="false">$BA$68*CL245+$BA$70</f>
        <v>131.755428932385</v>
      </c>
    </row>
    <row r="246" customFormat="false" ht="15" hidden="false" customHeight="true" outlineLevel="0" collapsed="false">
      <c r="AE246" s="90" t="n">
        <f aca="false">Data!A241</f>
        <v>42620</v>
      </c>
      <c r="AF246" s="17" t="n">
        <f aca="false">Data!B241</f>
        <v>107.83</v>
      </c>
      <c r="AG246" s="17" t="n">
        <f aca="false">Data!F241</f>
        <v>42364328</v>
      </c>
      <c r="AH246" s="17" t="n">
        <f aca="false">Data!C241</f>
        <v>108.76</v>
      </c>
      <c r="AI246" s="17" t="n">
        <f aca="false">Data!D241</f>
        <v>107.07</v>
      </c>
      <c r="AJ246" s="17" t="n">
        <f aca="false">Data!E241</f>
        <v>108.36</v>
      </c>
      <c r="AK246" s="17" t="n">
        <f aca="false">Data!F241</f>
        <v>42364328</v>
      </c>
      <c r="AL246" s="17" t="n">
        <f aca="false">AJ246</f>
        <v>108.36</v>
      </c>
      <c r="AM246" s="17" t="n">
        <f aca="false">(AL246-AL245)/AL246*100</f>
        <v>2.62089331856774</v>
      </c>
      <c r="AN246" s="17" t="n">
        <f aca="false">(AK246-AK245)/AK246*100</f>
        <v>-25.1100359717732</v>
      </c>
      <c r="AO246" s="17" t="str">
        <f aca="false">IF(AN246&lt;-8,"FITS BITCH",IF(AN246&gt;-8,"no"))</f>
        <v>FITS BITCH</v>
      </c>
      <c r="AP246" s="17" t="str">
        <f aca="false">IF(AH247&lt;AH246,"FITS BITCH",IF(AH247&gt;AH246,"no"))</f>
        <v>FITS BITCH</v>
      </c>
      <c r="AQ246" s="17" t="str">
        <f aca="false">IF(AI247&lt;AI246,"FITS BITCH",IF(AI247&gt;AI246,"no"))</f>
        <v>no</v>
      </c>
      <c r="AR246" s="17" t="str">
        <f aca="false">IF(AJ246&lt;AH247,"FITS BITCH",IF(AJ246&gt;AH247,"no"))</f>
        <v>no</v>
      </c>
      <c r="AS246" s="17" t="str">
        <f aca="false">IF(AJ246&gt;AJ247,"FITS BITCH",IF(AJ246&lt;AJ247,"no"))</f>
        <v>FITS BITCH</v>
      </c>
      <c r="AT246" s="91" t="str">
        <f aca="false">IF(AND($AO246="FITS BITCH",$AP246="FITS BITCH",$AR246="FITS BITCH"),"BULLISH","")</f>
        <v/>
      </c>
      <c r="AU246" s="91" t="str">
        <f aca="false">IF(AND($AO246="FITS BITCH",$AQ246="FITS BITCH",$AS246="FITS BITCH"),"BEARISH","")</f>
        <v/>
      </c>
      <c r="AV246" s="86"/>
      <c r="AW246" s="86"/>
      <c r="AX246" s="86"/>
      <c r="CL246" s="99" t="n">
        <v>42786</v>
      </c>
      <c r="CM246" s="23" t="n">
        <f aca="false">$BA$68*CL246+$BA$70</f>
        <v>131.601310702143</v>
      </c>
    </row>
    <row r="247" customFormat="false" ht="15" hidden="false" customHeight="true" outlineLevel="0" collapsed="false">
      <c r="AE247" s="90" t="n">
        <f aca="false">Data!A242</f>
        <v>42619</v>
      </c>
      <c r="AF247" s="17" t="n">
        <f aca="false">Data!B242</f>
        <v>107.9</v>
      </c>
      <c r="AG247" s="17" t="n">
        <f aca="false">Data!F242</f>
        <v>26880391</v>
      </c>
      <c r="AH247" s="17" t="n">
        <f aca="false">Data!C242</f>
        <v>108.3</v>
      </c>
      <c r="AI247" s="17" t="n">
        <f aca="false">Data!D242</f>
        <v>107.51</v>
      </c>
      <c r="AJ247" s="17" t="n">
        <f aca="false">Data!E242</f>
        <v>107.7</v>
      </c>
      <c r="AK247" s="17" t="n">
        <f aca="false">Data!F242</f>
        <v>26880391</v>
      </c>
      <c r="AL247" s="17" t="n">
        <f aca="false">AJ247</f>
        <v>107.7</v>
      </c>
      <c r="AM247" s="17" t="n">
        <f aca="false">(AL247-AL246)/AL247*100</f>
        <v>-0.612813370473534</v>
      </c>
      <c r="AN247" s="17" t="n">
        <f aca="false">(AK247-AK246)/AK247*100</f>
        <v>-57.6030943895124</v>
      </c>
      <c r="AO247" s="17" t="str">
        <f aca="false">IF(AN247&lt;-8,"FITS BITCH",IF(AN247&gt;-8,"no"))</f>
        <v>FITS BITCH</v>
      </c>
      <c r="AP247" s="17" t="str">
        <f aca="false">IF(AH248&lt;AH247,"FITS BITCH",IF(AH248&gt;AH247,"no"))</f>
        <v>FITS BITCH</v>
      </c>
      <c r="AQ247" s="17" t="str">
        <f aca="false">IF(AI248&lt;AI247,"FITS BITCH",IF(AI248&gt;AI247,"no"))</f>
        <v>FITS BITCH</v>
      </c>
      <c r="AR247" s="17" t="str">
        <f aca="false">IF(AJ247&lt;AH248,"FITS BITCH",IF(AJ247&gt;AH248,"no"))</f>
        <v>FITS BITCH</v>
      </c>
      <c r="AS247" s="17" t="str">
        <f aca="false">IF(AJ247&gt;AJ248,"FITS BITCH",IF(AJ247&lt;AJ248,"no"))</f>
        <v>no</v>
      </c>
      <c r="AT247" s="91" t="str">
        <f aca="false">IF(AND($AO247="FITS BITCH",$AP247="FITS BITCH",$AR247="FITS BITCH"),"BULLISH","")</f>
        <v>BULLISH</v>
      </c>
      <c r="AU247" s="91" t="str">
        <f aca="false">IF(AND($AO247="FITS BITCH",$AQ247="FITS BITCH",$AS247="FITS BITCH"),"BEARISH","")</f>
        <v/>
      </c>
      <c r="AV247" s="86"/>
      <c r="AW247" s="86"/>
      <c r="AX247" s="86"/>
      <c r="CL247" s="99" t="n">
        <v>42783</v>
      </c>
      <c r="CM247" s="23" t="n">
        <f aca="false">$BA$68*CL247+$BA$70</f>
        <v>131.138956011415</v>
      </c>
    </row>
    <row r="248" customFormat="false" ht="15" hidden="false" customHeight="true" outlineLevel="0" collapsed="false">
      <c r="AE248" s="90" t="n">
        <f aca="false">Data!A243</f>
        <v>42615</v>
      </c>
      <c r="AF248" s="17" t="n">
        <f aca="false">Data!B243</f>
        <v>107.7</v>
      </c>
      <c r="AG248" s="17" t="n">
        <f aca="false">Data!F243</f>
        <v>26334858</v>
      </c>
      <c r="AH248" s="17" t="n">
        <f aca="false">Data!C243</f>
        <v>108</v>
      </c>
      <c r="AI248" s="17" t="n">
        <f aca="false">Data!D243</f>
        <v>106.82</v>
      </c>
      <c r="AJ248" s="17" t="n">
        <f aca="false">Data!E243</f>
        <v>107.73</v>
      </c>
      <c r="AK248" s="17" t="n">
        <f aca="false">Data!F243</f>
        <v>26334858</v>
      </c>
      <c r="AL248" s="17" t="n">
        <f aca="false">AJ248</f>
        <v>107.73</v>
      </c>
      <c r="AM248" s="17" t="n">
        <f aca="false">(AL248-AL247)/AL248*100</f>
        <v>0.02784739626845</v>
      </c>
      <c r="AN248" s="17" t="n">
        <f aca="false">(AK248-AK247)/AK248*100</f>
        <v>-2.07152436515891</v>
      </c>
      <c r="AO248" s="17" t="str">
        <f aca="false">IF(AN248&lt;-8,"FITS BITCH",IF(AN248&gt;-8,"no"))</f>
        <v>no</v>
      </c>
      <c r="AP248" s="17" t="str">
        <f aca="false">IF(AH249&lt;AH248,"FITS BITCH",IF(AH249&gt;AH248,"no"))</f>
        <v>FITS BITCH</v>
      </c>
      <c r="AQ248" s="17" t="str">
        <f aca="false">IF(AI249&lt;AI248,"FITS BITCH",IF(AI249&gt;AI248,"no"))</f>
        <v>FITS BITCH</v>
      </c>
      <c r="AR248" s="17" t="str">
        <f aca="false">IF(AJ248&lt;AH249,"FITS BITCH",IF(AJ248&gt;AH249,"no"))</f>
        <v>no</v>
      </c>
      <c r="AS248" s="17" t="str">
        <f aca="false">IF(AJ248&gt;AJ249,"FITS BITCH",IF(AJ248&lt;AJ249,"no"))</f>
        <v>FITS BITCH</v>
      </c>
      <c r="AT248" s="91" t="str">
        <f aca="false">IF(AND($AO248="FITS BITCH",$AP248="FITS BITCH",$AR248="FITS BITCH"),"BULLISH","")</f>
        <v/>
      </c>
      <c r="AU248" s="91" t="str">
        <f aca="false">IF(AND($AO248="FITS BITCH",$AQ248="FITS BITCH",$AS248="FITS BITCH"),"BEARISH","")</f>
        <v/>
      </c>
      <c r="AV248" s="86"/>
      <c r="AW248" s="86"/>
      <c r="AX248" s="86"/>
      <c r="CL248" s="99" t="n">
        <v>42782</v>
      </c>
      <c r="CM248" s="23" t="n">
        <f aca="false">$BA$68*CL248+$BA$70</f>
        <v>130.984837781172</v>
      </c>
    </row>
    <row r="249" customFormat="false" ht="15" hidden="false" customHeight="true" outlineLevel="0" collapsed="false">
      <c r="AE249" s="90" t="n">
        <f aca="false">Data!A244</f>
        <v>42614</v>
      </c>
      <c r="AF249" s="17" t="n">
        <f aca="false">Data!B244</f>
        <v>106.14</v>
      </c>
      <c r="AG249" s="17" t="n">
        <f aca="false">Data!F244</f>
        <v>26701523</v>
      </c>
      <c r="AH249" s="17" t="n">
        <f aca="false">Data!C244</f>
        <v>106.8</v>
      </c>
      <c r="AI249" s="17" t="n">
        <f aca="false">Data!D244</f>
        <v>105.62</v>
      </c>
      <c r="AJ249" s="17" t="n">
        <f aca="false">Data!E244</f>
        <v>106.73</v>
      </c>
      <c r="AK249" s="17" t="n">
        <f aca="false">Data!F244</f>
        <v>26701523</v>
      </c>
      <c r="AL249" s="17" t="n">
        <f aca="false">AJ249</f>
        <v>106.73</v>
      </c>
      <c r="AM249" s="17" t="n">
        <f aca="false">(AL249-AL248)/AL249*100</f>
        <v>-0.93694368968425</v>
      </c>
      <c r="AN249" s="17" t="n">
        <f aca="false">(AK249-AK248)/AK249*100</f>
        <v>1.37319882465131</v>
      </c>
      <c r="AO249" s="17" t="str">
        <f aca="false">IF(AN249&lt;-8,"FITS BITCH",IF(AN249&gt;-8,"no"))</f>
        <v>no</v>
      </c>
      <c r="AP249" s="17" t="str">
        <f aca="false">IF(AH250&lt;AH249,"FITS BITCH",IF(AH250&gt;AH249,"no"))</f>
        <v>FITS BITCH</v>
      </c>
      <c r="AQ249" s="17" t="str">
        <f aca="false">IF(AI250&lt;AI249,"FITS BITCH",IF(AI250&gt;AI249,"no"))</f>
        <v>no</v>
      </c>
      <c r="AR249" s="17" t="str">
        <f aca="false">IF(AJ249&lt;AH250,"FITS BITCH",IF(AJ249&gt;AH250,"no"))</f>
        <v>no</v>
      </c>
      <c r="AS249" s="17" t="str">
        <f aca="false">IF(AJ249&gt;AJ250,"FITS BITCH",IF(AJ249&lt;AJ250,"no"))</f>
        <v>FITS BITCH</v>
      </c>
      <c r="AT249" s="91" t="str">
        <f aca="false">IF(AND($AO249="FITS BITCH",$AP249="FITS BITCH",$AR249="FITS BITCH"),"BULLISH","")</f>
        <v/>
      </c>
      <c r="AU249" s="91" t="str">
        <f aca="false">IF(AND($AO249="FITS BITCH",$AQ249="FITS BITCH",$AS249="FITS BITCH"),"BEARISH","")</f>
        <v/>
      </c>
      <c r="AV249" s="86"/>
      <c r="AW249" s="86"/>
      <c r="AX249" s="86"/>
      <c r="CL249" s="99" t="n">
        <v>42781</v>
      </c>
      <c r="CM249" s="23" t="n">
        <f aca="false">$BA$68*CL249+$BA$70</f>
        <v>130.83071955093</v>
      </c>
    </row>
    <row r="250" customFormat="false" ht="15" hidden="false" customHeight="true" outlineLevel="0" collapsed="false">
      <c r="AE250" s="90" t="n">
        <f aca="false">Data!A245</f>
        <v>42613</v>
      </c>
      <c r="AF250" s="17" t="n">
        <f aca="false">Data!B245</f>
        <v>105.66</v>
      </c>
      <c r="AG250" s="17" t="n">
        <f aca="false">Data!F245</f>
        <v>29662406</v>
      </c>
      <c r="AH250" s="17" t="n">
        <f aca="false">Data!C245</f>
        <v>106.57</v>
      </c>
      <c r="AI250" s="17" t="n">
        <f aca="false">Data!D245</f>
        <v>105.64</v>
      </c>
      <c r="AJ250" s="17" t="n">
        <f aca="false">Data!E245</f>
        <v>106.1</v>
      </c>
      <c r="AK250" s="17" t="n">
        <f aca="false">Data!F245</f>
        <v>29662406</v>
      </c>
      <c r="AL250" s="17" t="n">
        <f aca="false">AJ250</f>
        <v>106.1</v>
      </c>
      <c r="AM250" s="17" t="n">
        <f aca="false">(AL250-AL249)/AL250*100</f>
        <v>-0.593779453345909</v>
      </c>
      <c r="AN250" s="17" t="n">
        <f aca="false">(AK250-AK249)/AK250*100</f>
        <v>9.9819380801409</v>
      </c>
      <c r="AO250" s="17" t="str">
        <f aca="false">IF(AN250&lt;-8,"FITS BITCH",IF(AN250&gt;-8,"no"))</f>
        <v>no</v>
      </c>
      <c r="AP250" s="17" t="str">
        <f aca="false">IF(AH251&lt;AH250,"FITS BITCH",IF(AH251&gt;AH250,"no"))</f>
        <v>FITS BITCH</v>
      </c>
      <c r="AQ250" s="17" t="str">
        <f aca="false">IF(AI251&lt;AI250,"FITS BITCH",IF(AI251&gt;AI250,"no"))</f>
        <v>FITS BITCH</v>
      </c>
      <c r="AR250" s="17" t="str">
        <f aca="false">IF(AJ250&lt;AH251,"FITS BITCH",IF(AJ250&gt;AH251,"no"))</f>
        <v>FITS BITCH</v>
      </c>
      <c r="AS250" s="17" t="str">
        <f aca="false">IF(AJ250&gt;AJ251,"FITS BITCH",IF(AJ250&lt;AJ251,"no"))</f>
        <v>FITS BITCH</v>
      </c>
      <c r="AT250" s="91" t="str">
        <f aca="false">IF(AND($AO250="FITS BITCH",$AP250="FITS BITCH",$AR250="FITS BITCH"),"BULLISH","")</f>
        <v/>
      </c>
      <c r="AU250" s="91" t="str">
        <f aca="false">IF(AND($AO250="FITS BITCH",$AQ250="FITS BITCH",$AS250="FITS BITCH"),"BEARISH","")</f>
        <v/>
      </c>
      <c r="AV250" s="86"/>
      <c r="AW250" s="86"/>
      <c r="AX250" s="86"/>
      <c r="CL250" s="99" t="n">
        <v>42780</v>
      </c>
      <c r="CM250" s="23" t="n">
        <f aca="false">$BA$68*CL250+$BA$70</f>
        <v>130.676601320687</v>
      </c>
    </row>
    <row r="251" customFormat="false" ht="15" hidden="false" customHeight="true" outlineLevel="0" collapsed="false">
      <c r="AE251" s="90" t="n">
        <f aca="false">Data!A246</f>
        <v>42612</v>
      </c>
      <c r="AF251" s="17" t="n">
        <f aca="false">Data!B246</f>
        <v>105.8</v>
      </c>
      <c r="AG251" s="17" t="n">
        <f aca="false">Data!F246</f>
        <v>24863945</v>
      </c>
      <c r="AH251" s="17" t="n">
        <f aca="false">Data!C246</f>
        <v>106.5</v>
      </c>
      <c r="AI251" s="17" t="n">
        <f aca="false">Data!D246</f>
        <v>105.5</v>
      </c>
      <c r="AJ251" s="17" t="n">
        <f aca="false">Data!E246</f>
        <v>106</v>
      </c>
      <c r="AK251" s="17" t="n">
        <f aca="false">Data!F246</f>
        <v>24863945</v>
      </c>
      <c r="AL251" s="17" t="n">
        <f aca="false">AJ251</f>
        <v>106</v>
      </c>
      <c r="AM251" s="17" t="n">
        <f aca="false">(AL251-AL250)/AL251*100</f>
        <v>-0.0943396226415041</v>
      </c>
      <c r="AN251" s="17" t="n">
        <f aca="false">(AK251-AK250)/AK251*100</f>
        <v>-19.298872322956</v>
      </c>
      <c r="AO251" s="17" t="str">
        <f aca="false">IF(AN251&lt;-8,"FITS BITCH",IF(AN251&gt;-8,"no"))</f>
        <v>FITS BITCH</v>
      </c>
      <c r="AP251" s="17" t="str">
        <f aca="false">IF(AH252&lt;AH251,"FITS BITCH",IF(AH252&gt;AH251,"no"))</f>
        <v>no</v>
      </c>
      <c r="AQ251" s="17" t="str">
        <f aca="false">IF(AI252&lt;AI251,"FITS BITCH",IF(AI252&gt;AI251,"no"))</f>
        <v>no</v>
      </c>
      <c r="AR251" s="17" t="str">
        <f aca="false">IF(AJ251&lt;AH252,"FITS BITCH",IF(AJ251&gt;AH252,"no"))</f>
        <v>FITS BITCH</v>
      </c>
      <c r="AS251" s="17" t="str">
        <f aca="false">IF(AJ251&gt;AJ252,"FITS BITCH",IF(AJ251&lt;AJ252,"no"))</f>
        <v>no</v>
      </c>
      <c r="AT251" s="91" t="str">
        <f aca="false">IF(AND($AO251="FITS BITCH",$AP251="FITS BITCH",$AR251="FITS BITCH"),"BULLISH","")</f>
        <v/>
      </c>
      <c r="AU251" s="91" t="str">
        <f aca="false">IF(AND($AO251="FITS BITCH",$AQ251="FITS BITCH",$AS251="FITS BITCH"),"BEARISH","")</f>
        <v/>
      </c>
      <c r="AV251" s="86"/>
      <c r="AW251" s="86"/>
      <c r="AX251" s="86"/>
      <c r="CL251" s="99" t="n">
        <v>42779</v>
      </c>
      <c r="CM251" s="23" t="n">
        <f aca="false">$BA$68*CL251+$BA$70</f>
        <v>130.522483090444</v>
      </c>
    </row>
    <row r="252" customFormat="false" ht="15" hidden="false" customHeight="true" outlineLevel="0" collapsed="false">
      <c r="AE252" s="90" t="n">
        <f aca="false">Data!A247</f>
        <v>42611</v>
      </c>
      <c r="AF252" s="17" t="n">
        <f aca="false">Data!B247</f>
        <v>106.62</v>
      </c>
      <c r="AG252" s="17" t="n">
        <f aca="false">Data!F247</f>
        <v>24970300</v>
      </c>
      <c r="AH252" s="17" t="n">
        <f aca="false">Data!C247</f>
        <v>107.44</v>
      </c>
      <c r="AI252" s="17" t="n">
        <f aca="false">Data!D247</f>
        <v>106.29</v>
      </c>
      <c r="AJ252" s="17" t="n">
        <f aca="false">Data!E247</f>
        <v>106.82</v>
      </c>
      <c r="AK252" s="17" t="n">
        <f aca="false">Data!F247</f>
        <v>24970300</v>
      </c>
      <c r="AL252" s="17" t="n">
        <f aca="false">AJ252</f>
        <v>106.82</v>
      </c>
      <c r="AM252" s="17" t="n">
        <f aca="false">(AL252-AL251)/AL252*100</f>
        <v>0.767646508144536</v>
      </c>
      <c r="AN252" s="17" t="n">
        <f aca="false">(AK252-AK251)/AK252*100</f>
        <v>0.425926000088105</v>
      </c>
      <c r="AO252" s="17" t="str">
        <f aca="false">IF(AN252&lt;-8,"FITS BITCH",IF(AN252&gt;-8,"no"))</f>
        <v>no</v>
      </c>
      <c r="AP252" s="17" t="str">
        <f aca="false">IF(AH253&lt;AH252,"FITS BITCH",IF(AH253&gt;AH252,"no"))</f>
        <v>no</v>
      </c>
      <c r="AQ252" s="17" t="str">
        <f aca="false">IF(AI253&lt;AI252,"FITS BITCH",IF(AI253&gt;AI252,"no"))</f>
        <v>no</v>
      </c>
      <c r="AR252" s="17" t="str">
        <f aca="false">IF(AJ252&lt;AH253,"FITS BITCH",IF(AJ252&gt;AH253,"no"))</f>
        <v>FITS BITCH</v>
      </c>
      <c r="AS252" s="17" t="str">
        <f aca="false">IF(AJ252&gt;AJ253,"FITS BITCH",IF(AJ252&lt;AJ253,"no"))</f>
        <v>no</v>
      </c>
      <c r="AT252" s="91" t="str">
        <f aca="false">IF(AND($AO252="FITS BITCH",$AP252="FITS BITCH",$AR252="FITS BITCH"),"BULLISH","")</f>
        <v/>
      </c>
      <c r="AU252" s="91" t="str">
        <f aca="false">IF(AND($AO252="FITS BITCH",$AQ252="FITS BITCH",$AS252="FITS BITCH"),"BEARISH","")</f>
        <v/>
      </c>
      <c r="AV252" s="86"/>
      <c r="AW252" s="86"/>
      <c r="AX252" s="86"/>
      <c r="CL252" s="99" t="n">
        <v>42776</v>
      </c>
      <c r="CM252" s="23" t="n">
        <f aca="false">$BA$68*CL252+$BA$70</f>
        <v>130.060128399716</v>
      </c>
    </row>
    <row r="253" customFormat="false" ht="15" hidden="false" customHeight="true" outlineLevel="0" collapsed="false">
      <c r="AE253" s="90" t="n">
        <f aca="false">Data!A248</f>
        <v>42608</v>
      </c>
      <c r="AF253" s="17" t="n">
        <f aca="false">Data!B248</f>
        <v>107.41</v>
      </c>
      <c r="AG253" s="17" t="n">
        <f aca="false">Data!F248</f>
        <v>27766291</v>
      </c>
      <c r="AH253" s="17" t="n">
        <f aca="false">Data!C248</f>
        <v>107.95</v>
      </c>
      <c r="AI253" s="17" t="n">
        <f aca="false">Data!D248</f>
        <v>106.31</v>
      </c>
      <c r="AJ253" s="17" t="n">
        <f aca="false">Data!E248</f>
        <v>106.94</v>
      </c>
      <c r="AK253" s="17" t="n">
        <f aca="false">Data!F248</f>
        <v>27766291</v>
      </c>
      <c r="AL253" s="17" t="n">
        <f aca="false">AJ253</f>
        <v>106.94</v>
      </c>
      <c r="AM253" s="17" t="n">
        <f aca="false">(AL253-AL252)/AL253*100</f>
        <v>0.112212455582574</v>
      </c>
      <c r="AN253" s="17" t="n">
        <f aca="false">(AK253-AK252)/AK253*100</f>
        <v>10.0697316757215</v>
      </c>
      <c r="AO253" s="17" t="str">
        <f aca="false">IF(AN253&lt;-8,"FITS BITCH",IF(AN253&gt;-8,"no"))</f>
        <v>no</v>
      </c>
      <c r="AP253" s="17" t="str">
        <f aca="false">IF(AH254&lt;AH253,"FITS BITCH",IF(AH254&gt;AH253,"no"))</f>
        <v>FITS BITCH</v>
      </c>
      <c r="AQ253" s="17" t="str">
        <f aca="false">IF(AI254&lt;AI253,"FITS BITCH",IF(AI254&gt;AI253,"no"))</f>
        <v>no</v>
      </c>
      <c r="AR253" s="17" t="str">
        <f aca="false">IF(AJ253&lt;AH254,"FITS BITCH",IF(AJ253&gt;AH254,"no"))</f>
        <v>FITS BITCH</v>
      </c>
      <c r="AS253" s="17" t="str">
        <f aca="false">IF(AJ253&gt;AJ254,"FITS BITCH",IF(AJ253&lt;AJ254,"no"))</f>
        <v>no</v>
      </c>
      <c r="AT253" s="91" t="str">
        <f aca="false">IF(AND($AO253="FITS BITCH",$AP253="FITS BITCH",$AR253="FITS BITCH"),"BULLISH","")</f>
        <v/>
      </c>
      <c r="AU253" s="91" t="str">
        <f aca="false">IF(AND($AO253="FITS BITCH",$AQ253="FITS BITCH",$AS253="FITS BITCH"),"BEARISH","")</f>
        <v/>
      </c>
      <c r="AV253" s="86"/>
      <c r="AW253" s="86"/>
      <c r="AX253" s="86"/>
      <c r="CL253" s="99" t="n">
        <v>42775</v>
      </c>
      <c r="CM253" s="23" t="n">
        <f aca="false">$BA$68*CL253+$BA$70</f>
        <v>129.906010169473</v>
      </c>
    </row>
    <row r="254" customFormat="false" ht="15" hidden="false" customHeight="true" outlineLevel="0" collapsed="false">
      <c r="AE254" s="90" t="n">
        <f aca="false">Data!A249</f>
        <v>42607</v>
      </c>
      <c r="AF254" s="17" t="n">
        <f aca="false">Data!B249</f>
        <v>107.39</v>
      </c>
      <c r="AG254" s="17" t="n">
        <f aca="false">Data!F249</f>
        <v>25086248</v>
      </c>
      <c r="AH254" s="17" t="n">
        <f aca="false">Data!C249</f>
        <v>107.88</v>
      </c>
      <c r="AI254" s="17" t="n">
        <f aca="false">Data!D249</f>
        <v>106.68</v>
      </c>
      <c r="AJ254" s="17" t="n">
        <f aca="false">Data!E249</f>
        <v>107.57</v>
      </c>
      <c r="AK254" s="17" t="n">
        <f aca="false">Data!F249</f>
        <v>25086248</v>
      </c>
      <c r="AL254" s="17" t="n">
        <f aca="false">AJ254</f>
        <v>107.57</v>
      </c>
      <c r="AM254" s="17" t="n">
        <f aca="false">(AL254-AL253)/AL254*100</f>
        <v>0.585665148275537</v>
      </c>
      <c r="AN254" s="17" t="n">
        <f aca="false">(AK254-AK253)/AK254*100</f>
        <v>-10.6833154164784</v>
      </c>
      <c r="AO254" s="17" t="str">
        <f aca="false">IF(AN254&lt;-8,"FITS BITCH",IF(AN254&gt;-8,"no"))</f>
        <v>FITS BITCH</v>
      </c>
      <c r="AP254" s="17" t="str">
        <f aca="false">IF(AH255&lt;AH254,"FITS BITCH",IF(AH255&gt;AH254,"no"))</f>
        <v>no</v>
      </c>
      <c r="AQ254" s="17" t="str">
        <f aca="false">IF(AI255&lt;AI254,"FITS BITCH",IF(AI255&gt;AI254,"no"))</f>
        <v>no</v>
      </c>
      <c r="AR254" s="17" t="str">
        <f aca="false">IF(AJ254&lt;AH255,"FITS BITCH",IF(AJ254&gt;AH255,"no"))</f>
        <v>FITS BITCH</v>
      </c>
      <c r="AS254" s="17" t="str">
        <f aca="false">IF(AJ254&gt;AJ255,"FITS BITCH",IF(AJ254&lt;AJ255,"no"))</f>
        <v>no</v>
      </c>
      <c r="AT254" s="91" t="str">
        <f aca="false">IF(AND($AO254="FITS BITCH",$AP254="FITS BITCH",$AR254="FITS BITCH"),"BULLISH","")</f>
        <v/>
      </c>
      <c r="AU254" s="91" t="str">
        <f aca="false">IF(AND($AO254="FITS BITCH",$AQ254="FITS BITCH",$AS254="FITS BITCH"),"BEARISH","")</f>
        <v/>
      </c>
      <c r="AV254" s="86"/>
      <c r="AW254" s="86"/>
      <c r="AX254" s="86"/>
      <c r="CL254" s="99" t="n">
        <v>42774</v>
      </c>
      <c r="CM254" s="23" t="n">
        <f aca="false">$BA$68*CL254+$BA$70</f>
        <v>129.751891939231</v>
      </c>
    </row>
    <row r="255" customFormat="false" ht="15" hidden="false" customHeight="true" outlineLevel="0" collapsed="false">
      <c r="AE255" s="90" t="n">
        <f aca="false">Data!A250</f>
        <v>42606</v>
      </c>
      <c r="AF255" s="17" t="n">
        <f aca="false">Data!B250</f>
        <v>108.56</v>
      </c>
      <c r="AG255" s="17" t="n">
        <f aca="false">Data!F250</f>
        <v>23675081</v>
      </c>
      <c r="AH255" s="17" t="n">
        <f aca="false">Data!C250</f>
        <v>108.75</v>
      </c>
      <c r="AI255" s="17" t="n">
        <f aca="false">Data!D250</f>
        <v>107.68</v>
      </c>
      <c r="AJ255" s="17" t="n">
        <f aca="false">Data!E250</f>
        <v>108.03</v>
      </c>
      <c r="AK255" s="17" t="n">
        <f aca="false">Data!F250</f>
        <v>23675081</v>
      </c>
      <c r="AL255" s="17" t="n">
        <f aca="false">AJ255</f>
        <v>108.03</v>
      </c>
      <c r="AM255" s="17" t="n">
        <f aca="false">(AL255-AL254)/AL255*100</f>
        <v>0.42580764602426</v>
      </c>
      <c r="AN255" s="17" t="n">
        <f aca="false">(AK255-AK254)/AK255*100</f>
        <v>-5.96055827644264</v>
      </c>
      <c r="AO255" s="17" t="str">
        <f aca="false">IF(AN255&lt;-8,"FITS BITCH",IF(AN255&gt;-8,"no"))</f>
        <v>no</v>
      </c>
      <c r="AP255" s="17" t="str">
        <f aca="false">IF(AH256&lt;AH255,"FITS BITCH",IF(AH256&gt;AH255,"no"))</f>
        <v>no</v>
      </c>
      <c r="AQ255" s="17" t="str">
        <f aca="false">IF(AI256&lt;AI255,"FITS BITCH",IF(AI256&gt;AI255,"no"))</f>
        <v>no</v>
      </c>
      <c r="AR255" s="17" t="str">
        <f aca="false">IF(AJ255&lt;AH256,"FITS BITCH",IF(AJ255&gt;AH256,"no"))</f>
        <v>FITS BITCH</v>
      </c>
      <c r="AS255" s="17" t="str">
        <f aca="false">IF(AJ255&gt;AJ256,"FITS BITCH",IF(AJ255&lt;AJ256,"no"))</f>
        <v>no</v>
      </c>
      <c r="AT255" s="91" t="str">
        <f aca="false">IF(AND($AO255="FITS BITCH",$AP255="FITS BITCH",$AR255="FITS BITCH"),"BULLISH","")</f>
        <v/>
      </c>
      <c r="AU255" s="91" t="str">
        <f aca="false">IF(AND($AO255="FITS BITCH",$AQ255="FITS BITCH",$AS255="FITS BITCH"),"BEARISH","")</f>
        <v/>
      </c>
      <c r="AV255" s="86"/>
      <c r="AW255" s="86"/>
      <c r="AX255" s="86"/>
      <c r="CL255" s="99" t="n">
        <v>42773</v>
      </c>
      <c r="CM255" s="23" t="n">
        <f aca="false">$BA$68*CL255+$BA$70</f>
        <v>129.597773708988</v>
      </c>
    </row>
    <row r="256" customFormat="false" ht="15" hidden="false" customHeight="true" outlineLevel="0" collapsed="false">
      <c r="AE256" s="90" t="n">
        <f aca="false">Data!A251</f>
        <v>42605</v>
      </c>
      <c r="AF256" s="17" t="n">
        <f aca="false">Data!B251</f>
        <v>108.59</v>
      </c>
      <c r="AG256" s="17" t="n">
        <f aca="false">Data!F251</f>
        <v>21257669</v>
      </c>
      <c r="AH256" s="17" t="n">
        <f aca="false">Data!C251</f>
        <v>109.32</v>
      </c>
      <c r="AI256" s="17" t="n">
        <f aca="false">Data!D251</f>
        <v>108.53</v>
      </c>
      <c r="AJ256" s="17" t="n">
        <f aca="false">Data!E251</f>
        <v>108.85</v>
      </c>
      <c r="AK256" s="17" t="n">
        <f aca="false">Data!F251</f>
        <v>21257669</v>
      </c>
      <c r="AL256" s="17" t="n">
        <f aca="false">AJ256</f>
        <v>108.85</v>
      </c>
      <c r="AM256" s="17" t="n">
        <f aca="false">(AL256-AL255)/AL256*100</f>
        <v>0.753330271015152</v>
      </c>
      <c r="AN256" s="17" t="n">
        <f aca="false">(AK256-AK255)/AK256*100</f>
        <v>-11.371952399861</v>
      </c>
      <c r="AO256" s="17" t="str">
        <f aca="false">IF(AN256&lt;-8,"FITS BITCH",IF(AN256&gt;-8,"no"))</f>
        <v>FITS BITCH</v>
      </c>
      <c r="AP256" s="17" t="str">
        <f aca="false">IF(AH257&lt;AH256,"FITS BITCH",IF(AH257&gt;AH256,"no"))</f>
        <v>FITS BITCH</v>
      </c>
      <c r="AQ256" s="17" t="str">
        <f aca="false">IF(AI257&lt;AI256,"FITS BITCH",IF(AI257&gt;AI256,"no"))</f>
        <v>FITS BITCH</v>
      </c>
      <c r="AR256" s="17" t="str">
        <f aca="false">IF(AJ256&lt;AH257,"FITS BITCH",IF(AJ256&gt;AH257,"no"))</f>
        <v>FITS BITCH</v>
      </c>
      <c r="AS256" s="17" t="str">
        <f aca="false">IF(AJ256&gt;AJ257,"FITS BITCH",IF(AJ256&lt;AJ257,"no"))</f>
        <v>FITS BITCH</v>
      </c>
      <c r="AT256" s="91" t="str">
        <f aca="false">IF(AND($AO256="FITS BITCH",$AP256="FITS BITCH",$AR256="FITS BITCH"),"BULLISH","")</f>
        <v>BULLISH</v>
      </c>
      <c r="AU256" s="91" t="str">
        <f aca="false">IF(AND($AO256="FITS BITCH",$AQ256="FITS BITCH",$AS256="FITS BITCH"),"BEARISH","")</f>
        <v>BEARISH</v>
      </c>
      <c r="AV256" s="86"/>
      <c r="AW256" s="86"/>
      <c r="AX256" s="86"/>
      <c r="CL256" s="99" t="n">
        <v>42772</v>
      </c>
      <c r="CM256" s="23" t="n">
        <f aca="false">$BA$68*CL256+$BA$70</f>
        <v>129.443655478745</v>
      </c>
    </row>
    <row r="257" customFormat="false" ht="15" hidden="false" customHeight="true" outlineLevel="0" collapsed="false">
      <c r="AE257" s="90" t="n">
        <f aca="false">Data!A252</f>
        <v>42604</v>
      </c>
      <c r="AF257" s="17" t="n">
        <f aca="false">Data!B252</f>
        <v>108.86</v>
      </c>
      <c r="AG257" s="17" t="n">
        <f aca="false">Data!F252</f>
        <v>25820230</v>
      </c>
      <c r="AH257" s="17" t="n">
        <f aca="false">Data!C252</f>
        <v>109.1</v>
      </c>
      <c r="AI257" s="17" t="n">
        <f aca="false">Data!D252</f>
        <v>107.85</v>
      </c>
      <c r="AJ257" s="17" t="n">
        <f aca="false">Data!E252</f>
        <v>108.51</v>
      </c>
      <c r="AK257" s="17" t="n">
        <f aca="false">Data!F252</f>
        <v>25820230</v>
      </c>
      <c r="AL257" s="17" t="n">
        <f aca="false">AJ257</f>
        <v>108.51</v>
      </c>
      <c r="AM257" s="17" t="n">
        <f aca="false">(AL257-AL256)/AL257*100</f>
        <v>-0.31333517648142</v>
      </c>
      <c r="AN257" s="17" t="n">
        <f aca="false">(AK257-AK256)/AK257*100</f>
        <v>17.670489379839</v>
      </c>
      <c r="AO257" s="17" t="str">
        <f aca="false">IF(AN257&lt;-8,"FITS BITCH",IF(AN257&gt;-8,"no"))</f>
        <v>no</v>
      </c>
      <c r="AP257" s="17" t="str">
        <f aca="false">IF(AH258&lt;AH257,"FITS BITCH",IF(AH258&gt;AH257,"no"))</f>
        <v>no</v>
      </c>
      <c r="AQ257" s="17" t="str">
        <f aca="false">IF(AI258&lt;AI257,"FITS BITCH",IF(AI258&gt;AI257,"no"))</f>
        <v>no</v>
      </c>
      <c r="AR257" s="17" t="str">
        <f aca="false">IF(AJ257&lt;AH258,"FITS BITCH",IF(AJ257&gt;AH258,"no"))</f>
        <v>FITS BITCH</v>
      </c>
      <c r="AS257" s="17" t="str">
        <f aca="false">IF(AJ257&gt;AJ258,"FITS BITCH",IF(AJ257&lt;AJ258,"no"))</f>
        <v>no</v>
      </c>
      <c r="AT257" s="91" t="str">
        <f aca="false">IF(AND($AO257="FITS BITCH",$AP257="FITS BITCH",$AR257="FITS BITCH"),"BULLISH","")</f>
        <v/>
      </c>
      <c r="AU257" s="91" t="str">
        <f aca="false">IF(AND($AO257="FITS BITCH",$AQ257="FITS BITCH",$AS257="FITS BITCH"),"BEARISH","")</f>
        <v/>
      </c>
      <c r="AV257" s="86"/>
      <c r="AW257" s="86"/>
      <c r="AX257" s="86"/>
      <c r="CL257" s="99" t="n">
        <v>42769</v>
      </c>
      <c r="CM257" s="23" t="n">
        <f aca="false">$BA$68*CL257+$BA$70</f>
        <v>128.981300788018</v>
      </c>
    </row>
    <row r="258" customFormat="false" ht="15" hidden="false" customHeight="true" outlineLevel="0" collapsed="false">
      <c r="AE258" s="90" t="n">
        <f aca="false">Data!A253</f>
        <v>42601</v>
      </c>
      <c r="AF258" s="17" t="n">
        <f aca="false">Data!B253</f>
        <v>108.77</v>
      </c>
      <c r="AG258" s="17" t="n">
        <f aca="false">Data!F253</f>
        <v>25368072</v>
      </c>
      <c r="AH258" s="17" t="n">
        <f aca="false">Data!C253</f>
        <v>109.69</v>
      </c>
      <c r="AI258" s="17" t="n">
        <f aca="false">Data!D253</f>
        <v>108.36</v>
      </c>
      <c r="AJ258" s="17" t="n">
        <f aca="false">Data!E253</f>
        <v>109.36</v>
      </c>
      <c r="AK258" s="17" t="n">
        <f aca="false">Data!F253</f>
        <v>25368072</v>
      </c>
      <c r="AL258" s="17" t="n">
        <f aca="false">AJ258</f>
        <v>109.36</v>
      </c>
      <c r="AM258" s="17" t="n">
        <f aca="false">(AL258-AL257)/AL258*100</f>
        <v>0.777249451353323</v>
      </c>
      <c r="AN258" s="17" t="n">
        <f aca="false">(AK258-AK257)/AK258*100</f>
        <v>-1.78239008467021</v>
      </c>
      <c r="AO258" s="17" t="str">
        <f aca="false">IF(AN258&lt;-8,"FITS BITCH",IF(AN258&gt;-8,"no"))</f>
        <v>no</v>
      </c>
      <c r="AP258" s="17" t="str">
        <f aca="false">IF(AH259&lt;AH258,"FITS BITCH",IF(AH259&gt;AH258,"no"))</f>
        <v>FITS BITCH</v>
      </c>
      <c r="AQ258" s="17" t="str">
        <f aca="false">IF(AI259&lt;AI258,"FITS BITCH",IF(AI259&gt;AI258,"no"))</f>
        <v>no</v>
      </c>
      <c r="AR258" s="17" t="str">
        <f aca="false">IF(AJ258&lt;AH259,"FITS BITCH",IF(AJ258&gt;AH259,"no"))</f>
        <v>FITS BITCH</v>
      </c>
      <c r="AS258" s="17" t="str">
        <f aca="false">IF(AJ258&gt;AJ259,"FITS BITCH",IF(AJ258&lt;AJ259,"no"))</f>
        <v>FITS BITCH</v>
      </c>
      <c r="AT258" s="91" t="str">
        <f aca="false">IF(AND($AO258="FITS BITCH",$AP258="FITS BITCH",$AR258="FITS BITCH"),"BULLISH","")</f>
        <v/>
      </c>
      <c r="AU258" s="91" t="str">
        <f aca="false">IF(AND($AO258="FITS BITCH",$AQ258="FITS BITCH",$AS258="FITS BITCH"),"BEARISH","")</f>
        <v/>
      </c>
      <c r="AV258" s="86"/>
      <c r="AW258" s="86"/>
      <c r="AX258" s="86"/>
      <c r="CL258" s="99" t="n">
        <v>42768</v>
      </c>
      <c r="CM258" s="23" t="n">
        <f aca="false">$BA$68*CL258+$BA$70</f>
        <v>128.827182557775</v>
      </c>
    </row>
    <row r="259" customFormat="false" ht="15" hidden="false" customHeight="true" outlineLevel="0" collapsed="false">
      <c r="AE259" s="90" t="n">
        <f aca="false">Data!A254</f>
        <v>42600</v>
      </c>
      <c r="AF259" s="17" t="n">
        <f aca="false">Data!B254</f>
        <v>109.23</v>
      </c>
      <c r="AG259" s="17" t="n">
        <f aca="false">Data!F254</f>
        <v>21984703</v>
      </c>
      <c r="AH259" s="17" t="n">
        <f aca="false">Data!C254</f>
        <v>109.6</v>
      </c>
      <c r="AI259" s="17" t="n">
        <f aca="false">Data!D254</f>
        <v>109.02</v>
      </c>
      <c r="AJ259" s="17" t="n">
        <f aca="false">Data!E254</f>
        <v>109.08</v>
      </c>
      <c r="AK259" s="17" t="n">
        <f aca="false">Data!F254</f>
        <v>21984703</v>
      </c>
      <c r="AL259" s="17" t="n">
        <f aca="false">AJ259</f>
        <v>109.08</v>
      </c>
      <c r="AM259" s="17" t="n">
        <f aca="false">(AL259-AL258)/AL259*100</f>
        <v>-0.256692335900258</v>
      </c>
      <c r="AN259" s="17" t="n">
        <f aca="false">(AK259-AK258)/AK259*100</f>
        <v>-15.3896507039463</v>
      </c>
      <c r="AO259" s="17" t="str">
        <f aca="false">IF(AN259&lt;-8,"FITS BITCH",IF(AN259&gt;-8,"no"))</f>
        <v>FITS BITCH</v>
      </c>
      <c r="AP259" s="17" t="str">
        <f aca="false">IF(AH260&lt;AH259,"FITS BITCH",IF(AH260&gt;AH259,"no"))</f>
        <v>FITS BITCH</v>
      </c>
      <c r="AQ259" s="17" t="str">
        <f aca="false">IF(AI260&lt;AI259,"FITS BITCH",IF(AI260&gt;AI259,"no"))</f>
        <v>FITS BITCH</v>
      </c>
      <c r="AR259" s="17" t="str">
        <f aca="false">IF(AJ259&lt;AH260,"FITS BITCH",IF(AJ259&gt;AH260,"no"))</f>
        <v>FITS BITCH</v>
      </c>
      <c r="AS259" s="17" t="str">
        <f aca="false">IF(AJ259&gt;AJ260,"FITS BITCH",IF(AJ259&lt;AJ260,"no"))</f>
        <v>no</v>
      </c>
      <c r="AT259" s="91" t="str">
        <f aca="false">IF(AND($AO259="FITS BITCH",$AP259="FITS BITCH",$AR259="FITS BITCH"),"BULLISH","")</f>
        <v>BULLISH</v>
      </c>
      <c r="AU259" s="91" t="str">
        <f aca="false">IF(AND($AO259="FITS BITCH",$AQ259="FITS BITCH",$AS259="FITS BITCH"),"BEARISH","")</f>
        <v/>
      </c>
      <c r="AV259" s="86"/>
      <c r="AW259" s="86"/>
      <c r="AX259" s="86"/>
      <c r="CL259" s="99" t="n">
        <v>42767</v>
      </c>
      <c r="CM259" s="23" t="n">
        <f aca="false">$BA$68*CL259+$BA$70</f>
        <v>128.673064327531</v>
      </c>
    </row>
    <row r="260" customFormat="false" ht="15" hidden="false" customHeight="true" outlineLevel="0" collapsed="false">
      <c r="AE260" s="90" t="n">
        <f aca="false">Data!A255</f>
        <v>42599</v>
      </c>
      <c r="AF260" s="17" t="n">
        <f aca="false">Data!B255</f>
        <v>109.1</v>
      </c>
      <c r="AG260" s="17" t="n">
        <f aca="false">Data!F255</f>
        <v>25355976</v>
      </c>
      <c r="AH260" s="17" t="n">
        <f aca="false">Data!C255</f>
        <v>109.37</v>
      </c>
      <c r="AI260" s="17" t="n">
        <f aca="false">Data!D255</f>
        <v>108.34</v>
      </c>
      <c r="AJ260" s="17" t="n">
        <f aca="false">Data!E255</f>
        <v>109.22</v>
      </c>
      <c r="AK260" s="17" t="n">
        <f aca="false">Data!F255</f>
        <v>25355976</v>
      </c>
      <c r="AL260" s="17" t="n">
        <f aca="false">AJ260</f>
        <v>109.22</v>
      </c>
      <c r="AM260" s="17" t="n">
        <f aca="false">(AL260-AL259)/AL260*100</f>
        <v>0.128181651712141</v>
      </c>
      <c r="AN260" s="17" t="n">
        <f aca="false">(AK260-AK259)/AK260*100</f>
        <v>13.2957729570339</v>
      </c>
      <c r="AO260" s="17" t="str">
        <f aca="false">IF(AN260&lt;-8,"FITS BITCH",IF(AN260&gt;-8,"no"))</f>
        <v>no</v>
      </c>
      <c r="AP260" s="17" t="str">
        <f aca="false">IF(AH261&lt;AH260,"FITS BITCH",IF(AH261&gt;AH260,"no"))</f>
        <v>no</v>
      </c>
      <c r="AQ260" s="17" t="str">
        <f aca="false">IF(AI261&lt;AI260,"FITS BITCH",IF(AI261&gt;AI260,"no"))</f>
        <v>no</v>
      </c>
      <c r="AR260" s="17" t="str">
        <f aca="false">IF(AJ260&lt;AH261,"FITS BITCH",IF(AJ260&gt;AH261,"no"))</f>
        <v>FITS BITCH</v>
      </c>
      <c r="AS260" s="17" t="str">
        <f aca="false">IF(AJ260&gt;AJ261,"FITS BITCH",IF(AJ260&lt;AJ261,"no"))</f>
        <v>no</v>
      </c>
      <c r="AT260" s="91" t="str">
        <f aca="false">IF(AND($AO260="FITS BITCH",$AP260="FITS BITCH",$AR260="FITS BITCH"),"BULLISH","")</f>
        <v/>
      </c>
      <c r="AU260" s="91" t="str">
        <f aca="false">IF(AND($AO260="FITS BITCH",$AQ260="FITS BITCH",$AS260="FITS BITCH"),"BEARISH","")</f>
        <v/>
      </c>
      <c r="AV260" s="86"/>
      <c r="AW260" s="86"/>
      <c r="AX260" s="86"/>
      <c r="CL260" s="99" t="n">
        <v>42766</v>
      </c>
      <c r="CM260" s="23" t="n">
        <f aca="false">$BA$68*CL260+$BA$70</f>
        <v>128.518946097289</v>
      </c>
    </row>
    <row r="261" customFormat="false" ht="15" hidden="false" customHeight="true" outlineLevel="0" collapsed="false">
      <c r="AE261" s="90" t="n">
        <f aca="false">Data!A256</f>
        <v>42598</v>
      </c>
      <c r="AF261" s="17" t="n">
        <f aca="false">Data!B256</f>
        <v>109.63</v>
      </c>
      <c r="AG261" s="17" t="n">
        <f aca="false">Data!F256</f>
        <v>33794448</v>
      </c>
      <c r="AH261" s="17" t="n">
        <f aca="false">Data!C256</f>
        <v>110.23</v>
      </c>
      <c r="AI261" s="17" t="n">
        <f aca="false">Data!D256</f>
        <v>109.21</v>
      </c>
      <c r="AJ261" s="17" t="n">
        <f aca="false">Data!E256</f>
        <v>109.38</v>
      </c>
      <c r="AK261" s="17" t="n">
        <f aca="false">Data!F256</f>
        <v>33794448</v>
      </c>
      <c r="AL261" s="17" t="n">
        <f aca="false">AJ261</f>
        <v>109.38</v>
      </c>
      <c r="AM261" s="17" t="n">
        <f aca="false">(AL261-AL260)/AL261*100</f>
        <v>0.146279027244466</v>
      </c>
      <c r="AN261" s="17" t="n">
        <f aca="false">(AK261-AK260)/AK261*100</f>
        <v>24.9699950713798</v>
      </c>
      <c r="AO261" s="17" t="str">
        <f aca="false">IF(AN261&lt;-8,"FITS BITCH",IF(AN261&gt;-8,"no"))</f>
        <v>no</v>
      </c>
      <c r="AP261" s="17" t="str">
        <f aca="false">IF(AH262&lt;AH261,"FITS BITCH",IF(AH262&gt;AH261,"no"))</f>
        <v>FITS BITCH</v>
      </c>
      <c r="AQ261" s="17" t="str">
        <f aca="false">IF(AI262&lt;AI261,"FITS BITCH",IF(AI262&gt;AI261,"no"))</f>
        <v>FITS BITCH</v>
      </c>
      <c r="AR261" s="17" t="str">
        <f aca="false">IF(AJ261&lt;AH262,"FITS BITCH",IF(AJ261&gt;AH262,"no"))</f>
        <v>FITS BITCH</v>
      </c>
      <c r="AS261" s="17" t="str">
        <f aca="false">IF(AJ261&gt;AJ262,"FITS BITCH",IF(AJ261&lt;AJ262,"no"))</f>
        <v>no</v>
      </c>
      <c r="AT261" s="91" t="str">
        <f aca="false">IF(AND($AO261="FITS BITCH",$AP261="FITS BITCH",$AR261="FITS BITCH"),"BULLISH","")</f>
        <v/>
      </c>
      <c r="AU261" s="91" t="str">
        <f aca="false">IF(AND($AO261="FITS BITCH",$AQ261="FITS BITCH",$AS261="FITS BITCH"),"BEARISH","")</f>
        <v/>
      </c>
      <c r="AV261" s="86"/>
      <c r="AW261" s="86"/>
      <c r="AX261" s="86"/>
      <c r="CL261" s="99" t="n">
        <v>42765</v>
      </c>
      <c r="CM261" s="23" t="n">
        <f aca="false">$BA$68*CL261+$BA$70</f>
        <v>128.364827867046</v>
      </c>
    </row>
    <row r="262" customFormat="false" ht="15" hidden="false" customHeight="true" outlineLevel="0" collapsed="false">
      <c r="AE262" s="90" t="n">
        <f aca="false">Data!A257</f>
        <v>42597</v>
      </c>
      <c r="AF262" s="17" t="n">
        <f aca="false">Data!B257</f>
        <v>108.14</v>
      </c>
      <c r="AG262" s="17" t="n">
        <f aca="false">Data!F257</f>
        <v>25868209</v>
      </c>
      <c r="AH262" s="17" t="n">
        <f aca="false">Data!C257</f>
        <v>109.54</v>
      </c>
      <c r="AI262" s="17" t="n">
        <f aca="false">Data!D257</f>
        <v>108.08</v>
      </c>
      <c r="AJ262" s="17" t="n">
        <f aca="false">Data!E257</f>
        <v>109.48</v>
      </c>
      <c r="AK262" s="17" t="n">
        <f aca="false">Data!F257</f>
        <v>25868209</v>
      </c>
      <c r="AL262" s="17" t="n">
        <f aca="false">AJ262</f>
        <v>109.48</v>
      </c>
      <c r="AM262" s="17" t="n">
        <f aca="false">(AL262-AL261)/AL262*100</f>
        <v>0.0913408841797667</v>
      </c>
      <c r="AN262" s="17" t="n">
        <f aca="false">(AK262-AK261)/AK262*100</f>
        <v>-30.6408495462519</v>
      </c>
      <c r="AO262" s="17" t="str">
        <f aca="false">IF(AN262&lt;-8,"FITS BITCH",IF(AN262&gt;-8,"no"))</f>
        <v>FITS BITCH</v>
      </c>
      <c r="AP262" s="17" t="str">
        <f aca="false">IF(AH263&lt;AH262,"FITS BITCH",IF(AH263&gt;AH262,"no"))</f>
        <v>FITS BITCH</v>
      </c>
      <c r="AQ262" s="17" t="str">
        <f aca="false">IF(AI263&lt;AI262,"FITS BITCH",IF(AI263&gt;AI262,"no"))</f>
        <v>FITS BITCH</v>
      </c>
      <c r="AR262" s="17" t="str">
        <f aca="false">IF(AJ262&lt;AH263,"FITS BITCH",IF(AJ262&gt;AH263,"no"))</f>
        <v>no</v>
      </c>
      <c r="AS262" s="17" t="str">
        <f aca="false">IF(AJ262&gt;AJ263,"FITS BITCH",IF(AJ262&lt;AJ263,"no"))</f>
        <v>FITS BITCH</v>
      </c>
      <c r="AT262" s="91" t="str">
        <f aca="false">IF(AND($AO262="FITS BITCH",$AP262="FITS BITCH",$AR262="FITS BITCH"),"BULLISH","")</f>
        <v/>
      </c>
      <c r="AU262" s="91" t="str">
        <f aca="false">IF(AND($AO262="FITS BITCH",$AQ262="FITS BITCH",$AS262="FITS BITCH"),"BEARISH","")</f>
        <v>BEARISH</v>
      </c>
      <c r="AV262" s="86"/>
      <c r="AW262" s="86"/>
      <c r="AX262" s="86"/>
      <c r="CL262" s="99" t="n">
        <v>42762</v>
      </c>
      <c r="CM262" s="23" t="n">
        <f aca="false">$BA$68*CL262+$BA$70</f>
        <v>127.902473176318</v>
      </c>
    </row>
    <row r="263" customFormat="false" ht="15" hidden="false" customHeight="true" outlineLevel="0" collapsed="false">
      <c r="AE263" s="90" t="n">
        <f aca="false">Data!A258</f>
        <v>42594</v>
      </c>
      <c r="AF263" s="17" t="n">
        <f aca="false">Data!B258</f>
        <v>107.78</v>
      </c>
      <c r="AG263" s="17" t="n">
        <f aca="false">Data!F258</f>
        <v>18660434</v>
      </c>
      <c r="AH263" s="17" t="n">
        <f aca="false">Data!C258</f>
        <v>108.44</v>
      </c>
      <c r="AI263" s="17" t="n">
        <f aca="false">Data!D258</f>
        <v>107.78</v>
      </c>
      <c r="AJ263" s="17" t="n">
        <f aca="false">Data!E258</f>
        <v>108.18</v>
      </c>
      <c r="AK263" s="17" t="n">
        <f aca="false">Data!F258</f>
        <v>18660434</v>
      </c>
      <c r="AL263" s="17" t="n">
        <f aca="false">AJ263</f>
        <v>108.18</v>
      </c>
      <c r="AM263" s="17" t="n">
        <f aca="false">(AL263-AL262)/AL263*100</f>
        <v>-1.20170086892216</v>
      </c>
      <c r="AN263" s="17" t="n">
        <f aca="false">(AK263-AK262)/AK263*100</f>
        <v>-38.6259772950618</v>
      </c>
      <c r="AO263" s="17" t="str">
        <f aca="false">IF(AN263&lt;-8,"FITS BITCH",IF(AN263&gt;-8,"no"))</f>
        <v>FITS BITCH</v>
      </c>
      <c r="AP263" s="17" t="str">
        <f aca="false">IF(AH264&lt;AH263,"FITS BITCH",IF(AH264&gt;AH263,"no"))</f>
        <v>no</v>
      </c>
      <c r="AQ263" s="17" t="str">
        <f aca="false">IF(AI264&lt;AI263,"FITS BITCH",IF(AI264&gt;AI263,"no"))</f>
        <v>no</v>
      </c>
      <c r="AR263" s="17" t="str">
        <f aca="false">IF(AJ263&lt;AH264,"FITS BITCH",IF(AJ263&gt;AH264,"no"))</f>
        <v>FITS BITCH</v>
      </c>
      <c r="AS263" s="17" t="str">
        <f aca="false">IF(AJ263&gt;AJ264,"FITS BITCH",IF(AJ263&lt;AJ264,"no"))</f>
        <v>FITS BITCH</v>
      </c>
      <c r="AT263" s="91" t="str">
        <f aca="false">IF(AND($AO263="FITS BITCH",$AP263="FITS BITCH",$AR263="FITS BITCH"),"BULLISH","")</f>
        <v/>
      </c>
      <c r="AU263" s="91" t="str">
        <f aca="false">IF(AND($AO263="FITS BITCH",$AQ263="FITS BITCH",$AS263="FITS BITCH"),"BEARISH","")</f>
        <v/>
      </c>
      <c r="AV263" s="86"/>
      <c r="AW263" s="86"/>
      <c r="AX263" s="86"/>
      <c r="CL263" s="99" t="n">
        <v>42761</v>
      </c>
      <c r="CM263" s="23" t="n">
        <f aca="false">$BA$68*CL263+$BA$70</f>
        <v>127.748354946076</v>
      </c>
    </row>
    <row r="264" customFormat="false" ht="15" hidden="false" customHeight="true" outlineLevel="0" collapsed="false">
      <c r="AE264" s="90" t="n">
        <f aca="false">Data!A259</f>
        <v>42593</v>
      </c>
      <c r="AF264" s="17" t="n">
        <f aca="false">Data!B259</f>
        <v>108.52</v>
      </c>
      <c r="AG264" s="17" t="n">
        <f aca="false">Data!F259</f>
        <v>27484506</v>
      </c>
      <c r="AH264" s="17" t="n">
        <f aca="false">Data!C259</f>
        <v>108.93</v>
      </c>
      <c r="AI264" s="17" t="n">
        <f aca="false">Data!D259</f>
        <v>107.85</v>
      </c>
      <c r="AJ264" s="17" t="n">
        <f aca="false">Data!E259</f>
        <v>107.93</v>
      </c>
      <c r="AK264" s="17" t="n">
        <f aca="false">Data!F259</f>
        <v>27484506</v>
      </c>
      <c r="AL264" s="17" t="n">
        <f aca="false">AJ264</f>
        <v>107.93</v>
      </c>
      <c r="AM264" s="17" t="n">
        <f aca="false">(AL264-AL263)/AL264*100</f>
        <v>-0.231631613082554</v>
      </c>
      <c r="AN264" s="17" t="n">
        <f aca="false">(AK264-AK263)/AK264*100</f>
        <v>32.1056234374378</v>
      </c>
      <c r="AO264" s="17" t="str">
        <f aca="false">IF(AN264&lt;-8,"FITS BITCH",IF(AN264&gt;-8,"no"))</f>
        <v>no</v>
      </c>
      <c r="AP264" s="17" t="str">
        <f aca="false">IF(AH265&lt;AH264,"FITS BITCH",IF(AH265&gt;AH264,"no"))</f>
        <v>FITS BITCH</v>
      </c>
      <c r="AQ264" s="17" t="str">
        <f aca="false">IF(AI265&lt;AI264,"FITS BITCH",IF(AI265&gt;AI264,"no"))</f>
        <v>FITS BITCH</v>
      </c>
      <c r="AR264" s="17" t="str">
        <f aca="false">IF(AJ264&lt;AH265,"FITS BITCH",IF(AJ264&gt;AH265,"no"))</f>
        <v>FITS BITCH</v>
      </c>
      <c r="AS264" s="17" t="str">
        <f aca="false">IF(AJ264&gt;AJ265,"FITS BITCH",IF(AJ264&lt;AJ265,"no"))</f>
        <v>no</v>
      </c>
      <c r="AT264" s="91" t="str">
        <f aca="false">IF(AND($AO264="FITS BITCH",$AP264="FITS BITCH",$AR264="FITS BITCH"),"BULLISH","")</f>
        <v/>
      </c>
      <c r="AU264" s="91" t="str">
        <f aca="false">IF(AND($AO264="FITS BITCH",$AQ264="FITS BITCH",$AS264="FITS BITCH"),"BEARISH","")</f>
        <v/>
      </c>
      <c r="AV264" s="86"/>
      <c r="AW264" s="86"/>
      <c r="AX264" s="86"/>
      <c r="CL264" s="99" t="n">
        <v>42760</v>
      </c>
      <c r="CM264" s="23" t="n">
        <f aca="false">$BA$68*CL264+$BA$70</f>
        <v>127.594236715833</v>
      </c>
    </row>
    <row r="265" customFormat="false" ht="15" hidden="false" customHeight="true" outlineLevel="0" collapsed="false">
      <c r="AE265" s="90" t="n">
        <f aca="false">Data!A260</f>
        <v>42592</v>
      </c>
      <c r="AF265" s="17" t="n">
        <f aca="false">Data!B260</f>
        <v>108.71</v>
      </c>
      <c r="AG265" s="17" t="n">
        <f aca="false">Data!F260</f>
        <v>24008505</v>
      </c>
      <c r="AH265" s="17" t="n">
        <f aca="false">Data!C260</f>
        <v>108.9</v>
      </c>
      <c r="AI265" s="17" t="n">
        <f aca="false">Data!D260</f>
        <v>107.76</v>
      </c>
      <c r="AJ265" s="17" t="n">
        <f aca="false">Data!E260</f>
        <v>108</v>
      </c>
      <c r="AK265" s="17" t="n">
        <f aca="false">Data!F260</f>
        <v>24008505</v>
      </c>
      <c r="AL265" s="17" t="n">
        <f aca="false">AJ265</f>
        <v>108</v>
      </c>
      <c r="AM265" s="17" t="n">
        <f aca="false">(AL265-AL264)/AL265*100</f>
        <v>0.0648148148148085</v>
      </c>
      <c r="AN265" s="17" t="n">
        <f aca="false">(AK265-AK264)/AK265*100</f>
        <v>-14.4782067854704</v>
      </c>
      <c r="AO265" s="17" t="str">
        <f aca="false">IF(AN265&lt;-8,"FITS BITCH",IF(AN265&gt;-8,"no"))</f>
        <v>FITS BITCH</v>
      </c>
      <c r="AP265" s="17" t="str">
        <f aca="false">IF(AH266&lt;AH265,"FITS BITCH",IF(AH266&gt;AH265,"no"))</f>
        <v>no</v>
      </c>
      <c r="AQ265" s="17" t="str">
        <f aca="false">IF(AI266&lt;AI265,"FITS BITCH",IF(AI266&gt;AI265,"no"))</f>
        <v>no</v>
      </c>
      <c r="AR265" s="17" t="str">
        <f aca="false">IF(AJ265&lt;AH266,"FITS BITCH",IF(AJ265&gt;AH266,"no"))</f>
        <v>FITS BITCH</v>
      </c>
      <c r="AS265" s="17" t="str">
        <f aca="false">IF(AJ265&gt;AJ266,"FITS BITCH",IF(AJ265&lt;AJ266,"no"))</f>
        <v>no</v>
      </c>
      <c r="AT265" s="91" t="str">
        <f aca="false">IF(AND($AO265="FITS BITCH",$AP265="FITS BITCH",$AR265="FITS BITCH"),"BULLISH","")</f>
        <v/>
      </c>
      <c r="AU265" s="91" t="str">
        <f aca="false">IF(AND($AO265="FITS BITCH",$AQ265="FITS BITCH",$AS265="FITS BITCH"),"BEARISH","")</f>
        <v/>
      </c>
      <c r="AV265" s="86"/>
      <c r="AW265" s="86"/>
      <c r="AX265" s="86"/>
      <c r="CL265" s="99" t="n">
        <v>42759</v>
      </c>
      <c r="CM265" s="23" t="n">
        <f aca="false">$BA$68*CL265+$BA$70</f>
        <v>127.440118485591</v>
      </c>
    </row>
    <row r="266" customFormat="false" ht="15" hidden="false" customHeight="true" outlineLevel="0" collapsed="false">
      <c r="AE266" s="90" t="n">
        <f aca="false">Data!A261</f>
        <v>42591</v>
      </c>
      <c r="AF266" s="17" t="n">
        <f aca="false">Data!B261</f>
        <v>108.23</v>
      </c>
      <c r="AG266" s="17" t="n">
        <f aca="false">Data!F261</f>
        <v>26315204</v>
      </c>
      <c r="AH266" s="17" t="n">
        <f aca="false">Data!C261</f>
        <v>108.94</v>
      </c>
      <c r="AI266" s="17" t="n">
        <f aca="false">Data!D261</f>
        <v>108.01</v>
      </c>
      <c r="AJ266" s="17" t="n">
        <f aca="false">Data!E261</f>
        <v>108.81</v>
      </c>
      <c r="AK266" s="17" t="n">
        <f aca="false">Data!F261</f>
        <v>26315204</v>
      </c>
      <c r="AL266" s="17" t="n">
        <f aca="false">AJ266</f>
        <v>108.81</v>
      </c>
      <c r="AM266" s="17" t="n">
        <f aca="false">(AL266-AL265)/AL266*100</f>
        <v>0.744416873449134</v>
      </c>
      <c r="AN266" s="17" t="n">
        <f aca="false">(AK266-AK265)/AK266*100</f>
        <v>8.7656512182083</v>
      </c>
      <c r="AO266" s="17" t="str">
        <f aca="false">IF(AN266&lt;-8,"FITS BITCH",IF(AN266&gt;-8,"no"))</f>
        <v>no</v>
      </c>
      <c r="AP266" s="17" t="str">
        <f aca="false">IF(AH267&lt;AH266,"FITS BITCH",IF(AH267&gt;AH266,"no"))</f>
        <v>FITS BITCH</v>
      </c>
      <c r="AQ266" s="17" t="str">
        <f aca="false">IF(AI267&lt;AI266,"FITS BITCH",IF(AI267&gt;AI266,"no"))</f>
        <v>FITS BITCH</v>
      </c>
      <c r="AR266" s="17" t="str">
        <f aca="false">IF(AJ266&lt;AH267,"FITS BITCH",IF(AJ266&gt;AH267,"no"))</f>
        <v>no</v>
      </c>
      <c r="AS266" s="17" t="str">
        <f aca="false">IF(AJ266&gt;AJ267,"FITS BITCH",IF(AJ266&lt;AJ267,"no"))</f>
        <v>FITS BITCH</v>
      </c>
      <c r="AT266" s="91" t="str">
        <f aca="false">IF(AND($AO266="FITS BITCH",$AP266="FITS BITCH",$AR266="FITS BITCH"),"BULLISH","")</f>
        <v/>
      </c>
      <c r="AU266" s="91" t="str">
        <f aca="false">IF(AND($AO266="FITS BITCH",$AQ266="FITS BITCH",$AS266="FITS BITCH"),"BEARISH","")</f>
        <v/>
      </c>
      <c r="AV266" s="86"/>
      <c r="AW266" s="86"/>
      <c r="AX266" s="86"/>
      <c r="CL266" s="99" t="n">
        <v>42758</v>
      </c>
      <c r="CM266" s="23" t="n">
        <f aca="false">$BA$68*CL266+$BA$70</f>
        <v>127.286000255348</v>
      </c>
    </row>
    <row r="267" customFormat="false" ht="15" hidden="false" customHeight="true" outlineLevel="0" collapsed="false">
      <c r="AE267" s="90" t="n">
        <f aca="false">Data!A262</f>
        <v>42590</v>
      </c>
      <c r="AF267" s="17" t="n">
        <f aca="false">Data!B262</f>
        <v>107.52</v>
      </c>
      <c r="AG267" s="17" t="n">
        <f aca="false">Data!F262</f>
        <v>28037220</v>
      </c>
      <c r="AH267" s="17" t="n">
        <f aca="false">Data!C262</f>
        <v>108.37</v>
      </c>
      <c r="AI267" s="17" t="n">
        <f aca="false">Data!D262</f>
        <v>107.16</v>
      </c>
      <c r="AJ267" s="17" t="n">
        <f aca="false">Data!E262</f>
        <v>108.37</v>
      </c>
      <c r="AK267" s="17" t="n">
        <f aca="false">Data!F262</f>
        <v>28037220</v>
      </c>
      <c r="AL267" s="17" t="n">
        <f aca="false">AJ267</f>
        <v>108.37</v>
      </c>
      <c r="AM267" s="17" t="n">
        <f aca="false">(AL267-AL266)/AL267*100</f>
        <v>-0.406016425209927</v>
      </c>
      <c r="AN267" s="17" t="n">
        <f aca="false">(AK267-AK266)/AK267*100</f>
        <v>6.14189281248284</v>
      </c>
      <c r="AO267" s="17" t="str">
        <f aca="false">IF(AN267&lt;-8,"FITS BITCH",IF(AN267&gt;-8,"no"))</f>
        <v>no</v>
      </c>
      <c r="AP267" s="17" t="str">
        <f aca="false">IF(AH268&lt;AH267,"FITS BITCH",IF(AH268&gt;AH267,"no"))</f>
        <v>FITS BITCH</v>
      </c>
      <c r="AQ267" s="17" t="str">
        <f aca="false">IF(AI268&lt;AI267,"FITS BITCH",IF(AI268&gt;AI267,"no"))</f>
        <v>FITS BITCH</v>
      </c>
      <c r="AR267" s="17" t="str">
        <f aca="false">IF(AJ267&lt;AH268,"FITS BITCH",IF(AJ267&gt;AH268,"no"))</f>
        <v>no</v>
      </c>
      <c r="AS267" s="17" t="str">
        <f aca="false">IF(AJ267&gt;AJ268,"FITS BITCH",IF(AJ267&lt;AJ268,"no"))</f>
        <v>FITS BITCH</v>
      </c>
      <c r="AT267" s="91" t="str">
        <f aca="false">IF(AND($AO267="FITS BITCH",$AP267="FITS BITCH",$AR267="FITS BITCH"),"BULLISH","")</f>
        <v/>
      </c>
      <c r="AU267" s="91" t="str">
        <f aca="false">IF(AND($AO267="FITS BITCH",$AQ267="FITS BITCH",$AS267="FITS BITCH"),"BEARISH","")</f>
        <v/>
      </c>
      <c r="AV267" s="86"/>
      <c r="AW267" s="86"/>
      <c r="AX267" s="86"/>
      <c r="CL267" s="99" t="n">
        <v>42755</v>
      </c>
      <c r="CM267" s="23" t="n">
        <f aca="false">$BA$68*CL267+$BA$70</f>
        <v>126.823645564619</v>
      </c>
    </row>
    <row r="268" customFormat="false" ht="15" hidden="false" customHeight="true" outlineLevel="0" collapsed="false">
      <c r="AE268" s="90" t="n">
        <f aca="false">Data!A263</f>
        <v>42587</v>
      </c>
      <c r="AF268" s="17" t="n">
        <f aca="false">Data!B263</f>
        <v>106.27</v>
      </c>
      <c r="AG268" s="17" t="n">
        <f aca="false">Data!F263</f>
        <v>40553402</v>
      </c>
      <c r="AH268" s="17" t="n">
        <f aca="false">Data!C263</f>
        <v>107.65</v>
      </c>
      <c r="AI268" s="17" t="n">
        <f aca="false">Data!D263</f>
        <v>106.18</v>
      </c>
      <c r="AJ268" s="17" t="n">
        <f aca="false">Data!E263</f>
        <v>107.48</v>
      </c>
      <c r="AK268" s="17" t="n">
        <f aca="false">Data!F263</f>
        <v>40553402</v>
      </c>
      <c r="AL268" s="17" t="n">
        <f aca="false">AJ268</f>
        <v>107.48</v>
      </c>
      <c r="AM268" s="17" t="n">
        <f aca="false">(AL268-AL267)/AL268*100</f>
        <v>-0.828061034611091</v>
      </c>
      <c r="AN268" s="17" t="n">
        <f aca="false">(AK268-AK267)/AK268*100</f>
        <v>30.8634575220101</v>
      </c>
      <c r="AO268" s="17" t="str">
        <f aca="false">IF(AN268&lt;-8,"FITS BITCH",IF(AN268&gt;-8,"no"))</f>
        <v>no</v>
      </c>
      <c r="AP268" s="17" t="str">
        <f aca="false">IF(AH269&lt;AH268,"FITS BITCH",IF(AH269&gt;AH268,"no"))</f>
        <v>FITS BITCH</v>
      </c>
      <c r="AQ268" s="17" t="str">
        <f aca="false">IF(AI269&lt;AI268,"FITS BITCH",IF(AI269&gt;AI268,"no"))</f>
        <v>FITS BITCH</v>
      </c>
      <c r="AR268" s="17" t="str">
        <f aca="false">IF(AJ268&lt;AH269,"FITS BITCH",IF(AJ268&gt;AH269,"no"))</f>
        <v>no</v>
      </c>
      <c r="AS268" s="17" t="str">
        <f aca="false">IF(AJ268&gt;AJ269,"FITS BITCH",IF(AJ268&lt;AJ269,"no"))</f>
        <v>FITS BITCH</v>
      </c>
      <c r="AT268" s="91" t="str">
        <f aca="false">IF(AND($AO268="FITS BITCH",$AP268="FITS BITCH",$AR268="FITS BITCH"),"BULLISH","")</f>
        <v/>
      </c>
      <c r="AU268" s="91" t="str">
        <f aca="false">IF(AND($AO268="FITS BITCH",$AQ268="FITS BITCH",$AS268="FITS BITCH"),"BEARISH","")</f>
        <v/>
      </c>
      <c r="AV268" s="86"/>
      <c r="AW268" s="86"/>
      <c r="AX268" s="86"/>
      <c r="CL268" s="99" t="n">
        <v>42754</v>
      </c>
      <c r="CM268" s="23" t="n">
        <f aca="false">$BA$68*CL268+$BA$70</f>
        <v>126.669527334377</v>
      </c>
    </row>
    <row r="269" customFormat="false" ht="15" hidden="false" customHeight="true" outlineLevel="0" collapsed="false">
      <c r="AE269" s="90" t="n">
        <f aca="false">Data!A264</f>
        <v>42586</v>
      </c>
      <c r="AF269" s="17" t="n">
        <f aca="false">Data!B264</f>
        <v>105.58</v>
      </c>
      <c r="AG269" s="17" t="n">
        <f aca="false">Data!F264</f>
        <v>27408650</v>
      </c>
      <c r="AH269" s="17" t="n">
        <f aca="false">Data!C264</f>
        <v>106</v>
      </c>
      <c r="AI269" s="17" t="n">
        <f aca="false">Data!D264</f>
        <v>105.28</v>
      </c>
      <c r="AJ269" s="17" t="n">
        <f aca="false">Data!E264</f>
        <v>105.87</v>
      </c>
      <c r="AK269" s="17" t="n">
        <f aca="false">Data!F264</f>
        <v>27408650</v>
      </c>
      <c r="AL269" s="17" t="n">
        <f aca="false">AJ269</f>
        <v>105.87</v>
      </c>
      <c r="AM269" s="17" t="n">
        <f aca="false">(AL269-AL268)/AL269*100</f>
        <v>-1.52073297440257</v>
      </c>
      <c r="AN269" s="17" t="n">
        <f aca="false">(AK269-AK268)/AK269*100</f>
        <v>-47.9584072911289</v>
      </c>
      <c r="AO269" s="17" t="str">
        <f aca="false">IF(AN269&lt;-8,"FITS BITCH",IF(AN269&gt;-8,"no"))</f>
        <v>FITS BITCH</v>
      </c>
      <c r="AP269" s="17" t="str">
        <f aca="false">IF(AH270&lt;AH269,"FITS BITCH",IF(AH270&gt;AH269,"no"))</f>
        <v>FITS BITCH</v>
      </c>
      <c r="AQ269" s="17" t="str">
        <f aca="false">IF(AI270&lt;AI269,"FITS BITCH",IF(AI270&gt;AI269,"no"))</f>
        <v>FITS BITCH</v>
      </c>
      <c r="AR269" s="17" t="str">
        <f aca="false">IF(AJ269&lt;AH270,"FITS BITCH",IF(AJ269&gt;AH270,"no"))</f>
        <v>no</v>
      </c>
      <c r="AS269" s="17" t="str">
        <f aca="false">IF(AJ269&gt;AJ270,"FITS BITCH",IF(AJ269&lt;AJ270,"no"))</f>
        <v>FITS BITCH</v>
      </c>
      <c r="AT269" s="91" t="str">
        <f aca="false">IF(AND($AO269="FITS BITCH",$AP269="FITS BITCH",$AR269="FITS BITCH"),"BULLISH","")</f>
        <v/>
      </c>
      <c r="AU269" s="91" t="str">
        <f aca="false">IF(AND($AO269="FITS BITCH",$AQ269="FITS BITCH",$AS269="FITS BITCH"),"BEARISH","")</f>
        <v>BEARISH</v>
      </c>
      <c r="AV269" s="86"/>
      <c r="AW269" s="86"/>
      <c r="AX269" s="86"/>
      <c r="CL269" s="99" t="n">
        <v>42753</v>
      </c>
      <c r="CM269" s="23" t="n">
        <f aca="false">$BA$68*CL269+$BA$70</f>
        <v>126.515409104134</v>
      </c>
    </row>
    <row r="270" customFormat="false" ht="15" hidden="false" customHeight="true" outlineLevel="0" collapsed="false">
      <c r="AE270" s="90" t="n">
        <f aca="false">Data!A265</f>
        <v>42585</v>
      </c>
      <c r="AF270" s="17" t="n">
        <f aca="false">Data!B265</f>
        <v>104.81</v>
      </c>
      <c r="AG270" s="17" t="n">
        <f aca="false">Data!F265</f>
        <v>30202641</v>
      </c>
      <c r="AH270" s="17" t="n">
        <f aca="false">Data!C265</f>
        <v>105.84</v>
      </c>
      <c r="AI270" s="17" t="n">
        <f aca="false">Data!D265</f>
        <v>104.77</v>
      </c>
      <c r="AJ270" s="17" t="n">
        <f aca="false">Data!E265</f>
        <v>105.79</v>
      </c>
      <c r="AK270" s="17" t="n">
        <f aca="false">Data!F265</f>
        <v>30202641</v>
      </c>
      <c r="AL270" s="17" t="n">
        <f aca="false">AJ270</f>
        <v>105.79</v>
      </c>
      <c r="AM270" s="17" t="n">
        <f aca="false">(AL270-AL269)/AL270*100</f>
        <v>-0.0756215143208227</v>
      </c>
      <c r="AN270" s="17" t="n">
        <f aca="false">(AK270-AK269)/AK270*100</f>
        <v>9.25081684081866</v>
      </c>
      <c r="AO270" s="17" t="str">
        <f aca="false">IF(AN270&lt;-8,"FITS BITCH",IF(AN270&gt;-8,"no"))</f>
        <v>no</v>
      </c>
      <c r="AP270" s="17" t="str">
        <f aca="false">IF(AH271&lt;AH270,"FITS BITCH",IF(AH271&gt;AH270,"no"))</f>
        <v>no</v>
      </c>
      <c r="AQ270" s="17" t="str">
        <f aca="false">IF(AI271&lt;AI270,"FITS BITCH",IF(AI271&gt;AI270,"no"))</f>
        <v>FITS BITCH</v>
      </c>
      <c r="AR270" s="17" t="str">
        <f aca="false">IF(AJ270&lt;AH271,"FITS BITCH",IF(AJ270&gt;AH271,"no"))</f>
        <v>FITS BITCH</v>
      </c>
      <c r="AS270" s="17" t="str">
        <f aca="false">IF(AJ270&gt;AJ271,"FITS BITCH",IF(AJ270&lt;AJ271,"no"))</f>
        <v>FITS BITCH</v>
      </c>
      <c r="AT270" s="91" t="str">
        <f aca="false">IF(AND($AO270="FITS BITCH",$AP270="FITS BITCH",$AR270="FITS BITCH"),"BULLISH","")</f>
        <v/>
      </c>
      <c r="AU270" s="91" t="str">
        <f aca="false">IF(AND($AO270="FITS BITCH",$AQ270="FITS BITCH",$AS270="FITS BITCH"),"BEARISH","")</f>
        <v/>
      </c>
      <c r="AV270" s="86"/>
      <c r="AW270" s="86"/>
      <c r="AX270" s="86"/>
      <c r="CL270" s="99" t="n">
        <v>42752</v>
      </c>
      <c r="CM270" s="23" t="n">
        <f aca="false">$BA$68*CL270+$BA$70</f>
        <v>126.361290873891</v>
      </c>
    </row>
    <row r="271" customFormat="false" ht="15" hidden="false" customHeight="true" outlineLevel="0" collapsed="false">
      <c r="AE271" s="90" t="n">
        <f aca="false">Data!A266</f>
        <v>42584</v>
      </c>
      <c r="AF271" s="17" t="n">
        <f aca="false">Data!B266</f>
        <v>106.05</v>
      </c>
      <c r="AG271" s="17" t="n">
        <f aca="false">Data!F266</f>
        <v>33816556</v>
      </c>
      <c r="AH271" s="17" t="n">
        <f aca="false">Data!C266</f>
        <v>106.07</v>
      </c>
      <c r="AI271" s="17" t="n">
        <f aca="false">Data!D266</f>
        <v>104</v>
      </c>
      <c r="AJ271" s="17" t="n">
        <f aca="false">Data!E266</f>
        <v>104.48</v>
      </c>
      <c r="AK271" s="17" t="n">
        <f aca="false">Data!F266</f>
        <v>33816556</v>
      </c>
      <c r="AL271" s="17" t="n">
        <f aca="false">AJ271</f>
        <v>104.48</v>
      </c>
      <c r="AM271" s="17" t="n">
        <f aca="false">(AL271-AL270)/AL271*100</f>
        <v>-1.25382848392037</v>
      </c>
      <c r="AN271" s="17" t="n">
        <f aca="false">(AK271-AK270)/AK271*100</f>
        <v>10.6868215675186</v>
      </c>
      <c r="AO271" s="17" t="str">
        <f aca="false">IF(AN271&lt;-8,"FITS BITCH",IF(AN271&gt;-8,"no"))</f>
        <v>no</v>
      </c>
      <c r="AP271" s="17" t="str">
        <f aca="false">IF(AH272&lt;AH271,"FITS BITCH",IF(AH272&gt;AH271,"no"))</f>
        <v>no</v>
      </c>
      <c r="AQ271" s="17" t="str">
        <f aca="false">IF(AI272&lt;AI271,"FITS BITCH",IF(AI272&gt;AI271,"no"))</f>
        <v>no</v>
      </c>
      <c r="AR271" s="17" t="str">
        <f aca="false">IF(AJ271&lt;AH272,"FITS BITCH",IF(AJ271&gt;AH272,"no"))</f>
        <v>FITS BITCH</v>
      </c>
      <c r="AS271" s="17" t="str">
        <f aca="false">IF(AJ271&gt;AJ272,"FITS BITCH",IF(AJ271&lt;AJ272,"no"))</f>
        <v>no</v>
      </c>
      <c r="AT271" s="91" t="str">
        <f aca="false">IF(AND($AO271="FITS BITCH",$AP271="FITS BITCH",$AR271="FITS BITCH"),"BULLISH","")</f>
        <v/>
      </c>
      <c r="AU271" s="91" t="str">
        <f aca="false">IF(AND($AO271="FITS BITCH",$AQ271="FITS BITCH",$AS271="FITS BITCH"),"BEARISH","")</f>
        <v/>
      </c>
      <c r="AV271" s="86"/>
      <c r="AW271" s="86"/>
      <c r="AX271" s="86"/>
      <c r="CL271" s="99" t="n">
        <v>42751</v>
      </c>
      <c r="CM271" s="23" t="n">
        <f aca="false">$BA$68*CL271+$BA$70</f>
        <v>126.207172643649</v>
      </c>
    </row>
    <row r="272" customFormat="false" ht="15" hidden="false" customHeight="true" outlineLevel="0" collapsed="false">
      <c r="AE272" s="90" t="n">
        <f aca="false">Data!A267</f>
        <v>42583</v>
      </c>
      <c r="AF272" s="17" t="n">
        <f aca="false">Data!B267</f>
        <v>104.41</v>
      </c>
      <c r="AG272" s="17" t="n">
        <f aca="false">Data!F267</f>
        <v>38167871</v>
      </c>
      <c r="AH272" s="17" t="n">
        <f aca="false">Data!C267</f>
        <v>106.15</v>
      </c>
      <c r="AI272" s="17" t="n">
        <f aca="false">Data!D267</f>
        <v>104.41</v>
      </c>
      <c r="AJ272" s="17" t="n">
        <f aca="false">Data!E267</f>
        <v>106.05</v>
      </c>
      <c r="AK272" s="17" t="n">
        <f aca="false">Data!F267</f>
        <v>38167871</v>
      </c>
      <c r="AL272" s="17" t="n">
        <f aca="false">AJ272</f>
        <v>106.05</v>
      </c>
      <c r="AM272" s="17" t="n">
        <f aca="false">(AL272-AL271)/AL272*100</f>
        <v>1.48043375766147</v>
      </c>
      <c r="AN272" s="17" t="n">
        <f aca="false">(AK272-AK271)/AK272*100</f>
        <v>11.4004655905487</v>
      </c>
      <c r="AO272" s="17" t="str">
        <f aca="false">IF(AN272&lt;-8,"FITS BITCH",IF(AN272&gt;-8,"no"))</f>
        <v>no</v>
      </c>
      <c r="AP272" s="17" t="str">
        <f aca="false">IF(AH273&lt;AH272,"FITS BITCH",IF(AH273&gt;AH272,"no"))</f>
        <v>FITS BITCH</v>
      </c>
      <c r="AQ272" s="17" t="str">
        <f aca="false">IF(AI273&lt;AI272,"FITS BITCH",IF(AI273&gt;AI272,"no"))</f>
        <v>FITS BITCH</v>
      </c>
      <c r="AR272" s="17" t="str">
        <f aca="false">IF(AJ272&lt;AH273,"FITS BITCH",IF(AJ272&gt;AH273,"no"))</f>
        <v>no</v>
      </c>
      <c r="AS272" s="17" t="str">
        <f aca="false">IF(AJ272&gt;AJ273,"FITS BITCH",IF(AJ272&lt;AJ273,"no"))</f>
        <v>FITS BITCH</v>
      </c>
      <c r="AT272" s="91" t="str">
        <f aca="false">IF(AND($AO272="FITS BITCH",$AP272="FITS BITCH",$AR272="FITS BITCH"),"BULLISH","")</f>
        <v/>
      </c>
      <c r="AU272" s="91" t="str">
        <f aca="false">IF(AND($AO272="FITS BITCH",$AQ272="FITS BITCH",$AS272="FITS BITCH"),"BEARISH","")</f>
        <v/>
      </c>
      <c r="AV272" s="86"/>
      <c r="AW272" s="86"/>
      <c r="AX272" s="86"/>
      <c r="CL272" s="99" t="n">
        <v>42748</v>
      </c>
      <c r="CM272" s="23" t="n">
        <f aca="false">$BA$68*CL272+$BA$70</f>
        <v>125.744817952921</v>
      </c>
    </row>
    <row r="273" customFormat="false" ht="15" hidden="false" customHeight="true" outlineLevel="0" collapsed="false">
      <c r="AE273" s="90" t="n">
        <f aca="false">Data!A268</f>
        <v>42580</v>
      </c>
      <c r="AF273" s="17" t="n">
        <f aca="false">Data!B268</f>
        <v>104.19</v>
      </c>
      <c r="AG273" s="17" t="n">
        <f aca="false">Data!F268</f>
        <v>27733688</v>
      </c>
      <c r="AH273" s="17" t="n">
        <f aca="false">Data!C268</f>
        <v>104.55</v>
      </c>
      <c r="AI273" s="17" t="n">
        <f aca="false">Data!D268</f>
        <v>103.68</v>
      </c>
      <c r="AJ273" s="17" t="n">
        <f aca="false">Data!E268</f>
        <v>104.21</v>
      </c>
      <c r="AK273" s="17" t="n">
        <f aca="false">Data!F268</f>
        <v>27733688</v>
      </c>
      <c r="AL273" s="17" t="n">
        <f aca="false">AJ273</f>
        <v>104.21</v>
      </c>
      <c r="AM273" s="17" t="n">
        <f aca="false">(AL273-AL272)/AL273*100</f>
        <v>-1.76566548315901</v>
      </c>
      <c r="AN273" s="17" t="n">
        <f aca="false">(AK273-AK272)/AK273*100</f>
        <v>-37.622774872206</v>
      </c>
      <c r="AO273" s="17" t="str">
        <f aca="false">IF(AN273&lt;-8,"FITS BITCH",IF(AN273&gt;-8,"no"))</f>
        <v>FITS BITCH</v>
      </c>
      <c r="AP273" s="17" t="str">
        <f aca="false">IF(AH274&lt;AH273,"FITS BITCH",IF(AH274&gt;AH273,"no"))</f>
        <v>FITS BITCH</v>
      </c>
      <c r="AQ273" s="17" t="str">
        <f aca="false">IF(AI274&lt;AI273,"FITS BITCH",IF(AI274&gt;AI273,"no"))</f>
        <v>FITS BITCH</v>
      </c>
      <c r="AR273" s="17" t="str">
        <f aca="false">IF(AJ273&lt;AH274,"FITS BITCH",IF(AJ273&gt;AH274,"no"))</f>
        <v>FITS BITCH</v>
      </c>
      <c r="AS273" s="17" t="str">
        <f aca="false">IF(AJ273&gt;AJ274,"FITS BITCH",IF(AJ273&lt;AJ274,"no"))</f>
        <v>no</v>
      </c>
      <c r="AT273" s="91" t="str">
        <f aca="false">IF(AND($AO273="FITS BITCH",$AP273="FITS BITCH",$AR273="FITS BITCH"),"BULLISH","")</f>
        <v>BULLISH</v>
      </c>
      <c r="AU273" s="91" t="str">
        <f aca="false">IF(AND($AO273="FITS BITCH",$AQ273="FITS BITCH",$AS273="FITS BITCH"),"BEARISH","")</f>
        <v/>
      </c>
      <c r="AV273" s="86"/>
      <c r="AW273" s="86"/>
      <c r="AX273" s="86"/>
      <c r="CL273" s="99" t="n">
        <v>42747</v>
      </c>
      <c r="CM273" s="23" t="n">
        <f aca="false">$BA$68*CL273+$BA$70</f>
        <v>125.590699722678</v>
      </c>
    </row>
    <row r="274" customFormat="false" ht="15" hidden="false" customHeight="true" outlineLevel="0" collapsed="false">
      <c r="AE274" s="90" t="n">
        <f aca="false">Data!A269</f>
        <v>42579</v>
      </c>
      <c r="AF274" s="17" t="n">
        <f aca="false">Data!B269</f>
        <v>102.83</v>
      </c>
      <c r="AG274" s="17" t="n">
        <f aca="false">Data!F269</f>
        <v>39869839</v>
      </c>
      <c r="AH274" s="17" t="n">
        <f aca="false">Data!C269</f>
        <v>104.45</v>
      </c>
      <c r="AI274" s="17" t="n">
        <f aca="false">Data!D269</f>
        <v>102.82</v>
      </c>
      <c r="AJ274" s="17" t="n">
        <f aca="false">Data!E269</f>
        <v>104.34</v>
      </c>
      <c r="AK274" s="17" t="n">
        <f aca="false">Data!F269</f>
        <v>39869839</v>
      </c>
      <c r="AL274" s="17" t="n">
        <f aca="false">AJ274</f>
        <v>104.34</v>
      </c>
      <c r="AM274" s="17" t="n">
        <f aca="false">(AL274-AL273)/AL274*100</f>
        <v>0.124592677784176</v>
      </c>
      <c r="AN274" s="17" t="n">
        <f aca="false">(AK274-AK273)/AK274*100</f>
        <v>30.4394281602191</v>
      </c>
      <c r="AO274" s="17" t="str">
        <f aca="false">IF(AN274&lt;-8,"FITS BITCH",IF(AN274&gt;-8,"no"))</f>
        <v>no</v>
      </c>
      <c r="AP274" s="17" t="str">
        <f aca="false">IF(AH275&lt;AH274,"FITS BITCH",IF(AH275&gt;AH274,"no"))</f>
        <v>FITS BITCH</v>
      </c>
      <c r="AQ274" s="17" t="str">
        <f aca="false">IF(AI275&lt;AI274,"FITS BITCH",IF(AI275&gt;AI274,"no"))</f>
        <v>FITS BITCH</v>
      </c>
      <c r="AR274" s="17" t="str">
        <f aca="false">IF(AJ274&lt;AH275,"FITS BITCH",IF(AJ274&gt;AH275,"no"))</f>
        <v>FITS BITCH</v>
      </c>
      <c r="AS274" s="17" t="str">
        <f aca="false">IF(AJ274&gt;AJ275,"FITS BITCH",IF(AJ274&lt;AJ275,"no"))</f>
        <v>FITS BITCH</v>
      </c>
      <c r="AT274" s="91" t="str">
        <f aca="false">IF(AND($AO274="FITS BITCH",$AP274="FITS BITCH",$AR274="FITS BITCH"),"BULLISH","")</f>
        <v/>
      </c>
      <c r="AU274" s="91" t="str">
        <f aca="false">IF(AND($AO274="FITS BITCH",$AQ274="FITS BITCH",$AS274="FITS BITCH"),"BEARISH","")</f>
        <v/>
      </c>
      <c r="AV274" s="86"/>
      <c r="AW274" s="86"/>
      <c r="AX274" s="86"/>
      <c r="CL274" s="99" t="n">
        <v>42746</v>
      </c>
      <c r="CM274" s="23" t="n">
        <f aca="false">$BA$68*CL274+$BA$70</f>
        <v>125.436581492435</v>
      </c>
    </row>
    <row r="275" customFormat="false" ht="15" hidden="false" customHeight="true" outlineLevel="0" collapsed="false">
      <c r="AE275" s="90" t="n">
        <f aca="false">Data!A270</f>
        <v>42578</v>
      </c>
      <c r="AF275" s="17" t="n">
        <f aca="false">Data!B270</f>
        <v>104.26</v>
      </c>
      <c r="AG275" s="17" t="n">
        <f aca="false">Data!F270</f>
        <v>92344820</v>
      </c>
      <c r="AH275" s="17" t="n">
        <f aca="false">Data!C270</f>
        <v>104.35</v>
      </c>
      <c r="AI275" s="17" t="n">
        <f aca="false">Data!D270</f>
        <v>102.75</v>
      </c>
      <c r="AJ275" s="17" t="n">
        <f aca="false">Data!E270</f>
        <v>102.95</v>
      </c>
      <c r="AK275" s="17" t="n">
        <f aca="false">Data!F270</f>
        <v>92344820</v>
      </c>
      <c r="AL275" s="17" t="n">
        <f aca="false">AJ275</f>
        <v>102.95</v>
      </c>
      <c r="AM275" s="17" t="n">
        <f aca="false">(AL275-AL274)/AL275*100</f>
        <v>-1.35016998542982</v>
      </c>
      <c r="AN275" s="17" t="n">
        <f aca="false">(AK275-AK274)/AK275*100</f>
        <v>56.8250401051191</v>
      </c>
      <c r="AO275" s="17" t="str">
        <f aca="false">IF(AN275&lt;-8,"FITS BITCH",IF(AN275&gt;-8,"no"))</f>
        <v>no</v>
      </c>
      <c r="AP275" s="17" t="str">
        <f aca="false">IF(AH276&lt;AH275,"FITS BITCH",IF(AH276&gt;AH275,"no"))</f>
        <v>FITS BITCH</v>
      </c>
      <c r="AQ275" s="17" t="str">
        <f aca="false">IF(AI276&lt;AI275,"FITS BITCH",IF(AI276&gt;AI275,"no"))</f>
        <v>FITS BITCH</v>
      </c>
      <c r="AR275" s="17" t="str">
        <f aca="false">IF(AJ275&lt;AH276,"FITS BITCH",IF(AJ275&gt;AH276,"no"))</f>
        <v>no</v>
      </c>
      <c r="AS275" s="17" t="str">
        <f aca="false">IF(AJ275&gt;AJ276,"FITS BITCH",IF(AJ275&lt;AJ276,"no"))</f>
        <v>FITS BITCH</v>
      </c>
      <c r="AT275" s="91" t="str">
        <f aca="false">IF(AND($AO275="FITS BITCH",$AP275="FITS BITCH",$AR275="FITS BITCH"),"BULLISH","")</f>
        <v/>
      </c>
      <c r="AU275" s="91" t="str">
        <f aca="false">IF(AND($AO275="FITS BITCH",$AQ275="FITS BITCH",$AS275="FITS BITCH"),"BEARISH","")</f>
        <v/>
      </c>
      <c r="AV275" s="86"/>
      <c r="AW275" s="86"/>
      <c r="AX275" s="86"/>
      <c r="CL275" s="99" t="n">
        <v>42745</v>
      </c>
      <c r="CM275" s="23" t="n">
        <f aca="false">$BA$68*CL275+$BA$70</f>
        <v>125.282463262192</v>
      </c>
    </row>
    <row r="276" customFormat="false" ht="15" hidden="false" customHeight="true" outlineLevel="0" collapsed="false">
      <c r="AE276" s="90" t="n">
        <f aca="false">Data!A271</f>
        <v>42577</v>
      </c>
      <c r="AF276" s="17" t="n">
        <f aca="false">Data!B271</f>
        <v>96.82</v>
      </c>
      <c r="AG276" s="17" t="n">
        <f aca="false">Data!F271</f>
        <v>56239822</v>
      </c>
      <c r="AH276" s="17" t="n">
        <f aca="false">Data!C271</f>
        <v>97.97</v>
      </c>
      <c r="AI276" s="17" t="n">
        <f aca="false">Data!D271</f>
        <v>96.42</v>
      </c>
      <c r="AJ276" s="17" t="n">
        <f aca="false">Data!E271</f>
        <v>96.67</v>
      </c>
      <c r="AK276" s="17" t="n">
        <f aca="false">Data!F271</f>
        <v>56239822</v>
      </c>
      <c r="AL276" s="17" t="n">
        <f aca="false">AJ276</f>
        <v>96.67</v>
      </c>
      <c r="AM276" s="17" t="n">
        <f aca="false">(AL276-AL275)/AL276*100</f>
        <v>-6.49632771283749</v>
      </c>
      <c r="AN276" s="17" t="n">
        <f aca="false">(AK276-AK275)/AK276*100</f>
        <v>-64.1982792904288</v>
      </c>
      <c r="AO276" s="17" t="str">
        <f aca="false">IF(AN276&lt;-8,"FITS BITCH",IF(AN276&gt;-8,"no"))</f>
        <v>FITS BITCH</v>
      </c>
      <c r="AP276" s="17" t="str">
        <f aca="false">IF(AH277&lt;AH276,"FITS BITCH",IF(AH277&gt;AH276,"no"))</f>
        <v>no</v>
      </c>
      <c r="AQ276" s="17" t="str">
        <f aca="false">IF(AI277&lt;AI276,"FITS BITCH",IF(AI277&gt;AI276,"no"))</f>
        <v>no</v>
      </c>
      <c r="AR276" s="17" t="str">
        <f aca="false">IF(AJ276&lt;AH277,"FITS BITCH",IF(AJ276&gt;AH277,"no"))</f>
        <v>FITS BITCH</v>
      </c>
      <c r="AS276" s="17" t="str">
        <f aca="false">IF(AJ276&gt;AJ277,"FITS BITCH",IF(AJ276&lt;AJ277,"no"))</f>
        <v>no</v>
      </c>
      <c r="AT276" s="91" t="str">
        <f aca="false">IF(AND($AO276="FITS BITCH",$AP276="FITS BITCH",$AR276="FITS BITCH"),"BULLISH","")</f>
        <v/>
      </c>
      <c r="AU276" s="91" t="str">
        <f aca="false">IF(AND($AO276="FITS BITCH",$AQ276="FITS BITCH",$AS276="FITS BITCH"),"BEARISH","")</f>
        <v/>
      </c>
      <c r="AV276" s="86"/>
      <c r="AW276" s="86"/>
      <c r="AX276" s="86"/>
      <c r="CL276" s="99" t="n">
        <v>42744</v>
      </c>
      <c r="CM276" s="23" t="n">
        <f aca="false">$BA$68*CL276+$BA$70</f>
        <v>125.12834503195</v>
      </c>
    </row>
    <row r="277" customFormat="false" ht="15" hidden="false" customHeight="true" outlineLevel="0" collapsed="false">
      <c r="AE277" s="90" t="n">
        <f aca="false">Data!A272</f>
        <v>42576</v>
      </c>
      <c r="AF277" s="17" t="n">
        <f aca="false">Data!B272</f>
        <v>98.25</v>
      </c>
      <c r="AG277" s="17" t="n">
        <f aca="false">Data!F272</f>
        <v>40382921</v>
      </c>
      <c r="AH277" s="17" t="n">
        <f aca="false">Data!C272</f>
        <v>98.84</v>
      </c>
      <c r="AI277" s="17" t="n">
        <f aca="false">Data!D272</f>
        <v>96.92</v>
      </c>
      <c r="AJ277" s="17" t="n">
        <f aca="false">Data!E272</f>
        <v>97.34</v>
      </c>
      <c r="AK277" s="17" t="n">
        <f aca="false">Data!F272</f>
        <v>40382921</v>
      </c>
      <c r="AL277" s="17" t="n">
        <f aca="false">AJ277</f>
        <v>97.34</v>
      </c>
      <c r="AM277" s="17" t="n">
        <f aca="false">(AL277-AL276)/AL277*100</f>
        <v>0.688309019930143</v>
      </c>
      <c r="AN277" s="17" t="n">
        <f aca="false">(AK277-AK276)/AK277*100</f>
        <v>-39.2663547047525</v>
      </c>
      <c r="AO277" s="17" t="str">
        <f aca="false">IF(AN277&lt;-8,"FITS BITCH",IF(AN277&gt;-8,"no"))</f>
        <v>FITS BITCH</v>
      </c>
      <c r="AP277" s="17" t="str">
        <f aca="false">IF(AH278&lt;AH277,"FITS BITCH",IF(AH278&gt;AH277,"no"))</f>
        <v>no</v>
      </c>
      <c r="AQ277" s="17" t="str">
        <f aca="false">IF(AI278&lt;AI277,"FITS BITCH",IF(AI278&gt;AI277,"no"))</f>
        <v>no</v>
      </c>
      <c r="AR277" s="17" t="str">
        <f aca="false">IF(AJ277&lt;AH278,"FITS BITCH",IF(AJ277&gt;AH278,"no"))</f>
        <v>FITS BITCH</v>
      </c>
      <c r="AS277" s="17" t="str">
        <f aca="false">IF(AJ277&gt;AJ278,"FITS BITCH",IF(AJ277&lt;AJ278,"no"))</f>
        <v>no</v>
      </c>
      <c r="AT277" s="91" t="str">
        <f aca="false">IF(AND($AO277="FITS BITCH",$AP277="FITS BITCH",$AR277="FITS BITCH"),"BULLISH","")</f>
        <v/>
      </c>
      <c r="AU277" s="91" t="str">
        <f aca="false">IF(AND($AO277="FITS BITCH",$AQ277="FITS BITCH",$AS277="FITS BITCH"),"BEARISH","")</f>
        <v/>
      </c>
      <c r="AV277" s="86"/>
      <c r="AW277" s="86"/>
      <c r="AX277" s="86"/>
      <c r="CL277" s="99" t="n">
        <v>42741</v>
      </c>
      <c r="CM277" s="23" t="n">
        <f aca="false">$BA$68*CL277+$BA$70</f>
        <v>124.665990341222</v>
      </c>
    </row>
    <row r="278" customFormat="false" ht="15" hidden="false" customHeight="true" outlineLevel="0" collapsed="false">
      <c r="AE278" s="90" t="n">
        <f aca="false">Data!A273</f>
        <v>42573</v>
      </c>
      <c r="AF278" s="17" t="n">
        <f aca="false">Data!B273</f>
        <v>99.26</v>
      </c>
      <c r="AG278" s="17" t="n">
        <f aca="false">Data!F273</f>
        <v>28313669</v>
      </c>
      <c r="AH278" s="17" t="n">
        <f aca="false">Data!C273</f>
        <v>99.3</v>
      </c>
      <c r="AI278" s="17" t="n">
        <f aca="false">Data!D273</f>
        <v>98.31</v>
      </c>
      <c r="AJ278" s="17" t="n">
        <f aca="false">Data!E273</f>
        <v>98.66</v>
      </c>
      <c r="AK278" s="17" t="n">
        <f aca="false">Data!F273</f>
        <v>28313669</v>
      </c>
      <c r="AL278" s="17" t="n">
        <f aca="false">AJ278</f>
        <v>98.66</v>
      </c>
      <c r="AM278" s="17" t="n">
        <f aca="false">(AL278-AL277)/AL278*100</f>
        <v>1.33792823839448</v>
      </c>
      <c r="AN278" s="17" t="n">
        <f aca="false">(AK278-AK277)/AK278*100</f>
        <v>-42.6269446040356</v>
      </c>
      <c r="AO278" s="17" t="str">
        <f aca="false">IF(AN278&lt;-8,"FITS BITCH",IF(AN278&gt;-8,"no"))</f>
        <v>FITS BITCH</v>
      </c>
      <c r="AP278" s="17" t="str">
        <f aca="false">IF(AH279&lt;AH278,"FITS BITCH",IF(AH279&gt;AH278,"no"))</f>
        <v>no</v>
      </c>
      <c r="AQ278" s="17" t="str">
        <f aca="false">IF(AI279&lt;AI278,"FITS BITCH",IF(AI279&gt;AI278,"no"))</f>
        <v>no</v>
      </c>
      <c r="AR278" s="17" t="str">
        <f aca="false">IF(AJ278&lt;AH279,"FITS BITCH",IF(AJ278&gt;AH279,"no"))</f>
        <v>FITS BITCH</v>
      </c>
      <c r="AS278" s="17" t="str">
        <f aca="false">IF(AJ278&gt;AJ279,"FITS BITCH",IF(AJ278&lt;AJ279,"no"))</f>
        <v>no</v>
      </c>
      <c r="AT278" s="91" t="str">
        <f aca="false">IF(AND($AO278="FITS BITCH",$AP278="FITS BITCH",$AR278="FITS BITCH"),"BULLISH","")</f>
        <v/>
      </c>
      <c r="AU278" s="91" t="str">
        <f aca="false">IF(AND($AO278="FITS BITCH",$AQ278="FITS BITCH",$AS278="FITS BITCH"),"BEARISH","")</f>
        <v/>
      </c>
      <c r="AV278" s="86"/>
      <c r="AW278" s="86"/>
      <c r="AX278" s="86"/>
      <c r="CL278" s="99" t="n">
        <v>42740</v>
      </c>
      <c r="CM278" s="23" t="n">
        <f aca="false">$BA$68*CL278+$BA$70</f>
        <v>124.511872110979</v>
      </c>
    </row>
    <row r="279" customFormat="false" ht="15" hidden="false" customHeight="true" outlineLevel="0" collapsed="false">
      <c r="AE279" s="90" t="n">
        <f aca="false">Data!A274</f>
        <v>42572</v>
      </c>
      <c r="AF279" s="17" t="n">
        <f aca="false">Data!B274</f>
        <v>99.83</v>
      </c>
      <c r="AG279" s="17" t="n">
        <f aca="false">Data!F274</f>
        <v>32702028</v>
      </c>
      <c r="AH279" s="17" t="n">
        <f aca="false">Data!C274</f>
        <v>101</v>
      </c>
      <c r="AI279" s="17" t="n">
        <f aca="false">Data!D274</f>
        <v>99.13</v>
      </c>
      <c r="AJ279" s="17" t="n">
        <f aca="false">Data!E274</f>
        <v>99.43</v>
      </c>
      <c r="AK279" s="17" t="n">
        <f aca="false">Data!F274</f>
        <v>32702028</v>
      </c>
      <c r="AL279" s="17" t="n">
        <f aca="false">AJ279</f>
        <v>99.43</v>
      </c>
      <c r="AM279" s="17" t="n">
        <f aca="false">(AL279-AL278)/AL279*100</f>
        <v>0.774414160716092</v>
      </c>
      <c r="AN279" s="17" t="n">
        <f aca="false">(AK279-AK278)/AK279*100</f>
        <v>13.4192258657475</v>
      </c>
      <c r="AO279" s="17" t="str">
        <f aca="false">IF(AN279&lt;-8,"FITS BITCH",IF(AN279&gt;-8,"no"))</f>
        <v>no</v>
      </c>
      <c r="AP279" s="17" t="str">
        <f aca="false">IF(AH280&lt;AH279,"FITS BITCH",IF(AH280&gt;AH279,"no"))</f>
        <v>FITS BITCH</v>
      </c>
      <c r="AQ279" s="17" t="str">
        <f aca="false">IF(AI280&lt;AI279,"FITS BITCH",IF(AI280&gt;AI279,"no"))</f>
        <v>no</v>
      </c>
      <c r="AR279" s="17" t="str">
        <f aca="false">IF(AJ279&lt;AH280,"FITS BITCH",IF(AJ279&gt;AH280,"no"))</f>
        <v>FITS BITCH</v>
      </c>
      <c r="AS279" s="17" t="str">
        <f aca="false">IF(AJ279&gt;AJ280,"FITS BITCH",IF(AJ279&lt;AJ280,"no"))</f>
        <v>no</v>
      </c>
      <c r="AT279" s="91" t="str">
        <f aca="false">IF(AND($AO279="FITS BITCH",$AP279="FITS BITCH",$AR279="FITS BITCH"),"BULLISH","")</f>
        <v/>
      </c>
      <c r="AU279" s="91" t="str">
        <f aca="false">IF(AND($AO279="FITS BITCH",$AQ279="FITS BITCH",$AS279="FITS BITCH"),"BEARISH","")</f>
        <v/>
      </c>
      <c r="AV279" s="86"/>
      <c r="AW279" s="86"/>
      <c r="AX279" s="86"/>
      <c r="CL279" s="99" t="n">
        <v>42739</v>
      </c>
      <c r="CM279" s="23" t="n">
        <f aca="false">$BA$68*CL279+$BA$70</f>
        <v>124.357753880737</v>
      </c>
    </row>
    <row r="280" customFormat="false" ht="15" hidden="false" customHeight="true" outlineLevel="0" collapsed="false">
      <c r="AE280" s="90" t="n">
        <f aca="false">Data!A275</f>
        <v>42571</v>
      </c>
      <c r="AF280" s="17" t="n">
        <f aca="false">Data!B275</f>
        <v>100</v>
      </c>
      <c r="AG280" s="17" t="n">
        <f aca="false">Data!F275</f>
        <v>26275968</v>
      </c>
      <c r="AH280" s="17" t="n">
        <f aca="false">Data!C275</f>
        <v>100.46</v>
      </c>
      <c r="AI280" s="17" t="n">
        <f aca="false">Data!D275</f>
        <v>99.74</v>
      </c>
      <c r="AJ280" s="17" t="n">
        <f aca="false">Data!E275</f>
        <v>99.96</v>
      </c>
      <c r="AK280" s="17" t="n">
        <f aca="false">Data!F275</f>
        <v>26275968</v>
      </c>
      <c r="AL280" s="17" t="n">
        <f aca="false">AJ280</f>
        <v>99.96</v>
      </c>
      <c r="AM280" s="17" t="n">
        <f aca="false">(AL280-AL279)/AL280*100</f>
        <v>0.530212084833921</v>
      </c>
      <c r="AN280" s="17" t="n">
        <f aca="false">(AK280-AK279)/AK280*100</f>
        <v>-24.4560352638578</v>
      </c>
      <c r="AO280" s="17" t="str">
        <f aca="false">IF(AN280&lt;-8,"FITS BITCH",IF(AN280&gt;-8,"no"))</f>
        <v>FITS BITCH</v>
      </c>
      <c r="AP280" s="17" t="str">
        <f aca="false">IF(AH281&lt;AH280,"FITS BITCH",IF(AH281&gt;AH280,"no"))</f>
        <v>FITS BITCH</v>
      </c>
      <c r="AQ280" s="17" t="str">
        <f aca="false">IF(AI281&lt;AI280,"FITS BITCH",IF(AI281&gt;AI280,"no"))</f>
        <v>FITS BITCH</v>
      </c>
      <c r="AR280" s="17" t="str">
        <f aca="false">IF(AJ280&lt;AH281,"FITS BITCH",IF(AJ280&gt;AH281,"no"))</f>
        <v>FITS BITCH</v>
      </c>
      <c r="AS280" s="17" t="str">
        <f aca="false">IF(AJ280&gt;AJ281,"FITS BITCH",IF(AJ280&lt;AJ281,"no"))</f>
        <v>FITS BITCH</v>
      </c>
      <c r="AT280" s="91" t="str">
        <f aca="false">IF(AND($AO280="FITS BITCH",$AP280="FITS BITCH",$AR280="FITS BITCH"),"BULLISH","")</f>
        <v>BULLISH</v>
      </c>
      <c r="AU280" s="91" t="str">
        <f aca="false">IF(AND($AO280="FITS BITCH",$AQ280="FITS BITCH",$AS280="FITS BITCH"),"BEARISH","")</f>
        <v>BEARISH</v>
      </c>
      <c r="AV280" s="86"/>
      <c r="AW280" s="86"/>
      <c r="AX280" s="86"/>
      <c r="CL280" s="99" t="n">
        <v>42738</v>
      </c>
      <c r="CM280" s="23" t="n">
        <f aca="false">$BA$68*CL280+$BA$70</f>
        <v>124.203635650494</v>
      </c>
    </row>
    <row r="281" customFormat="false" ht="15" hidden="false" customHeight="true" outlineLevel="0" collapsed="false">
      <c r="AE281" s="90" t="n">
        <f aca="false">Data!A276</f>
        <v>42570</v>
      </c>
      <c r="AF281" s="17" t="n">
        <f aca="false">Data!B276</f>
        <v>99.56</v>
      </c>
      <c r="AG281" s="17" t="n">
        <f aca="false">Data!F276</f>
        <v>23779924</v>
      </c>
      <c r="AH281" s="17" t="n">
        <f aca="false">Data!C276</f>
        <v>100</v>
      </c>
      <c r="AI281" s="17" t="n">
        <f aca="false">Data!D276</f>
        <v>99.34</v>
      </c>
      <c r="AJ281" s="17" t="n">
        <f aca="false">Data!E276</f>
        <v>99.87</v>
      </c>
      <c r="AK281" s="17" t="n">
        <f aca="false">Data!F276</f>
        <v>23779924</v>
      </c>
      <c r="AL281" s="17" t="n">
        <f aca="false">AJ281</f>
        <v>99.87</v>
      </c>
      <c r="AM281" s="17" t="n">
        <f aca="false">(AL281-AL280)/AL281*100</f>
        <v>-0.0901171522979766</v>
      </c>
      <c r="AN281" s="17" t="n">
        <f aca="false">(AK281-AK280)/AK281*100</f>
        <v>-10.4964338826314</v>
      </c>
      <c r="AO281" s="17" t="str">
        <f aca="false">IF(AN281&lt;-8,"FITS BITCH",IF(AN281&gt;-8,"no"))</f>
        <v>FITS BITCH</v>
      </c>
      <c r="AP281" s="17" t="str">
        <f aca="false">IF(AH282&lt;AH281,"FITS BITCH",IF(AH282&gt;AH281,"no"))</f>
        <v>no</v>
      </c>
      <c r="AQ281" s="17" t="str">
        <f aca="false">IF(AI282&lt;AI281,"FITS BITCH",IF(AI282&gt;AI281,"no"))</f>
        <v>FITS BITCH</v>
      </c>
      <c r="AR281" s="17" t="str">
        <f aca="false">IF(AJ281&lt;AH282,"FITS BITCH",IF(AJ281&gt;AH282,"no"))</f>
        <v>FITS BITCH</v>
      </c>
      <c r="AS281" s="17" t="str">
        <f aca="false">IF(AJ281&gt;AJ282,"FITS BITCH",IF(AJ281&lt;AJ282,"no"))</f>
        <v>FITS BITCH</v>
      </c>
      <c r="AT281" s="91" t="str">
        <f aca="false">IF(AND($AO281="FITS BITCH",$AP281="FITS BITCH",$AR281="FITS BITCH"),"BULLISH","")</f>
        <v/>
      </c>
      <c r="AU281" s="91" t="str">
        <f aca="false">IF(AND($AO281="FITS BITCH",$AQ281="FITS BITCH",$AS281="FITS BITCH"),"BEARISH","")</f>
        <v>BEARISH</v>
      </c>
      <c r="AV281" s="86"/>
      <c r="AW281" s="86"/>
      <c r="AX281" s="86"/>
      <c r="CL281" s="99" t="n">
        <v>42737</v>
      </c>
      <c r="CM281" s="23" t="n">
        <f aca="false">$BA$68*CL281+$BA$70</f>
        <v>124.049517420252</v>
      </c>
    </row>
    <row r="282" customFormat="false" ht="15" hidden="false" customHeight="true" outlineLevel="0" collapsed="false">
      <c r="AE282" s="90" t="n">
        <f aca="false">Data!A277</f>
        <v>42569</v>
      </c>
      <c r="AF282" s="17" t="n">
        <f aca="false">Data!B277</f>
        <v>98.7</v>
      </c>
      <c r="AG282" s="17" t="n">
        <f aca="false">Data!F277</f>
        <v>36493867</v>
      </c>
      <c r="AH282" s="17" t="n">
        <f aca="false">Data!C277</f>
        <v>100.13</v>
      </c>
      <c r="AI282" s="17" t="n">
        <f aca="false">Data!D277</f>
        <v>98.6</v>
      </c>
      <c r="AJ282" s="17" t="n">
        <f aca="false">Data!E277</f>
        <v>99.83</v>
      </c>
      <c r="AK282" s="17" t="n">
        <f aca="false">Data!F277</f>
        <v>36493867</v>
      </c>
      <c r="AL282" s="17" t="n">
        <f aca="false">AJ282</f>
        <v>99.83</v>
      </c>
      <c r="AM282" s="17" t="n">
        <f aca="false">(AL282-AL281)/AL282*100</f>
        <v>-0.0400681157968609</v>
      </c>
      <c r="AN282" s="17" t="n">
        <f aca="false">(AK282-AK281)/AK282*100</f>
        <v>34.838574382923</v>
      </c>
      <c r="AO282" s="17" t="str">
        <f aca="false">IF(AN282&lt;-8,"FITS BITCH",IF(AN282&gt;-8,"no"))</f>
        <v>no</v>
      </c>
      <c r="AP282" s="17" t="str">
        <f aca="false">IF(AH283&lt;AH282,"FITS BITCH",IF(AH283&gt;AH282,"no"))</f>
        <v>FITS BITCH</v>
      </c>
      <c r="AQ282" s="17" t="str">
        <f aca="false">IF(AI283&lt;AI282,"FITS BITCH",IF(AI283&gt;AI282,"no"))</f>
        <v>FITS BITCH</v>
      </c>
      <c r="AR282" s="17" t="str">
        <f aca="false">IF(AJ282&lt;AH283,"FITS BITCH",IF(AJ282&gt;AH283,"no"))</f>
        <v>no</v>
      </c>
      <c r="AS282" s="17" t="str">
        <f aca="false">IF(AJ282&gt;AJ283,"FITS BITCH",IF(AJ282&lt;AJ283,"no"))</f>
        <v>FITS BITCH</v>
      </c>
      <c r="AT282" s="91" t="str">
        <f aca="false">IF(AND($AO282="FITS BITCH",$AP282="FITS BITCH",$AR282="FITS BITCH"),"BULLISH","")</f>
        <v/>
      </c>
      <c r="AU282" s="91" t="str">
        <f aca="false">IF(AND($AO282="FITS BITCH",$AQ282="FITS BITCH",$AS282="FITS BITCH"),"BEARISH","")</f>
        <v/>
      </c>
      <c r="AV282" s="86"/>
      <c r="AW282" s="86"/>
      <c r="AX282" s="86"/>
      <c r="CL282" s="99" t="n">
        <v>42734</v>
      </c>
      <c r="CM282" s="23" t="n">
        <f aca="false">$BA$68*CL282+$BA$70</f>
        <v>123.587162729523</v>
      </c>
    </row>
    <row r="283" customFormat="false" ht="15" hidden="false" customHeight="true" outlineLevel="0" collapsed="false">
      <c r="AE283" s="90" t="n">
        <f aca="false">Data!A278</f>
        <v>42566</v>
      </c>
      <c r="AF283" s="17" t="n">
        <f aca="false">Data!B278</f>
        <v>98.92</v>
      </c>
      <c r="AG283" s="17" t="n">
        <f aca="false">Data!F278</f>
        <v>30136990</v>
      </c>
      <c r="AH283" s="17" t="n">
        <f aca="false">Data!C278</f>
        <v>99.3</v>
      </c>
      <c r="AI283" s="17" t="n">
        <f aca="false">Data!D278</f>
        <v>98.5</v>
      </c>
      <c r="AJ283" s="17" t="n">
        <f aca="false">Data!E278</f>
        <v>98.78</v>
      </c>
      <c r="AK283" s="17" t="n">
        <f aca="false">Data!F278</f>
        <v>30136990</v>
      </c>
      <c r="AL283" s="17" t="n">
        <f aca="false">AJ283</f>
        <v>98.78</v>
      </c>
      <c r="AM283" s="17" t="n">
        <f aca="false">(AL283-AL282)/AL283*100</f>
        <v>-1.0629682121887</v>
      </c>
      <c r="AN283" s="17" t="n">
        <f aca="false">(AK283-AK282)/AK283*100</f>
        <v>-21.0932710930985</v>
      </c>
      <c r="AO283" s="17" t="str">
        <f aca="false">IF(AN283&lt;-8,"FITS BITCH",IF(AN283&gt;-8,"no"))</f>
        <v>FITS BITCH</v>
      </c>
      <c r="AP283" s="17" t="str">
        <f aca="false">IF(AH284&lt;AH283,"FITS BITCH",IF(AH284&gt;AH283,"no"))</f>
        <v>FITS BITCH</v>
      </c>
      <c r="AQ283" s="17" t="str">
        <f aca="false">IF(AI284&lt;AI283,"FITS BITCH",IF(AI284&gt;AI283,"no"))</f>
        <v>FITS BITCH</v>
      </c>
      <c r="AR283" s="17" t="str">
        <f aca="false">IF(AJ283&lt;AH284,"FITS BITCH",IF(AJ283&gt;AH284,"no"))</f>
        <v>FITS BITCH</v>
      </c>
      <c r="AS283" s="17" t="str">
        <f aca="false">IF(AJ283&gt;AJ284,"FITS BITCH",IF(AJ283&lt;AJ284,"no"))</f>
        <v>no</v>
      </c>
      <c r="AT283" s="91" t="str">
        <f aca="false">IF(AND($AO283="FITS BITCH",$AP283="FITS BITCH",$AR283="FITS BITCH"),"BULLISH","")</f>
        <v>BULLISH</v>
      </c>
      <c r="AU283" s="91" t="str">
        <f aca="false">IF(AND($AO283="FITS BITCH",$AQ283="FITS BITCH",$AS283="FITS BITCH"),"BEARISH","")</f>
        <v/>
      </c>
      <c r="AV283" s="86"/>
      <c r="AW283" s="86"/>
      <c r="AX283" s="86"/>
      <c r="CL283" s="99" t="n">
        <v>42733</v>
      </c>
      <c r="CM283" s="23" t="n">
        <f aca="false">$BA$68*CL283+$BA$70</f>
        <v>123.43304449928</v>
      </c>
    </row>
    <row r="284" customFormat="false" ht="15" hidden="false" customHeight="true" outlineLevel="0" collapsed="false">
      <c r="AE284" s="90" t="n">
        <f aca="false">Data!A279</f>
        <v>42565</v>
      </c>
      <c r="AF284" s="17" t="n">
        <f aca="false">Data!B279</f>
        <v>97.39</v>
      </c>
      <c r="AG284" s="17" t="n">
        <f aca="false">Data!F279</f>
        <v>38918997</v>
      </c>
      <c r="AH284" s="17" t="n">
        <f aca="false">Data!C279</f>
        <v>98.99</v>
      </c>
      <c r="AI284" s="17" t="n">
        <f aca="false">Data!D279</f>
        <v>97.32</v>
      </c>
      <c r="AJ284" s="17" t="n">
        <f aca="false">Data!E279</f>
        <v>98.79</v>
      </c>
      <c r="AK284" s="17" t="n">
        <f aca="false">Data!F279</f>
        <v>38918997</v>
      </c>
      <c r="AL284" s="17" t="n">
        <f aca="false">AJ284</f>
        <v>98.79</v>
      </c>
      <c r="AM284" s="17" t="n">
        <f aca="false">(AL284-AL283)/AL284*100</f>
        <v>0.0101224820325996</v>
      </c>
      <c r="AN284" s="17" t="n">
        <f aca="false">(AK284-AK283)/AK284*100</f>
        <v>22.5648338265244</v>
      </c>
      <c r="AO284" s="17" t="str">
        <f aca="false">IF(AN284&lt;-8,"FITS BITCH",IF(AN284&gt;-8,"no"))</f>
        <v>no</v>
      </c>
      <c r="AP284" s="17" t="str">
        <f aca="false">IF(AH285&lt;AH284,"FITS BITCH",IF(AH285&gt;AH284,"no"))</f>
        <v>FITS BITCH</v>
      </c>
      <c r="AQ284" s="17" t="str">
        <f aca="false">IF(AI285&lt;AI284,"FITS BITCH",IF(AI285&gt;AI284,"no"))</f>
        <v>FITS BITCH</v>
      </c>
      <c r="AR284" s="17" t="str">
        <f aca="false">IF(AJ284&lt;AH285,"FITS BITCH",IF(AJ284&gt;AH285,"no"))</f>
        <v>no</v>
      </c>
      <c r="AS284" s="17" t="str">
        <f aca="false">IF(AJ284&gt;AJ285,"FITS BITCH",IF(AJ284&lt;AJ285,"no"))</f>
        <v>FITS BITCH</v>
      </c>
      <c r="AT284" s="91" t="str">
        <f aca="false">IF(AND($AO284="FITS BITCH",$AP284="FITS BITCH",$AR284="FITS BITCH"),"BULLISH","")</f>
        <v/>
      </c>
      <c r="AU284" s="91" t="str">
        <f aca="false">IF(AND($AO284="FITS BITCH",$AQ284="FITS BITCH",$AS284="FITS BITCH"),"BEARISH","")</f>
        <v/>
      </c>
      <c r="AV284" s="86"/>
      <c r="AW284" s="86"/>
      <c r="AX284" s="86"/>
      <c r="CL284" s="99" t="n">
        <v>42732</v>
      </c>
      <c r="CM284" s="23" t="n">
        <f aca="false">$BA$68*CL284+$BA$70</f>
        <v>123.278926269038</v>
      </c>
    </row>
    <row r="285" customFormat="false" ht="15" hidden="false" customHeight="true" outlineLevel="0" collapsed="false">
      <c r="AE285" s="90" t="n">
        <f aca="false">Data!A280</f>
        <v>42564</v>
      </c>
      <c r="AF285" s="17" t="n">
        <f aca="false">Data!B280</f>
        <v>97.41</v>
      </c>
      <c r="AG285" s="17" t="n">
        <f aca="false">Data!F280</f>
        <v>25892171</v>
      </c>
      <c r="AH285" s="17" t="n">
        <f aca="false">Data!C280</f>
        <v>97.67</v>
      </c>
      <c r="AI285" s="17" t="n">
        <f aca="false">Data!D280</f>
        <v>96.84</v>
      </c>
      <c r="AJ285" s="17" t="n">
        <f aca="false">Data!E280</f>
        <v>96.87</v>
      </c>
      <c r="AK285" s="17" t="n">
        <f aca="false">Data!F280</f>
        <v>25892171</v>
      </c>
      <c r="AL285" s="17" t="n">
        <f aca="false">AJ285</f>
        <v>96.87</v>
      </c>
      <c r="AM285" s="17" t="n">
        <f aca="false">(AL285-AL284)/AL285*100</f>
        <v>-1.98203778259523</v>
      </c>
      <c r="AN285" s="17" t="n">
        <f aca="false">(AK285-AK284)/AK285*100</f>
        <v>-50.3118336426868</v>
      </c>
      <c r="AO285" s="17" t="str">
        <f aca="false">IF(AN285&lt;-8,"FITS BITCH",IF(AN285&gt;-8,"no"))</f>
        <v>FITS BITCH</v>
      </c>
      <c r="AP285" s="17" t="str">
        <f aca="false">IF(AH286&lt;AH285,"FITS BITCH",IF(AH286&gt;AH285,"no"))</f>
        <v>no</v>
      </c>
      <c r="AQ285" s="17" t="str">
        <f aca="false">IF(AI286&lt;AI285,"FITS BITCH",IF(AI286&gt;AI285,"no"))</f>
        <v>no</v>
      </c>
      <c r="AR285" s="17" t="str">
        <f aca="false">IF(AJ285&lt;AH286,"FITS BITCH",IF(AJ285&gt;AH286,"no"))</f>
        <v>FITS BITCH</v>
      </c>
      <c r="AS285" s="17" t="str">
        <f aca="false">IF(AJ285&gt;AJ286,"FITS BITCH",IF(AJ285&lt;AJ286,"no"))</f>
        <v>no</v>
      </c>
      <c r="AT285" s="91" t="str">
        <f aca="false">IF(AND($AO285="FITS BITCH",$AP285="FITS BITCH",$AR285="FITS BITCH"),"BULLISH","")</f>
        <v/>
      </c>
      <c r="AU285" s="91" t="str">
        <f aca="false">IF(AND($AO285="FITS BITCH",$AQ285="FITS BITCH",$AS285="FITS BITCH"),"BEARISH","")</f>
        <v/>
      </c>
      <c r="AV285" s="86"/>
      <c r="AW285" s="86"/>
      <c r="AX285" s="86"/>
      <c r="CL285" s="99" t="n">
        <v>42731</v>
      </c>
      <c r="CM285" s="23" t="n">
        <f aca="false">$BA$68*CL285+$BA$70</f>
        <v>123.124808038795</v>
      </c>
    </row>
    <row r="286" customFormat="false" ht="15" hidden="false" customHeight="true" outlineLevel="0" collapsed="false">
      <c r="AE286" s="90" t="n">
        <f aca="false">Data!A281</f>
        <v>42563</v>
      </c>
      <c r="AF286" s="17" t="n">
        <f aca="false">Data!B281</f>
        <v>97.17</v>
      </c>
      <c r="AG286" s="17" t="n">
        <f aca="false">Data!F281</f>
        <v>24167463</v>
      </c>
      <c r="AH286" s="17" t="n">
        <f aca="false">Data!C281</f>
        <v>97.7</v>
      </c>
      <c r="AI286" s="17" t="n">
        <f aca="false">Data!D281</f>
        <v>97.12</v>
      </c>
      <c r="AJ286" s="17" t="n">
        <f aca="false">Data!E281</f>
        <v>97.42</v>
      </c>
      <c r="AK286" s="17" t="n">
        <f aca="false">Data!F281</f>
        <v>24167463</v>
      </c>
      <c r="AL286" s="17" t="n">
        <f aca="false">AJ286</f>
        <v>97.42</v>
      </c>
      <c r="AM286" s="17" t="n">
        <f aca="false">(AL286-AL285)/AL286*100</f>
        <v>0.564565797577497</v>
      </c>
      <c r="AN286" s="17" t="n">
        <f aca="false">(AK286-AK285)/AK286*100</f>
        <v>-7.13648759905001</v>
      </c>
      <c r="AO286" s="17" t="str">
        <f aca="false">IF(AN286&lt;-8,"FITS BITCH",IF(AN286&gt;-8,"no"))</f>
        <v>no</v>
      </c>
      <c r="AP286" s="17" t="str">
        <f aca="false">IF(AH287&lt;AH286,"FITS BITCH",IF(AH287&gt;AH286,"no"))</f>
        <v>FITS BITCH</v>
      </c>
      <c r="AQ286" s="17" t="str">
        <f aca="false">IF(AI287&lt;AI286,"FITS BITCH",IF(AI287&gt;AI286,"no"))</f>
        <v>FITS BITCH</v>
      </c>
      <c r="AR286" s="17" t="str">
        <f aca="false">IF(AJ286&lt;AH287,"FITS BITCH",IF(AJ286&gt;AH287,"no"))</f>
        <v>FITS BITCH</v>
      </c>
      <c r="AS286" s="17" t="str">
        <f aca="false">IF(AJ286&gt;AJ287,"FITS BITCH",IF(AJ286&lt;AJ287,"no"))</f>
        <v>FITS BITCH</v>
      </c>
      <c r="AT286" s="91" t="str">
        <f aca="false">IF(AND($AO286="FITS BITCH",$AP286="FITS BITCH",$AR286="FITS BITCH"),"BULLISH","")</f>
        <v/>
      </c>
      <c r="AU286" s="91" t="str">
        <f aca="false">IF(AND($AO286="FITS BITCH",$AQ286="FITS BITCH",$AS286="FITS BITCH"),"BEARISH","")</f>
        <v/>
      </c>
      <c r="AV286" s="86"/>
      <c r="AW286" s="86"/>
      <c r="AX286" s="86"/>
      <c r="CL286" s="99" t="n">
        <v>42730</v>
      </c>
      <c r="CM286" s="23" t="n">
        <f aca="false">$BA$68*CL286+$BA$70</f>
        <v>122.970689808552</v>
      </c>
    </row>
    <row r="287" customFormat="false" ht="15" hidden="false" customHeight="true" outlineLevel="0" collapsed="false">
      <c r="AE287" s="90" t="n">
        <f aca="false">Data!A282</f>
        <v>42562</v>
      </c>
      <c r="AF287" s="17" t="n">
        <f aca="false">Data!B282</f>
        <v>96.75</v>
      </c>
      <c r="AG287" s="17" t="n">
        <f aca="false">Data!F282</f>
        <v>23794945</v>
      </c>
      <c r="AH287" s="17" t="n">
        <f aca="false">Data!C282</f>
        <v>97.65</v>
      </c>
      <c r="AI287" s="17" t="n">
        <f aca="false">Data!D282</f>
        <v>96.73</v>
      </c>
      <c r="AJ287" s="17" t="n">
        <f aca="false">Data!E282</f>
        <v>96.98</v>
      </c>
      <c r="AK287" s="17" t="n">
        <f aca="false">Data!F282</f>
        <v>23794945</v>
      </c>
      <c r="AL287" s="17" t="n">
        <f aca="false">AJ287</f>
        <v>96.98</v>
      </c>
      <c r="AM287" s="17" t="n">
        <f aca="false">(AL287-AL286)/AL287*100</f>
        <v>-0.453701794184366</v>
      </c>
      <c r="AN287" s="17" t="n">
        <f aca="false">(AK287-AK286)/AK287*100</f>
        <v>-1.56553419224125</v>
      </c>
      <c r="AO287" s="17" t="str">
        <f aca="false">IF(AN287&lt;-8,"FITS BITCH",IF(AN287&gt;-8,"no"))</f>
        <v>no</v>
      </c>
      <c r="AP287" s="17" t="str">
        <f aca="false">IF(AH288&lt;AH287,"FITS BITCH",IF(AH288&gt;AH287,"no"))</f>
        <v>FITS BITCH</v>
      </c>
      <c r="AQ287" s="17" t="str">
        <f aca="false">IF(AI288&lt;AI287,"FITS BITCH",IF(AI288&gt;AI287,"no"))</f>
        <v>FITS BITCH</v>
      </c>
      <c r="AR287" s="17" t="str">
        <f aca="false">IF(AJ287&lt;AH288,"FITS BITCH",IF(AJ287&gt;AH288,"no"))</f>
        <v>no</v>
      </c>
      <c r="AS287" s="17" t="str">
        <f aca="false">IF(AJ287&gt;AJ288,"FITS BITCH",IF(AJ287&lt;AJ288,"no"))</f>
        <v>FITS BITCH</v>
      </c>
      <c r="AT287" s="91" t="str">
        <f aca="false">IF(AND($AO287="FITS BITCH",$AP287="FITS BITCH",$AR287="FITS BITCH"),"BULLISH","")</f>
        <v/>
      </c>
      <c r="AU287" s="91" t="str">
        <f aca="false">IF(AND($AO287="FITS BITCH",$AQ287="FITS BITCH",$AS287="FITS BITCH"),"BEARISH","")</f>
        <v/>
      </c>
      <c r="AV287" s="86"/>
      <c r="AW287" s="86"/>
      <c r="AX287" s="86"/>
      <c r="CL287" s="99" t="n">
        <v>42727</v>
      </c>
      <c r="CM287" s="23" t="n">
        <f aca="false">$BA$68*CL287+$BA$70</f>
        <v>122.508335117825</v>
      </c>
    </row>
    <row r="288" customFormat="false" ht="15" hidden="false" customHeight="true" outlineLevel="0" collapsed="false">
      <c r="AE288" s="90" t="n">
        <f aca="false">Data!A283</f>
        <v>42559</v>
      </c>
      <c r="AF288" s="17" t="n">
        <f aca="false">Data!B283</f>
        <v>96.49</v>
      </c>
      <c r="AG288" s="17" t="n">
        <f aca="false">Data!F283</f>
        <v>28912103</v>
      </c>
      <c r="AH288" s="17" t="n">
        <f aca="false">Data!C283</f>
        <v>96.89</v>
      </c>
      <c r="AI288" s="17" t="n">
        <f aca="false">Data!D283</f>
        <v>96.05</v>
      </c>
      <c r="AJ288" s="17" t="n">
        <f aca="false">Data!E283</f>
        <v>96.68</v>
      </c>
      <c r="AK288" s="17" t="n">
        <f aca="false">Data!F283</f>
        <v>28912103</v>
      </c>
      <c r="AL288" s="17" t="n">
        <f aca="false">AJ288</f>
        <v>96.68</v>
      </c>
      <c r="AM288" s="17" t="n">
        <f aca="false">(AL288-AL287)/AL288*100</f>
        <v>-0.310302027306575</v>
      </c>
      <c r="AN288" s="17" t="n">
        <f aca="false">(AK288-AK287)/AK288*100</f>
        <v>17.6990169134359</v>
      </c>
      <c r="AO288" s="17" t="str">
        <f aca="false">IF(AN288&lt;-8,"FITS BITCH",IF(AN288&gt;-8,"no"))</f>
        <v>no</v>
      </c>
      <c r="AP288" s="17" t="str">
        <f aca="false">IF(AH289&lt;AH288,"FITS BITCH",IF(AH289&gt;AH288,"no"))</f>
        <v>FITS BITCH</v>
      </c>
      <c r="AQ288" s="17" t="str">
        <f aca="false">IF(AI289&lt;AI288,"FITS BITCH",IF(AI289&gt;AI288,"no"))</f>
        <v>FITS BITCH</v>
      </c>
      <c r="AR288" s="17" t="str">
        <f aca="false">IF(AJ288&lt;AH289,"FITS BITCH",IF(AJ288&gt;AH289,"no"))</f>
        <v>no</v>
      </c>
      <c r="AS288" s="17" t="str">
        <f aca="false">IF(AJ288&gt;AJ289,"FITS BITCH",IF(AJ288&lt;AJ289,"no"))</f>
        <v>FITS BITCH</v>
      </c>
      <c r="AT288" s="91" t="str">
        <f aca="false">IF(AND($AO288="FITS BITCH",$AP288="FITS BITCH",$AR288="FITS BITCH"),"BULLISH","")</f>
        <v/>
      </c>
      <c r="AU288" s="91" t="str">
        <f aca="false">IF(AND($AO288="FITS BITCH",$AQ288="FITS BITCH",$AS288="FITS BITCH"),"BEARISH","")</f>
        <v/>
      </c>
      <c r="AV288" s="86"/>
      <c r="AW288" s="86"/>
      <c r="AX288" s="86"/>
      <c r="CL288" s="99" t="n">
        <v>42726</v>
      </c>
      <c r="CM288" s="23" t="n">
        <f aca="false">$BA$68*CL288+$BA$70</f>
        <v>122.354216887582</v>
      </c>
    </row>
    <row r="289" customFormat="false" ht="15" hidden="false" customHeight="true" outlineLevel="0" collapsed="false">
      <c r="AE289" s="90" t="n">
        <f aca="false">Data!A284</f>
        <v>42558</v>
      </c>
      <c r="AF289" s="17" t="n">
        <f aca="false">Data!B284</f>
        <v>95.7</v>
      </c>
      <c r="AG289" s="17" t="n">
        <f aca="false">Data!F284</f>
        <v>25139558</v>
      </c>
      <c r="AH289" s="17" t="n">
        <f aca="false">Data!C284</f>
        <v>96.5</v>
      </c>
      <c r="AI289" s="17" t="n">
        <f aca="false">Data!D284</f>
        <v>95.62</v>
      </c>
      <c r="AJ289" s="17" t="n">
        <f aca="false">Data!E284</f>
        <v>95.94</v>
      </c>
      <c r="AK289" s="17" t="n">
        <f aca="false">Data!F284</f>
        <v>25139558</v>
      </c>
      <c r="AL289" s="17" t="n">
        <f aca="false">AJ289</f>
        <v>95.94</v>
      </c>
      <c r="AM289" s="17" t="n">
        <f aca="false">(AL289-AL288)/AL289*100</f>
        <v>-0.771315405461757</v>
      </c>
      <c r="AN289" s="17" t="n">
        <f aca="false">(AK289-AK288)/AK289*100</f>
        <v>-15.0064094205634</v>
      </c>
      <c r="AO289" s="17" t="str">
        <f aca="false">IF(AN289&lt;-8,"FITS BITCH",IF(AN289&gt;-8,"no"))</f>
        <v>FITS BITCH</v>
      </c>
      <c r="AP289" s="17" t="str">
        <f aca="false">IF(AH290&lt;AH289,"FITS BITCH",IF(AH290&gt;AH289,"no"))</f>
        <v>FITS BITCH</v>
      </c>
      <c r="AQ289" s="17" t="str">
        <f aca="false">IF(AI290&lt;AI289,"FITS BITCH",IF(AI290&gt;AI289,"no"))</f>
        <v>FITS BITCH</v>
      </c>
      <c r="AR289" s="17" t="str">
        <f aca="false">IF(AJ289&lt;AH290,"FITS BITCH",IF(AJ289&gt;AH290,"no"))</f>
        <v>no</v>
      </c>
      <c r="AS289" s="17" t="str">
        <f aca="false">IF(AJ289&gt;AJ290,"FITS BITCH",IF(AJ289&lt;AJ290,"no"))</f>
        <v>FITS BITCH</v>
      </c>
      <c r="AT289" s="91" t="str">
        <f aca="false">IF(AND($AO289="FITS BITCH",$AP289="FITS BITCH",$AR289="FITS BITCH"),"BULLISH","")</f>
        <v/>
      </c>
      <c r="AU289" s="91" t="str">
        <f aca="false">IF(AND($AO289="FITS BITCH",$AQ289="FITS BITCH",$AS289="FITS BITCH"),"BEARISH","")</f>
        <v>BEARISH</v>
      </c>
      <c r="AV289" s="86"/>
      <c r="AW289" s="86"/>
      <c r="AX289" s="86"/>
      <c r="CL289" s="99" t="n">
        <v>42725</v>
      </c>
      <c r="CM289" s="23" t="n">
        <f aca="false">$BA$68*CL289+$BA$70</f>
        <v>122.200098657338</v>
      </c>
    </row>
    <row r="290" customFormat="false" ht="15.75" hidden="false" customHeight="false" outlineLevel="0" collapsed="false">
      <c r="AE290" s="90" t="n">
        <f aca="false">Data!A285</f>
        <v>42557</v>
      </c>
      <c r="AF290" s="17" t="n">
        <f aca="false">Data!B285</f>
        <v>94.6</v>
      </c>
      <c r="AG290" s="17" t="n">
        <f aca="false">Data!F285</f>
        <v>30949090</v>
      </c>
      <c r="AH290" s="17" t="n">
        <f aca="false">Data!C285</f>
        <v>95.66</v>
      </c>
      <c r="AI290" s="17" t="n">
        <f aca="false">Data!D285</f>
        <v>94.37</v>
      </c>
      <c r="AJ290" s="17" t="n">
        <f aca="false">Data!E285</f>
        <v>95.53</v>
      </c>
      <c r="AK290" s="17" t="n">
        <f aca="false">Data!F285</f>
        <v>30949090</v>
      </c>
      <c r="AL290" s="17" t="n">
        <f aca="false">AJ290</f>
        <v>95.53</v>
      </c>
      <c r="AM290" s="17" t="n">
        <f aca="false">(AL290-AL289)/AL290*100</f>
        <v>-0.42918454935622</v>
      </c>
      <c r="AN290" s="17" t="n">
        <f aca="false">(AK290-AK289)/AK290*100</f>
        <v>18.771253048151</v>
      </c>
      <c r="AO290" s="17" t="str">
        <f aca="false">IF(AN290&lt;-8,"FITS BITCH",IF(AN290&gt;-8,"no"))</f>
        <v>no</v>
      </c>
      <c r="AP290" s="17" t="str">
        <f aca="false">IF(AH291&lt;AH290,"FITS BITCH",IF(AH291&gt;AH290,"no"))</f>
        <v>FITS BITCH</v>
      </c>
      <c r="AQ290" s="17" t="str">
        <f aca="false">IF(AI291&lt;AI290,"FITS BITCH",IF(AI291&gt;AI290,"no"))</f>
        <v>no</v>
      </c>
      <c r="AR290" s="17" t="str">
        <f aca="false">IF(AJ290&lt;AH291,"FITS BITCH",IF(AJ290&gt;AH291,"no"))</f>
        <v>no</v>
      </c>
      <c r="AS290" s="17" t="str">
        <f aca="false">IF(AJ290&gt;AJ291,"FITS BITCH",IF(AJ290&lt;AJ291,"no"))</f>
        <v>FITS BITCH</v>
      </c>
      <c r="AT290" s="91" t="str">
        <f aca="false">IF(AND($AO290="FITS BITCH",$AP290="FITS BITCH",$AR290="FITS BITCH"),"BULLISH","")</f>
        <v/>
      </c>
      <c r="AU290" s="91" t="str">
        <f aca="false">IF(AND($AO290="FITS BITCH",$AQ290="FITS BITCH",$AS290="FITS BITCH"),"BEARISH","")</f>
        <v/>
      </c>
      <c r="AV290" s="86"/>
      <c r="AW290" s="86"/>
      <c r="AX290" s="86"/>
      <c r="CL290" s="99" t="n">
        <v>42724</v>
      </c>
      <c r="CM290" s="23" t="n">
        <f aca="false">$BA$68*CL290+$BA$70</f>
        <v>122.045980427096</v>
      </c>
    </row>
    <row r="291" customFormat="false" ht="15.75" hidden="false" customHeight="false" outlineLevel="0" collapsed="false">
      <c r="AE291" s="90" t="n">
        <f aca="false">Data!A286</f>
        <v>42556</v>
      </c>
      <c r="AF291" s="17" t="n">
        <f aca="false">Data!B286</f>
        <v>95.39</v>
      </c>
      <c r="AG291" s="17" t="n">
        <f aca="false">Data!F286</f>
        <v>27705210</v>
      </c>
      <c r="AH291" s="17" t="n">
        <f aca="false">Data!C286</f>
        <v>95.4</v>
      </c>
      <c r="AI291" s="17" t="n">
        <f aca="false">Data!D286</f>
        <v>94.46</v>
      </c>
      <c r="AJ291" s="17" t="n">
        <f aca="false">Data!E286</f>
        <v>94.99</v>
      </c>
      <c r="AK291" s="17" t="n">
        <f aca="false">Data!F286</f>
        <v>27705210</v>
      </c>
      <c r="AL291" s="17" t="n">
        <f aca="false">AJ291</f>
        <v>94.99</v>
      </c>
      <c r="AM291" s="17" t="n">
        <f aca="false">(AL291-AL290)/AL291*100</f>
        <v>-0.568480892725557</v>
      </c>
      <c r="AN291" s="17" t="n">
        <f aca="false">(AK291-AK290)/AK291*100</f>
        <v>-11.7085558997748</v>
      </c>
      <c r="AO291" s="17" t="str">
        <f aca="false">IF(AN291&lt;-8,"FITS BITCH",IF(AN291&gt;-8,"no"))</f>
        <v>FITS BITCH</v>
      </c>
      <c r="AP291" s="17" t="str">
        <f aca="false">IF(AH292&lt;AH291,"FITS BITCH",IF(AH292&gt;AH291,"no"))</f>
        <v>no</v>
      </c>
      <c r="AQ291" s="17" t="str">
        <f aca="false">IF(AI292&lt;AI291,"FITS BITCH",IF(AI292&gt;AI291,"no"))</f>
        <v>no</v>
      </c>
      <c r="AR291" s="17" t="str">
        <f aca="false">IF(AJ291&lt;AH292,"FITS BITCH",IF(AJ291&gt;AH292,"no"))</f>
        <v>FITS BITCH</v>
      </c>
      <c r="AS291" s="17" t="str">
        <f aca="false">IF(AJ291&gt;AJ292,"FITS BITCH",IF(AJ291&lt;AJ292,"no"))</f>
        <v>no</v>
      </c>
      <c r="AT291" s="91" t="str">
        <f aca="false">IF(AND($AO291="FITS BITCH",$AP291="FITS BITCH",$AR291="FITS BITCH"),"BULLISH","")</f>
        <v/>
      </c>
      <c r="AU291" s="91" t="str">
        <f aca="false">IF(AND($AO291="FITS BITCH",$AQ291="FITS BITCH",$AS291="FITS BITCH"),"BEARISH","")</f>
        <v/>
      </c>
      <c r="AV291" s="86"/>
      <c r="AW291" s="86"/>
      <c r="AX291" s="86"/>
      <c r="CL291" s="99" t="n">
        <v>42723</v>
      </c>
      <c r="CM291" s="23" t="n">
        <f aca="false">$BA$68*CL291+$BA$70</f>
        <v>121.891862196853</v>
      </c>
    </row>
    <row r="292" customFormat="false" ht="15.75" hidden="false" customHeight="false" outlineLevel="0" collapsed="false">
      <c r="AE292" s="90" t="n">
        <f aca="false">Data!A287</f>
        <v>42552</v>
      </c>
      <c r="AF292" s="17" t="n">
        <f aca="false">Data!B287</f>
        <v>95.49</v>
      </c>
      <c r="AG292" s="17" t="n">
        <f aca="false">Data!F287</f>
        <v>26026540</v>
      </c>
      <c r="AH292" s="17" t="n">
        <f aca="false">Data!C287</f>
        <v>96.46</v>
      </c>
      <c r="AI292" s="17" t="n">
        <f aca="false">Data!D287</f>
        <v>95.33</v>
      </c>
      <c r="AJ292" s="17" t="n">
        <f aca="false">Data!E287</f>
        <v>95.89</v>
      </c>
      <c r="AK292" s="17" t="n">
        <f aca="false">Data!F287</f>
        <v>26026540</v>
      </c>
      <c r="AL292" s="17" t="n">
        <f aca="false">AJ292</f>
        <v>95.89</v>
      </c>
      <c r="AM292" s="17" t="n">
        <f aca="false">(AL292-AL291)/AL292*100</f>
        <v>0.938575451037653</v>
      </c>
      <c r="AN292" s="17" t="n">
        <f aca="false">(AK292-AK291)/AK292*100</f>
        <v>-6.44983927944321</v>
      </c>
      <c r="AO292" s="17" t="str">
        <f aca="false">IF(AN292&lt;-8,"FITS BITCH",IF(AN292&gt;-8,"no"))</f>
        <v>no</v>
      </c>
      <c r="AP292" s="17" t="str">
        <f aca="false">IF(AH293&lt;AH292,"FITS BITCH",IF(AH293&gt;AH292,"no"))</f>
        <v>FITS BITCH</v>
      </c>
      <c r="AQ292" s="17" t="str">
        <f aca="false">IF(AI293&lt;AI292,"FITS BITCH",IF(AI293&gt;AI292,"no"))</f>
        <v>FITS BITCH</v>
      </c>
      <c r="AR292" s="17" t="str">
        <f aca="false">IF(AJ292&lt;AH293,"FITS BITCH",IF(AJ292&gt;AH293,"no"))</f>
        <v>no</v>
      </c>
      <c r="AS292" s="17" t="str">
        <f aca="false">IF(AJ292&gt;AJ293,"FITS BITCH",IF(AJ292&lt;AJ293,"no"))</f>
        <v>FITS BITCH</v>
      </c>
      <c r="AT292" s="91" t="str">
        <f aca="false">IF(AND($AO292="FITS BITCH",$AP292="FITS BITCH",$AR292="FITS BITCH"),"BULLISH","")</f>
        <v/>
      </c>
      <c r="AU292" s="91" t="str">
        <f aca="false">IF(AND($AO292="FITS BITCH",$AQ292="FITS BITCH",$AS292="FITS BITCH"),"BEARISH","")</f>
        <v/>
      </c>
      <c r="AV292" s="86"/>
      <c r="AW292" s="86"/>
      <c r="AX292" s="86"/>
      <c r="CL292" s="99" t="n">
        <v>42720</v>
      </c>
      <c r="CM292" s="23" t="n">
        <f aca="false">$BA$68*CL292+$BA$70</f>
        <v>121.429507506125</v>
      </c>
    </row>
    <row r="293" customFormat="false" ht="15.75" hidden="false" customHeight="false" outlineLevel="0" collapsed="false">
      <c r="AE293" s="90" t="n">
        <f aca="false">Data!A288</f>
        <v>42551</v>
      </c>
      <c r="AF293" s="17" t="n">
        <f aca="false">Data!B288</f>
        <v>94.44</v>
      </c>
      <c r="AG293" s="17" t="n">
        <f aca="false">Data!F288</f>
        <v>35836356</v>
      </c>
      <c r="AH293" s="17" t="n">
        <f aca="false">Data!C288</f>
        <v>95.77</v>
      </c>
      <c r="AI293" s="17" t="n">
        <f aca="false">Data!D288</f>
        <v>94.3</v>
      </c>
      <c r="AJ293" s="17" t="n">
        <f aca="false">Data!E288</f>
        <v>95.6</v>
      </c>
      <c r="AK293" s="17" t="n">
        <f aca="false">Data!F288</f>
        <v>35836356</v>
      </c>
      <c r="AL293" s="17" t="n">
        <f aca="false">AJ293</f>
        <v>95.6</v>
      </c>
      <c r="AM293" s="17" t="n">
        <f aca="false">(AL293-AL292)/AL293*100</f>
        <v>-0.303347280334735</v>
      </c>
      <c r="AN293" s="17" t="n">
        <f aca="false">(AK293-AK292)/AK293*100</f>
        <v>27.373921611896</v>
      </c>
      <c r="AO293" s="17" t="str">
        <f aca="false">IF(AN293&lt;-8,"FITS BITCH",IF(AN293&gt;-8,"no"))</f>
        <v>no</v>
      </c>
      <c r="AP293" s="17" t="str">
        <f aca="false">IF(AH294&lt;AH293,"FITS BITCH",IF(AH294&gt;AH293,"no"))</f>
        <v>FITS BITCH</v>
      </c>
      <c r="AQ293" s="17" t="str">
        <f aca="false">IF(AI294&lt;AI293,"FITS BITCH",IF(AI294&gt;AI293,"no"))</f>
        <v>FITS BITCH</v>
      </c>
      <c r="AR293" s="17" t="str">
        <f aca="false">IF(AJ293&lt;AH294,"FITS BITCH",IF(AJ293&gt;AH294,"no"))</f>
        <v>no</v>
      </c>
      <c r="AS293" s="17" t="str">
        <f aca="false">IF(AJ293&gt;AJ294,"FITS BITCH",IF(AJ293&lt;AJ294,"no"))</f>
        <v>FITS BITCH</v>
      </c>
      <c r="AT293" s="91" t="str">
        <f aca="false">IF(AND($AO293="FITS BITCH",$AP293="FITS BITCH",$AR293="FITS BITCH"),"BULLISH","")</f>
        <v/>
      </c>
      <c r="AU293" s="91" t="str">
        <f aca="false">IF(AND($AO293="FITS BITCH",$AQ293="FITS BITCH",$AS293="FITS BITCH"),"BEARISH","")</f>
        <v/>
      </c>
      <c r="AV293" s="86"/>
      <c r="AW293" s="86"/>
      <c r="AX293" s="86"/>
      <c r="CL293" s="99" t="n">
        <v>42719</v>
      </c>
      <c r="CM293" s="23" t="n">
        <f aca="false">$BA$68*CL293+$BA$70</f>
        <v>121.275389275883</v>
      </c>
    </row>
    <row r="294" customFormat="false" ht="15.75" hidden="false" customHeight="false" outlineLevel="0" collapsed="false">
      <c r="AE294" s="90" t="n">
        <f aca="false">Data!A289</f>
        <v>42550</v>
      </c>
      <c r="AF294" s="17" t="n">
        <f aca="false">Data!B289</f>
        <v>93.97</v>
      </c>
      <c r="AG294" s="17" t="n">
        <f aca="false">Data!F289</f>
        <v>36531006</v>
      </c>
      <c r="AH294" s="17" t="n">
        <f aca="false">Data!C289</f>
        <v>94.55</v>
      </c>
      <c r="AI294" s="17" t="n">
        <f aca="false">Data!D289</f>
        <v>93.63</v>
      </c>
      <c r="AJ294" s="17" t="n">
        <f aca="false">Data!E289</f>
        <v>94.4</v>
      </c>
      <c r="AK294" s="17" t="n">
        <f aca="false">Data!F289</f>
        <v>36531006</v>
      </c>
      <c r="AL294" s="17" t="n">
        <f aca="false">AJ294</f>
        <v>94.4</v>
      </c>
      <c r="AM294" s="17" t="n">
        <f aca="false">(AL294-AL293)/AL294*100</f>
        <v>-1.27118644067795</v>
      </c>
      <c r="AN294" s="17" t="n">
        <f aca="false">(AK294-AK293)/AK294*100</f>
        <v>1.90153536970758</v>
      </c>
      <c r="AO294" s="17" t="str">
        <f aca="false">IF(AN294&lt;-8,"FITS BITCH",IF(AN294&gt;-8,"no"))</f>
        <v>no</v>
      </c>
      <c r="AP294" s="17" t="str">
        <f aca="false">IF(AH295&lt;AH294,"FITS BITCH",IF(AH295&gt;AH294,"no"))</f>
        <v>FITS BITCH</v>
      </c>
      <c r="AQ294" s="17" t="str">
        <f aca="false">IF(AI295&lt;AI294,"FITS BITCH",IF(AI295&gt;AI294,"no"))</f>
        <v>FITS BITCH</v>
      </c>
      <c r="AR294" s="17" t="str">
        <f aca="false">IF(AJ294&lt;AH295,"FITS BITCH",IF(AJ294&gt;AH295,"no"))</f>
        <v>no</v>
      </c>
      <c r="AS294" s="17" t="str">
        <f aca="false">IF(AJ294&gt;AJ295,"FITS BITCH",IF(AJ294&lt;AJ295,"no"))</f>
        <v>FITS BITCH</v>
      </c>
      <c r="AT294" s="91" t="str">
        <f aca="false">IF(AND($AO294="FITS BITCH",$AP294="FITS BITCH",$AR294="FITS BITCH"),"BULLISH","")</f>
        <v/>
      </c>
      <c r="AU294" s="91" t="str">
        <f aca="false">IF(AND($AO294="FITS BITCH",$AQ294="FITS BITCH",$AS294="FITS BITCH"),"BEARISH","")</f>
        <v/>
      </c>
      <c r="AV294" s="86"/>
      <c r="AW294" s="86"/>
      <c r="AX294" s="86"/>
      <c r="CL294" s="99" t="n">
        <v>42718</v>
      </c>
      <c r="CM294" s="23" t="n">
        <f aca="false">$BA$68*CL294+$BA$70</f>
        <v>121.12127104564</v>
      </c>
    </row>
    <row r="295" customFormat="false" ht="15.75" hidden="false" customHeight="false" outlineLevel="0" collapsed="false">
      <c r="AE295" s="90" t="n">
        <f aca="false">Data!A290</f>
        <v>42549</v>
      </c>
      <c r="AF295" s="17" t="n">
        <f aca="false">Data!B290</f>
        <v>92.9</v>
      </c>
      <c r="AG295" s="17" t="n">
        <f aca="false">Data!F290</f>
        <v>40444914</v>
      </c>
      <c r="AH295" s="17" t="n">
        <f aca="false">Data!C290</f>
        <v>93.66</v>
      </c>
      <c r="AI295" s="17" t="n">
        <f aca="false">Data!D290</f>
        <v>92.14</v>
      </c>
      <c r="AJ295" s="17" t="n">
        <f aca="false">Data!E290</f>
        <v>93.59</v>
      </c>
      <c r="AK295" s="17" t="n">
        <f aca="false">Data!F290</f>
        <v>40444914</v>
      </c>
      <c r="AL295" s="17" t="n">
        <f aca="false">AJ295</f>
        <v>93.59</v>
      </c>
      <c r="AM295" s="17" t="n">
        <f aca="false">(AL295-AL294)/AL295*100</f>
        <v>-0.865477080884712</v>
      </c>
      <c r="AN295" s="17" t="n">
        <f aca="false">(AK295-AK294)/AK295*100</f>
        <v>9.67713270449778</v>
      </c>
      <c r="AO295" s="17" t="str">
        <f aca="false">IF(AN295&lt;-8,"FITS BITCH",IF(AN295&gt;-8,"no"))</f>
        <v>no</v>
      </c>
      <c r="AP295" s="17" t="str">
        <f aca="false">IF(AH296&lt;AH295,"FITS BITCH",IF(AH296&gt;AH295,"no"))</f>
        <v>FITS BITCH</v>
      </c>
      <c r="AQ295" s="17" t="str">
        <f aca="false">IF(AI296&lt;AI295,"FITS BITCH",IF(AI296&gt;AI295,"no"))</f>
        <v>FITS BITCH</v>
      </c>
      <c r="AR295" s="17" t="str">
        <f aca="false">IF(AJ295&lt;AH296,"FITS BITCH",IF(AJ295&gt;AH296,"no"))</f>
        <v>no</v>
      </c>
      <c r="AS295" s="17" t="str">
        <f aca="false">IF(AJ295&gt;AJ296,"FITS BITCH",IF(AJ295&lt;AJ296,"no"))</f>
        <v>FITS BITCH</v>
      </c>
      <c r="AT295" s="91" t="str">
        <f aca="false">IF(AND($AO295="FITS BITCH",$AP295="FITS BITCH",$AR295="FITS BITCH"),"BULLISH","")</f>
        <v/>
      </c>
      <c r="AU295" s="91" t="str">
        <f aca="false">IF(AND($AO295="FITS BITCH",$AQ295="FITS BITCH",$AS295="FITS BITCH"),"BEARISH","")</f>
        <v/>
      </c>
      <c r="AV295" s="86"/>
      <c r="AW295" s="86"/>
      <c r="AX295" s="86"/>
      <c r="CL295" s="99" t="n">
        <v>42717</v>
      </c>
      <c r="CM295" s="23" t="n">
        <f aca="false">$BA$68*CL295+$BA$70</f>
        <v>120.967152815398</v>
      </c>
    </row>
    <row r="296" customFormat="false" ht="15.75" hidden="false" customHeight="false" outlineLevel="0" collapsed="false">
      <c r="AE296" s="90" t="n">
        <f aca="false">Data!A291</f>
        <v>42548</v>
      </c>
      <c r="AF296" s="17" t="n">
        <f aca="false">Data!B291</f>
        <v>93</v>
      </c>
      <c r="AG296" s="17" t="n">
        <f aca="false">Data!F291</f>
        <v>46622188</v>
      </c>
      <c r="AH296" s="17" t="n">
        <f aca="false">Data!C291</f>
        <v>93.05</v>
      </c>
      <c r="AI296" s="17" t="n">
        <f aca="false">Data!D291</f>
        <v>91.5</v>
      </c>
      <c r="AJ296" s="17" t="n">
        <f aca="false">Data!E291</f>
        <v>92.04</v>
      </c>
      <c r="AK296" s="17" t="n">
        <f aca="false">Data!F291</f>
        <v>46622188</v>
      </c>
      <c r="AL296" s="17" t="n">
        <f aca="false">AJ296</f>
        <v>92.04</v>
      </c>
      <c r="AM296" s="17" t="n">
        <f aca="false">(AL296-AL295)/AL296*100</f>
        <v>-1.68405041286397</v>
      </c>
      <c r="AN296" s="17" t="n">
        <f aca="false">(AK296-AK295)/AK296*100</f>
        <v>13.2496441393956</v>
      </c>
      <c r="AO296" s="17" t="str">
        <f aca="false">IF(AN296&lt;-8,"FITS BITCH",IF(AN296&gt;-8,"no"))</f>
        <v>no</v>
      </c>
      <c r="AP296" s="17" t="str">
        <f aca="false">IF(AH297&lt;AH296,"FITS BITCH",IF(AH297&gt;AH296,"no"))</f>
        <v>no</v>
      </c>
      <c r="AQ296" s="17" t="str">
        <f aca="false">IF(AI297&lt;AI296,"FITS BITCH",IF(AI297&gt;AI296,"no"))</f>
        <v>no</v>
      </c>
      <c r="AR296" s="17" t="str">
        <f aca="false">IF(AJ296&lt;AH297,"FITS BITCH",IF(AJ296&gt;AH297,"no"))</f>
        <v>FITS BITCH</v>
      </c>
      <c r="AS296" s="17" t="str">
        <f aca="false">IF(AJ296&gt;AJ297,"FITS BITCH",IF(AJ296&lt;AJ297,"no"))</f>
        <v>no</v>
      </c>
      <c r="AT296" s="91" t="str">
        <f aca="false">IF(AND($AO296="FITS BITCH",$AP296="FITS BITCH",$AR296="FITS BITCH"),"BULLISH","")</f>
        <v/>
      </c>
      <c r="AU296" s="91" t="str">
        <f aca="false">IF(AND($AO296="FITS BITCH",$AQ296="FITS BITCH",$AS296="FITS BITCH"),"BEARISH","")</f>
        <v/>
      </c>
      <c r="AV296" s="86"/>
      <c r="AW296" s="86"/>
      <c r="AX296" s="86"/>
      <c r="CL296" s="99" t="n">
        <v>42716</v>
      </c>
      <c r="CM296" s="23" t="n">
        <f aca="false">$BA$68*CL296+$BA$70</f>
        <v>120.813034585155</v>
      </c>
    </row>
    <row r="297" customFormat="false" ht="15.75" hidden="false" customHeight="false" outlineLevel="0" collapsed="false">
      <c r="AE297" s="90" t="n">
        <f aca="false">Data!A292</f>
        <v>42545</v>
      </c>
      <c r="AF297" s="17" t="n">
        <f aca="false">Data!B292</f>
        <v>92.91</v>
      </c>
      <c r="AG297" s="17" t="n">
        <f aca="false">Data!F292</f>
        <v>75311356</v>
      </c>
      <c r="AH297" s="17" t="n">
        <f aca="false">Data!C292</f>
        <v>94.66</v>
      </c>
      <c r="AI297" s="17" t="n">
        <f aca="false">Data!D292</f>
        <v>92.65</v>
      </c>
      <c r="AJ297" s="17" t="n">
        <f aca="false">Data!E292</f>
        <v>93.4</v>
      </c>
      <c r="AK297" s="17" t="n">
        <f aca="false">Data!F292</f>
        <v>75311356</v>
      </c>
      <c r="AL297" s="17" t="n">
        <f aca="false">AJ297</f>
        <v>93.4</v>
      </c>
      <c r="AM297" s="17" t="n">
        <f aca="false">(AL297-AL296)/AL297*100</f>
        <v>1.45610278372591</v>
      </c>
      <c r="AN297" s="17" t="n">
        <f aca="false">(AK297-AK296)/AK297*100</f>
        <v>38.0940797294899</v>
      </c>
      <c r="AO297" s="17" t="str">
        <f aca="false">IF(AN297&lt;-8,"FITS BITCH",IF(AN297&gt;-8,"no"))</f>
        <v>no</v>
      </c>
      <c r="AP297" s="17" t="str">
        <f aca="false">IF(AH298&lt;AH297,"FITS BITCH",IF(AH298&gt;AH297,"no"))</f>
        <v>no</v>
      </c>
      <c r="AQ297" s="17" t="str">
        <f aca="false">IF(AI298&lt;AI297,"FITS BITCH",IF(AI298&gt;AI297,"no"))</f>
        <v>no</v>
      </c>
      <c r="AR297" s="17" t="str">
        <f aca="false">IF(AJ297&lt;AH298,"FITS BITCH",IF(AJ297&gt;AH298,"no"))</f>
        <v>FITS BITCH</v>
      </c>
      <c r="AS297" s="17" t="str">
        <f aca="false">IF(AJ297&gt;AJ298,"FITS BITCH",IF(AJ297&lt;AJ298,"no"))</f>
        <v>no</v>
      </c>
      <c r="AT297" s="91" t="str">
        <f aca="false">IF(AND($AO297="FITS BITCH",$AP297="FITS BITCH",$AR297="FITS BITCH"),"BULLISH","")</f>
        <v/>
      </c>
      <c r="AU297" s="91" t="str">
        <f aca="false">IF(AND($AO297="FITS BITCH",$AQ297="FITS BITCH",$AS297="FITS BITCH"),"BEARISH","")</f>
        <v/>
      </c>
      <c r="AV297" s="86"/>
      <c r="AW297" s="86"/>
      <c r="AX297" s="86"/>
      <c r="CL297" s="99" t="n">
        <v>42713</v>
      </c>
      <c r="CM297" s="23" t="n">
        <f aca="false">$BA$68*CL297+$BA$70</f>
        <v>120.350679894426</v>
      </c>
    </row>
    <row r="298" customFormat="false" ht="15.75" hidden="false" customHeight="false" outlineLevel="0" collapsed="false">
      <c r="AE298" s="90" t="n">
        <f aca="false">Data!A293</f>
        <v>42544</v>
      </c>
      <c r="AF298" s="17" t="n">
        <f aca="false">Data!B293</f>
        <v>95.94</v>
      </c>
      <c r="AG298" s="17" t="n">
        <f aca="false">Data!F293</f>
        <v>32240187</v>
      </c>
      <c r="AH298" s="17" t="n">
        <f aca="false">Data!C293</f>
        <v>96.29</v>
      </c>
      <c r="AI298" s="17" t="n">
        <f aca="false">Data!D293</f>
        <v>95.25</v>
      </c>
      <c r="AJ298" s="17" t="n">
        <f aca="false">Data!E293</f>
        <v>96.1</v>
      </c>
      <c r="AK298" s="17" t="n">
        <f aca="false">Data!F293</f>
        <v>32240187</v>
      </c>
      <c r="AL298" s="17" t="n">
        <f aca="false">AJ298</f>
        <v>96.1</v>
      </c>
      <c r="AM298" s="17" t="n">
        <f aca="false">(AL298-AL297)/AL298*100</f>
        <v>2.80957336108219</v>
      </c>
      <c r="AN298" s="17" t="n">
        <f aca="false">(AK298-AK297)/AK298*100</f>
        <v>-133.594662462721</v>
      </c>
      <c r="AO298" s="17" t="str">
        <f aca="false">IF(AN298&lt;-8,"FITS BITCH",IF(AN298&gt;-8,"no"))</f>
        <v>FITS BITCH</v>
      </c>
      <c r="AP298" s="17" t="str">
        <f aca="false">IF(AH299&lt;AH298,"FITS BITCH",IF(AH299&gt;AH298,"no"))</f>
        <v>no</v>
      </c>
      <c r="AQ298" s="17" t="str">
        <f aca="false">IF(AI299&lt;AI298,"FITS BITCH",IF(AI299&gt;AI298,"no"))</f>
        <v>no</v>
      </c>
      <c r="AR298" s="17" t="str">
        <f aca="false">IF(AJ298&lt;AH299,"FITS BITCH",IF(AJ298&gt;AH299,"no"))</f>
        <v>FITS BITCH</v>
      </c>
      <c r="AS298" s="17" t="str">
        <f aca="false">IF(AJ298&gt;AJ299,"FITS BITCH",IF(AJ298&lt;AJ299,"no"))</f>
        <v>FITS BITCH</v>
      </c>
      <c r="AT298" s="91" t="str">
        <f aca="false">IF(AND($AO298="FITS BITCH",$AP298="FITS BITCH",$AR298="FITS BITCH"),"BULLISH","")</f>
        <v/>
      </c>
      <c r="AU298" s="91" t="str">
        <f aca="false">IF(AND($AO298="FITS BITCH",$AQ298="FITS BITCH",$AS298="FITS BITCH"),"BEARISH","")</f>
        <v/>
      </c>
      <c r="AV298" s="86"/>
      <c r="AW298" s="86"/>
      <c r="AX298" s="86"/>
      <c r="CL298" s="99" t="n">
        <v>42712</v>
      </c>
      <c r="CM298" s="23" t="n">
        <f aca="false">$BA$68*CL298+$BA$70</f>
        <v>120.196561664184</v>
      </c>
    </row>
    <row r="299" customFormat="false" ht="15.75" hidden="false" customHeight="false" outlineLevel="0" collapsed="false">
      <c r="AE299" s="90" t="n">
        <f aca="false">Data!A294</f>
        <v>42543</v>
      </c>
      <c r="AF299" s="17" t="n">
        <f aca="false">Data!B294</f>
        <v>96.25</v>
      </c>
      <c r="AG299" s="17" t="n">
        <f aca="false">Data!F294</f>
        <v>29219122</v>
      </c>
      <c r="AH299" s="17" t="n">
        <f aca="false">Data!C294</f>
        <v>96.89</v>
      </c>
      <c r="AI299" s="17" t="n">
        <f aca="false">Data!D294</f>
        <v>95.35</v>
      </c>
      <c r="AJ299" s="17" t="n">
        <f aca="false">Data!E294</f>
        <v>95.55</v>
      </c>
      <c r="AK299" s="17" t="n">
        <f aca="false">Data!F294</f>
        <v>29219122</v>
      </c>
      <c r="AL299" s="17" t="n">
        <f aca="false">AJ299</f>
        <v>95.55</v>
      </c>
      <c r="AM299" s="17" t="n">
        <f aca="false">(AL299-AL298)/AL299*100</f>
        <v>-0.575614861329144</v>
      </c>
      <c r="AN299" s="17" t="n">
        <f aca="false">(AK299-AK298)/AK299*100</f>
        <v>-10.3393421609315</v>
      </c>
      <c r="AO299" s="17" t="str">
        <f aca="false">IF(AN299&lt;-8,"FITS BITCH",IF(AN299&gt;-8,"no"))</f>
        <v>FITS BITCH</v>
      </c>
      <c r="AP299" s="17" t="str">
        <f aca="false">IF(AH300&lt;AH299,"FITS BITCH",IF(AH300&gt;AH299,"no"))</f>
        <v>FITS BITCH</v>
      </c>
      <c r="AQ299" s="17" t="str">
        <f aca="false">IF(AI300&lt;AI299,"FITS BITCH",IF(AI300&gt;AI299,"no"))</f>
        <v>FITS BITCH</v>
      </c>
      <c r="AR299" s="17" t="str">
        <f aca="false">IF(AJ299&lt;AH300,"FITS BITCH",IF(AJ299&gt;AH300,"no"))</f>
        <v>FITS BITCH</v>
      </c>
      <c r="AS299" s="17" t="str">
        <f aca="false">IF(AJ299&gt;AJ300,"FITS BITCH",IF(AJ299&lt;AJ300,"no"))</f>
        <v>no</v>
      </c>
      <c r="AT299" s="91" t="str">
        <f aca="false">IF(AND($AO299="FITS BITCH",$AP299="FITS BITCH",$AR299="FITS BITCH"),"BULLISH","")</f>
        <v>BULLISH</v>
      </c>
      <c r="AU299" s="91" t="str">
        <f aca="false">IF(AND($AO299="FITS BITCH",$AQ299="FITS BITCH",$AS299="FITS BITCH"),"BEARISH","")</f>
        <v/>
      </c>
      <c r="AV299" s="86"/>
      <c r="AW299" s="86"/>
      <c r="AX299" s="86"/>
      <c r="CL299" s="99" t="n">
        <v>42711</v>
      </c>
      <c r="CM299" s="23" t="n">
        <f aca="false">$BA$68*CL299+$BA$70</f>
        <v>120.042443433941</v>
      </c>
    </row>
    <row r="300" customFormat="false" ht="15.75" hidden="false" customHeight="false" outlineLevel="0" collapsed="false">
      <c r="AE300" s="90" t="n">
        <f aca="false">Data!A295</f>
        <v>42542</v>
      </c>
      <c r="AF300" s="17" t="n">
        <f aca="false">Data!B295</f>
        <v>94.94</v>
      </c>
      <c r="AG300" s="17" t="n">
        <f aca="false">Data!F295</f>
        <v>35546358</v>
      </c>
      <c r="AH300" s="17" t="n">
        <f aca="false">Data!C295</f>
        <v>96.35</v>
      </c>
      <c r="AI300" s="17" t="n">
        <f aca="false">Data!D295</f>
        <v>94.68</v>
      </c>
      <c r="AJ300" s="17" t="n">
        <f aca="false">Data!E295</f>
        <v>95.91</v>
      </c>
      <c r="AK300" s="17" t="n">
        <f aca="false">Data!F295</f>
        <v>35546358</v>
      </c>
      <c r="AL300" s="17" t="n">
        <f aca="false">AJ300</f>
        <v>95.91</v>
      </c>
      <c r="AM300" s="17" t="n">
        <f aca="false">(AL300-AL299)/AL300*100</f>
        <v>0.375351892399124</v>
      </c>
      <c r="AN300" s="17" t="n">
        <f aca="false">(AK300-AK299)/AK300*100</f>
        <v>17.7999557648072</v>
      </c>
      <c r="AO300" s="17" t="str">
        <f aca="false">IF(AN300&lt;-8,"FITS BITCH",IF(AN300&gt;-8,"no"))</f>
        <v>no</v>
      </c>
      <c r="AP300" s="17" t="str">
        <f aca="false">IF(AH301&lt;AH300,"FITS BITCH",IF(AH301&gt;AH300,"no"))</f>
        <v>no</v>
      </c>
      <c r="AQ300" s="17" t="str">
        <f aca="false">IF(AI301&lt;AI300,"FITS BITCH",IF(AI301&gt;AI300,"no"))</f>
        <v>no</v>
      </c>
      <c r="AR300" s="17" t="str">
        <f aca="false">IF(AJ300&lt;AH301,"FITS BITCH",IF(AJ300&gt;AH301,"no"))</f>
        <v>FITS BITCH</v>
      </c>
      <c r="AS300" s="17" t="str">
        <f aca="false">IF(AJ300&gt;AJ301,"FITS BITCH",IF(AJ300&lt;AJ301,"no"))</f>
        <v>FITS BITCH</v>
      </c>
      <c r="AT300" s="91" t="str">
        <f aca="false">IF(AND($AO300="FITS BITCH",$AP300="FITS BITCH",$AR300="FITS BITCH"),"BULLISH","")</f>
        <v/>
      </c>
      <c r="AU300" s="91" t="str">
        <f aca="false">IF(AND($AO300="FITS BITCH",$AQ300="FITS BITCH",$AS300="FITS BITCH"),"BEARISH","")</f>
        <v/>
      </c>
      <c r="AV300" s="86"/>
      <c r="AW300" s="86"/>
      <c r="AX300" s="86"/>
      <c r="CL300" s="99" t="n">
        <v>42710</v>
      </c>
      <c r="CM300" s="23" t="n">
        <f aca="false">$BA$68*CL300+$BA$70</f>
        <v>119.888325203699</v>
      </c>
    </row>
    <row r="301" customFormat="false" ht="15.75" hidden="false" customHeight="false" outlineLevel="0" collapsed="false">
      <c r="AE301" s="90" t="n">
        <f aca="false">Data!A296</f>
        <v>42541</v>
      </c>
      <c r="AF301" s="17" t="n">
        <f aca="false">Data!B296</f>
        <v>96</v>
      </c>
      <c r="AG301" s="17" t="n">
        <f aca="false">Data!F296</f>
        <v>34411901</v>
      </c>
      <c r="AH301" s="17" t="n">
        <f aca="false">Data!C296</f>
        <v>96.57</v>
      </c>
      <c r="AI301" s="17" t="n">
        <f aca="false">Data!D296</f>
        <v>95.03</v>
      </c>
      <c r="AJ301" s="17" t="n">
        <f aca="false">Data!E296</f>
        <v>95.1</v>
      </c>
      <c r="AK301" s="17" t="n">
        <f aca="false">Data!F296</f>
        <v>34411901</v>
      </c>
      <c r="AL301" s="17" t="n">
        <f aca="false">AJ301</f>
        <v>95.1</v>
      </c>
      <c r="AM301" s="17" t="n">
        <f aca="false">(AL301-AL300)/AL301*100</f>
        <v>-0.851735015772873</v>
      </c>
      <c r="AN301" s="17" t="n">
        <f aca="false">(AK301-AK300)/AK301*100</f>
        <v>-3.29669959238811</v>
      </c>
      <c r="AO301" s="17" t="str">
        <f aca="false">IF(AN301&lt;-8,"FITS BITCH",IF(AN301&gt;-8,"no"))</f>
        <v>no</v>
      </c>
      <c r="AP301" s="17" t="str">
        <f aca="false">IF(AH302&lt;AH301,"FITS BITCH",IF(AH302&gt;AH301,"no"))</f>
        <v>no</v>
      </c>
      <c r="AQ301" s="17" t="str">
        <f aca="false">IF(AI302&lt;AI301,"FITS BITCH",IF(AI302&gt;AI301,"no"))</f>
        <v>no</v>
      </c>
      <c r="AR301" s="17" t="str">
        <f aca="false">IF(AJ301&lt;AH302,"FITS BITCH",IF(AJ301&gt;AH302,"no"))</f>
        <v>FITS BITCH</v>
      </c>
      <c r="AS301" s="17" t="str">
        <f aca="false">IF(AJ301&gt;AJ302,"FITS BITCH",IF(AJ301&lt;AJ302,"no"))</f>
        <v>no</v>
      </c>
      <c r="AT301" s="91" t="str">
        <f aca="false">IF(AND($AO301="FITS BITCH",$AP301="FITS BITCH",$AR301="FITS BITCH"),"BULLISH","")</f>
        <v/>
      </c>
      <c r="AU301" s="91" t="str">
        <f aca="false">IF(AND($AO301="FITS BITCH",$AQ301="FITS BITCH",$AS301="FITS BITCH"),"BEARISH","")</f>
        <v/>
      </c>
      <c r="AV301" s="86"/>
      <c r="AW301" s="86"/>
      <c r="AX301" s="86"/>
      <c r="CL301" s="99" t="n">
        <v>42709</v>
      </c>
      <c r="CM301" s="23" t="n">
        <f aca="false">$BA$68*CL301+$BA$70</f>
        <v>119.734206973456</v>
      </c>
    </row>
    <row r="302" customFormat="false" ht="15.75" hidden="false" customHeight="false" outlineLevel="0" collapsed="false">
      <c r="AE302" s="90" t="n">
        <f aca="false">Data!A297</f>
        <v>42538</v>
      </c>
      <c r="AF302" s="17" t="n">
        <f aca="false">Data!B297</f>
        <v>96.62</v>
      </c>
      <c r="AG302" s="17" t="n">
        <f aca="false">Data!F297</f>
        <v>61008219</v>
      </c>
      <c r="AH302" s="17" t="n">
        <f aca="false">Data!C297</f>
        <v>96.65</v>
      </c>
      <c r="AI302" s="17" t="n">
        <f aca="false">Data!D297</f>
        <v>95.3</v>
      </c>
      <c r="AJ302" s="17" t="n">
        <f aca="false">Data!E297</f>
        <v>95.33</v>
      </c>
      <c r="AK302" s="17" t="n">
        <f aca="false">Data!F297</f>
        <v>61008219</v>
      </c>
      <c r="AL302" s="17" t="n">
        <f aca="false">AJ302</f>
        <v>95.33</v>
      </c>
      <c r="AM302" s="17" t="n">
        <f aca="false">(AL302-AL301)/AL302*100</f>
        <v>0.241267177174031</v>
      </c>
      <c r="AN302" s="17" t="n">
        <f aca="false">(AK302-AK301)/AK302*100</f>
        <v>43.5946474687288</v>
      </c>
      <c r="AO302" s="17" t="str">
        <f aca="false">IF(AN302&lt;-8,"FITS BITCH",IF(AN302&gt;-8,"no"))</f>
        <v>no</v>
      </c>
      <c r="AP302" s="17" t="str">
        <f aca="false">IF(AH303&lt;AH302,"FITS BITCH",IF(AH303&gt;AH302,"no"))</f>
        <v>no</v>
      </c>
      <c r="AQ302" s="17" t="str">
        <f aca="false">IF(AI303&lt;AI302,"FITS BITCH",IF(AI303&gt;AI302,"no"))</f>
        <v>no</v>
      </c>
      <c r="AR302" s="17" t="str">
        <f aca="false">IF(AJ302&lt;AH303,"FITS BITCH",IF(AJ302&gt;AH303,"no"))</f>
        <v>FITS BITCH</v>
      </c>
      <c r="AS302" s="17" t="str">
        <f aca="false">IF(AJ302&gt;AJ303,"FITS BITCH",IF(AJ302&lt;AJ303,"no"))</f>
        <v>no</v>
      </c>
      <c r="AT302" s="91" t="str">
        <f aca="false">IF(AND($AO302="FITS BITCH",$AP302="FITS BITCH",$AR302="FITS BITCH"),"BULLISH","")</f>
        <v/>
      </c>
      <c r="AU302" s="91" t="str">
        <f aca="false">IF(AND($AO302="FITS BITCH",$AQ302="FITS BITCH",$AS302="FITS BITCH"),"BEARISH","")</f>
        <v/>
      </c>
      <c r="AV302" s="86"/>
      <c r="AW302" s="86"/>
      <c r="AX302" s="86"/>
      <c r="CL302" s="99" t="n">
        <v>42706</v>
      </c>
      <c r="CM302" s="23" t="n">
        <f aca="false">$BA$68*CL302+$BA$70</f>
        <v>119.271852282728</v>
      </c>
    </row>
    <row r="303" customFormat="false" ht="15.75" hidden="false" customHeight="false" outlineLevel="0" collapsed="false">
      <c r="AE303" s="90" t="n">
        <f aca="false">Data!A298</f>
        <v>42537</v>
      </c>
      <c r="AF303" s="17" t="n">
        <f aca="false">Data!B298</f>
        <v>96.45</v>
      </c>
      <c r="AG303" s="17" t="n">
        <f aca="false">Data!F298</f>
        <v>31326815</v>
      </c>
      <c r="AH303" s="17" t="n">
        <f aca="false">Data!C298</f>
        <v>97.75</v>
      </c>
      <c r="AI303" s="17" t="n">
        <f aca="false">Data!D298</f>
        <v>96.07</v>
      </c>
      <c r="AJ303" s="17" t="n">
        <f aca="false">Data!E298</f>
        <v>97.55</v>
      </c>
      <c r="AK303" s="17" t="n">
        <f aca="false">Data!F298</f>
        <v>31326815</v>
      </c>
      <c r="AL303" s="17" t="n">
        <f aca="false">AJ303</f>
        <v>97.55</v>
      </c>
      <c r="AM303" s="17" t="n">
        <f aca="false">(AL303-AL302)/AL303*100</f>
        <v>2.27575602255254</v>
      </c>
      <c r="AN303" s="17" t="n">
        <f aca="false">(AK303-AK302)/AK303*100</f>
        <v>-94.7475956301335</v>
      </c>
      <c r="AO303" s="17" t="str">
        <f aca="false">IF(AN303&lt;-8,"FITS BITCH",IF(AN303&gt;-8,"no"))</f>
        <v>FITS BITCH</v>
      </c>
      <c r="AP303" s="17" t="str">
        <f aca="false">IF(AH304&lt;AH303,"FITS BITCH",IF(AH304&gt;AH303,"no"))</f>
        <v>no</v>
      </c>
      <c r="AQ303" s="17" t="str">
        <f aca="false">IF(AI304&lt;AI303,"FITS BITCH",IF(AI304&gt;AI303,"no"))</f>
        <v>no</v>
      </c>
      <c r="AR303" s="17" t="str">
        <f aca="false">IF(AJ303&lt;AH304,"FITS BITCH",IF(AJ303&gt;AH304,"no"))</f>
        <v>FITS BITCH</v>
      </c>
      <c r="AS303" s="17" t="str">
        <f aca="false">IF(AJ303&gt;AJ304,"FITS BITCH",IF(AJ303&lt;AJ304,"no"))</f>
        <v>FITS BITCH</v>
      </c>
      <c r="AT303" s="91" t="str">
        <f aca="false">IF(AND($AO303="FITS BITCH",$AP303="FITS BITCH",$AR303="FITS BITCH"),"BULLISH","")</f>
        <v/>
      </c>
      <c r="AU303" s="91" t="str">
        <f aca="false">IF(AND($AO303="FITS BITCH",$AQ303="FITS BITCH",$AS303="FITS BITCH"),"BEARISH","")</f>
        <v/>
      </c>
      <c r="AV303" s="86"/>
      <c r="AW303" s="86"/>
      <c r="AX303" s="86"/>
      <c r="CL303" s="99" t="n">
        <v>42705</v>
      </c>
      <c r="CM303" s="23" t="n">
        <f aca="false">$BA$68*CL303+$BA$70</f>
        <v>119.117734052486</v>
      </c>
    </row>
    <row r="304" customFormat="false" ht="15.75" hidden="false" customHeight="false" outlineLevel="0" collapsed="false">
      <c r="AE304" s="90" t="n">
        <f aca="false">Data!A299</f>
        <v>42536</v>
      </c>
      <c r="AF304" s="17" t="n">
        <f aca="false">Data!B299</f>
        <v>97.82</v>
      </c>
      <c r="AG304" s="17" t="n">
        <f aca="false">Data!F299</f>
        <v>29445227</v>
      </c>
      <c r="AH304" s="17" t="n">
        <f aca="false">Data!C299</f>
        <v>98.41</v>
      </c>
      <c r="AI304" s="17" t="n">
        <f aca="false">Data!D299</f>
        <v>97.03</v>
      </c>
      <c r="AJ304" s="17" t="n">
        <f aca="false">Data!E299</f>
        <v>97.14</v>
      </c>
      <c r="AK304" s="17" t="n">
        <f aca="false">Data!F299</f>
        <v>29445227</v>
      </c>
      <c r="AL304" s="17" t="n">
        <f aca="false">AJ304</f>
        <v>97.14</v>
      </c>
      <c r="AM304" s="17" t="n">
        <f aca="false">(AL304-AL303)/AL304*100</f>
        <v>-0.422071237389331</v>
      </c>
      <c r="AN304" s="17" t="n">
        <f aca="false">(AK304-AK303)/AK304*100</f>
        <v>-6.39012903517436</v>
      </c>
      <c r="AO304" s="17" t="str">
        <f aca="false">IF(AN304&lt;-8,"FITS BITCH",IF(AN304&gt;-8,"no"))</f>
        <v>no</v>
      </c>
      <c r="AP304" s="17" t="str">
        <f aca="false">IF(AH305&lt;AH304,"FITS BITCH",IF(AH305&gt;AH304,"no"))</f>
        <v>no</v>
      </c>
      <c r="AQ304" s="17" t="str">
        <f aca="false">IF(AI305&lt;AI304,"FITS BITCH",IF(AI305&gt;AI304,"no"))</f>
        <v>FITS BITCH</v>
      </c>
      <c r="AR304" s="17" t="str">
        <f aca="false">IF(AJ304&lt;AH305,"FITS BITCH",IF(AJ304&gt;AH305,"no"))</f>
        <v>FITS BITCH</v>
      </c>
      <c r="AS304" s="17" t="str">
        <f aca="false">IF(AJ304&gt;AJ305,"FITS BITCH",IF(AJ304&lt;AJ305,"no"))</f>
        <v>no</v>
      </c>
      <c r="AT304" s="91" t="str">
        <f aca="false">IF(AND($AO304="FITS BITCH",$AP304="FITS BITCH",$AR304="FITS BITCH"),"BULLISH","")</f>
        <v/>
      </c>
      <c r="AU304" s="91" t="str">
        <f aca="false">IF(AND($AO304="FITS BITCH",$AQ304="FITS BITCH",$AS304="FITS BITCH"),"BEARISH","")</f>
        <v/>
      </c>
      <c r="AV304" s="86"/>
      <c r="AW304" s="86"/>
      <c r="AX304" s="86"/>
      <c r="CL304" s="99" t="n">
        <v>42704</v>
      </c>
      <c r="CM304" s="23" t="n">
        <f aca="false">$BA$68*CL304+$BA$70</f>
        <v>118.963615822243</v>
      </c>
    </row>
    <row r="305" customFormat="false" ht="15.75" hidden="false" customHeight="false" outlineLevel="0" collapsed="false">
      <c r="AE305" s="90" t="n">
        <f aca="false">Data!A300</f>
        <v>42535</v>
      </c>
      <c r="AF305" s="17" t="n">
        <f aca="false">Data!B300</f>
        <v>97.32</v>
      </c>
      <c r="AG305" s="17" t="n">
        <f aca="false">Data!F300</f>
        <v>31931944</v>
      </c>
      <c r="AH305" s="17" t="n">
        <f aca="false">Data!C300</f>
        <v>98.48</v>
      </c>
      <c r="AI305" s="17" t="n">
        <f aca="false">Data!D300</f>
        <v>96.75</v>
      </c>
      <c r="AJ305" s="17" t="n">
        <f aca="false">Data!E300</f>
        <v>97.46</v>
      </c>
      <c r="AK305" s="17" t="n">
        <f aca="false">Data!F300</f>
        <v>31931944</v>
      </c>
      <c r="AL305" s="17" t="n">
        <f aca="false">AJ305</f>
        <v>97.46</v>
      </c>
      <c r="AM305" s="17" t="n">
        <f aca="false">(AL305-AL304)/AL305*100</f>
        <v>0.328339831725829</v>
      </c>
      <c r="AN305" s="17" t="n">
        <f aca="false">(AK305-AK304)/AK305*100</f>
        <v>7.78755280292362</v>
      </c>
      <c r="AO305" s="17" t="str">
        <f aca="false">IF(AN305&lt;-8,"FITS BITCH",IF(AN305&gt;-8,"no"))</f>
        <v>no</v>
      </c>
      <c r="AP305" s="17" t="str">
        <f aca="false">IF(AH306&lt;AH305,"FITS BITCH",IF(AH306&gt;AH305,"no"))</f>
        <v>no</v>
      </c>
      <c r="AQ305" s="17" t="str">
        <f aca="false">IF(AI306&lt;AI305,"FITS BITCH",IF(AI306&gt;AI305,"no"))</f>
        <v>no</v>
      </c>
      <c r="AR305" s="17" t="str">
        <f aca="false">IF(AJ305&lt;AH306,"FITS BITCH",IF(AJ305&gt;AH306,"no"))</f>
        <v>FITS BITCH</v>
      </c>
      <c r="AS305" s="17" t="str">
        <f aca="false">IF(AJ305&gt;AJ306,"FITS BITCH",IF(AJ305&lt;AJ306,"no"))</f>
        <v>FITS BITCH</v>
      </c>
      <c r="AT305" s="91" t="str">
        <f aca="false">IF(AND($AO305="FITS BITCH",$AP305="FITS BITCH",$AR305="FITS BITCH"),"BULLISH","")</f>
        <v/>
      </c>
      <c r="AU305" s="91" t="str">
        <f aca="false">IF(AND($AO305="FITS BITCH",$AQ305="FITS BITCH",$AS305="FITS BITCH"),"BEARISH","")</f>
        <v/>
      </c>
      <c r="AV305" s="86"/>
      <c r="AW305" s="86"/>
      <c r="AX305" s="86"/>
      <c r="CL305" s="99" t="n">
        <v>42703</v>
      </c>
      <c r="CM305" s="23" t="n">
        <f aca="false">$BA$68*CL305+$BA$70</f>
        <v>118.809497591999</v>
      </c>
    </row>
    <row r="306" customFormat="false" ht="15.75" hidden="false" customHeight="false" outlineLevel="0" collapsed="false">
      <c r="AE306" s="90" t="n">
        <f aca="false">Data!A301</f>
        <v>42534</v>
      </c>
      <c r="AF306" s="17" t="n">
        <f aca="false">Data!B301</f>
        <v>98.69</v>
      </c>
      <c r="AG306" s="17" t="n">
        <f aca="false">Data!F301</f>
        <v>38020494</v>
      </c>
      <c r="AH306" s="17" t="n">
        <f aca="false">Data!C301</f>
        <v>99.12</v>
      </c>
      <c r="AI306" s="17" t="n">
        <f aca="false">Data!D301</f>
        <v>97.1</v>
      </c>
      <c r="AJ306" s="17" t="n">
        <f aca="false">Data!E301</f>
        <v>97.34</v>
      </c>
      <c r="AK306" s="17" t="n">
        <f aca="false">Data!F301</f>
        <v>38020494</v>
      </c>
      <c r="AL306" s="17" t="n">
        <f aca="false">AJ306</f>
        <v>97.34</v>
      </c>
      <c r="AM306" s="17" t="n">
        <f aca="false">(AL306-AL305)/AL306*100</f>
        <v>-0.123279227450165</v>
      </c>
      <c r="AN306" s="17" t="n">
        <f aca="false">(AK306-AK305)/AK306*100</f>
        <v>16.0138634705798</v>
      </c>
      <c r="AO306" s="17" t="str">
        <f aca="false">IF(AN306&lt;-8,"FITS BITCH",IF(AN306&gt;-8,"no"))</f>
        <v>no</v>
      </c>
      <c r="AP306" s="17" t="str">
        <f aca="false">IF(AH307&lt;AH306,"FITS BITCH",IF(AH307&gt;AH306,"no"))</f>
        <v>no</v>
      </c>
      <c r="AQ306" s="17" t="str">
        <f aca="false">IF(AI307&lt;AI306,"FITS BITCH",IF(AI307&gt;AI306,"no"))</f>
        <v>no</v>
      </c>
      <c r="AR306" s="17" t="str">
        <f aca="false">IF(AJ306&lt;AH307,"FITS BITCH",IF(AJ306&gt;AH307,"no"))</f>
        <v>FITS BITCH</v>
      </c>
      <c r="AS306" s="17" t="str">
        <f aca="false">IF(AJ306&gt;AJ307,"FITS BITCH",IF(AJ306&lt;AJ307,"no"))</f>
        <v>no</v>
      </c>
      <c r="AT306" s="91" t="str">
        <f aca="false">IF(AND($AO306="FITS BITCH",$AP306="FITS BITCH",$AR306="FITS BITCH"),"BULLISH","")</f>
        <v/>
      </c>
      <c r="AU306" s="91" t="str">
        <f aca="false">IF(AND($AO306="FITS BITCH",$AQ306="FITS BITCH",$AS306="FITS BITCH"),"BEARISH","")</f>
        <v/>
      </c>
      <c r="AV306" s="86"/>
      <c r="AW306" s="86"/>
      <c r="AX306" s="86"/>
      <c r="CL306" s="99" t="n">
        <v>42702</v>
      </c>
      <c r="CM306" s="23" t="n">
        <f aca="false">$BA$68*CL306+$BA$70</f>
        <v>118.655379361757</v>
      </c>
    </row>
    <row r="307" customFormat="false" ht="15.75" hidden="false" customHeight="false" outlineLevel="0" collapsed="false">
      <c r="AE307" s="90" t="n">
        <f aca="false">Data!A302</f>
        <v>42531</v>
      </c>
      <c r="AF307" s="17" t="n">
        <f aca="false">Data!B302</f>
        <v>98.53</v>
      </c>
      <c r="AG307" s="17" t="n">
        <f aca="false">Data!F302</f>
        <v>31712936</v>
      </c>
      <c r="AH307" s="17" t="n">
        <f aca="false">Data!C302</f>
        <v>99.35</v>
      </c>
      <c r="AI307" s="17" t="n">
        <f aca="false">Data!D302</f>
        <v>98.48</v>
      </c>
      <c r="AJ307" s="17" t="n">
        <f aca="false">Data!E302</f>
        <v>98.83</v>
      </c>
      <c r="AK307" s="17" t="n">
        <f aca="false">Data!F302</f>
        <v>31712936</v>
      </c>
      <c r="AL307" s="17" t="n">
        <f aca="false">AJ307</f>
        <v>98.83</v>
      </c>
      <c r="AM307" s="17" t="n">
        <f aca="false">(AL307-AL306)/AL307*100</f>
        <v>1.50763938075483</v>
      </c>
      <c r="AN307" s="17" t="n">
        <f aca="false">(AK307-AK306)/AK307*100</f>
        <v>-19.8895428666712</v>
      </c>
      <c r="AO307" s="17" t="str">
        <f aca="false">IF(AN307&lt;-8,"FITS BITCH",IF(AN307&gt;-8,"no"))</f>
        <v>FITS BITCH</v>
      </c>
      <c r="AP307" s="17" t="str">
        <f aca="false">IF(AH308&lt;AH307,"FITS BITCH",IF(AH308&gt;AH307,"no"))</f>
        <v>no</v>
      </c>
      <c r="AQ307" s="17" t="str">
        <f aca="false">IF(AI308&lt;AI307,"FITS BITCH",IF(AI308&gt;AI307,"no"))</f>
        <v>FITS BITCH</v>
      </c>
      <c r="AR307" s="17" t="str">
        <f aca="false">IF(AJ307&lt;AH308,"FITS BITCH",IF(AJ307&gt;AH308,"no"))</f>
        <v>FITS BITCH</v>
      </c>
      <c r="AS307" s="17" t="str">
        <f aca="false">IF(AJ307&gt;AJ308,"FITS BITCH",IF(AJ307&lt;AJ308,"no"))</f>
        <v>no</v>
      </c>
      <c r="AT307" s="91" t="str">
        <f aca="false">IF(AND($AO307="FITS BITCH",$AP307="FITS BITCH",$AR307="FITS BITCH"),"BULLISH","")</f>
        <v/>
      </c>
      <c r="AU307" s="91" t="str">
        <f aca="false">IF(AND($AO307="FITS BITCH",$AQ307="FITS BITCH",$AS307="FITS BITCH"),"BEARISH","")</f>
        <v/>
      </c>
      <c r="AV307" s="86"/>
      <c r="AW307" s="86"/>
      <c r="AX307" s="86"/>
      <c r="CL307" s="99" t="n">
        <v>42699</v>
      </c>
      <c r="CM307" s="23" t="n">
        <f aca="false">$BA$68*CL307+$BA$70</f>
        <v>118.193024671029</v>
      </c>
    </row>
    <row r="308" customFormat="false" ht="15.75" hidden="false" customHeight="false" outlineLevel="0" collapsed="false">
      <c r="AE308" s="90" t="n">
        <f aca="false">Data!A303</f>
        <v>42530</v>
      </c>
      <c r="AF308" s="17" t="n">
        <f aca="false">Data!B303</f>
        <v>98.5</v>
      </c>
      <c r="AG308" s="17" t="n">
        <f aca="false">Data!F303</f>
        <v>26601354</v>
      </c>
      <c r="AH308" s="17" t="n">
        <f aca="false">Data!C303</f>
        <v>99.99</v>
      </c>
      <c r="AI308" s="17" t="n">
        <f aca="false">Data!D303</f>
        <v>98.46</v>
      </c>
      <c r="AJ308" s="17" t="n">
        <f aca="false">Data!E303</f>
        <v>99.65</v>
      </c>
      <c r="AK308" s="17" t="n">
        <f aca="false">Data!F303</f>
        <v>26601354</v>
      </c>
      <c r="AL308" s="17" t="n">
        <f aca="false">AJ308</f>
        <v>99.65</v>
      </c>
      <c r="AM308" s="17" t="n">
        <f aca="false">(AL308-AL307)/AL308*100</f>
        <v>0.822880080280991</v>
      </c>
      <c r="AN308" s="17" t="n">
        <f aca="false">(AK308-AK307)/AK308*100</f>
        <v>-19.2154955721427</v>
      </c>
      <c r="AO308" s="17" t="str">
        <f aca="false">IF(AN308&lt;-8,"FITS BITCH",IF(AN308&gt;-8,"no"))</f>
        <v>FITS BITCH</v>
      </c>
      <c r="AP308" s="17" t="str">
        <f aca="false">IF(AH309&lt;AH308,"FITS BITCH",IF(AH309&gt;AH308,"no"))</f>
        <v>FITS BITCH</v>
      </c>
      <c r="AQ308" s="17" t="str">
        <f aca="false">IF(AI309&lt;AI308,"FITS BITCH",IF(AI309&gt;AI308,"no"))</f>
        <v>no</v>
      </c>
      <c r="AR308" s="17" t="str">
        <f aca="false">IF(AJ308&lt;AH309,"FITS BITCH",IF(AJ308&gt;AH309,"no"))</f>
        <v>no</v>
      </c>
      <c r="AS308" s="17" t="str">
        <f aca="false">IF(AJ308&gt;AJ309,"FITS BITCH",IF(AJ308&lt;AJ309,"no"))</f>
        <v>FITS BITCH</v>
      </c>
      <c r="AT308" s="91" t="str">
        <f aca="false">IF(AND($AO308="FITS BITCH",$AP308="FITS BITCH",$AR308="FITS BITCH"),"BULLISH","")</f>
        <v/>
      </c>
      <c r="AU308" s="91" t="str">
        <f aca="false">IF(AND($AO308="FITS BITCH",$AQ308="FITS BITCH",$AS308="FITS BITCH"),"BEARISH","")</f>
        <v/>
      </c>
      <c r="AV308" s="86"/>
      <c r="AW308" s="86"/>
      <c r="AX308" s="86"/>
      <c r="CL308" s="99" t="n">
        <v>42698</v>
      </c>
      <c r="CM308" s="23" t="n">
        <f aca="false">$BA$68*CL308+$BA$70</f>
        <v>118.038906440786</v>
      </c>
    </row>
    <row r="309" customFormat="false" ht="15.75" hidden="false" customHeight="false" outlineLevel="0" collapsed="false">
      <c r="AE309" s="90" t="n">
        <f aca="false">Data!A304</f>
        <v>42529</v>
      </c>
      <c r="AF309" s="17" t="n">
        <f aca="false">Data!B304</f>
        <v>99.02</v>
      </c>
      <c r="AG309" s="17" t="n">
        <f aca="false">Data!F304</f>
        <v>20848131</v>
      </c>
      <c r="AH309" s="17" t="n">
        <f aca="false">Data!C304</f>
        <v>99.56</v>
      </c>
      <c r="AI309" s="17" t="n">
        <f aca="false">Data!D304</f>
        <v>98.68</v>
      </c>
      <c r="AJ309" s="17" t="n">
        <f aca="false">Data!E304</f>
        <v>98.94</v>
      </c>
      <c r="AK309" s="17" t="n">
        <f aca="false">Data!F304</f>
        <v>20848131</v>
      </c>
      <c r="AL309" s="17" t="n">
        <f aca="false">AJ309</f>
        <v>98.94</v>
      </c>
      <c r="AM309" s="17" t="n">
        <f aca="false">(AL309-AL308)/AL309*100</f>
        <v>-0.717606630280987</v>
      </c>
      <c r="AN309" s="17" t="n">
        <f aca="false">(AK309-AK308)/AK309*100</f>
        <v>-27.5958693851262</v>
      </c>
      <c r="AO309" s="17" t="str">
        <f aca="false">IF(AN309&lt;-8,"FITS BITCH",IF(AN309&gt;-8,"no"))</f>
        <v>FITS BITCH</v>
      </c>
      <c r="AP309" s="17" t="str">
        <f aca="false">IF(AH310&lt;AH309,"FITS BITCH",IF(AH310&gt;AH309,"no"))</f>
        <v>no</v>
      </c>
      <c r="AQ309" s="17" t="str">
        <f aca="false">IF(AI310&lt;AI309,"FITS BITCH",IF(AI310&gt;AI309,"no"))</f>
        <v>no</v>
      </c>
      <c r="AR309" s="17" t="str">
        <f aca="false">IF(AJ309&lt;AH310,"FITS BITCH",IF(AJ309&gt;AH310,"no"))</f>
        <v>FITS BITCH</v>
      </c>
      <c r="AS309" s="17" t="str">
        <f aca="false">IF(AJ309&gt;AJ310,"FITS BITCH",IF(AJ309&lt;AJ310,"no"))</f>
        <v>no</v>
      </c>
      <c r="AT309" s="91" t="str">
        <f aca="false">IF(AND($AO309="FITS BITCH",$AP309="FITS BITCH",$AR309="FITS BITCH"),"BULLISH","")</f>
        <v/>
      </c>
      <c r="AU309" s="91" t="str">
        <f aca="false">IF(AND($AO309="FITS BITCH",$AQ309="FITS BITCH",$AS309="FITS BITCH"),"BEARISH","")</f>
        <v/>
      </c>
      <c r="AV309" s="86"/>
      <c r="AW309" s="86"/>
      <c r="AX309" s="86"/>
      <c r="CL309" s="99" t="n">
        <v>42697</v>
      </c>
      <c r="CM309" s="23" t="n">
        <f aca="false">$BA$68*CL309+$BA$70</f>
        <v>117.884788210544</v>
      </c>
    </row>
    <row r="310" customFormat="false" ht="15.75" hidden="false" customHeight="false" outlineLevel="0" collapsed="false">
      <c r="AE310" s="90" t="n">
        <f aca="false">Data!A305</f>
        <v>42528</v>
      </c>
      <c r="AF310" s="17" t="n">
        <f aca="false">Data!B305</f>
        <v>99.25</v>
      </c>
      <c r="AG310" s="17" t="n">
        <f aca="false">Data!F305</f>
        <v>22409450</v>
      </c>
      <c r="AH310" s="17" t="n">
        <f aca="false">Data!C305</f>
        <v>99.87</v>
      </c>
      <c r="AI310" s="17" t="n">
        <f aca="false">Data!D305</f>
        <v>98.96</v>
      </c>
      <c r="AJ310" s="17" t="n">
        <f aca="false">Data!E305</f>
        <v>99.03</v>
      </c>
      <c r="AK310" s="17" t="n">
        <f aca="false">Data!F305</f>
        <v>22409450</v>
      </c>
      <c r="AL310" s="17" t="n">
        <f aca="false">AJ310</f>
        <v>99.03</v>
      </c>
      <c r="AM310" s="17" t="n">
        <f aca="false">(AL310-AL309)/AL310*100</f>
        <v>0.0908815510451413</v>
      </c>
      <c r="AN310" s="17" t="n">
        <f aca="false">(AK310-AK309)/AK310*100</f>
        <v>6.96723480495951</v>
      </c>
      <c r="AO310" s="17" t="str">
        <f aca="false">IF(AN310&lt;-8,"FITS BITCH",IF(AN310&gt;-8,"no"))</f>
        <v>no</v>
      </c>
      <c r="AP310" s="17" t="str">
        <f aca="false">IF(AH311&lt;AH310,"FITS BITCH",IF(AH311&gt;AH310,"no"))</f>
        <v>no</v>
      </c>
      <c r="AQ310" s="17" t="str">
        <f aca="false">IF(AI311&lt;AI310,"FITS BITCH",IF(AI311&gt;AI310,"no"))</f>
        <v>FITS BITCH</v>
      </c>
      <c r="AR310" s="17" t="str">
        <f aca="false">IF(AJ310&lt;AH311,"FITS BITCH",IF(AJ310&gt;AH311,"no"))</f>
        <v>FITS BITCH</v>
      </c>
      <c r="AS310" s="17" t="str">
        <f aca="false">IF(AJ310&gt;AJ311,"FITS BITCH",IF(AJ310&lt;AJ311,"no"))</f>
        <v>FITS BITCH</v>
      </c>
      <c r="AT310" s="91" t="str">
        <f aca="false">IF(AND($AO310="FITS BITCH",$AP310="FITS BITCH",$AR310="FITS BITCH"),"BULLISH","")</f>
        <v/>
      </c>
      <c r="AU310" s="91" t="str">
        <f aca="false">IF(AND($AO310="FITS BITCH",$AQ310="FITS BITCH",$AS310="FITS BITCH"),"BEARISH","")</f>
        <v/>
      </c>
      <c r="AV310" s="86"/>
      <c r="AW310" s="86"/>
      <c r="AX310" s="86"/>
      <c r="CL310" s="99" t="n">
        <v>42696</v>
      </c>
      <c r="CM310" s="23" t="n">
        <f aca="false">$BA$68*CL310+$BA$70</f>
        <v>117.730669980301</v>
      </c>
    </row>
    <row r="311" customFormat="false" ht="15.75" hidden="false" customHeight="false" outlineLevel="0" collapsed="false">
      <c r="AE311" s="90" t="n">
        <f aca="false">Data!A306</f>
        <v>42527</v>
      </c>
      <c r="AF311" s="17" t="n">
        <f aca="false">Data!B306</f>
        <v>97.99</v>
      </c>
      <c r="AG311" s="17" t="n">
        <f aca="false">Data!F306</f>
        <v>23292504</v>
      </c>
      <c r="AH311" s="17" t="n">
        <f aca="false">Data!C306</f>
        <v>101.89</v>
      </c>
      <c r="AI311" s="17" t="n">
        <f aca="false">Data!D306</f>
        <v>97.55</v>
      </c>
      <c r="AJ311" s="17" t="n">
        <f aca="false">Data!E306</f>
        <v>98.63</v>
      </c>
      <c r="AK311" s="17" t="n">
        <f aca="false">Data!F306</f>
        <v>23292504</v>
      </c>
      <c r="AL311" s="17" t="n">
        <f aca="false">AJ311</f>
        <v>98.63</v>
      </c>
      <c r="AM311" s="17" t="n">
        <f aca="false">(AL311-AL310)/AL311*100</f>
        <v>-0.405556118827949</v>
      </c>
      <c r="AN311" s="17" t="n">
        <f aca="false">(AK311-AK310)/AK311*100</f>
        <v>3.79115100720816</v>
      </c>
      <c r="AO311" s="17" t="str">
        <f aca="false">IF(AN311&lt;-8,"FITS BITCH",IF(AN311&gt;-8,"no"))</f>
        <v>no</v>
      </c>
      <c r="AP311" s="17" t="str">
        <f aca="false">IF(AH312&lt;AH311,"FITS BITCH",IF(AH312&gt;AH311,"no"))</f>
        <v>FITS BITCH</v>
      </c>
      <c r="AQ311" s="17" t="str">
        <f aca="false">IF(AI312&lt;AI311,"FITS BITCH",IF(AI312&gt;AI311,"no"))</f>
        <v>FITS BITCH</v>
      </c>
      <c r="AR311" s="17" t="str">
        <f aca="false">IF(AJ311&lt;AH312,"FITS BITCH",IF(AJ311&gt;AH312,"no"))</f>
        <v>no</v>
      </c>
      <c r="AS311" s="17" t="str">
        <f aca="false">IF(AJ311&gt;AJ312,"FITS BITCH",IF(AJ311&lt;AJ312,"no"))</f>
        <v>FITS BITCH</v>
      </c>
      <c r="AT311" s="91" t="str">
        <f aca="false">IF(AND($AO311="FITS BITCH",$AP311="FITS BITCH",$AR311="FITS BITCH"),"BULLISH","")</f>
        <v/>
      </c>
      <c r="AU311" s="91" t="str">
        <f aca="false">IF(AND($AO311="FITS BITCH",$AQ311="FITS BITCH",$AS311="FITS BITCH"),"BEARISH","")</f>
        <v/>
      </c>
      <c r="AV311" s="86"/>
      <c r="AW311" s="86"/>
      <c r="AX311" s="86"/>
      <c r="CL311" s="99" t="n">
        <v>42695</v>
      </c>
      <c r="CM311" s="23" t="n">
        <f aca="false">$BA$68*CL311+$BA$70</f>
        <v>117.576551750059</v>
      </c>
    </row>
    <row r="312" customFormat="false" ht="15.75" hidden="false" customHeight="false" outlineLevel="0" collapsed="false">
      <c r="AE312" s="90" t="n">
        <f aca="false">Data!A307</f>
        <v>42524</v>
      </c>
      <c r="AF312" s="17" t="n">
        <f aca="false">Data!B307</f>
        <v>97.79</v>
      </c>
      <c r="AG312" s="17" t="n">
        <f aca="false">Data!F307</f>
        <v>28504888</v>
      </c>
      <c r="AH312" s="17" t="n">
        <f aca="false">Data!C307</f>
        <v>98.27</v>
      </c>
      <c r="AI312" s="17" t="n">
        <f aca="false">Data!D307</f>
        <v>97.45</v>
      </c>
      <c r="AJ312" s="17" t="n">
        <f aca="false">Data!E307</f>
        <v>97.92</v>
      </c>
      <c r="AK312" s="17" t="n">
        <f aca="false">Data!F307</f>
        <v>28504888</v>
      </c>
      <c r="AL312" s="17" t="n">
        <f aca="false">AJ312</f>
        <v>97.92</v>
      </c>
      <c r="AM312" s="17" t="n">
        <f aca="false">(AL312-AL311)/AL312*100</f>
        <v>-0.725081699346399</v>
      </c>
      <c r="AN312" s="17" t="n">
        <f aca="false">(AK312-AK311)/AK312*100</f>
        <v>18.2859304691883</v>
      </c>
      <c r="AO312" s="17" t="str">
        <f aca="false">IF(AN312&lt;-8,"FITS BITCH",IF(AN312&gt;-8,"no"))</f>
        <v>no</v>
      </c>
      <c r="AP312" s="17" t="str">
        <f aca="false">IF(AH313&lt;AH312,"FITS BITCH",IF(AH313&gt;AH312,"no"))</f>
        <v>FITS BITCH</v>
      </c>
      <c r="AQ312" s="17" t="str">
        <f aca="false">IF(AI313&lt;AI312,"FITS BITCH",IF(AI313&gt;AI312,"no"))</f>
        <v>FITS BITCH</v>
      </c>
      <c r="AR312" s="17" t="str">
        <f aca="false">IF(AJ312&lt;AH313,"FITS BITCH",IF(AJ312&gt;AH313,"no"))</f>
        <v>no</v>
      </c>
      <c r="AS312" s="17" t="str">
        <f aca="false">IF(AJ312&gt;AJ313,"FITS BITCH",IF(AJ312&lt;AJ313,"no"))</f>
        <v>FITS BITCH</v>
      </c>
      <c r="AT312" s="91" t="str">
        <f aca="false">IF(AND($AO312="FITS BITCH",$AP312="FITS BITCH",$AR312="FITS BITCH"),"BULLISH","")</f>
        <v/>
      </c>
      <c r="AU312" s="91" t="str">
        <f aca="false">IF(AND($AO312="FITS BITCH",$AQ312="FITS BITCH",$AS312="FITS BITCH"),"BEARISH","")</f>
        <v/>
      </c>
      <c r="AV312" s="86"/>
      <c r="AW312" s="86"/>
      <c r="AX312" s="86"/>
      <c r="CL312" s="99" t="n">
        <v>42692</v>
      </c>
      <c r="CM312" s="23" t="n">
        <f aca="false">$BA$68*CL312+$BA$70</f>
        <v>117.11419705933</v>
      </c>
    </row>
    <row r="313" customFormat="false" ht="15.75" hidden="false" customHeight="false" outlineLevel="0" collapsed="false">
      <c r="AE313" s="90" t="n">
        <f aca="false">Data!A308</f>
        <v>42523</v>
      </c>
      <c r="AF313" s="17" t="n">
        <f aca="false">Data!B308</f>
        <v>97.6</v>
      </c>
      <c r="AG313" s="17" t="n">
        <f aca="false">Data!F308</f>
        <v>40191600</v>
      </c>
      <c r="AH313" s="17" t="n">
        <f aca="false">Data!C308</f>
        <v>97.84</v>
      </c>
      <c r="AI313" s="17" t="n">
        <f aca="false">Data!D308</f>
        <v>96.63</v>
      </c>
      <c r="AJ313" s="17" t="n">
        <f aca="false">Data!E308</f>
        <v>97.72</v>
      </c>
      <c r="AK313" s="17" t="n">
        <f aca="false">Data!F308</f>
        <v>40191600</v>
      </c>
      <c r="AL313" s="17" t="n">
        <f aca="false">AJ313</f>
        <v>97.72</v>
      </c>
      <c r="AM313" s="17" t="n">
        <f aca="false">(AL313-AL312)/AL313*100</f>
        <v>-0.204666393778144</v>
      </c>
      <c r="AN313" s="17" t="n">
        <f aca="false">(AK313-AK312)/AK313*100</f>
        <v>29.0774987808398</v>
      </c>
      <c r="AO313" s="17" t="str">
        <f aca="false">IF(AN313&lt;-8,"FITS BITCH",IF(AN313&gt;-8,"no"))</f>
        <v>no</v>
      </c>
      <c r="AP313" s="17" t="str">
        <f aca="false">IF(AH314&lt;AH313,"FITS BITCH",IF(AH314&gt;AH313,"no"))</f>
        <v>no</v>
      </c>
      <c r="AQ313" s="17" t="str">
        <f aca="false">IF(AI314&lt;AI313,"FITS BITCH",IF(AI314&gt;AI313,"no"))</f>
        <v>no</v>
      </c>
      <c r="AR313" s="17" t="str">
        <f aca="false">IF(AJ313&lt;AH314,"FITS BITCH",IF(AJ313&gt;AH314,"no"))</f>
        <v>FITS BITCH</v>
      </c>
      <c r="AS313" s="17" t="str">
        <f aca="false">IF(AJ313&gt;AJ314,"FITS BITCH",IF(AJ313&lt;AJ314,"no"))</f>
        <v>no</v>
      </c>
      <c r="AT313" s="91" t="str">
        <f aca="false">IF(AND($AO313="FITS BITCH",$AP313="FITS BITCH",$AR313="FITS BITCH"),"BULLISH","")</f>
        <v/>
      </c>
      <c r="AU313" s="91" t="str">
        <f aca="false">IF(AND($AO313="FITS BITCH",$AQ313="FITS BITCH",$AS313="FITS BITCH"),"BEARISH","")</f>
        <v/>
      </c>
      <c r="AV313" s="86"/>
      <c r="AW313" s="86"/>
      <c r="AX313" s="86"/>
      <c r="CL313" s="99" t="n">
        <v>42691</v>
      </c>
      <c r="CM313" s="23" t="n">
        <f aca="false">$BA$68*CL313+$BA$70</f>
        <v>116.960078829087</v>
      </c>
    </row>
    <row r="314" customFormat="false" ht="15.75" hidden="false" customHeight="false" outlineLevel="0" collapsed="false">
      <c r="AE314" s="90" t="n">
        <f aca="false">Data!A309</f>
        <v>42522</v>
      </c>
      <c r="AF314" s="17" t="n">
        <f aca="false">Data!B309</f>
        <v>99.02</v>
      </c>
      <c r="AG314" s="17" t="n">
        <f aca="false">Data!F309</f>
        <v>29173285</v>
      </c>
      <c r="AH314" s="17" t="n">
        <f aca="false">Data!C309</f>
        <v>99.54</v>
      </c>
      <c r="AI314" s="17" t="n">
        <f aca="false">Data!D309</f>
        <v>98.33</v>
      </c>
      <c r="AJ314" s="17" t="n">
        <f aca="false">Data!E309</f>
        <v>98.46</v>
      </c>
      <c r="AK314" s="17" t="n">
        <f aca="false">Data!F309</f>
        <v>29173285</v>
      </c>
      <c r="AL314" s="17" t="n">
        <f aca="false">AJ314</f>
        <v>98.46</v>
      </c>
      <c r="AM314" s="17" t="n">
        <f aca="false">(AL314-AL313)/AL314*100</f>
        <v>0.751574243347547</v>
      </c>
      <c r="AN314" s="17" t="n">
        <f aca="false">(AK314-AK313)/AK314*100</f>
        <v>-37.7685097855795</v>
      </c>
      <c r="AO314" s="17" t="str">
        <f aca="false">IF(AN314&lt;-8,"FITS BITCH",IF(AN314&gt;-8,"no"))</f>
        <v>FITS BITCH</v>
      </c>
      <c r="AP314" s="17" t="str">
        <f aca="false">IF(AH315&lt;AH314,"FITS BITCH",IF(AH315&gt;AH314,"no"))</f>
        <v>no</v>
      </c>
      <c r="AQ314" s="17" t="str">
        <f aca="false">IF(AI315&lt;AI314,"FITS BITCH",IF(AI315&gt;AI314,"no"))</f>
        <v>no</v>
      </c>
      <c r="AR314" s="17" t="str">
        <f aca="false">IF(AJ314&lt;AH315,"FITS BITCH",IF(AJ314&gt;AH315,"no"))</f>
        <v>FITS BITCH</v>
      </c>
      <c r="AS314" s="17" t="str">
        <f aca="false">IF(AJ314&gt;AJ315,"FITS BITCH",IF(AJ314&lt;AJ315,"no"))</f>
        <v>no</v>
      </c>
      <c r="AT314" s="91" t="str">
        <f aca="false">IF(AND($AO314="FITS BITCH",$AP314="FITS BITCH",$AR314="FITS BITCH"),"BULLISH","")</f>
        <v/>
      </c>
      <c r="AU314" s="91" t="str">
        <f aca="false">IF(AND($AO314="FITS BITCH",$AQ314="FITS BITCH",$AS314="FITS BITCH"),"BEARISH","")</f>
        <v/>
      </c>
      <c r="AV314" s="86"/>
      <c r="AW314" s="86"/>
      <c r="AX314" s="86"/>
      <c r="CL314" s="99" t="n">
        <v>42690</v>
      </c>
      <c r="CM314" s="23" t="n">
        <f aca="false">$BA$68*CL314+$BA$70</f>
        <v>116.805960598845</v>
      </c>
    </row>
    <row r="315" customFormat="false" ht="15.75" hidden="false" customHeight="false" outlineLevel="0" collapsed="false">
      <c r="AE315" s="90" t="n">
        <f aca="false">Data!A310</f>
        <v>42521</v>
      </c>
      <c r="AF315" s="17" t="n">
        <f aca="false">Data!B310</f>
        <v>99.6</v>
      </c>
      <c r="AG315" s="17" t="n">
        <f aca="false">Data!F310</f>
        <v>42307212</v>
      </c>
      <c r="AH315" s="17" t="n">
        <f aca="false">Data!C310</f>
        <v>100.4</v>
      </c>
      <c r="AI315" s="17" t="n">
        <f aca="false">Data!D310</f>
        <v>98.82</v>
      </c>
      <c r="AJ315" s="17" t="n">
        <f aca="false">Data!E310</f>
        <v>99.86</v>
      </c>
      <c r="AK315" s="17" t="n">
        <f aca="false">Data!F310</f>
        <v>42307212</v>
      </c>
      <c r="AL315" s="17" t="n">
        <f aca="false">AJ315</f>
        <v>99.86</v>
      </c>
      <c r="AM315" s="17" t="n">
        <f aca="false">(AL315-AL314)/AL315*100</f>
        <v>1.40196274784699</v>
      </c>
      <c r="AN315" s="17" t="n">
        <f aca="false">(AK315-AK314)/AK315*100</f>
        <v>31.0441798906532</v>
      </c>
      <c r="AO315" s="17" t="str">
        <f aca="false">IF(AN315&lt;-8,"FITS BITCH",IF(AN315&gt;-8,"no"))</f>
        <v>no</v>
      </c>
      <c r="AP315" s="17" t="str">
        <f aca="false">IF(AH316&lt;AH315,"FITS BITCH",IF(AH316&gt;AH315,"no"))</f>
        <v>no</v>
      </c>
      <c r="AQ315" s="17" t="str">
        <f aca="false">IF(AI316&lt;AI315,"FITS BITCH",IF(AI316&gt;AI315,"no"))</f>
        <v>no</v>
      </c>
      <c r="AR315" s="17" t="str">
        <f aca="false">IF(AJ315&lt;AH316,"FITS BITCH",IF(AJ315&gt;AH316,"no"))</f>
        <v>FITS BITCH</v>
      </c>
      <c r="AS315" s="17" t="str">
        <f aca="false">IF(AJ315&gt;AJ316,"FITS BITCH",IF(AJ315&lt;AJ316,"no"))</f>
        <v>no</v>
      </c>
      <c r="AT315" s="91" t="str">
        <f aca="false">IF(AND($AO315="FITS BITCH",$AP315="FITS BITCH",$AR315="FITS BITCH"),"BULLISH","")</f>
        <v/>
      </c>
      <c r="AU315" s="91" t="str">
        <f aca="false">IF(AND($AO315="FITS BITCH",$AQ315="FITS BITCH",$AS315="FITS BITCH"),"BEARISH","")</f>
        <v/>
      </c>
      <c r="AV315" s="86"/>
      <c r="AW315" s="86"/>
      <c r="AX315" s="86"/>
      <c r="CL315" s="99" t="n">
        <v>42689</v>
      </c>
      <c r="CM315" s="23" t="n">
        <f aca="false">$BA$68*CL315+$BA$70</f>
        <v>116.651842368602</v>
      </c>
    </row>
    <row r="316" customFormat="false" ht="15.75" hidden="false" customHeight="false" outlineLevel="0" collapsed="false">
      <c r="AE316" s="90" t="n">
        <f aca="false">Data!A311</f>
        <v>42517</v>
      </c>
      <c r="AF316" s="17" t="n">
        <f aca="false">Data!B311</f>
        <v>99.44</v>
      </c>
      <c r="AG316" s="17" t="n">
        <f aca="false">Data!F311</f>
        <v>36229530</v>
      </c>
      <c r="AH316" s="17" t="n">
        <f aca="false">Data!C311</f>
        <v>100.47</v>
      </c>
      <c r="AI316" s="17" t="n">
        <f aca="false">Data!D311</f>
        <v>99.24</v>
      </c>
      <c r="AJ316" s="17" t="n">
        <f aca="false">Data!E311</f>
        <v>100.35</v>
      </c>
      <c r="AK316" s="17" t="n">
        <f aca="false">Data!F311</f>
        <v>36229530</v>
      </c>
      <c r="AL316" s="17" t="n">
        <f aca="false">AJ316</f>
        <v>100.35</v>
      </c>
      <c r="AM316" s="17" t="n">
        <f aca="false">(AL316-AL315)/AL316*100</f>
        <v>0.488290981564519</v>
      </c>
      <c r="AN316" s="17" t="n">
        <f aca="false">(AK316-AK315)/AK316*100</f>
        <v>-16.7754922572829</v>
      </c>
      <c r="AO316" s="17" t="str">
        <f aca="false">IF(AN316&lt;-8,"FITS BITCH",IF(AN316&gt;-8,"no"))</f>
        <v>FITS BITCH</v>
      </c>
      <c r="AP316" s="17" t="str">
        <f aca="false">IF(AH317&lt;AH316,"FITS BITCH",IF(AH317&gt;AH316,"no"))</f>
        <v>no</v>
      </c>
      <c r="AQ316" s="17" t="str">
        <f aca="false">IF(AI317&lt;AI316,"FITS BITCH",IF(AI317&gt;AI316,"no"))</f>
        <v>FITS BITCH</v>
      </c>
      <c r="AR316" s="17" t="str">
        <f aca="false">IF(AJ316&lt;AH317,"FITS BITCH",IF(AJ316&gt;AH317,"no"))</f>
        <v>FITS BITCH</v>
      </c>
      <c r="AS316" s="17" t="str">
        <f aca="false">IF(AJ316&gt;AJ317,"FITS BITCH",IF(AJ316&lt;AJ317,"no"))</f>
        <v>no</v>
      </c>
      <c r="AT316" s="91" t="str">
        <f aca="false">IF(AND($AO316="FITS BITCH",$AP316="FITS BITCH",$AR316="FITS BITCH"),"BULLISH","")</f>
        <v/>
      </c>
      <c r="AU316" s="91" t="str">
        <f aca="false">IF(AND($AO316="FITS BITCH",$AQ316="FITS BITCH",$AS316="FITS BITCH"),"BEARISH","")</f>
        <v/>
      </c>
      <c r="AV316" s="86"/>
      <c r="AW316" s="86"/>
      <c r="AX316" s="86"/>
      <c r="CL316" s="99" t="n">
        <v>42688</v>
      </c>
      <c r="CM316" s="23" t="n">
        <f aca="false">$BA$68*CL316+$BA$70</f>
        <v>116.497724138359</v>
      </c>
    </row>
    <row r="317" customFormat="false" ht="15.75" hidden="false" customHeight="false" outlineLevel="0" collapsed="false">
      <c r="AE317" s="90" t="n">
        <f aca="false">Data!A312</f>
        <v>42516</v>
      </c>
      <c r="AF317" s="17" t="n">
        <f aca="false">Data!B312</f>
        <v>99.68</v>
      </c>
      <c r="AG317" s="17" t="n">
        <f aca="false">Data!F312</f>
        <v>56093437</v>
      </c>
      <c r="AH317" s="17" t="n">
        <f aca="false">Data!C312</f>
        <v>100.73</v>
      </c>
      <c r="AI317" s="17" t="n">
        <f aca="false">Data!D312</f>
        <v>98.64</v>
      </c>
      <c r="AJ317" s="17" t="n">
        <f aca="false">Data!E312</f>
        <v>100.41</v>
      </c>
      <c r="AK317" s="17" t="n">
        <f aca="false">Data!F312</f>
        <v>56093437</v>
      </c>
      <c r="AL317" s="17" t="n">
        <f aca="false">AJ317</f>
        <v>100.41</v>
      </c>
      <c r="AM317" s="17" t="n">
        <f aca="false">(AL317-AL316)/AL317*100</f>
        <v>0.0597550044816276</v>
      </c>
      <c r="AN317" s="17" t="n">
        <f aca="false">(AK317-AK316)/AK317*100</f>
        <v>35.4121766508977</v>
      </c>
      <c r="AO317" s="17" t="str">
        <f aca="false">IF(AN317&lt;-8,"FITS BITCH",IF(AN317&gt;-8,"no"))</f>
        <v>no</v>
      </c>
      <c r="AP317" s="17" t="str">
        <f aca="false">IF(AH318&lt;AH317,"FITS BITCH",IF(AH318&gt;AH317,"no"))</f>
        <v>FITS BITCH</v>
      </c>
      <c r="AQ317" s="17" t="str">
        <f aca="false">IF(AI318&lt;AI317,"FITS BITCH",IF(AI318&gt;AI317,"no"))</f>
        <v>FITS BITCH</v>
      </c>
      <c r="AR317" s="17" t="str">
        <f aca="false">IF(AJ317&lt;AH318,"FITS BITCH",IF(AJ317&gt;AH318,"no"))</f>
        <v>no</v>
      </c>
      <c r="AS317" s="17" t="str">
        <f aca="false">IF(AJ317&gt;AJ318,"FITS BITCH",IF(AJ317&lt;AJ318,"no"))</f>
        <v>FITS BITCH</v>
      </c>
      <c r="AT317" s="91" t="str">
        <f aca="false">IF(AND($AO317="FITS BITCH",$AP317="FITS BITCH",$AR317="FITS BITCH"),"BULLISH","")</f>
        <v/>
      </c>
      <c r="AU317" s="91" t="str">
        <f aca="false">IF(AND($AO317="FITS BITCH",$AQ317="FITS BITCH",$AS317="FITS BITCH"),"BEARISH","")</f>
        <v/>
      </c>
      <c r="AV317" s="86"/>
      <c r="AW317" s="86"/>
      <c r="AX317" s="86"/>
      <c r="CL317" s="99" t="n">
        <v>42685</v>
      </c>
      <c r="CM317" s="23" t="n">
        <f aca="false">$BA$68*CL317+$BA$70</f>
        <v>116.035369447632</v>
      </c>
    </row>
    <row r="318" customFormat="false" ht="15.75" hidden="false" customHeight="false" outlineLevel="0" collapsed="false">
      <c r="AE318" s="90" t="n">
        <f aca="false">Data!A313</f>
        <v>42515</v>
      </c>
      <c r="AF318" s="17" t="n">
        <f aca="false">Data!B313</f>
        <v>98.67</v>
      </c>
      <c r="AG318" s="17" t="n">
        <f aca="false">Data!F313</f>
        <v>38168760</v>
      </c>
      <c r="AH318" s="17" t="n">
        <f aca="false">Data!C313</f>
        <v>99.74</v>
      </c>
      <c r="AI318" s="17" t="n">
        <f aca="false">Data!D313</f>
        <v>98.11</v>
      </c>
      <c r="AJ318" s="17" t="n">
        <f aca="false">Data!E313</f>
        <v>99.62</v>
      </c>
      <c r="AK318" s="17" t="n">
        <f aca="false">Data!F313</f>
        <v>38168760</v>
      </c>
      <c r="AL318" s="17" t="n">
        <f aca="false">AJ318</f>
        <v>99.62</v>
      </c>
      <c r="AM318" s="17" t="n">
        <f aca="false">(AL318-AL317)/AL318*100</f>
        <v>-0.793013451114226</v>
      </c>
      <c r="AN318" s="17" t="n">
        <f aca="false">(AK318-AK317)/AK318*100</f>
        <v>-46.961643501125</v>
      </c>
      <c r="AO318" s="17" t="str">
        <f aca="false">IF(AN318&lt;-8,"FITS BITCH",IF(AN318&gt;-8,"no"))</f>
        <v>FITS BITCH</v>
      </c>
      <c r="AP318" s="17" t="str">
        <f aca="false">IF(AH319&lt;AH318,"FITS BITCH",IF(AH319&gt;AH318,"no"))</f>
        <v>FITS BITCH</v>
      </c>
      <c r="AQ318" s="17" t="str">
        <f aca="false">IF(AI319&lt;AI318,"FITS BITCH",IF(AI319&gt;AI318,"no"))</f>
        <v>FITS BITCH</v>
      </c>
      <c r="AR318" s="17" t="str">
        <f aca="false">IF(AJ318&lt;AH319,"FITS BITCH",IF(AJ318&gt;AH319,"no"))</f>
        <v>no</v>
      </c>
      <c r="AS318" s="17" t="str">
        <f aca="false">IF(AJ318&gt;AJ319,"FITS BITCH",IF(AJ318&lt;AJ319,"no"))</f>
        <v>FITS BITCH</v>
      </c>
      <c r="AT318" s="91" t="str">
        <f aca="false">IF(AND($AO318="FITS BITCH",$AP318="FITS BITCH",$AR318="FITS BITCH"),"BULLISH","")</f>
        <v/>
      </c>
      <c r="AU318" s="91" t="str">
        <f aca="false">IF(AND($AO318="FITS BITCH",$AQ318="FITS BITCH",$AS318="FITS BITCH"),"BEARISH","")</f>
        <v>BEARISH</v>
      </c>
      <c r="AV318" s="86"/>
      <c r="AW318" s="86"/>
      <c r="AX318" s="86"/>
      <c r="CL318" s="99" t="n">
        <v>42684</v>
      </c>
      <c r="CM318" s="23" t="n">
        <f aca="false">$BA$68*CL318+$BA$70</f>
        <v>115.881251217389</v>
      </c>
    </row>
    <row r="319" customFormat="false" ht="15.75" hidden="false" customHeight="false" outlineLevel="0" collapsed="false">
      <c r="AE319" s="90" t="n">
        <f aca="false">Data!A314</f>
        <v>42514</v>
      </c>
      <c r="AF319" s="17" t="n">
        <f aca="false">Data!B314</f>
        <v>97.22</v>
      </c>
      <c r="AG319" s="17" t="n">
        <f aca="false">Data!F314</f>
        <v>35036561</v>
      </c>
      <c r="AH319" s="17" t="n">
        <f aca="false">Data!C314</f>
        <v>98.09</v>
      </c>
      <c r="AI319" s="17" t="n">
        <f aca="false">Data!D314</f>
        <v>96.84</v>
      </c>
      <c r="AJ319" s="17" t="n">
        <f aca="false">Data!E314</f>
        <v>97.9</v>
      </c>
      <c r="AK319" s="17" t="n">
        <f aca="false">Data!F314</f>
        <v>35036561</v>
      </c>
      <c r="AL319" s="17" t="n">
        <f aca="false">AJ319</f>
        <v>97.9</v>
      </c>
      <c r="AM319" s="17" t="n">
        <f aca="false">(AL319-AL318)/AL319*100</f>
        <v>-1.75689479060265</v>
      </c>
      <c r="AN319" s="17" t="n">
        <f aca="false">(AK319-AK318)/AK319*100</f>
        <v>-8.93980148337047</v>
      </c>
      <c r="AO319" s="17" t="str">
        <f aca="false">IF(AN319&lt;-8,"FITS BITCH",IF(AN319&gt;-8,"no"))</f>
        <v>FITS BITCH</v>
      </c>
      <c r="AP319" s="17" t="str">
        <f aca="false">IF(AH320&lt;AH319,"FITS BITCH",IF(AH320&gt;AH319,"no"))</f>
        <v>FITS BITCH</v>
      </c>
      <c r="AQ319" s="17" t="str">
        <f aca="false">IF(AI320&lt;AI319,"FITS BITCH",IF(AI320&gt;AI319,"no"))</f>
        <v>FITS BITCH</v>
      </c>
      <c r="AR319" s="17" t="str">
        <f aca="false">IF(AJ319&lt;AH320,"FITS BITCH",IF(AJ319&gt;AH320,"no"))</f>
        <v>no</v>
      </c>
      <c r="AS319" s="17" t="str">
        <f aca="false">IF(AJ319&gt;AJ320,"FITS BITCH",IF(AJ319&lt;AJ320,"no"))</f>
        <v>FITS BITCH</v>
      </c>
      <c r="AT319" s="91" t="str">
        <f aca="false">IF(AND($AO319="FITS BITCH",$AP319="FITS BITCH",$AR319="FITS BITCH"),"BULLISH","")</f>
        <v/>
      </c>
      <c r="AU319" s="91" t="str">
        <f aca="false">IF(AND($AO319="FITS BITCH",$AQ319="FITS BITCH",$AS319="FITS BITCH"),"BEARISH","")</f>
        <v>BEARISH</v>
      </c>
      <c r="AV319" s="86"/>
      <c r="AW319" s="86"/>
      <c r="AX319" s="86"/>
      <c r="CL319" s="99" t="n">
        <v>42683</v>
      </c>
      <c r="CM319" s="23" t="n">
        <f aca="false">$BA$68*CL319+$BA$70</f>
        <v>115.727132987146</v>
      </c>
    </row>
    <row r="320" customFormat="false" ht="15.75" hidden="false" customHeight="false" outlineLevel="0" collapsed="false">
      <c r="AE320" s="90" t="n">
        <f aca="false">Data!A315</f>
        <v>42513</v>
      </c>
      <c r="AF320" s="17" t="n">
        <f aca="false">Data!B315</f>
        <v>95.87</v>
      </c>
      <c r="AG320" s="17" t="n">
        <f aca="false">Data!F315</f>
        <v>37860535</v>
      </c>
      <c r="AH320" s="17" t="n">
        <f aca="false">Data!C315</f>
        <v>97.19</v>
      </c>
      <c r="AI320" s="17" t="n">
        <f aca="false">Data!D315</f>
        <v>95.67</v>
      </c>
      <c r="AJ320" s="17" t="n">
        <f aca="false">Data!E315</f>
        <v>96.43</v>
      </c>
      <c r="AK320" s="17" t="n">
        <f aca="false">Data!F315</f>
        <v>37860535</v>
      </c>
      <c r="AL320" s="17" t="n">
        <f aca="false">AJ320</f>
        <v>96.43</v>
      </c>
      <c r="AM320" s="17" t="n">
        <f aca="false">(AL320-AL319)/AL320*100</f>
        <v>-1.52442186041688</v>
      </c>
      <c r="AN320" s="17" t="n">
        <f aca="false">(AK320-AK319)/AK320*100</f>
        <v>7.45888561796604</v>
      </c>
      <c r="AO320" s="17" t="str">
        <f aca="false">IF(AN320&lt;-8,"FITS BITCH",IF(AN320&gt;-8,"no"))</f>
        <v>no</v>
      </c>
      <c r="AP320" s="17" t="str">
        <f aca="false">IF(AH321&lt;AH320,"FITS BITCH",IF(AH321&gt;AH320,"no"))</f>
        <v>FITS BITCH</v>
      </c>
      <c r="AQ320" s="17" t="str">
        <f aca="false">IF(AI321&lt;AI320,"FITS BITCH",IF(AI321&gt;AI320,"no"))</f>
        <v>FITS BITCH</v>
      </c>
      <c r="AR320" s="17" t="str">
        <f aca="false">IF(AJ320&lt;AH321,"FITS BITCH",IF(AJ320&gt;AH321,"no"))</f>
        <v>no</v>
      </c>
      <c r="AS320" s="17" t="str">
        <f aca="false">IF(AJ320&gt;AJ321,"FITS BITCH",IF(AJ320&lt;AJ321,"no"))</f>
        <v>FITS BITCH</v>
      </c>
      <c r="AT320" s="91" t="str">
        <f aca="false">IF(AND($AO320="FITS BITCH",$AP320="FITS BITCH",$AR320="FITS BITCH"),"BULLISH","")</f>
        <v/>
      </c>
      <c r="AU320" s="91" t="str">
        <f aca="false">IF(AND($AO320="FITS BITCH",$AQ320="FITS BITCH",$AS320="FITS BITCH"),"BEARISH","")</f>
        <v/>
      </c>
      <c r="AV320" s="86"/>
      <c r="AW320" s="86"/>
      <c r="AX320" s="86"/>
      <c r="CL320" s="99" t="n">
        <v>42682</v>
      </c>
      <c r="CM320" s="23" t="n">
        <f aca="false">$BA$68*CL320+$BA$70</f>
        <v>115.573014756903</v>
      </c>
    </row>
    <row r="321" customFormat="false" ht="15.75" hidden="false" customHeight="false" outlineLevel="0" collapsed="false">
      <c r="AE321" s="90" t="n">
        <f aca="false">Data!A316</f>
        <v>42510</v>
      </c>
      <c r="AF321" s="17" t="n">
        <f aca="false">Data!B316</f>
        <v>94.64</v>
      </c>
      <c r="AG321" s="17" t="n">
        <f aca="false">Data!F316</f>
        <v>31804564</v>
      </c>
      <c r="AH321" s="17" t="n">
        <f aca="false">Data!C316</f>
        <v>95.43</v>
      </c>
      <c r="AI321" s="17" t="n">
        <f aca="false">Data!D316</f>
        <v>94.52</v>
      </c>
      <c r="AJ321" s="17" t="n">
        <f aca="false">Data!E316</f>
        <v>95.22</v>
      </c>
      <c r="AK321" s="17" t="n">
        <f aca="false">Data!F316</f>
        <v>31804564</v>
      </c>
      <c r="AL321" s="17" t="n">
        <f aca="false">AJ321</f>
        <v>95.22</v>
      </c>
      <c r="AM321" s="17" t="n">
        <f aca="false">(AL321-AL320)/AL321*100</f>
        <v>-1.27074144087377</v>
      </c>
      <c r="AN321" s="17" t="n">
        <f aca="false">(AK321-AK320)/AK321*100</f>
        <v>-19.041201130756</v>
      </c>
      <c r="AO321" s="17" t="str">
        <f aca="false">IF(AN321&lt;-8,"FITS BITCH",IF(AN321&gt;-8,"no"))</f>
        <v>FITS BITCH</v>
      </c>
      <c r="AP321" s="17" t="str">
        <f aca="false">IF(AH322&lt;AH321,"FITS BITCH",IF(AH322&gt;AH321,"no"))</f>
        <v>FITS BITCH</v>
      </c>
      <c r="AQ321" s="17" t="str">
        <f aca="false">IF(AI322&lt;AI321,"FITS BITCH",IF(AI322&gt;AI321,"no"))</f>
        <v>FITS BITCH</v>
      </c>
      <c r="AR321" s="17" t="str">
        <f aca="false">IF(AJ321&lt;AH322,"FITS BITCH",IF(AJ321&gt;AH322,"no"))</f>
        <v>no</v>
      </c>
      <c r="AS321" s="17" t="str">
        <f aca="false">IF(AJ321&gt;AJ322,"FITS BITCH",IF(AJ321&lt;AJ322,"no"))</f>
        <v>FITS BITCH</v>
      </c>
      <c r="AT321" s="91" t="str">
        <f aca="false">IF(AND($AO321="FITS BITCH",$AP321="FITS BITCH",$AR321="FITS BITCH"),"BULLISH","")</f>
        <v/>
      </c>
      <c r="AU321" s="91" t="str">
        <f aca="false">IF(AND($AO321="FITS BITCH",$AQ321="FITS BITCH",$AS321="FITS BITCH"),"BEARISH","")</f>
        <v>BEARISH</v>
      </c>
      <c r="AV321" s="86"/>
      <c r="AW321" s="86"/>
      <c r="AX321" s="86"/>
      <c r="CL321" s="99" t="n">
        <v>42681</v>
      </c>
      <c r="CM321" s="23" t="n">
        <f aca="false">$BA$68*CL321+$BA$70</f>
        <v>115.41889652666</v>
      </c>
    </row>
    <row r="322" customFormat="false" ht="15.75" hidden="false" customHeight="false" outlineLevel="0" collapsed="false">
      <c r="AE322" s="90" t="n">
        <f aca="false">Data!A317</f>
        <v>42509</v>
      </c>
      <c r="AF322" s="17" t="n">
        <f aca="false">Data!B317</f>
        <v>94.64</v>
      </c>
      <c r="AG322" s="17" t="n">
        <f aca="false">Data!F317</f>
        <v>29693945</v>
      </c>
      <c r="AH322" s="17" t="n">
        <f aca="false">Data!C317</f>
        <v>94.64</v>
      </c>
      <c r="AI322" s="17" t="n">
        <f aca="false">Data!D317</f>
        <v>93.57</v>
      </c>
      <c r="AJ322" s="17" t="n">
        <f aca="false">Data!E317</f>
        <v>94.2</v>
      </c>
      <c r="AK322" s="17" t="n">
        <f aca="false">Data!F317</f>
        <v>29693945</v>
      </c>
      <c r="AL322" s="17" t="n">
        <f aca="false">AJ322</f>
        <v>94.2</v>
      </c>
      <c r="AM322" s="17" t="n">
        <f aca="false">(AL322-AL321)/AL322*100</f>
        <v>-1.0828025477707</v>
      </c>
      <c r="AN322" s="17" t="n">
        <f aca="false">(AK322-AK321)/AK322*100</f>
        <v>-7.10791038374995</v>
      </c>
      <c r="AO322" s="17" t="str">
        <f aca="false">IF(AN322&lt;-8,"FITS BITCH",IF(AN322&gt;-8,"no"))</f>
        <v>no</v>
      </c>
      <c r="AP322" s="17" t="str">
        <f aca="false">IF(AH323&lt;AH322,"FITS BITCH",IF(AH323&gt;AH322,"no"))</f>
        <v>no</v>
      </c>
      <c r="AQ322" s="17" t="str">
        <f aca="false">IF(AI323&lt;AI322,"FITS BITCH",IF(AI323&gt;AI322,"no"))</f>
        <v>no</v>
      </c>
      <c r="AR322" s="17" t="str">
        <f aca="false">IF(AJ322&lt;AH323,"FITS BITCH",IF(AJ322&gt;AH323,"no"))</f>
        <v>FITS BITCH</v>
      </c>
      <c r="AS322" s="17" t="str">
        <f aca="false">IF(AJ322&gt;AJ323,"FITS BITCH",IF(AJ322&lt;AJ323,"no"))</f>
        <v>no</v>
      </c>
      <c r="AT322" s="91" t="str">
        <f aca="false">IF(AND($AO322="FITS BITCH",$AP322="FITS BITCH",$AR322="FITS BITCH"),"BULLISH","")</f>
        <v/>
      </c>
      <c r="AU322" s="91" t="str">
        <f aca="false">IF(AND($AO322="FITS BITCH",$AQ322="FITS BITCH",$AS322="FITS BITCH"),"BEARISH","")</f>
        <v/>
      </c>
      <c r="AV322" s="86"/>
      <c r="AW322" s="86"/>
      <c r="AX322" s="86"/>
      <c r="CL322" s="99" t="n">
        <v>42678</v>
      </c>
      <c r="CM322" s="23" t="n">
        <f aca="false">$BA$68*CL322+$BA$70</f>
        <v>114.956541835933</v>
      </c>
    </row>
    <row r="323" customFormat="false" ht="15.75" hidden="false" customHeight="false" outlineLevel="0" collapsed="false">
      <c r="AE323" s="90" t="n">
        <f aca="false">Data!A318</f>
        <v>42508</v>
      </c>
      <c r="AF323" s="17" t="n">
        <f aca="false">Data!B318</f>
        <v>94.16</v>
      </c>
      <c r="AG323" s="17" t="n">
        <f aca="false">Data!F318</f>
        <v>41923114</v>
      </c>
      <c r="AH323" s="17" t="n">
        <f aca="false">Data!C318</f>
        <v>95.21</v>
      </c>
      <c r="AI323" s="17" t="n">
        <f aca="false">Data!D318</f>
        <v>93.89</v>
      </c>
      <c r="AJ323" s="17" t="n">
        <f aca="false">Data!E318</f>
        <v>94.56</v>
      </c>
      <c r="AK323" s="17" t="n">
        <f aca="false">Data!F318</f>
        <v>41923114</v>
      </c>
      <c r="AL323" s="17" t="n">
        <f aca="false">AJ323</f>
        <v>94.56</v>
      </c>
      <c r="AM323" s="17" t="n">
        <f aca="false">(AL323-AL322)/AL323*100</f>
        <v>0.380710659898477</v>
      </c>
      <c r="AN323" s="17" t="n">
        <f aca="false">(AK323-AK322)/AK323*100</f>
        <v>29.1704690639154</v>
      </c>
      <c r="AO323" s="17" t="str">
        <f aca="false">IF(AN323&lt;-8,"FITS BITCH",IF(AN323&gt;-8,"no"))</f>
        <v>no</v>
      </c>
      <c r="AP323" s="17" t="str">
        <f aca="false">IF(AH324&lt;AH323,"FITS BITCH",IF(AH324&gt;AH323,"no"))</f>
        <v>FITS BITCH</v>
      </c>
      <c r="AQ323" s="17" t="str">
        <f aca="false">IF(AI324&lt;AI323,"FITS BITCH",IF(AI324&gt;AI323,"no"))</f>
        <v>FITS BITCH</v>
      </c>
      <c r="AR323" s="17" t="str">
        <f aca="false">IF(AJ323&lt;AH324,"FITS BITCH",IF(AJ323&gt;AH324,"no"))</f>
        <v>FITS BITCH</v>
      </c>
      <c r="AS323" s="17" t="str">
        <f aca="false">IF(AJ323&gt;AJ324,"FITS BITCH",IF(AJ323&lt;AJ324,"no"))</f>
        <v>FITS BITCH</v>
      </c>
      <c r="AT323" s="91" t="str">
        <f aca="false">IF(AND($AO323="FITS BITCH",$AP323="FITS BITCH",$AR323="FITS BITCH"),"BULLISH","")</f>
        <v/>
      </c>
      <c r="AU323" s="91" t="str">
        <f aca="false">IF(AND($AO323="FITS BITCH",$AQ323="FITS BITCH",$AS323="FITS BITCH"),"BEARISH","")</f>
        <v/>
      </c>
      <c r="AV323" s="86"/>
      <c r="AW323" s="86"/>
      <c r="AX323" s="86"/>
      <c r="CL323" s="99" t="n">
        <v>42677</v>
      </c>
      <c r="CM323" s="23" t="n">
        <f aca="false">$BA$68*CL323+$BA$70</f>
        <v>114.80242360569</v>
      </c>
    </row>
    <row r="324" customFormat="false" ht="15.75" hidden="false" customHeight="false" outlineLevel="0" collapsed="false">
      <c r="AE324" s="90" t="n">
        <f aca="false">Data!A319</f>
        <v>42507</v>
      </c>
      <c r="AF324" s="17" t="n">
        <f aca="false">Data!B319</f>
        <v>94.55</v>
      </c>
      <c r="AG324" s="17" t="n">
        <f aca="false">Data!F319</f>
        <v>46507449</v>
      </c>
      <c r="AH324" s="17" t="n">
        <f aca="false">Data!C319</f>
        <v>94.7</v>
      </c>
      <c r="AI324" s="17" t="n">
        <f aca="false">Data!D319</f>
        <v>93.01</v>
      </c>
      <c r="AJ324" s="17" t="n">
        <f aca="false">Data!E319</f>
        <v>93.49</v>
      </c>
      <c r="AK324" s="17" t="n">
        <f aca="false">Data!F319</f>
        <v>46507449</v>
      </c>
      <c r="AL324" s="17" t="n">
        <f aca="false">AJ324</f>
        <v>93.49</v>
      </c>
      <c r="AM324" s="17" t="n">
        <f aca="false">(AL324-AL323)/AL324*100</f>
        <v>-1.14450743395016</v>
      </c>
      <c r="AN324" s="17" t="n">
        <f aca="false">(AK324-AK323)/AK324*100</f>
        <v>9.85720588544859</v>
      </c>
      <c r="AO324" s="17" t="str">
        <f aca="false">IF(AN324&lt;-8,"FITS BITCH",IF(AN324&gt;-8,"no"))</f>
        <v>no</v>
      </c>
      <c r="AP324" s="17" t="str">
        <f aca="false">IF(AH325&lt;AH324,"FITS BITCH",IF(AH325&gt;AH324,"no"))</f>
        <v>FITS BITCH</v>
      </c>
      <c r="AQ324" s="17" t="str">
        <f aca="false">IF(AI325&lt;AI324,"FITS BITCH",IF(AI325&gt;AI324,"no"))</f>
        <v>FITS BITCH</v>
      </c>
      <c r="AR324" s="17" t="str">
        <f aca="false">IF(AJ324&lt;AH325,"FITS BITCH",IF(AJ324&gt;AH325,"no"))</f>
        <v>FITS BITCH</v>
      </c>
      <c r="AS324" s="17" t="str">
        <f aca="false">IF(AJ324&gt;AJ325,"FITS BITCH",IF(AJ324&lt;AJ325,"no"))</f>
        <v>no</v>
      </c>
      <c r="AT324" s="91" t="str">
        <f aca="false">IF(AND($AO324="FITS BITCH",$AP324="FITS BITCH",$AR324="FITS BITCH"),"BULLISH","")</f>
        <v/>
      </c>
      <c r="AU324" s="91" t="str">
        <f aca="false">IF(AND($AO324="FITS BITCH",$AQ324="FITS BITCH",$AS324="FITS BITCH"),"BEARISH","")</f>
        <v/>
      </c>
      <c r="AV324" s="86"/>
      <c r="AW324" s="86"/>
      <c r="AX324" s="86"/>
      <c r="CL324" s="99" t="n">
        <v>42676</v>
      </c>
      <c r="CM324" s="23" t="n">
        <f aca="false">$BA$68*CL324+$BA$70</f>
        <v>114.648305375447</v>
      </c>
    </row>
    <row r="325" customFormat="false" ht="15.75" hidden="false" customHeight="false" outlineLevel="0" collapsed="false">
      <c r="AE325" s="90" t="n">
        <f aca="false">Data!A320</f>
        <v>42506</v>
      </c>
      <c r="AF325" s="17" t="n">
        <f aca="false">Data!B320</f>
        <v>92.39</v>
      </c>
      <c r="AG325" s="17" t="n">
        <f aca="false">Data!F320</f>
        <v>61140610</v>
      </c>
      <c r="AH325" s="17" t="n">
        <f aca="false">Data!C320</f>
        <v>94.39</v>
      </c>
      <c r="AI325" s="17" t="n">
        <f aca="false">Data!D320</f>
        <v>91.65</v>
      </c>
      <c r="AJ325" s="17" t="n">
        <f aca="false">Data!E320</f>
        <v>93.88</v>
      </c>
      <c r="AK325" s="17" t="n">
        <f aca="false">Data!F320</f>
        <v>61140610</v>
      </c>
      <c r="AL325" s="17" t="n">
        <f aca="false">AJ325</f>
        <v>93.88</v>
      </c>
      <c r="AM325" s="17" t="n">
        <f aca="false">(AL325-AL324)/AL325*100</f>
        <v>0.415423945462293</v>
      </c>
      <c r="AN325" s="17" t="n">
        <f aca="false">(AK325-AK324)/AK325*100</f>
        <v>23.9336195697099</v>
      </c>
      <c r="AO325" s="17" t="str">
        <f aca="false">IF(AN325&lt;-8,"FITS BITCH",IF(AN325&gt;-8,"no"))</f>
        <v>no</v>
      </c>
      <c r="AP325" s="17" t="str">
        <f aca="false">IF(AH326&lt;AH325,"FITS BITCH",IF(AH326&gt;AH325,"no"))</f>
        <v>FITS BITCH</v>
      </c>
      <c r="AQ325" s="17" t="str">
        <f aca="false">IF(AI326&lt;AI325,"FITS BITCH",IF(AI326&gt;AI325,"no"))</f>
        <v>FITS BITCH</v>
      </c>
      <c r="AR325" s="17" t="str">
        <f aca="false">IF(AJ325&lt;AH326,"FITS BITCH",IF(AJ325&gt;AH326,"no"))</f>
        <v>no</v>
      </c>
      <c r="AS325" s="17" t="str">
        <f aca="false">IF(AJ325&gt;AJ326,"FITS BITCH",IF(AJ325&lt;AJ326,"no"))</f>
        <v>FITS BITCH</v>
      </c>
      <c r="AT325" s="91" t="str">
        <f aca="false">IF(AND($AO325="FITS BITCH",$AP325="FITS BITCH",$AR325="FITS BITCH"),"BULLISH","")</f>
        <v/>
      </c>
      <c r="AU325" s="91" t="str">
        <f aca="false">IF(AND($AO325="FITS BITCH",$AQ325="FITS BITCH",$AS325="FITS BITCH"),"BEARISH","")</f>
        <v/>
      </c>
      <c r="AV325" s="86"/>
      <c r="AW325" s="86"/>
      <c r="AX325" s="86"/>
      <c r="CL325" s="99" t="n">
        <v>42675</v>
      </c>
      <c r="CM325" s="23" t="n">
        <f aca="false">$BA$68*CL325+$BA$70</f>
        <v>114.494187145205</v>
      </c>
    </row>
    <row r="326" customFormat="false" ht="15.75" hidden="false" customHeight="false" outlineLevel="0" collapsed="false">
      <c r="AE326" s="90" t="n">
        <f aca="false">Data!A321</f>
        <v>42503</v>
      </c>
      <c r="AF326" s="17" t="n">
        <f aca="false">Data!B321</f>
        <v>90</v>
      </c>
      <c r="AG326" s="17" t="n">
        <f aca="false">Data!F321</f>
        <v>44188153</v>
      </c>
      <c r="AH326" s="17" t="n">
        <f aca="false">Data!C321</f>
        <v>91.67</v>
      </c>
      <c r="AI326" s="17" t="n">
        <f aca="false">Data!D321</f>
        <v>90</v>
      </c>
      <c r="AJ326" s="17" t="n">
        <f aca="false">Data!E321</f>
        <v>90.52</v>
      </c>
      <c r="AK326" s="17" t="n">
        <f aca="false">Data!F321</f>
        <v>44188153</v>
      </c>
      <c r="AL326" s="17" t="n">
        <f aca="false">AJ326</f>
        <v>90.52</v>
      </c>
      <c r="AM326" s="17" t="n">
        <f aca="false">(AL326-AL325)/AL326*100</f>
        <v>-3.71188687582855</v>
      </c>
      <c r="AN326" s="17" t="n">
        <f aca="false">(AK326-AK325)/AK326*100</f>
        <v>-38.3642579494101</v>
      </c>
      <c r="AO326" s="17" t="str">
        <f aca="false">IF(AN326&lt;-8,"FITS BITCH",IF(AN326&gt;-8,"no"))</f>
        <v>FITS BITCH</v>
      </c>
      <c r="AP326" s="17" t="str">
        <f aca="false">IF(AH327&lt;AH326,"FITS BITCH",IF(AH327&gt;AH326,"no"))</f>
        <v>no</v>
      </c>
      <c r="AQ326" s="17" t="str">
        <f aca="false">IF(AI327&lt;AI326,"FITS BITCH",IF(AI327&gt;AI326,"no"))</f>
        <v>FITS BITCH</v>
      </c>
      <c r="AR326" s="17" t="str">
        <f aca="false">IF(AJ326&lt;AH327,"FITS BITCH",IF(AJ326&gt;AH327,"no"))</f>
        <v>FITS BITCH</v>
      </c>
      <c r="AS326" s="17" t="str">
        <f aca="false">IF(AJ326&gt;AJ327,"FITS BITCH",IF(AJ326&lt;AJ327,"no"))</f>
        <v>FITS BITCH</v>
      </c>
      <c r="AT326" s="91" t="str">
        <f aca="false">IF(AND($AO326="FITS BITCH",$AP326="FITS BITCH",$AR326="FITS BITCH"),"BULLISH","")</f>
        <v/>
      </c>
      <c r="AU326" s="91" t="str">
        <f aca="false">IF(AND($AO326="FITS BITCH",$AQ326="FITS BITCH",$AS326="FITS BITCH"),"BEARISH","")</f>
        <v>BEARISH</v>
      </c>
      <c r="AV326" s="86"/>
      <c r="AW326" s="86"/>
      <c r="AX326" s="86"/>
      <c r="CL326" s="99" t="n">
        <v>42674</v>
      </c>
      <c r="CM326" s="23" t="n">
        <f aca="false">$BA$68*CL326+$BA$70</f>
        <v>114.340068914962</v>
      </c>
    </row>
    <row r="327" customFormat="false" ht="15.75" hidden="false" customHeight="false" outlineLevel="0" collapsed="false">
      <c r="AE327" s="90" t="n">
        <f aca="false">Data!A322</f>
        <v>42502</v>
      </c>
      <c r="AF327" s="17" t="n">
        <f aca="false">Data!B322</f>
        <v>92.72</v>
      </c>
      <c r="AG327" s="17" t="n">
        <f aca="false">Data!F322</f>
        <v>76109795</v>
      </c>
      <c r="AH327" s="17" t="n">
        <f aca="false">Data!C322</f>
        <v>92.78</v>
      </c>
      <c r="AI327" s="17" t="n">
        <f aca="false">Data!D322</f>
        <v>89.47</v>
      </c>
      <c r="AJ327" s="17" t="n">
        <f aca="false">Data!E322</f>
        <v>90.34</v>
      </c>
      <c r="AK327" s="17" t="n">
        <f aca="false">Data!F322</f>
        <v>76109795</v>
      </c>
      <c r="AL327" s="17" t="n">
        <f aca="false">AJ327</f>
        <v>90.34</v>
      </c>
      <c r="AM327" s="17" t="n">
        <f aca="false">(AL327-AL326)/AL327*100</f>
        <v>-0.199247288023016</v>
      </c>
      <c r="AN327" s="17" t="n">
        <f aca="false">(AK327-AK326)/AK327*100</f>
        <v>41.941568756032</v>
      </c>
      <c r="AO327" s="17" t="str">
        <f aca="false">IF(AN327&lt;-8,"FITS BITCH",IF(AN327&gt;-8,"no"))</f>
        <v>no</v>
      </c>
      <c r="AP327" s="17" t="str">
        <f aca="false">IF(AH328&lt;AH327,"FITS BITCH",IF(AH328&gt;AH327,"no"))</f>
        <v>no</v>
      </c>
      <c r="AQ327" s="17" t="str">
        <f aca="false">IF(AI328&lt;AI327,"FITS BITCH",IF(AI328&gt;AI327,"no"))</f>
        <v>no</v>
      </c>
      <c r="AR327" s="17" t="str">
        <f aca="false">IF(AJ327&lt;AH328,"FITS BITCH",IF(AJ327&gt;AH328,"no"))</f>
        <v>FITS BITCH</v>
      </c>
      <c r="AS327" s="17" t="str">
        <f aca="false">IF(AJ327&gt;AJ328,"FITS BITCH",IF(AJ327&lt;AJ328,"no"))</f>
        <v>no</v>
      </c>
      <c r="AT327" s="91" t="str">
        <f aca="false">IF(AND($AO327="FITS BITCH",$AP327="FITS BITCH",$AR327="FITS BITCH"),"BULLISH","")</f>
        <v/>
      </c>
      <c r="AU327" s="91" t="str">
        <f aca="false">IF(AND($AO327="FITS BITCH",$AQ327="FITS BITCH",$AS327="FITS BITCH"),"BEARISH","")</f>
        <v/>
      </c>
      <c r="AV327" s="86"/>
      <c r="AW327" s="86"/>
      <c r="AX327" s="86"/>
      <c r="CL327" s="99" t="n">
        <v>42671</v>
      </c>
      <c r="CM327" s="23" t="n">
        <f aca="false">$BA$68*CL327+$BA$70</f>
        <v>113.877714224233</v>
      </c>
    </row>
    <row r="328" customFormat="false" ht="15.75" hidden="false" customHeight="false" outlineLevel="0" collapsed="false">
      <c r="AE328" s="90" t="n">
        <f aca="false">Data!A323</f>
        <v>42501</v>
      </c>
      <c r="AF328" s="17" t="n">
        <f aca="false">Data!B323</f>
        <v>93.48</v>
      </c>
      <c r="AG328" s="17" t="n">
        <f aca="false">Data!F323</f>
        <v>28539912</v>
      </c>
      <c r="AH328" s="17" t="n">
        <f aca="false">Data!C323</f>
        <v>93.57</v>
      </c>
      <c r="AI328" s="17" t="n">
        <f aca="false">Data!D323</f>
        <v>92.46</v>
      </c>
      <c r="AJ328" s="17" t="n">
        <f aca="false">Data!E323</f>
        <v>92.51</v>
      </c>
      <c r="AK328" s="17" t="n">
        <f aca="false">Data!F323</f>
        <v>28539912</v>
      </c>
      <c r="AL328" s="17" t="n">
        <f aca="false">AJ328</f>
        <v>92.51</v>
      </c>
      <c r="AM328" s="17" t="n">
        <f aca="false">(AL328-AL327)/AL328*100</f>
        <v>2.34569235758297</v>
      </c>
      <c r="AN328" s="17" t="n">
        <f aca="false">(AK328-AK327)/AK328*100</f>
        <v>-166.678450164808</v>
      </c>
      <c r="AO328" s="17" t="str">
        <f aca="false">IF(AN328&lt;-8,"FITS BITCH",IF(AN328&gt;-8,"no"))</f>
        <v>FITS BITCH</v>
      </c>
      <c r="AP328" s="17" t="n">
        <f aca="false">IF(AH329&lt;AH328,"FITS BITCH",IF(AH329&gt;AH328,"no"))</f>
        <v>0</v>
      </c>
      <c r="AQ328" s="17" t="str">
        <f aca="false">IF(AI329&lt;AI328,"FITS BITCH",IF(AI329&gt;AI328,"no"))</f>
        <v>FITS BITCH</v>
      </c>
      <c r="AR328" s="17" t="str">
        <f aca="false">IF(AJ328&lt;AH329,"FITS BITCH",IF(AJ328&gt;AH329,"no"))</f>
        <v>FITS BITCH</v>
      </c>
      <c r="AS328" s="17" t="str">
        <f aca="false">IF(AJ328&gt;AJ329,"FITS BITCH",IF(AJ328&lt;AJ329,"no"))</f>
        <v>no</v>
      </c>
      <c r="AT328" s="91" t="str">
        <f aca="false">IF(AND($AO328="FITS BITCH",$AP328="FITS BITCH",$AR328="FITS BITCH"),"BULLISH","")</f>
        <v/>
      </c>
      <c r="AU328" s="91" t="str">
        <f aca="false">IF(AND($AO328="FITS BITCH",$AQ328="FITS BITCH",$AS328="FITS BITCH"),"BEARISH","")</f>
        <v/>
      </c>
      <c r="AV328" s="86"/>
      <c r="AW328" s="86"/>
      <c r="AX328" s="86"/>
      <c r="CL328" s="99" t="n">
        <v>42670</v>
      </c>
      <c r="CM328" s="23" t="n">
        <f aca="false">$BA$68*CL328+$BA$70</f>
        <v>113.723595993991</v>
      </c>
    </row>
    <row r="329" customFormat="false" ht="15.75" hidden="false" customHeight="false" outlineLevel="0" collapsed="false">
      <c r="AE329" s="90" t="n">
        <f aca="false">Data!A324</f>
        <v>42500</v>
      </c>
      <c r="AF329" s="17" t="n">
        <f aca="false">Data!B324</f>
        <v>93.33</v>
      </c>
      <c r="AG329" s="17" t="n">
        <f aca="false">Data!F324</f>
        <v>33592465</v>
      </c>
      <c r="AH329" s="17" t="n">
        <f aca="false">Data!C324</f>
        <v>93.57</v>
      </c>
      <c r="AI329" s="17" t="n">
        <f aca="false">Data!D324</f>
        <v>92.11</v>
      </c>
      <c r="AJ329" s="17" t="n">
        <f aca="false">Data!E324</f>
        <v>93.42</v>
      </c>
      <c r="AK329" s="17" t="n">
        <f aca="false">Data!F324</f>
        <v>33592465</v>
      </c>
      <c r="AL329" s="17" t="n">
        <f aca="false">AJ329</f>
        <v>93.42</v>
      </c>
      <c r="AM329" s="17" t="n">
        <f aca="false">(AL329-AL328)/AL329*100</f>
        <v>0.974095482765999</v>
      </c>
      <c r="AN329" s="17" t="n">
        <f aca="false">(AK329-AK328)/AK329*100</f>
        <v>15.0407330929719</v>
      </c>
      <c r="AO329" s="17" t="str">
        <f aca="false">IF(AN329&lt;-8,"FITS BITCH",IF(AN329&gt;-8,"no"))</f>
        <v>no</v>
      </c>
      <c r="AP329" s="17" t="str">
        <f aca="false">IF(AH330&lt;AH329,"FITS BITCH",IF(AH330&gt;AH329,"no"))</f>
        <v>no</v>
      </c>
      <c r="AQ329" s="17" t="str">
        <f aca="false">IF(AI330&lt;AI329,"FITS BITCH",IF(AI330&gt;AI329,"no"))</f>
        <v>no</v>
      </c>
      <c r="AR329" s="17" t="str">
        <f aca="false">IF(AJ329&lt;AH330,"FITS BITCH",IF(AJ329&gt;AH330,"no"))</f>
        <v>FITS BITCH</v>
      </c>
      <c r="AS329" s="17" t="str">
        <f aca="false">IF(AJ329&gt;AJ330,"FITS BITCH",IF(AJ329&lt;AJ330,"no"))</f>
        <v>FITS BITCH</v>
      </c>
      <c r="AT329" s="91" t="str">
        <f aca="false">IF(AND($AO329="FITS BITCH",$AP329="FITS BITCH",$AR329="FITS BITCH"),"BULLISH","")</f>
        <v/>
      </c>
      <c r="AU329" s="91" t="str">
        <f aca="false">IF(AND($AO329="FITS BITCH",$AQ329="FITS BITCH",$AS329="FITS BITCH"),"BEARISH","")</f>
        <v/>
      </c>
      <c r="AV329" s="86"/>
      <c r="AW329" s="86"/>
      <c r="AX329" s="86"/>
      <c r="CL329" s="99" t="n">
        <v>42669</v>
      </c>
      <c r="CM329" s="23" t="n">
        <f aca="false">$BA$68*CL329+$BA$70</f>
        <v>113.569477763748</v>
      </c>
    </row>
    <row r="330" customFormat="false" ht="15.75" hidden="false" customHeight="false" outlineLevel="0" collapsed="false">
      <c r="AE330" s="90" t="n">
        <f aca="false">Data!A325</f>
        <v>42499</v>
      </c>
      <c r="AF330" s="17" t="n">
        <f aca="false">Data!B325</f>
        <v>93</v>
      </c>
      <c r="AG330" s="17" t="n">
        <f aca="false">Data!F325</f>
        <v>32855251</v>
      </c>
      <c r="AH330" s="17" t="n">
        <f aca="false">Data!C325</f>
        <v>93.77</v>
      </c>
      <c r="AI330" s="17" t="n">
        <f aca="false">Data!D325</f>
        <v>92.59</v>
      </c>
      <c r="AJ330" s="17" t="n">
        <f aca="false">Data!E325</f>
        <v>92.79</v>
      </c>
      <c r="AK330" s="17" t="n">
        <f aca="false">Data!F325</f>
        <v>32855251</v>
      </c>
      <c r="AL330" s="17" t="n">
        <f aca="false">AJ330</f>
        <v>92.79</v>
      </c>
      <c r="AM330" s="17" t="n">
        <f aca="false">(AL330-AL329)/AL330*100</f>
        <v>-0.678952473326862</v>
      </c>
      <c r="AN330" s="17" t="n">
        <f aca="false">(AK330-AK329)/AK330*100</f>
        <v>-2.24382397809105</v>
      </c>
      <c r="AO330" s="17" t="str">
        <f aca="false">IF(AN330&lt;-8,"FITS BITCH",IF(AN330&gt;-8,"no"))</f>
        <v>no</v>
      </c>
      <c r="AP330" s="17" t="str">
        <f aca="false">IF(AH331&lt;AH330,"FITS BITCH",IF(AH331&gt;AH330,"no"))</f>
        <v>FITS BITCH</v>
      </c>
      <c r="AQ330" s="17" t="str">
        <f aca="false">IF(AI331&lt;AI330,"FITS BITCH",IF(AI331&gt;AI330,"no"))</f>
        <v>FITS BITCH</v>
      </c>
      <c r="AR330" s="17" t="str">
        <f aca="false">IF(AJ330&lt;AH331,"FITS BITCH",IF(AJ330&gt;AH331,"no"))</f>
        <v>FITS BITCH</v>
      </c>
      <c r="AS330" s="17" t="str">
        <f aca="false">IF(AJ330&gt;AJ331,"FITS BITCH",IF(AJ330&lt;AJ331,"no"))</f>
        <v>FITS BITCH</v>
      </c>
      <c r="AT330" s="91" t="str">
        <f aca="false">IF(AND($AO330="FITS BITCH",$AP330="FITS BITCH",$AR330="FITS BITCH"),"BULLISH","")</f>
        <v/>
      </c>
      <c r="AU330" s="91" t="str">
        <f aca="false">IF(AND($AO330="FITS BITCH",$AQ330="FITS BITCH",$AS330="FITS BITCH"),"BEARISH","")</f>
        <v/>
      </c>
      <c r="AV330" s="86"/>
      <c r="AW330" s="86"/>
      <c r="AX330" s="86"/>
      <c r="CL330" s="99" t="n">
        <v>42668</v>
      </c>
      <c r="CM330" s="23" t="n">
        <f aca="false">$BA$68*CL330+$BA$70</f>
        <v>113.415359533506</v>
      </c>
    </row>
    <row r="331" customFormat="false" ht="15.75" hidden="false" customHeight="false" outlineLevel="0" collapsed="false">
      <c r="AE331" s="90" t="n">
        <f aca="false">Data!A326</f>
        <v>42496</v>
      </c>
      <c r="AF331" s="17" t="n">
        <f aca="false">Data!B326</f>
        <v>93.37</v>
      </c>
      <c r="AG331" s="17" t="n">
        <f aca="false">Data!F326</f>
        <v>43458189</v>
      </c>
      <c r="AH331" s="17" t="n">
        <f aca="false">Data!C326</f>
        <v>93.45</v>
      </c>
      <c r="AI331" s="17" t="n">
        <f aca="false">Data!D326</f>
        <v>91.85</v>
      </c>
      <c r="AJ331" s="17" t="n">
        <f aca="false">Data!E326</f>
        <v>92.72</v>
      </c>
      <c r="AK331" s="17" t="n">
        <f aca="false">Data!F326</f>
        <v>43458189</v>
      </c>
      <c r="AL331" s="17" t="n">
        <f aca="false">AJ331</f>
        <v>92.72</v>
      </c>
      <c r="AM331" s="17" t="n">
        <f aca="false">(AL331-AL330)/AL331*100</f>
        <v>-0.0754961173425446</v>
      </c>
      <c r="AN331" s="17" t="n">
        <f aca="false">(AK331-AK330)/AK331*100</f>
        <v>24.3980208195054</v>
      </c>
      <c r="AO331" s="17" t="str">
        <f aca="false">IF(AN331&lt;-8,"FITS BITCH",IF(AN331&gt;-8,"no"))</f>
        <v>no</v>
      </c>
      <c r="AP331" s="17" t="str">
        <f aca="false">IF(AH332&lt;AH331,"FITS BITCH",IF(AH332&gt;AH331,"no"))</f>
        <v>no</v>
      </c>
      <c r="AQ331" s="17" t="str">
        <f aca="false">IF(AI332&lt;AI331,"FITS BITCH",IF(AI332&gt;AI331,"no"))</f>
        <v>no</v>
      </c>
      <c r="AR331" s="17" t="str">
        <f aca="false">IF(AJ331&lt;AH332,"FITS BITCH",IF(AJ331&gt;AH332,"no"))</f>
        <v>FITS BITCH</v>
      </c>
      <c r="AS331" s="17" t="str">
        <f aca="false">IF(AJ331&gt;AJ332,"FITS BITCH",IF(AJ331&lt;AJ332,"no"))</f>
        <v>no</v>
      </c>
      <c r="AT331" s="91" t="str">
        <f aca="false">IF(AND($AO331="FITS BITCH",$AP331="FITS BITCH",$AR331="FITS BITCH"),"BULLISH","")</f>
        <v/>
      </c>
      <c r="AU331" s="91" t="str">
        <f aca="false">IF(AND($AO331="FITS BITCH",$AQ331="FITS BITCH",$AS331="FITS BITCH"),"BEARISH","")</f>
        <v/>
      </c>
      <c r="AV331" s="86"/>
      <c r="AW331" s="86"/>
      <c r="AX331" s="86"/>
      <c r="CL331" s="99" t="n">
        <v>42667</v>
      </c>
      <c r="CM331" s="23" t="n">
        <f aca="false">$BA$68*CL331+$BA$70</f>
        <v>113.261241303263</v>
      </c>
    </row>
    <row r="332" customFormat="false" ht="15.75" hidden="false" customHeight="false" outlineLevel="0" collapsed="false">
      <c r="AE332" s="90" t="n">
        <f aca="false">Data!A327</f>
        <v>42495</v>
      </c>
      <c r="AF332" s="17" t="n">
        <f aca="false">Data!B327</f>
        <v>94</v>
      </c>
      <c r="AG332" s="17" t="n">
        <f aca="false">Data!F327</f>
        <v>35763138</v>
      </c>
      <c r="AH332" s="17" t="n">
        <f aca="false">Data!C327</f>
        <v>94.07</v>
      </c>
      <c r="AI332" s="17" t="n">
        <f aca="false">Data!D327</f>
        <v>92.68</v>
      </c>
      <c r="AJ332" s="17" t="n">
        <f aca="false">Data!E327</f>
        <v>93.24</v>
      </c>
      <c r="AK332" s="17" t="n">
        <f aca="false">Data!F327</f>
        <v>35763138</v>
      </c>
      <c r="AL332" s="17" t="n">
        <f aca="false">AJ332</f>
        <v>93.24</v>
      </c>
      <c r="AM332" s="17" t="n">
        <f aca="false">(AL332-AL331)/AL332*100</f>
        <v>0.557700557700554</v>
      </c>
      <c r="AN332" s="17" t="n">
        <f aca="false">(AK332-AK331)/AK332*100</f>
        <v>-21.5167108658083</v>
      </c>
      <c r="AO332" s="17" t="str">
        <f aca="false">IF(AN332&lt;-8,"FITS BITCH",IF(AN332&gt;-8,"no"))</f>
        <v>FITS BITCH</v>
      </c>
      <c r="AP332" s="17" t="str">
        <f aca="false">IF(AH333&lt;AH332,"FITS BITCH",IF(AH333&gt;AH332,"no"))</f>
        <v>no</v>
      </c>
      <c r="AQ332" s="17" t="str">
        <f aca="false">IF(AI333&lt;AI332,"FITS BITCH",IF(AI333&gt;AI332,"no"))</f>
        <v>no</v>
      </c>
      <c r="AR332" s="17" t="str">
        <f aca="false">IF(AJ332&lt;AH333,"FITS BITCH",IF(AJ332&gt;AH333,"no"))</f>
        <v>FITS BITCH</v>
      </c>
      <c r="AS332" s="17" t="str">
        <f aca="false">IF(AJ332&gt;AJ333,"FITS BITCH",IF(AJ332&lt;AJ333,"no"))</f>
        <v>no</v>
      </c>
      <c r="AT332" s="91" t="str">
        <f aca="false">IF(AND($AO332="FITS BITCH",$AP332="FITS BITCH",$AR332="FITS BITCH"),"BULLISH","")</f>
        <v/>
      </c>
      <c r="AU332" s="91" t="str">
        <f aca="false">IF(AND($AO332="FITS BITCH",$AQ332="FITS BITCH",$AS332="FITS BITCH"),"BEARISH","")</f>
        <v/>
      </c>
      <c r="AV332" s="86"/>
      <c r="AW332" s="86"/>
      <c r="AX332" s="86"/>
      <c r="CL332" s="99" t="n">
        <v>42664</v>
      </c>
      <c r="CM332" s="23" t="n">
        <f aca="false">$BA$68*CL332+$BA$70</f>
        <v>112.798886612535</v>
      </c>
    </row>
    <row r="333" customFormat="false" ht="15.75" hidden="false" customHeight="false" outlineLevel="0" collapsed="false">
      <c r="AE333" s="90" t="n">
        <f aca="false">Data!A328</f>
        <v>42494</v>
      </c>
      <c r="AF333" s="17" t="n">
        <f aca="false">Data!B328</f>
        <v>95.2</v>
      </c>
      <c r="AG333" s="17" t="n">
        <f aca="false">Data!F328</f>
        <v>40824776</v>
      </c>
      <c r="AH333" s="17" t="n">
        <f aca="false">Data!C328</f>
        <v>95.9</v>
      </c>
      <c r="AI333" s="17" t="n">
        <f aca="false">Data!D328</f>
        <v>93.82</v>
      </c>
      <c r="AJ333" s="17" t="n">
        <f aca="false">Data!E328</f>
        <v>94.19</v>
      </c>
      <c r="AK333" s="17" t="n">
        <f aca="false">Data!F328</f>
        <v>40824776</v>
      </c>
      <c r="AL333" s="17" t="n">
        <f aca="false">AJ333</f>
        <v>94.19</v>
      </c>
      <c r="AM333" s="17" t="n">
        <f aca="false">(AL333-AL332)/AL333*100</f>
        <v>1.0085996390275</v>
      </c>
      <c r="AN333" s="17" t="n">
        <f aca="false">(AK333-AK332)/AK333*100</f>
        <v>12.3984464727988</v>
      </c>
      <c r="AO333" s="17" t="str">
        <f aca="false">IF(AN333&lt;-8,"FITS BITCH",IF(AN333&gt;-8,"no"))</f>
        <v>no</v>
      </c>
      <c r="AP333" s="17" t="str">
        <f aca="false">IF(AH334&lt;AH333,"FITS BITCH",IF(AH334&gt;AH333,"no"))</f>
        <v>FITS BITCH</v>
      </c>
      <c r="AQ333" s="17" t="str">
        <f aca="false">IF(AI334&lt;AI333,"FITS BITCH",IF(AI334&gt;AI333,"no"))</f>
        <v>FITS BITCH</v>
      </c>
      <c r="AR333" s="17" t="str">
        <f aca="false">IF(AJ333&lt;AH334,"FITS BITCH",IF(AJ333&gt;AH334,"no"))</f>
        <v>FITS BITCH</v>
      </c>
      <c r="AS333" s="17" t="str">
        <f aca="false">IF(AJ333&gt;AJ334,"FITS BITCH",IF(AJ333&lt;AJ334,"no"))</f>
        <v>no</v>
      </c>
      <c r="AT333" s="91" t="str">
        <f aca="false">IF(AND($AO333="FITS BITCH",$AP333="FITS BITCH",$AR333="FITS BITCH"),"BULLISH","")</f>
        <v/>
      </c>
      <c r="AU333" s="91" t="str">
        <f aca="false">IF(AND($AO333="FITS BITCH",$AQ333="FITS BITCH",$AS333="FITS BITCH"),"BEARISH","")</f>
        <v/>
      </c>
      <c r="AV333" s="86"/>
      <c r="AW333" s="86"/>
      <c r="AX333" s="86"/>
      <c r="CL333" s="99" t="n">
        <v>42663</v>
      </c>
      <c r="CM333" s="23" t="n">
        <f aca="false">$BA$68*CL333+$BA$70</f>
        <v>112.644768382293</v>
      </c>
    </row>
    <row r="334" customFormat="false" ht="15.75" hidden="false" customHeight="false" outlineLevel="0" collapsed="false">
      <c r="AE334" s="90" t="n">
        <f aca="false">Data!A329</f>
        <v>42493</v>
      </c>
      <c r="AF334" s="17" t="n">
        <f aca="false">Data!B329</f>
        <v>94.2</v>
      </c>
      <c r="AG334" s="17" t="n">
        <f aca="false">Data!F329</f>
        <v>56533960</v>
      </c>
      <c r="AH334" s="17" t="n">
        <f aca="false">Data!C329</f>
        <v>95.74</v>
      </c>
      <c r="AI334" s="17" t="n">
        <f aca="false">Data!D329</f>
        <v>93.68</v>
      </c>
      <c r="AJ334" s="17" t="n">
        <f aca="false">Data!E329</f>
        <v>95.18</v>
      </c>
      <c r="AK334" s="17" t="n">
        <f aca="false">Data!F329</f>
        <v>56533960</v>
      </c>
      <c r="AL334" s="17" t="n">
        <f aca="false">AJ334</f>
        <v>95.18</v>
      </c>
      <c r="AM334" s="17" t="n">
        <f aca="false">(AL334-AL333)/AL334*100</f>
        <v>1.04013448203405</v>
      </c>
      <c r="AN334" s="17" t="n">
        <f aca="false">(AK334-AK333)/AK334*100</f>
        <v>27.7871636800252</v>
      </c>
      <c r="AO334" s="17" t="str">
        <f aca="false">IF(AN334&lt;-8,"FITS BITCH",IF(AN334&gt;-8,"no"))</f>
        <v>no</v>
      </c>
      <c r="AP334" s="17" t="str">
        <f aca="false">IF(AH335&lt;AH334,"FITS BITCH",IF(AH335&gt;AH334,"no"))</f>
        <v>FITS BITCH</v>
      </c>
      <c r="AQ334" s="17" t="str">
        <f aca="false">IF(AI335&lt;AI334,"FITS BITCH",IF(AI335&gt;AI334,"no"))</f>
        <v>FITS BITCH</v>
      </c>
      <c r="AR334" s="17" t="str">
        <f aca="false">IF(AJ334&lt;AH335,"FITS BITCH",IF(AJ334&gt;AH335,"no"))</f>
        <v>no</v>
      </c>
      <c r="AS334" s="17" t="str">
        <f aca="false">IF(AJ334&gt;AJ335,"FITS BITCH",IF(AJ334&lt;AJ335,"no"))</f>
        <v>FITS BITCH</v>
      </c>
      <c r="AT334" s="91" t="str">
        <f aca="false">IF(AND($AO334="FITS BITCH",$AP334="FITS BITCH",$AR334="FITS BITCH"),"BULLISH","")</f>
        <v/>
      </c>
      <c r="AU334" s="91" t="str">
        <f aca="false">IF(AND($AO334="FITS BITCH",$AQ334="FITS BITCH",$AS334="FITS BITCH"),"BEARISH","")</f>
        <v/>
      </c>
      <c r="AV334" s="86"/>
      <c r="AW334" s="86"/>
      <c r="AX334" s="86"/>
      <c r="CL334" s="99" t="n">
        <v>42662</v>
      </c>
      <c r="CM334" s="23" t="n">
        <f aca="false">$BA$68*CL334+$BA$70</f>
        <v>112.49065015205</v>
      </c>
    </row>
    <row r="335" customFormat="false" ht="15.75" hidden="false" customHeight="false" outlineLevel="0" collapsed="false">
      <c r="AE335" s="90" t="n">
        <f aca="false">Data!A330</f>
        <v>42492</v>
      </c>
      <c r="AF335" s="17" t="n">
        <f aca="false">Data!B330</f>
        <v>93.96</v>
      </c>
      <c r="AG335" s="17" t="n">
        <f aca="false">Data!F330</f>
        <v>47736879</v>
      </c>
      <c r="AH335" s="17" t="n">
        <f aca="false">Data!C330</f>
        <v>94.08</v>
      </c>
      <c r="AI335" s="17" t="n">
        <f aca="false">Data!D330</f>
        <v>92.4</v>
      </c>
      <c r="AJ335" s="17" t="n">
        <f aca="false">Data!E330</f>
        <v>93.64</v>
      </c>
      <c r="AK335" s="17" t="n">
        <f aca="false">Data!F330</f>
        <v>47736879</v>
      </c>
      <c r="AL335" s="17" t="n">
        <f aca="false">AJ335</f>
        <v>93.64</v>
      </c>
      <c r="AM335" s="17" t="n">
        <f aca="false">(AL335-AL334)/AL335*100</f>
        <v>-1.64459632635626</v>
      </c>
      <c r="AN335" s="17" t="n">
        <f aca="false">(AK335-AK334)/AK335*100</f>
        <v>-18.4282701011937</v>
      </c>
      <c r="AO335" s="17" t="str">
        <f aca="false">IF(AN335&lt;-8,"FITS BITCH",IF(AN335&gt;-8,"no"))</f>
        <v>FITS BITCH</v>
      </c>
      <c r="AP335" s="17" t="str">
        <f aca="false">IF(AH336&lt;AH335,"FITS BITCH",IF(AH336&gt;AH335,"no"))</f>
        <v>no</v>
      </c>
      <c r="AQ335" s="17" t="str">
        <f aca="false">IF(AI336&lt;AI335,"FITS BITCH",IF(AI336&gt;AI335,"no"))</f>
        <v>no</v>
      </c>
      <c r="AR335" s="17" t="str">
        <f aca="false">IF(AJ335&lt;AH336,"FITS BITCH",IF(AJ335&gt;AH336,"no"))</f>
        <v>FITS BITCH</v>
      </c>
      <c r="AS335" s="17" t="str">
        <f aca="false">IF(AJ335&gt;AJ336,"FITS BITCH",IF(AJ335&lt;AJ336,"no"))</f>
        <v>no</v>
      </c>
      <c r="AT335" s="91" t="str">
        <f aca="false">IF(AND($AO335="FITS BITCH",$AP335="FITS BITCH",$AR335="FITS BITCH"),"BULLISH","")</f>
        <v/>
      </c>
      <c r="AU335" s="91" t="str">
        <f aca="false">IF(AND($AO335="FITS BITCH",$AQ335="FITS BITCH",$AS335="FITS BITCH"),"BEARISH","")</f>
        <v/>
      </c>
      <c r="AV335" s="86"/>
      <c r="AW335" s="86"/>
      <c r="AX335" s="86"/>
      <c r="CL335" s="99" t="n">
        <v>42661</v>
      </c>
      <c r="CM335" s="23" t="n">
        <f aca="false">$BA$68*CL335+$BA$70</f>
        <v>112.336531921806</v>
      </c>
    </row>
    <row r="336" customFormat="false" ht="15.75" hidden="false" customHeight="false" outlineLevel="0" collapsed="false">
      <c r="AE336" s="90" t="n">
        <f aca="false">Data!A331</f>
        <v>42489</v>
      </c>
      <c r="AF336" s="17" t="n">
        <f aca="false">Data!B331</f>
        <v>93.99</v>
      </c>
      <c r="AG336" s="17" t="n">
        <f aca="false">Data!F331</f>
        <v>68334434</v>
      </c>
      <c r="AH336" s="17" t="n">
        <f aca="false">Data!C331</f>
        <v>94.72</v>
      </c>
      <c r="AI336" s="17" t="n">
        <f aca="false">Data!D331</f>
        <v>92.51</v>
      </c>
      <c r="AJ336" s="17" t="n">
        <f aca="false">Data!E331</f>
        <v>93.74</v>
      </c>
      <c r="AK336" s="17" t="n">
        <f aca="false">Data!F331</f>
        <v>68334434</v>
      </c>
      <c r="AL336" s="17" t="n">
        <f aca="false">AJ336</f>
        <v>93.74</v>
      </c>
      <c r="AM336" s="17" t="n">
        <f aca="false">(AL336-AL335)/AL336*100</f>
        <v>0.106678045658197</v>
      </c>
      <c r="AN336" s="17" t="n">
        <f aca="false">(AK336-AK335)/AK336*100</f>
        <v>30.1422779034066</v>
      </c>
      <c r="AO336" s="17" t="str">
        <f aca="false">IF(AN336&lt;-8,"FITS BITCH",IF(AN336&gt;-8,"no"))</f>
        <v>no</v>
      </c>
      <c r="AP336" s="17" t="str">
        <f aca="false">IF(AH337&lt;AH336,"FITS BITCH",IF(AH337&gt;AH336,"no"))</f>
        <v>no</v>
      </c>
      <c r="AQ336" s="17" t="str">
        <f aca="false">IF(AI337&lt;AI336,"FITS BITCH",IF(AI337&gt;AI336,"no"))</f>
        <v>no</v>
      </c>
      <c r="AR336" s="17" t="str">
        <f aca="false">IF(AJ336&lt;AH337,"FITS BITCH",IF(AJ336&gt;AH337,"no"))</f>
        <v>FITS BITCH</v>
      </c>
      <c r="AS336" s="17" t="str">
        <f aca="false">IF(AJ336&gt;AJ337,"FITS BITCH",IF(AJ336&lt;AJ337,"no"))</f>
        <v>no</v>
      </c>
      <c r="AT336" s="91" t="str">
        <f aca="false">IF(AND($AO336="FITS BITCH",$AP336="FITS BITCH",$AR336="FITS BITCH"),"BULLISH","")</f>
        <v/>
      </c>
      <c r="AU336" s="91" t="str">
        <f aca="false">IF(AND($AO336="FITS BITCH",$AQ336="FITS BITCH",$AS336="FITS BITCH"),"BEARISH","")</f>
        <v/>
      </c>
      <c r="AV336" s="86"/>
      <c r="AW336" s="86"/>
      <c r="AX336" s="86"/>
      <c r="CL336" s="99" t="n">
        <v>42660</v>
      </c>
      <c r="CM336" s="23" t="n">
        <f aca="false">$BA$68*CL336+$BA$70</f>
        <v>112.182413691564</v>
      </c>
    </row>
    <row r="337" customFormat="false" ht="15.75" hidden="false" customHeight="false" outlineLevel="0" collapsed="false">
      <c r="AE337" s="90" t="n">
        <f aca="false">Data!A332</f>
        <v>42488</v>
      </c>
      <c r="AF337" s="17" t="n">
        <f aca="false">Data!B332</f>
        <v>97.61</v>
      </c>
      <c r="AG337" s="17" t="n">
        <f aca="false">Data!F332</f>
        <v>81990674</v>
      </c>
      <c r="AH337" s="17" t="n">
        <f aca="false">Data!C332</f>
        <v>97.88</v>
      </c>
      <c r="AI337" s="17" t="n">
        <f aca="false">Data!D332</f>
        <v>94.25</v>
      </c>
      <c r="AJ337" s="17" t="n">
        <f aca="false">Data!E332</f>
        <v>94.83</v>
      </c>
      <c r="AK337" s="17" t="n">
        <f aca="false">Data!F332</f>
        <v>81990674</v>
      </c>
      <c r="AL337" s="17" t="n">
        <f aca="false">AJ337</f>
        <v>94.83</v>
      </c>
      <c r="AM337" s="17" t="n">
        <f aca="false">(AL337-AL336)/AL337*100</f>
        <v>1.14942528735633</v>
      </c>
      <c r="AN337" s="17" t="n">
        <f aca="false">(AK337-AK336)/AK337*100</f>
        <v>16.6558455172597</v>
      </c>
      <c r="AO337" s="17" t="str">
        <f aca="false">IF(AN337&lt;-8,"FITS BITCH",IF(AN337&gt;-8,"no"))</f>
        <v>no</v>
      </c>
      <c r="AP337" s="17" t="str">
        <f aca="false">IF(AH338&lt;AH337,"FITS BITCH",IF(AH338&gt;AH337,"no"))</f>
        <v>no</v>
      </c>
      <c r="AQ337" s="17" t="str">
        <f aca="false">IF(AI338&lt;AI337,"FITS BITCH",IF(AI338&gt;AI337,"no"))</f>
        <v>no</v>
      </c>
      <c r="AR337" s="17" t="str">
        <f aca="false">IF(AJ337&lt;AH338,"FITS BITCH",IF(AJ337&gt;AH338,"no"))</f>
        <v>FITS BITCH</v>
      </c>
      <c r="AS337" s="17" t="str">
        <f aca="false">IF(AJ337&gt;AJ338,"FITS BITCH",IF(AJ337&lt;AJ338,"no"))</f>
        <v>no</v>
      </c>
      <c r="AT337" s="91" t="str">
        <f aca="false">IF(AND($AO337="FITS BITCH",$AP337="FITS BITCH",$AR337="FITS BITCH"),"BULLISH","")</f>
        <v/>
      </c>
      <c r="AU337" s="91" t="str">
        <f aca="false">IF(AND($AO337="FITS BITCH",$AQ337="FITS BITCH",$AS337="FITS BITCH"),"BEARISH","")</f>
        <v/>
      </c>
      <c r="AV337" s="86"/>
      <c r="AW337" s="86"/>
      <c r="AX337" s="86"/>
      <c r="CL337" s="99" t="n">
        <v>42657</v>
      </c>
      <c r="CM337" s="23" t="n">
        <f aca="false">$BA$68*CL337+$BA$70</f>
        <v>111.720059000836</v>
      </c>
    </row>
    <row r="338" customFormat="false" ht="15.75" hidden="false" customHeight="false" outlineLevel="0" collapsed="false">
      <c r="AE338" s="90" t="n">
        <f aca="false">Data!A333</f>
        <v>42487</v>
      </c>
      <c r="AF338" s="17" t="n">
        <f aca="false">Data!B333</f>
        <v>96</v>
      </c>
      <c r="AG338" s="17" t="n">
        <f aca="false">Data!F333</f>
        <v>113538389</v>
      </c>
      <c r="AH338" s="17" t="n">
        <f aca="false">Data!C333</f>
        <v>98.71</v>
      </c>
      <c r="AI338" s="17" t="n">
        <f aca="false">Data!D333</f>
        <v>95.68</v>
      </c>
      <c r="AJ338" s="17" t="n">
        <f aca="false">Data!E333</f>
        <v>97.82</v>
      </c>
      <c r="AK338" s="17" t="n">
        <f aca="false">Data!F333</f>
        <v>113538389</v>
      </c>
      <c r="AL338" s="17" t="n">
        <f aca="false">AJ338</f>
        <v>97.82</v>
      </c>
      <c r="AM338" s="17" t="n">
        <f aca="false">(AL338-AL337)/AL338*100</f>
        <v>3.05663463504395</v>
      </c>
      <c r="AN338" s="17" t="n">
        <f aca="false">(AK338-AK337)/AK338*100</f>
        <v>27.7859455976604</v>
      </c>
      <c r="AO338" s="17" t="str">
        <f aca="false">IF(AN338&lt;-8,"FITS BITCH",IF(AN338&gt;-8,"no"))</f>
        <v>no</v>
      </c>
      <c r="AP338" s="17" t="str">
        <f aca="false">IF(AH339&lt;AH338,"FITS BITCH",IF(AH339&gt;AH338,"no"))</f>
        <v>no</v>
      </c>
      <c r="AQ338" s="17" t="str">
        <f aca="false">IF(AI339&lt;AI338,"FITS BITCH",IF(AI339&gt;AI338,"no"))</f>
        <v>no</v>
      </c>
      <c r="AR338" s="17" t="str">
        <f aca="false">IF(AJ338&lt;AH339,"FITS BITCH",IF(AJ338&gt;AH339,"no"))</f>
        <v>FITS BITCH</v>
      </c>
      <c r="AS338" s="17" t="str">
        <f aca="false">IF(AJ338&gt;AJ339,"FITS BITCH",IF(AJ338&lt;AJ339,"no"))</f>
        <v>no</v>
      </c>
      <c r="AT338" s="91" t="str">
        <f aca="false">IF(AND($AO338="FITS BITCH",$AP338="FITS BITCH",$AR338="FITS BITCH"),"BULLISH","")</f>
        <v/>
      </c>
      <c r="AU338" s="91" t="str">
        <f aca="false">IF(AND($AO338="FITS BITCH",$AQ338="FITS BITCH",$AS338="FITS BITCH"),"BEARISH","")</f>
        <v/>
      </c>
      <c r="AV338" s="86"/>
      <c r="AW338" s="86"/>
      <c r="AX338" s="86"/>
      <c r="CL338" s="99" t="n">
        <v>42656</v>
      </c>
      <c r="CM338" s="23" t="n">
        <f aca="false">$BA$68*CL338+$BA$70</f>
        <v>111.565940770593</v>
      </c>
    </row>
    <row r="339" customFormat="false" ht="15.75" hidden="false" customHeight="false" outlineLevel="0" collapsed="false">
      <c r="AE339" s="90" t="n">
        <f aca="false">Data!A334</f>
        <v>42486</v>
      </c>
      <c r="AF339" s="17" t="n">
        <f aca="false">Data!B334</f>
        <v>103.91</v>
      </c>
      <c r="AG339" s="17" t="n">
        <f aca="false">Data!F334</f>
        <v>40338403</v>
      </c>
      <c r="AH339" s="17" t="n">
        <f aca="false">Data!C334</f>
        <v>105.3</v>
      </c>
      <c r="AI339" s="17" t="n">
        <f aca="false">Data!D334</f>
        <v>103.91</v>
      </c>
      <c r="AJ339" s="17" t="n">
        <f aca="false">Data!E334</f>
        <v>104.35</v>
      </c>
      <c r="AK339" s="17" t="n">
        <f aca="false">Data!F334</f>
        <v>40338403</v>
      </c>
      <c r="AL339" s="17" t="n">
        <f aca="false">AJ339</f>
        <v>104.35</v>
      </c>
      <c r="AM339" s="17" t="n">
        <f aca="false">(AL339-AL338)/AL339*100</f>
        <v>6.25778629611883</v>
      </c>
      <c r="AN339" s="17" t="n">
        <f aca="false">(AK339-AK338)/AK339*100</f>
        <v>-181.464759524565</v>
      </c>
      <c r="AO339" s="17" t="str">
        <f aca="false">IF(AN339&lt;-8,"FITS BITCH",IF(AN339&gt;-8,"no"))</f>
        <v>FITS BITCH</v>
      </c>
      <c r="AP339" s="17" t="str">
        <f aca="false">IF(AH340&lt;AH339,"FITS BITCH",IF(AH340&gt;AH339,"no"))</f>
        <v>no</v>
      </c>
      <c r="AQ339" s="17" t="str">
        <f aca="false">IF(AI340&lt;AI339,"FITS BITCH",IF(AI340&gt;AI339,"no"))</f>
        <v>no</v>
      </c>
      <c r="AR339" s="17" t="str">
        <f aca="false">IF(AJ339&lt;AH340,"FITS BITCH",IF(AJ339&gt;AH340,"no"))</f>
        <v>FITS BITCH</v>
      </c>
      <c r="AS339" s="17" t="str">
        <f aca="false">IF(AJ339&gt;AJ340,"FITS BITCH",IF(AJ339&lt;AJ340,"no"))</f>
        <v>no</v>
      </c>
      <c r="AT339" s="91" t="str">
        <f aca="false">IF(AND($AO339="FITS BITCH",$AP339="FITS BITCH",$AR339="FITS BITCH"),"BULLISH","")</f>
        <v/>
      </c>
      <c r="AU339" s="91" t="str">
        <f aca="false">IF(AND($AO339="FITS BITCH",$AQ339="FITS BITCH",$AS339="FITS BITCH"),"BEARISH","")</f>
        <v/>
      </c>
      <c r="AV339" s="86"/>
      <c r="AW339" s="86"/>
      <c r="AX339" s="86"/>
      <c r="CL339" s="99" t="n">
        <v>42655</v>
      </c>
      <c r="CM339" s="23" t="n">
        <f aca="false">$BA$68*CL339+$BA$70</f>
        <v>111.411822540351</v>
      </c>
    </row>
    <row r="340" customFormat="false" ht="15.75" hidden="false" customHeight="false" outlineLevel="0" collapsed="false">
      <c r="AE340" s="90" t="n">
        <f aca="false">Data!A335</f>
        <v>42485</v>
      </c>
      <c r="AF340" s="17" t="n">
        <f aca="false">Data!B335</f>
        <v>105</v>
      </c>
      <c r="AG340" s="17" t="n">
        <f aca="false">Data!F335</f>
        <v>27950966</v>
      </c>
      <c r="AH340" s="17" t="n">
        <f aca="false">Data!C335</f>
        <v>105.65</v>
      </c>
      <c r="AI340" s="17" t="n">
        <f aca="false">Data!D335</f>
        <v>104.51</v>
      </c>
      <c r="AJ340" s="17" t="n">
        <f aca="false">Data!E335</f>
        <v>105.08</v>
      </c>
      <c r="AK340" s="17" t="n">
        <f aca="false">Data!F335</f>
        <v>27950966</v>
      </c>
      <c r="AL340" s="17" t="n">
        <f aca="false">AJ340</f>
        <v>105.08</v>
      </c>
      <c r="AM340" s="17" t="n">
        <f aca="false">(AL340-AL339)/AL340*100</f>
        <v>0.694708793300346</v>
      </c>
      <c r="AN340" s="17" t="n">
        <f aca="false">(AK340-AK339)/AK340*100</f>
        <v>-44.3184575445443</v>
      </c>
      <c r="AO340" s="17" t="str">
        <f aca="false">IF(AN340&lt;-8,"FITS BITCH",IF(AN340&gt;-8,"no"))</f>
        <v>FITS BITCH</v>
      </c>
      <c r="AP340" s="17" t="str">
        <f aca="false">IF(AH341&lt;AH340,"FITS BITCH",IF(AH341&gt;AH340,"no"))</f>
        <v>no</v>
      </c>
      <c r="AQ340" s="17" t="str">
        <f aca="false">IF(AI341&lt;AI340,"FITS BITCH",IF(AI341&gt;AI340,"no"))</f>
        <v>no</v>
      </c>
      <c r="AR340" s="17" t="str">
        <f aca="false">IF(AJ340&lt;AH341,"FITS BITCH",IF(AJ340&gt;AH341,"no"))</f>
        <v>FITS BITCH</v>
      </c>
      <c r="AS340" s="17" t="str">
        <f aca="false">IF(AJ340&gt;AJ341,"FITS BITCH",IF(AJ340&lt;AJ341,"no"))</f>
        <v>no</v>
      </c>
      <c r="AT340" s="91" t="str">
        <f aca="false">IF(AND($AO340="FITS BITCH",$AP340="FITS BITCH",$AR340="FITS BITCH"),"BULLISH","")</f>
        <v/>
      </c>
      <c r="AU340" s="91" t="str">
        <f aca="false">IF(AND($AO340="FITS BITCH",$AQ340="FITS BITCH",$AS340="FITS BITCH"),"BEARISH","")</f>
        <v/>
      </c>
      <c r="AV340" s="86"/>
      <c r="AW340" s="86"/>
      <c r="AX340" s="86"/>
      <c r="CL340" s="99" t="n">
        <v>42654</v>
      </c>
      <c r="CM340" s="23" t="n">
        <f aca="false">$BA$68*CL340+$BA$70</f>
        <v>111.257704310108</v>
      </c>
    </row>
    <row r="341" customFormat="false" ht="15.75" hidden="false" customHeight="false" outlineLevel="0" collapsed="false">
      <c r="AE341" s="90" t="n">
        <f aca="false">Data!A336</f>
        <v>42482</v>
      </c>
      <c r="AF341" s="17" t="n">
        <f aca="false">Data!B336</f>
        <v>105.01</v>
      </c>
      <c r="AG341" s="17" t="n">
        <f aca="false">Data!F336</f>
        <v>33477142</v>
      </c>
      <c r="AH341" s="17" t="n">
        <f aca="false">Data!C336</f>
        <v>106.48</v>
      </c>
      <c r="AI341" s="17" t="n">
        <f aca="false">Data!D336</f>
        <v>104.62</v>
      </c>
      <c r="AJ341" s="17" t="n">
        <f aca="false">Data!E336</f>
        <v>105.68</v>
      </c>
      <c r="AK341" s="17" t="n">
        <f aca="false">Data!F336</f>
        <v>33477142</v>
      </c>
      <c r="AL341" s="17" t="n">
        <f aca="false">AJ341</f>
        <v>105.68</v>
      </c>
      <c r="AM341" s="17" t="n">
        <f aca="false">(AL341-AL340)/AL341*100</f>
        <v>0.567751703255118</v>
      </c>
      <c r="AN341" s="17" t="n">
        <f aca="false">(AK341-AK340)/AK341*100</f>
        <v>16.5073111677215</v>
      </c>
      <c r="AO341" s="17" t="str">
        <f aca="false">IF(AN341&lt;-8,"FITS BITCH",IF(AN341&gt;-8,"no"))</f>
        <v>no</v>
      </c>
      <c r="AP341" s="17" t="str">
        <f aca="false">IF(AH342&lt;AH341,"FITS BITCH",IF(AH342&gt;AH341,"no"))</f>
        <v>no</v>
      </c>
      <c r="AQ341" s="17" t="str">
        <f aca="false">IF(AI342&lt;AI341,"FITS BITCH",IF(AI342&gt;AI341,"no"))</f>
        <v>no</v>
      </c>
      <c r="AR341" s="17" t="str">
        <f aca="false">IF(AJ341&lt;AH342,"FITS BITCH",IF(AJ341&gt;AH342,"no"))</f>
        <v>FITS BITCH</v>
      </c>
      <c r="AS341" s="17" t="str">
        <f aca="false">IF(AJ341&gt;AJ342,"FITS BITCH",IF(AJ341&lt;AJ342,"no"))</f>
        <v>no</v>
      </c>
      <c r="AT341" s="91" t="str">
        <f aca="false">IF(AND($AO341="FITS BITCH",$AP341="FITS BITCH",$AR341="FITS BITCH"),"BULLISH","")</f>
        <v/>
      </c>
      <c r="AU341" s="91" t="str">
        <f aca="false">IF(AND($AO341="FITS BITCH",$AQ341="FITS BITCH",$AS341="FITS BITCH"),"BEARISH","")</f>
        <v/>
      </c>
      <c r="AV341" s="86"/>
      <c r="AW341" s="86"/>
      <c r="AX341" s="86"/>
      <c r="CL341" s="99" t="n">
        <v>42653</v>
      </c>
      <c r="CM341" s="23" t="n">
        <f aca="false">$BA$68*CL341+$BA$70</f>
        <v>111.103586079866</v>
      </c>
    </row>
    <row r="342" customFormat="false" ht="15.75" hidden="false" customHeight="false" outlineLevel="0" collapsed="false">
      <c r="AE342" s="90" t="n">
        <f aca="false">Data!A337</f>
        <v>42481</v>
      </c>
      <c r="AF342" s="17" t="n">
        <f aca="false">Data!B337</f>
        <v>106.93</v>
      </c>
      <c r="AG342" s="17" t="n">
        <f aca="false">Data!F337</f>
        <v>31356434</v>
      </c>
      <c r="AH342" s="17" t="n">
        <f aca="false">Data!C337</f>
        <v>106.93</v>
      </c>
      <c r="AI342" s="17" t="n">
        <f aca="false">Data!D337</f>
        <v>105.52</v>
      </c>
      <c r="AJ342" s="17" t="n">
        <f aca="false">Data!E337</f>
        <v>105.97</v>
      </c>
      <c r="AK342" s="17" t="n">
        <f aca="false">Data!F337</f>
        <v>31356434</v>
      </c>
      <c r="AL342" s="17" t="n">
        <f aca="false">AJ342</f>
        <v>105.97</v>
      </c>
      <c r="AM342" s="17" t="n">
        <f aca="false">(AL342-AL341)/AL342*100</f>
        <v>0.273662357270918</v>
      </c>
      <c r="AN342" s="17" t="n">
        <f aca="false">(AK342-AK341)/AK342*100</f>
        <v>-6.76323079339953</v>
      </c>
      <c r="AO342" s="17" t="str">
        <f aca="false">IF(AN342&lt;-8,"FITS BITCH",IF(AN342&gt;-8,"no"))</f>
        <v>no</v>
      </c>
      <c r="AP342" s="17" t="str">
        <f aca="false">IF(AH343&lt;AH342,"FITS BITCH",IF(AH343&gt;AH342,"no"))</f>
        <v>no</v>
      </c>
      <c r="AQ342" s="17" t="str">
        <f aca="false">IF(AI343&lt;AI342,"FITS BITCH",IF(AI343&gt;AI342,"no"))</f>
        <v>no</v>
      </c>
      <c r="AR342" s="17" t="str">
        <f aca="false">IF(AJ342&lt;AH343,"FITS BITCH",IF(AJ342&gt;AH343,"no"))</f>
        <v>FITS BITCH</v>
      </c>
      <c r="AS342" s="17" t="str">
        <f aca="false">IF(AJ342&gt;AJ343,"FITS BITCH",IF(AJ342&lt;AJ343,"no"))</f>
        <v>no</v>
      </c>
      <c r="AT342" s="91" t="str">
        <f aca="false">IF(AND($AO342="FITS BITCH",$AP342="FITS BITCH",$AR342="FITS BITCH"),"BULLISH","")</f>
        <v/>
      </c>
      <c r="AU342" s="91" t="str">
        <f aca="false">IF(AND($AO342="FITS BITCH",$AQ342="FITS BITCH",$AS342="FITS BITCH"),"BEARISH","")</f>
        <v/>
      </c>
      <c r="AV342" s="86"/>
      <c r="AW342" s="86"/>
      <c r="AX342" s="86"/>
      <c r="CL342" s="99" t="n">
        <v>42650</v>
      </c>
      <c r="CM342" s="23" t="n">
        <f aca="false">$BA$68*CL342+$BA$70</f>
        <v>110.641231389137</v>
      </c>
    </row>
    <row r="343" customFormat="false" ht="15.75" hidden="false" customHeight="false" outlineLevel="0" collapsed="false">
      <c r="AE343" s="90" t="n">
        <f aca="false">Data!A338</f>
        <v>42480</v>
      </c>
      <c r="AF343" s="17" t="n">
        <f aca="false">Data!B338</f>
        <v>106.64</v>
      </c>
      <c r="AG343" s="17" t="n">
        <f aca="false">Data!F338</f>
        <v>28666865</v>
      </c>
      <c r="AH343" s="17" t="n">
        <f aca="false">Data!C338</f>
        <v>108.09</v>
      </c>
      <c r="AI343" s="17" t="n">
        <f aca="false">Data!D338</f>
        <v>106.06</v>
      </c>
      <c r="AJ343" s="17" t="n">
        <f aca="false">Data!E338</f>
        <v>107.13</v>
      </c>
      <c r="AK343" s="17" t="n">
        <f aca="false">Data!F338</f>
        <v>28666865</v>
      </c>
      <c r="AL343" s="17" t="n">
        <f aca="false">AJ343</f>
        <v>107.13</v>
      </c>
      <c r="AM343" s="17" t="n">
        <f aca="false">(AL343-AL342)/AL343*100</f>
        <v>1.08279660225893</v>
      </c>
      <c r="AN343" s="17" t="n">
        <f aca="false">(AK343-AK342)/AK343*100</f>
        <v>-9.38215253045633</v>
      </c>
      <c r="AO343" s="17" t="str">
        <f aca="false">IF(AN343&lt;-8,"FITS BITCH",IF(AN343&gt;-8,"no"))</f>
        <v>FITS BITCH</v>
      </c>
      <c r="AP343" s="17" t="str">
        <f aca="false">IF(AH344&lt;AH343,"FITS BITCH",IF(AH344&gt;AH343,"no"))</f>
        <v>FITS BITCH</v>
      </c>
      <c r="AQ343" s="17" t="str">
        <f aca="false">IF(AI344&lt;AI343,"FITS BITCH",IF(AI344&gt;AI343,"no"))</f>
        <v>no</v>
      </c>
      <c r="AR343" s="17" t="str">
        <f aca="false">IF(AJ343&lt;AH344,"FITS BITCH",IF(AJ343&gt;AH344,"no"))</f>
        <v>FITS BITCH</v>
      </c>
      <c r="AS343" s="17" t="str">
        <f aca="false">IF(AJ343&gt;AJ344,"FITS BITCH",IF(AJ343&lt;AJ344,"no"))</f>
        <v>FITS BITCH</v>
      </c>
      <c r="AT343" s="91" t="str">
        <f aca="false">IF(AND($AO343="FITS BITCH",$AP343="FITS BITCH",$AR343="FITS BITCH"),"BULLISH","")</f>
        <v>BULLISH</v>
      </c>
      <c r="AU343" s="91" t="str">
        <f aca="false">IF(AND($AO343="FITS BITCH",$AQ343="FITS BITCH",$AS343="FITS BITCH"),"BEARISH","")</f>
        <v/>
      </c>
      <c r="AV343" s="86"/>
      <c r="AW343" s="86"/>
      <c r="AX343" s="86"/>
      <c r="CL343" s="99" t="n">
        <v>42649</v>
      </c>
      <c r="CM343" s="23" t="n">
        <f aca="false">$BA$68*CL343+$BA$70</f>
        <v>110.487113158894</v>
      </c>
    </row>
    <row r="344" customFormat="false" ht="15.75" hidden="false" customHeight="false" outlineLevel="0" collapsed="false">
      <c r="AE344" s="90" t="n">
        <f aca="false">Data!A339</f>
        <v>42479</v>
      </c>
      <c r="AF344" s="17" t="n">
        <f aca="false">Data!B339</f>
        <v>107.88</v>
      </c>
      <c r="AG344" s="17" t="n">
        <f aca="false">Data!F339</f>
        <v>32292344</v>
      </c>
      <c r="AH344" s="17" t="n">
        <f aca="false">Data!C339</f>
        <v>108</v>
      </c>
      <c r="AI344" s="17" t="n">
        <f aca="false">Data!D339</f>
        <v>106.23</v>
      </c>
      <c r="AJ344" s="17" t="n">
        <f aca="false">Data!E339</f>
        <v>106.91</v>
      </c>
      <c r="AK344" s="17" t="n">
        <f aca="false">Data!F339</f>
        <v>32292344</v>
      </c>
      <c r="AL344" s="17" t="n">
        <f aca="false">AJ344</f>
        <v>106.91</v>
      </c>
      <c r="AM344" s="17" t="n">
        <f aca="false">(AL344-AL343)/AL344*100</f>
        <v>-0.205780563090449</v>
      </c>
      <c r="AN344" s="17" t="n">
        <f aca="false">(AK344-AK343)/AK344*100</f>
        <v>11.2270543135549</v>
      </c>
      <c r="AO344" s="17" t="str">
        <f aca="false">IF(AN344&lt;-8,"FITS BITCH",IF(AN344&gt;-8,"no"))</f>
        <v>no</v>
      </c>
      <c r="AP344" s="17" t="str">
        <f aca="false">IF(AH345&lt;AH344,"FITS BITCH",IF(AH345&gt;AH344,"no"))</f>
        <v>no</v>
      </c>
      <c r="AQ344" s="17" t="str">
        <f aca="false">IF(AI345&lt;AI344,"FITS BITCH",IF(AI345&gt;AI344,"no"))</f>
        <v>no</v>
      </c>
      <c r="AR344" s="17" t="str">
        <f aca="false">IF(AJ344&lt;AH345,"FITS BITCH",IF(AJ344&gt;AH345,"no"))</f>
        <v>FITS BITCH</v>
      </c>
      <c r="AS344" s="17" t="str">
        <f aca="false">IF(AJ344&gt;AJ345,"FITS BITCH",IF(AJ344&lt;AJ345,"no"))</f>
        <v>no</v>
      </c>
      <c r="AT344" s="91" t="str">
        <f aca="false">IF(AND($AO344="FITS BITCH",$AP344="FITS BITCH",$AR344="FITS BITCH"),"BULLISH","")</f>
        <v/>
      </c>
      <c r="AU344" s="91" t="str">
        <f aca="false">IF(AND($AO344="FITS BITCH",$AQ344="FITS BITCH",$AS344="FITS BITCH"),"BEARISH","")</f>
        <v/>
      </c>
      <c r="AV344" s="86"/>
      <c r="AW344" s="86"/>
      <c r="AX344" s="86"/>
      <c r="CL344" s="99" t="n">
        <v>42648</v>
      </c>
      <c r="CM344" s="23" t="n">
        <f aca="false">$BA$68*CL344+$BA$70</f>
        <v>110.332994928652</v>
      </c>
    </row>
    <row r="345" customFormat="false" ht="15.75" hidden="false" customHeight="false" outlineLevel="0" collapsed="false">
      <c r="AE345" s="90" t="n">
        <f aca="false">Data!A340</f>
        <v>42478</v>
      </c>
      <c r="AF345" s="17" t="n">
        <f aca="false">Data!B340</f>
        <v>108.89</v>
      </c>
      <c r="AG345" s="17" t="n">
        <f aca="false">Data!F340</f>
        <v>60834027</v>
      </c>
      <c r="AH345" s="17" t="n">
        <f aca="false">Data!C340</f>
        <v>108.95</v>
      </c>
      <c r="AI345" s="17" t="n">
        <f aca="false">Data!D340</f>
        <v>106.94</v>
      </c>
      <c r="AJ345" s="17" t="n">
        <f aca="false">Data!E340</f>
        <v>107.48</v>
      </c>
      <c r="AK345" s="17" t="n">
        <f aca="false">Data!F340</f>
        <v>60834027</v>
      </c>
      <c r="AL345" s="17" t="n">
        <f aca="false">AJ345</f>
        <v>107.48</v>
      </c>
      <c r="AM345" s="17" t="n">
        <f aca="false">(AL345-AL344)/AL345*100</f>
        <v>0.530331224413851</v>
      </c>
      <c r="AN345" s="17" t="n">
        <f aca="false">(AK345-AK344)/AK345*100</f>
        <v>46.9173000827317</v>
      </c>
      <c r="AO345" s="17" t="str">
        <f aca="false">IF(AN345&lt;-8,"FITS BITCH",IF(AN345&gt;-8,"no"))</f>
        <v>no</v>
      </c>
      <c r="AP345" s="17" t="str">
        <f aca="false">IF(AH346&lt;AH345,"FITS BITCH",IF(AH346&gt;AH345,"no"))</f>
        <v>no</v>
      </c>
      <c r="AQ345" s="17" t="str">
        <f aca="false">IF(AI346&lt;AI345,"FITS BITCH",IF(AI346&gt;AI345,"no"))</f>
        <v>no</v>
      </c>
      <c r="AR345" s="17" t="str">
        <f aca="false">IF(AJ345&lt;AH346,"FITS BITCH",IF(AJ345&gt;AH346,"no"))</f>
        <v>FITS BITCH</v>
      </c>
      <c r="AS345" s="17" t="str">
        <f aca="false">IF(AJ345&gt;AJ346,"FITS BITCH",IF(AJ345&lt;AJ346,"no"))</f>
        <v>no</v>
      </c>
      <c r="AT345" s="91" t="str">
        <f aca="false">IF(AND($AO345="FITS BITCH",$AP345="FITS BITCH",$AR345="FITS BITCH"),"BULLISH","")</f>
        <v/>
      </c>
      <c r="AU345" s="91" t="str">
        <f aca="false">IF(AND($AO345="FITS BITCH",$AQ345="FITS BITCH",$AS345="FITS BITCH"),"BEARISH","")</f>
        <v/>
      </c>
      <c r="AV345" s="86"/>
      <c r="AW345" s="86"/>
      <c r="AX345" s="86"/>
      <c r="CL345" s="99" t="n">
        <v>42647</v>
      </c>
      <c r="CM345" s="23" t="n">
        <f aca="false">$BA$68*CL345+$BA$70</f>
        <v>110.178876698409</v>
      </c>
    </row>
    <row r="346" customFormat="false" ht="15.75" hidden="false" customHeight="false" outlineLevel="0" collapsed="false">
      <c r="AE346" s="90" t="n">
        <f aca="false">Data!A341</f>
        <v>42475</v>
      </c>
      <c r="AF346" s="17" t="n">
        <f aca="false">Data!B341</f>
        <v>112.11</v>
      </c>
      <c r="AG346" s="17" t="n">
        <f aca="false">Data!F341</f>
        <v>46418482</v>
      </c>
      <c r="AH346" s="17" t="n">
        <f aca="false">Data!C341</f>
        <v>112.3</v>
      </c>
      <c r="AI346" s="17" t="n">
        <f aca="false">Data!D341</f>
        <v>109.73</v>
      </c>
      <c r="AJ346" s="17" t="n">
        <f aca="false">Data!E341</f>
        <v>109.85</v>
      </c>
      <c r="AK346" s="17" t="n">
        <f aca="false">Data!F341</f>
        <v>46418482</v>
      </c>
      <c r="AL346" s="17" t="n">
        <f aca="false">AJ346</f>
        <v>109.85</v>
      </c>
      <c r="AM346" s="17" t="n">
        <f aca="false">(AL346-AL345)/AL346*100</f>
        <v>2.15748748293126</v>
      </c>
      <c r="AN346" s="17" t="n">
        <f aca="false">(AK346-AK345)/AK346*100</f>
        <v>-31.0556148734032</v>
      </c>
      <c r="AO346" s="17" t="str">
        <f aca="false">IF(AN346&lt;-8,"FITS BITCH",IF(AN346&gt;-8,"no"))</f>
        <v>FITS BITCH</v>
      </c>
      <c r="AP346" s="17" t="str">
        <f aca="false">IF(AH347&lt;AH346,"FITS BITCH",IF(AH347&gt;AH346,"no"))</f>
        <v>no</v>
      </c>
      <c r="AQ346" s="17" t="str">
        <f aca="false">IF(AI347&lt;AI346,"FITS BITCH",IF(AI347&gt;AI346,"no"))</f>
        <v>no</v>
      </c>
      <c r="AR346" s="17" t="str">
        <f aca="false">IF(AJ346&lt;AH347,"FITS BITCH",IF(AJ346&gt;AH347,"no"))</f>
        <v>FITS BITCH</v>
      </c>
      <c r="AS346" s="17" t="str">
        <f aca="false">IF(AJ346&gt;AJ347,"FITS BITCH",IF(AJ346&lt;AJ347,"no"))</f>
        <v>no</v>
      </c>
      <c r="AT346" s="91" t="str">
        <f aca="false">IF(AND($AO346="FITS BITCH",$AP346="FITS BITCH",$AR346="FITS BITCH"),"BULLISH","")</f>
        <v/>
      </c>
      <c r="AU346" s="91" t="str">
        <f aca="false">IF(AND($AO346="FITS BITCH",$AQ346="FITS BITCH",$AS346="FITS BITCH"),"BEARISH","")</f>
        <v/>
      </c>
      <c r="AV346" s="86"/>
      <c r="AW346" s="86"/>
      <c r="AX346" s="86"/>
      <c r="CL346" s="99" t="n">
        <v>42646</v>
      </c>
      <c r="CM346" s="23" t="n">
        <f aca="false">$BA$68*CL346+$BA$70</f>
        <v>110.024758468167</v>
      </c>
    </row>
    <row r="347" customFormat="false" ht="15.75" hidden="false" customHeight="false" outlineLevel="0" collapsed="false">
      <c r="AE347" s="90" t="n">
        <f aca="false">Data!A342</f>
        <v>42474</v>
      </c>
      <c r="AF347" s="17" t="n">
        <f aca="false">Data!B342</f>
        <v>111.62</v>
      </c>
      <c r="AG347" s="17" t="n">
        <f aca="false">Data!F342</f>
        <v>25337435</v>
      </c>
      <c r="AH347" s="17" t="n">
        <f aca="false">Data!C342</f>
        <v>112.39</v>
      </c>
      <c r="AI347" s="17" t="n">
        <f aca="false">Data!D342</f>
        <v>111.33</v>
      </c>
      <c r="AJ347" s="17" t="n">
        <f aca="false">Data!E342</f>
        <v>112.1</v>
      </c>
      <c r="AK347" s="17" t="n">
        <f aca="false">Data!F342</f>
        <v>25337435</v>
      </c>
      <c r="AL347" s="17" t="n">
        <f aca="false">AJ347</f>
        <v>112.1</v>
      </c>
      <c r="AM347" s="17" t="n">
        <f aca="false">(AL347-AL346)/AL347*100</f>
        <v>2.007136485281</v>
      </c>
      <c r="AN347" s="17" t="n">
        <f aca="false">(AK347-AK346)/AK347*100</f>
        <v>-83.2011882812921</v>
      </c>
      <c r="AO347" s="17" t="str">
        <f aca="false">IF(AN347&lt;-8,"FITS BITCH",IF(AN347&gt;-8,"no"))</f>
        <v>FITS BITCH</v>
      </c>
      <c r="AP347" s="17" t="str">
        <f aca="false">IF(AH348&lt;AH347,"FITS BITCH",IF(AH348&gt;AH347,"no"))</f>
        <v>FITS BITCH</v>
      </c>
      <c r="AQ347" s="17" t="str">
        <f aca="false">IF(AI348&lt;AI347,"FITS BITCH",IF(AI348&gt;AI347,"no"))</f>
        <v>FITS BITCH</v>
      </c>
      <c r="AR347" s="17" t="str">
        <f aca="false">IF(AJ347&lt;AH348,"FITS BITCH",IF(AJ347&gt;AH348,"no"))</f>
        <v>FITS BITCH</v>
      </c>
      <c r="AS347" s="17" t="str">
        <f aca="false">IF(AJ347&gt;AJ348,"FITS BITCH",IF(AJ347&lt;AJ348,"no"))</f>
        <v>FITS BITCH</v>
      </c>
      <c r="AT347" s="91" t="str">
        <f aca="false">IF(AND($AO347="FITS BITCH",$AP347="FITS BITCH",$AR347="FITS BITCH"),"BULLISH","")</f>
        <v>BULLISH</v>
      </c>
      <c r="AU347" s="91" t="str">
        <f aca="false">IF(AND($AO347="FITS BITCH",$AQ347="FITS BITCH",$AS347="FITS BITCH"),"BEARISH","")</f>
        <v>BEARISH</v>
      </c>
      <c r="AV347" s="86"/>
      <c r="AW347" s="86"/>
      <c r="AX347" s="86"/>
      <c r="CL347" s="99" t="n">
        <v>42643</v>
      </c>
      <c r="CM347" s="23" t="n">
        <f aca="false">$BA$68*CL347+$BA$70</f>
        <v>109.562403777439</v>
      </c>
    </row>
    <row r="348" customFormat="false" ht="15.75" hidden="false" customHeight="false" outlineLevel="0" collapsed="false">
      <c r="AE348" s="90" t="n">
        <f aca="false">Data!A343</f>
        <v>42473</v>
      </c>
      <c r="AF348" s="17" t="n">
        <f aca="false">Data!B343</f>
        <v>110.8</v>
      </c>
      <c r="AG348" s="17" t="n">
        <f aca="false">Data!F343</f>
        <v>32691799</v>
      </c>
      <c r="AH348" s="17" t="n">
        <f aca="false">Data!C343</f>
        <v>112.34</v>
      </c>
      <c r="AI348" s="17" t="n">
        <f aca="false">Data!D343</f>
        <v>110.8</v>
      </c>
      <c r="AJ348" s="17" t="n">
        <f aca="false">Data!E343</f>
        <v>112.04</v>
      </c>
      <c r="AK348" s="17" t="n">
        <f aca="false">Data!F343</f>
        <v>32691799</v>
      </c>
      <c r="AL348" s="17" t="n">
        <f aca="false">AJ348</f>
        <v>112.04</v>
      </c>
      <c r="AM348" s="17" t="n">
        <f aca="false">(AL348-AL347)/AL348*100</f>
        <v>-0.0535523027490076</v>
      </c>
      <c r="AN348" s="17" t="n">
        <f aca="false">(AK348-AK347)/AK348*100</f>
        <v>22.4960516856231</v>
      </c>
      <c r="AO348" s="17" t="str">
        <f aca="false">IF(AN348&lt;-8,"FITS BITCH",IF(AN348&gt;-8,"no"))</f>
        <v>no</v>
      </c>
      <c r="AP348" s="17" t="str">
        <f aca="false">IF(AH349&lt;AH348,"FITS BITCH",IF(AH349&gt;AH348,"no"))</f>
        <v>FITS BITCH</v>
      </c>
      <c r="AQ348" s="17" t="str">
        <f aca="false">IF(AI349&lt;AI348,"FITS BITCH",IF(AI349&gt;AI348,"no"))</f>
        <v>FITS BITCH</v>
      </c>
      <c r="AR348" s="17" t="str">
        <f aca="false">IF(AJ348&lt;AH349,"FITS BITCH",IF(AJ348&gt;AH349,"no"))</f>
        <v>no</v>
      </c>
      <c r="AS348" s="17" t="str">
        <f aca="false">IF(AJ348&gt;AJ349,"FITS BITCH",IF(AJ348&lt;AJ349,"no"))</f>
        <v>FITS BITCH</v>
      </c>
      <c r="AT348" s="91" t="str">
        <f aca="false">IF(AND($AO348="FITS BITCH",$AP348="FITS BITCH",$AR348="FITS BITCH"),"BULLISH","")</f>
        <v/>
      </c>
      <c r="AU348" s="91" t="str">
        <f aca="false">IF(AND($AO348="FITS BITCH",$AQ348="FITS BITCH",$AS348="FITS BITCH"),"BEARISH","")</f>
        <v/>
      </c>
      <c r="AV348" s="86"/>
      <c r="AW348" s="86"/>
      <c r="AX348" s="86"/>
      <c r="CL348" s="99" t="n">
        <v>42642</v>
      </c>
      <c r="CM348" s="23" t="n">
        <f aca="false">$BA$68*CL348+$BA$70</f>
        <v>109.408285547196</v>
      </c>
    </row>
    <row r="349" customFormat="false" ht="15.75" hidden="false" customHeight="false" outlineLevel="0" collapsed="false">
      <c r="AE349" s="90" t="n">
        <f aca="false">Data!A344</f>
        <v>42472</v>
      </c>
      <c r="AF349" s="17" t="n">
        <f aca="false">Data!B344</f>
        <v>109.34</v>
      </c>
      <c r="AG349" s="17" t="n">
        <f aca="false">Data!F344</f>
        <v>26812000</v>
      </c>
      <c r="AH349" s="17" t="n">
        <f aca="false">Data!C344</f>
        <v>110.5</v>
      </c>
      <c r="AI349" s="17" t="n">
        <f aca="false">Data!D344</f>
        <v>108.66</v>
      </c>
      <c r="AJ349" s="17" t="n">
        <f aca="false">Data!E344</f>
        <v>110.44</v>
      </c>
      <c r="AK349" s="17" t="n">
        <f aca="false">Data!F344</f>
        <v>26812000</v>
      </c>
      <c r="AL349" s="17" t="n">
        <f aca="false">AJ349</f>
        <v>110.44</v>
      </c>
      <c r="AM349" s="17" t="n">
        <f aca="false">(AL349-AL348)/AL349*100</f>
        <v>-1.44875045273452</v>
      </c>
      <c r="AN349" s="17" t="n">
        <f aca="false">(AK349-AK348)/AK349*100</f>
        <v>-21.9297292257198</v>
      </c>
      <c r="AO349" s="17" t="str">
        <f aca="false">IF(AN349&lt;-8,"FITS BITCH",IF(AN349&gt;-8,"no"))</f>
        <v>FITS BITCH</v>
      </c>
      <c r="AP349" s="17" t="str">
        <f aca="false">IF(AH350&lt;AH349,"FITS BITCH",IF(AH350&gt;AH349,"no"))</f>
        <v>no</v>
      </c>
      <c r="AQ349" s="17" t="str">
        <f aca="false">IF(AI350&lt;AI349,"FITS BITCH",IF(AI350&gt;AI349,"no"))</f>
        <v>no</v>
      </c>
      <c r="AR349" s="17" t="str">
        <f aca="false">IF(AJ349&lt;AH350,"FITS BITCH",IF(AJ349&gt;AH350,"no"))</f>
        <v>FITS BITCH</v>
      </c>
      <c r="AS349" s="17" t="str">
        <f aca="false">IF(AJ349&gt;AJ350,"FITS BITCH",IF(AJ349&lt;AJ350,"no"))</f>
        <v>FITS BITCH</v>
      </c>
      <c r="AT349" s="91" t="str">
        <f aca="false">IF(AND($AO349="FITS BITCH",$AP349="FITS BITCH",$AR349="FITS BITCH"),"BULLISH","")</f>
        <v/>
      </c>
      <c r="AU349" s="91" t="str">
        <f aca="false">IF(AND($AO349="FITS BITCH",$AQ349="FITS BITCH",$AS349="FITS BITCH"),"BEARISH","")</f>
        <v/>
      </c>
      <c r="AV349" s="86"/>
      <c r="AW349" s="86"/>
      <c r="AX349" s="86"/>
      <c r="CL349" s="99" t="n">
        <v>42641</v>
      </c>
      <c r="CM349" s="23" t="n">
        <f aca="false">$BA$68*CL349+$BA$70</f>
        <v>109.254167316954</v>
      </c>
    </row>
    <row r="350" customFormat="false" ht="15.75" hidden="false" customHeight="false" outlineLevel="0" collapsed="false">
      <c r="AE350" s="90" t="n">
        <f aca="false">Data!A345</f>
        <v>42471</v>
      </c>
      <c r="AF350" s="17" t="n">
        <f aca="false">Data!B345</f>
        <v>108.97</v>
      </c>
      <c r="AG350" s="17" t="n">
        <f aca="false">Data!F345</f>
        <v>28313525</v>
      </c>
      <c r="AH350" s="17" t="n">
        <f aca="false">Data!C345</f>
        <v>110.61</v>
      </c>
      <c r="AI350" s="17" t="n">
        <f aca="false">Data!D345</f>
        <v>108.83</v>
      </c>
      <c r="AJ350" s="17" t="n">
        <f aca="false">Data!E345</f>
        <v>109.02</v>
      </c>
      <c r="AK350" s="17" t="n">
        <f aca="false">Data!F345</f>
        <v>28313525</v>
      </c>
      <c r="AL350" s="17" t="n">
        <f aca="false">AJ350</f>
        <v>109.02</v>
      </c>
      <c r="AM350" s="17" t="n">
        <f aca="false">(AL350-AL349)/AL350*100</f>
        <v>-1.30251330031187</v>
      </c>
      <c r="AN350" s="17" t="n">
        <f aca="false">(AK350-AK349)/AK350*100</f>
        <v>5.3032075659954</v>
      </c>
      <c r="AO350" s="17" t="str">
        <f aca="false">IF(AN350&lt;-8,"FITS BITCH",IF(AN350&gt;-8,"no"))</f>
        <v>no</v>
      </c>
      <c r="AP350" s="17" t="str">
        <f aca="false">IF(AH351&lt;AH350,"FITS BITCH",IF(AH351&gt;AH350,"no"))</f>
        <v>FITS BITCH</v>
      </c>
      <c r="AQ350" s="17" t="str">
        <f aca="false">IF(AI351&lt;AI350,"FITS BITCH",IF(AI351&gt;AI350,"no"))</f>
        <v>FITS BITCH</v>
      </c>
      <c r="AR350" s="17" t="str">
        <f aca="false">IF(AJ350&lt;AH351,"FITS BITCH",IF(AJ350&gt;AH351,"no"))</f>
        <v>FITS BITCH</v>
      </c>
      <c r="AS350" s="17" t="str">
        <f aca="false">IF(AJ350&gt;AJ351,"FITS BITCH",IF(AJ350&lt;AJ351,"no"))</f>
        <v>FITS BITCH</v>
      </c>
      <c r="AT350" s="91" t="str">
        <f aca="false">IF(AND($AO350="FITS BITCH",$AP350="FITS BITCH",$AR350="FITS BITCH"),"BULLISH","")</f>
        <v/>
      </c>
      <c r="AU350" s="91" t="str">
        <f aca="false">IF(AND($AO350="FITS BITCH",$AQ350="FITS BITCH",$AS350="FITS BITCH"),"BEARISH","")</f>
        <v/>
      </c>
      <c r="AV350" s="86"/>
      <c r="AW350" s="86"/>
      <c r="AX350" s="86"/>
      <c r="CL350" s="99" t="n">
        <v>42640</v>
      </c>
      <c r="CM350" s="23" t="n">
        <f aca="false">$BA$68*CL350+$BA$70</f>
        <v>109.10004908671</v>
      </c>
    </row>
    <row r="351" customFormat="false" ht="15.75" hidden="false" customHeight="false" outlineLevel="0" collapsed="false">
      <c r="AE351" s="90" t="n">
        <f aca="false">Data!A346</f>
        <v>42468</v>
      </c>
      <c r="AF351" s="17" t="n">
        <f aca="false">Data!B346</f>
        <v>108.91</v>
      </c>
      <c r="AG351" s="17" t="n">
        <f aca="false">Data!F346</f>
        <v>23514462</v>
      </c>
      <c r="AH351" s="17" t="n">
        <f aca="false">Data!C346</f>
        <v>109.77</v>
      </c>
      <c r="AI351" s="17" t="n">
        <f aca="false">Data!D346</f>
        <v>108.17</v>
      </c>
      <c r="AJ351" s="17" t="n">
        <f aca="false">Data!E346</f>
        <v>108.66</v>
      </c>
      <c r="AK351" s="17" t="n">
        <f aca="false">Data!F346</f>
        <v>23514462</v>
      </c>
      <c r="AL351" s="17" t="n">
        <f aca="false">AJ351</f>
        <v>108.66</v>
      </c>
      <c r="AM351" s="17" t="n">
        <f aca="false">(AL351-AL350)/AL351*100</f>
        <v>-0.331308669243511</v>
      </c>
      <c r="AN351" s="17" t="n">
        <f aca="false">(AK351-AK350)/AK351*100</f>
        <v>-20.408984904694</v>
      </c>
      <c r="AO351" s="17" t="str">
        <f aca="false">IF(AN351&lt;-8,"FITS BITCH",IF(AN351&gt;-8,"no"))</f>
        <v>FITS BITCH</v>
      </c>
      <c r="AP351" s="17" t="str">
        <f aca="false">IF(AH352&lt;AH351,"FITS BITCH",IF(AH352&gt;AH351,"no"))</f>
        <v>no</v>
      </c>
      <c r="AQ351" s="17" t="str">
        <f aca="false">IF(AI352&lt;AI351,"FITS BITCH",IF(AI352&gt;AI351,"no"))</f>
        <v>FITS BITCH</v>
      </c>
      <c r="AR351" s="17" t="str">
        <f aca="false">IF(AJ351&lt;AH352,"FITS BITCH",IF(AJ351&gt;AH352,"no"))</f>
        <v>FITS BITCH</v>
      </c>
      <c r="AS351" s="17" t="str">
        <f aca="false">IF(AJ351&gt;AJ352,"FITS BITCH",IF(AJ351&lt;AJ352,"no"))</f>
        <v>FITS BITCH</v>
      </c>
      <c r="AT351" s="91" t="str">
        <f aca="false">IF(AND($AO351="FITS BITCH",$AP351="FITS BITCH",$AR351="FITS BITCH"),"BULLISH","")</f>
        <v/>
      </c>
      <c r="AU351" s="91" t="str">
        <f aca="false">IF(AND($AO351="FITS BITCH",$AQ351="FITS BITCH",$AS351="FITS BITCH"),"BEARISH","")</f>
        <v>BEARISH</v>
      </c>
      <c r="AV351" s="86"/>
      <c r="AW351" s="86"/>
      <c r="AX351" s="86"/>
      <c r="CL351" s="99" t="n">
        <v>42639</v>
      </c>
      <c r="CM351" s="23" t="n">
        <f aca="false">$BA$68*CL351+$BA$70</f>
        <v>108.945930856467</v>
      </c>
    </row>
    <row r="352" customFormat="false" ht="15.75" hidden="false" customHeight="false" outlineLevel="0" collapsed="false">
      <c r="AE352" s="90" t="n">
        <f aca="false">Data!A347</f>
        <v>42467</v>
      </c>
      <c r="AF352" s="17" t="n">
        <f aca="false">Data!B347</f>
        <v>109.95</v>
      </c>
      <c r="AG352" s="17" t="n">
        <f aca="false">Data!F347</f>
        <v>30881022</v>
      </c>
      <c r="AH352" s="17" t="n">
        <f aca="false">Data!C347</f>
        <v>110.42</v>
      </c>
      <c r="AI352" s="17" t="n">
        <f aca="false">Data!D347</f>
        <v>108.12</v>
      </c>
      <c r="AJ352" s="17" t="n">
        <f aca="false">Data!E347</f>
        <v>108.54</v>
      </c>
      <c r="AK352" s="17" t="n">
        <f aca="false">Data!F347</f>
        <v>30881022</v>
      </c>
      <c r="AL352" s="17" t="n">
        <f aca="false">AJ352</f>
        <v>108.54</v>
      </c>
      <c r="AM352" s="17" t="n">
        <f aca="false">(AL352-AL351)/AL352*100</f>
        <v>-0.110558319513535</v>
      </c>
      <c r="AN352" s="17" t="n">
        <f aca="false">(AK352-AK351)/AK352*100</f>
        <v>23.8546509244416</v>
      </c>
      <c r="AO352" s="17" t="str">
        <f aca="false">IF(AN352&lt;-8,"FITS BITCH",IF(AN352&gt;-8,"no"))</f>
        <v>no</v>
      </c>
      <c r="AP352" s="17" t="str">
        <f aca="false">IF(AH353&lt;AH352,"FITS BITCH",IF(AH353&gt;AH352,"no"))</f>
        <v>no</v>
      </c>
      <c r="AQ352" s="17" t="str">
        <f aca="false">IF(AI353&lt;AI352,"FITS BITCH",IF(AI353&gt;AI352,"no"))</f>
        <v>no</v>
      </c>
      <c r="AR352" s="17" t="str">
        <f aca="false">IF(AJ352&lt;AH353,"FITS BITCH",IF(AJ352&gt;AH353,"no"))</f>
        <v>FITS BITCH</v>
      </c>
      <c r="AS352" s="17" t="str">
        <f aca="false">IF(AJ352&gt;AJ353,"FITS BITCH",IF(AJ352&lt;AJ353,"no"))</f>
        <v>no</v>
      </c>
      <c r="AT352" s="91" t="str">
        <f aca="false">IF(AND($AO352="FITS BITCH",$AP352="FITS BITCH",$AR352="FITS BITCH"),"BULLISH","")</f>
        <v/>
      </c>
      <c r="AU352" s="91" t="str">
        <f aca="false">IF(AND($AO352="FITS BITCH",$AQ352="FITS BITCH",$AS352="FITS BITCH"),"BEARISH","")</f>
        <v/>
      </c>
      <c r="AV352" s="86"/>
      <c r="AW352" s="86"/>
      <c r="AX352" s="86"/>
      <c r="CL352" s="99" t="n">
        <v>42636</v>
      </c>
      <c r="CM352" s="23" t="n">
        <f aca="false">$BA$68*CL352+$BA$70</f>
        <v>108.48357616574</v>
      </c>
    </row>
    <row r="353" customFormat="false" ht="15.75" hidden="false" customHeight="false" outlineLevel="0" collapsed="false">
      <c r="AE353" s="90" t="n">
        <f aca="false">Data!A348</f>
        <v>42466</v>
      </c>
      <c r="AF353" s="17" t="n">
        <f aca="false">Data!B348</f>
        <v>110.23</v>
      </c>
      <c r="AG353" s="17" t="n">
        <f aca="false">Data!F348</f>
        <v>26047772</v>
      </c>
      <c r="AH353" s="17" t="n">
        <f aca="false">Data!C348</f>
        <v>110.98</v>
      </c>
      <c r="AI353" s="17" t="n">
        <f aca="false">Data!D348</f>
        <v>109.2</v>
      </c>
      <c r="AJ353" s="17" t="n">
        <f aca="false">Data!E348</f>
        <v>110.96</v>
      </c>
      <c r="AK353" s="17" t="n">
        <f aca="false">Data!F348</f>
        <v>26047772</v>
      </c>
      <c r="AL353" s="17" t="n">
        <f aca="false">AJ353</f>
        <v>110.96</v>
      </c>
      <c r="AM353" s="17" t="n">
        <f aca="false">(AL353-AL352)/AL353*100</f>
        <v>2.18096611391491</v>
      </c>
      <c r="AN353" s="17" t="n">
        <f aca="false">(AK353-AK352)/AK353*100</f>
        <v>-18.5553297994162</v>
      </c>
      <c r="AO353" s="17" t="str">
        <f aca="false">IF(AN353&lt;-8,"FITS BITCH",IF(AN353&gt;-8,"no"))</f>
        <v>FITS BITCH</v>
      </c>
      <c r="AP353" s="17" t="str">
        <f aca="false">IF(AH354&lt;AH353,"FITS BITCH",IF(AH354&gt;AH353,"no"))</f>
        <v>FITS BITCH</v>
      </c>
      <c r="AQ353" s="17" t="str">
        <f aca="false">IF(AI354&lt;AI353,"FITS BITCH",IF(AI354&gt;AI353,"no"))</f>
        <v>no</v>
      </c>
      <c r="AR353" s="17" t="str">
        <f aca="false">IF(AJ353&lt;AH354,"FITS BITCH",IF(AJ353&gt;AH354,"no"))</f>
        <v>no</v>
      </c>
      <c r="AS353" s="17" t="str">
        <f aca="false">IF(AJ353&gt;AJ354,"FITS BITCH",IF(AJ353&lt;AJ354,"no"))</f>
        <v>FITS BITCH</v>
      </c>
      <c r="AT353" s="91" t="str">
        <f aca="false">IF(AND($AO353="FITS BITCH",$AP353="FITS BITCH",$AR353="FITS BITCH"),"BULLISH","")</f>
        <v/>
      </c>
      <c r="AU353" s="91" t="str">
        <f aca="false">IF(AND($AO353="FITS BITCH",$AQ353="FITS BITCH",$AS353="FITS BITCH"),"BEARISH","")</f>
        <v/>
      </c>
      <c r="AV353" s="86"/>
      <c r="AW353" s="86"/>
      <c r="AX353" s="86"/>
      <c r="CL353" s="99" t="n">
        <v>42635</v>
      </c>
      <c r="CM353" s="23" t="n">
        <f aca="false">$BA$68*CL353+$BA$70</f>
        <v>108.329457935497</v>
      </c>
    </row>
    <row r="354" customFormat="false" ht="15.75" hidden="false" customHeight="false" outlineLevel="0" collapsed="false">
      <c r="AE354" s="90" t="n">
        <f aca="false">Data!A349</f>
        <v>42465</v>
      </c>
      <c r="AF354" s="17" t="n">
        <f aca="false">Data!B349</f>
        <v>109.51</v>
      </c>
      <c r="AG354" s="17" t="n">
        <f aca="false">Data!F349</f>
        <v>26495312</v>
      </c>
      <c r="AH354" s="17" t="n">
        <f aca="false">Data!C349</f>
        <v>110.73</v>
      </c>
      <c r="AI354" s="17" t="n">
        <f aca="false">Data!D349</f>
        <v>109.42</v>
      </c>
      <c r="AJ354" s="17" t="n">
        <f aca="false">Data!E349</f>
        <v>109.81</v>
      </c>
      <c r="AK354" s="17" t="n">
        <f aca="false">Data!F349</f>
        <v>26495312</v>
      </c>
      <c r="AL354" s="17" t="n">
        <f aca="false">AJ354</f>
        <v>109.81</v>
      </c>
      <c r="AM354" s="17" t="n">
        <f aca="false">(AL354-AL353)/AL354*100</f>
        <v>-1.04726345505873</v>
      </c>
      <c r="AN354" s="17" t="n">
        <f aca="false">(AK354-AK353)/AK354*100</f>
        <v>1.68912900516137</v>
      </c>
      <c r="AO354" s="17" t="str">
        <f aca="false">IF(AN354&lt;-8,"FITS BITCH",IF(AN354&gt;-8,"no"))</f>
        <v>no</v>
      </c>
      <c r="AP354" s="17" t="str">
        <f aca="false">IF(AH355&lt;AH354,"FITS BITCH",IF(AH355&gt;AH354,"no"))</f>
        <v>no</v>
      </c>
      <c r="AQ354" s="17" t="str">
        <f aca="false">IF(AI355&lt;AI354,"FITS BITCH",IF(AI355&gt;AI354,"no"))</f>
        <v>no</v>
      </c>
      <c r="AR354" s="17" t="str">
        <f aca="false">IF(AJ354&lt;AH355,"FITS BITCH",IF(AJ354&gt;AH355,"no"))</f>
        <v>FITS BITCH</v>
      </c>
      <c r="AS354" s="17" t="str">
        <f aca="false">IF(AJ354&gt;AJ355,"FITS BITCH",IF(AJ354&lt;AJ355,"no"))</f>
        <v>no</v>
      </c>
      <c r="AT354" s="91" t="str">
        <f aca="false">IF(AND($AO354="FITS BITCH",$AP354="FITS BITCH",$AR354="FITS BITCH"),"BULLISH","")</f>
        <v/>
      </c>
      <c r="AU354" s="91" t="str">
        <f aca="false">IF(AND($AO354="FITS BITCH",$AQ354="FITS BITCH",$AS354="FITS BITCH"),"BEARISH","")</f>
        <v/>
      </c>
      <c r="AV354" s="86"/>
      <c r="AW354" s="86"/>
      <c r="AX354" s="86"/>
      <c r="CL354" s="99" t="n">
        <v>42634</v>
      </c>
      <c r="CM354" s="23" t="n">
        <f aca="false">$BA$68*CL354+$BA$70</f>
        <v>108.175339705254</v>
      </c>
    </row>
    <row r="355" customFormat="false" ht="15.75" hidden="false" customHeight="false" outlineLevel="0" collapsed="false">
      <c r="AE355" s="90" t="n">
        <f aca="false">Data!A350</f>
        <v>42464</v>
      </c>
      <c r="AF355" s="17" t="n">
        <f aca="false">Data!B350</f>
        <v>110.42</v>
      </c>
      <c r="AG355" s="17" t="n">
        <f aca="false">Data!F350</f>
        <v>37243224</v>
      </c>
      <c r="AH355" s="17" t="n">
        <f aca="false">Data!C350</f>
        <v>112.19</v>
      </c>
      <c r="AI355" s="17" t="n">
        <f aca="false">Data!D350</f>
        <v>110.27</v>
      </c>
      <c r="AJ355" s="17" t="n">
        <f aca="false">Data!E350</f>
        <v>111.12</v>
      </c>
      <c r="AK355" s="17" t="n">
        <f aca="false">Data!F350</f>
        <v>37243224</v>
      </c>
      <c r="AL355" s="17" t="n">
        <f aca="false">AJ355</f>
        <v>111.12</v>
      </c>
      <c r="AM355" s="17" t="n">
        <f aca="false">(AL355-AL354)/AL355*100</f>
        <v>1.178905687545</v>
      </c>
      <c r="AN355" s="17" t="n">
        <f aca="false">(AK355-AK354)/AK355*100</f>
        <v>28.8587046062392</v>
      </c>
      <c r="AO355" s="17" t="str">
        <f aca="false">IF(AN355&lt;-8,"FITS BITCH",IF(AN355&gt;-8,"no"))</f>
        <v>no</v>
      </c>
      <c r="AP355" s="17" t="str">
        <f aca="false">IF(AH356&lt;AH355,"FITS BITCH",IF(AH356&gt;AH355,"no"))</f>
        <v>FITS BITCH</v>
      </c>
      <c r="AQ355" s="17" t="str">
        <f aca="false">IF(AI356&lt;AI355,"FITS BITCH",IF(AI356&gt;AI355,"no"))</f>
        <v>FITS BITCH</v>
      </c>
      <c r="AR355" s="17" t="str">
        <f aca="false">IF(AJ355&lt;AH356,"FITS BITCH",IF(AJ355&gt;AH356,"no"))</f>
        <v>no</v>
      </c>
      <c r="AS355" s="17" t="str">
        <f aca="false">IF(AJ355&gt;AJ356,"FITS BITCH",IF(AJ355&lt;AJ356,"no"))</f>
        <v>FITS BITCH</v>
      </c>
      <c r="AT355" s="91" t="str">
        <f aca="false">IF(AND($AO355="FITS BITCH",$AP355="FITS BITCH",$AR355="FITS BITCH"),"BULLISH","")</f>
        <v/>
      </c>
      <c r="AU355" s="91" t="str">
        <f aca="false">IF(AND($AO355="FITS BITCH",$AQ355="FITS BITCH",$AS355="FITS BITCH"),"BEARISH","")</f>
        <v/>
      </c>
      <c r="AV355" s="86"/>
      <c r="AW355" s="86"/>
      <c r="AX355" s="86"/>
      <c r="CL355" s="99" t="n">
        <v>42633</v>
      </c>
      <c r="CM355" s="23" t="n">
        <f aca="false">$BA$68*CL355+$BA$70</f>
        <v>108.021221475012</v>
      </c>
    </row>
    <row r="356" customFormat="false" ht="15.75" hidden="false" customHeight="false" outlineLevel="0" collapsed="false">
      <c r="AE356" s="90" t="n">
        <f aca="false">Data!A351</f>
        <v>42461</v>
      </c>
      <c r="AF356" s="17" t="n">
        <f aca="false">Data!B351</f>
        <v>108.78</v>
      </c>
      <c r="AG356" s="17" t="n">
        <f aca="false">Data!F351</f>
        <v>25626163</v>
      </c>
      <c r="AH356" s="17" t="n">
        <f aca="false">Data!C351</f>
        <v>110</v>
      </c>
      <c r="AI356" s="17" t="n">
        <f aca="false">Data!D351</f>
        <v>108.2</v>
      </c>
      <c r="AJ356" s="17" t="n">
        <f aca="false">Data!E351</f>
        <v>109.99</v>
      </c>
      <c r="AK356" s="17" t="n">
        <f aca="false">Data!F351</f>
        <v>25626163</v>
      </c>
      <c r="AL356" s="17" t="n">
        <f aca="false">AJ356</f>
        <v>109.99</v>
      </c>
      <c r="AM356" s="17" t="n">
        <f aca="false">(AL356-AL355)/AL356*100</f>
        <v>-1.02736612419312</v>
      </c>
      <c r="AN356" s="17" t="n">
        <f aca="false">(AK356-AK355)/AK356*100</f>
        <v>-45.3328147487394</v>
      </c>
      <c r="AO356" s="17" t="str">
        <f aca="false">IF(AN356&lt;-8,"FITS BITCH",IF(AN356&gt;-8,"no"))</f>
        <v>FITS BITCH</v>
      </c>
      <c r="AP356" s="17" t="str">
        <f aca="false">IF(AH357&lt;AH356,"FITS BITCH",IF(AH357&gt;AH356,"no"))</f>
        <v>FITS BITCH</v>
      </c>
      <c r="AQ356" s="17" t="str">
        <f aca="false">IF(AI357&lt;AI356,"FITS BITCH",IF(AI357&gt;AI356,"no"))</f>
        <v>no</v>
      </c>
      <c r="AR356" s="17" t="str">
        <f aca="false">IF(AJ356&lt;AH357,"FITS BITCH",IF(AJ356&gt;AH357,"no"))</f>
        <v>no</v>
      </c>
      <c r="AS356" s="17" t="str">
        <f aca="false">IF(AJ356&gt;AJ357,"FITS BITCH",IF(AJ356&lt;AJ357,"no"))</f>
        <v>FITS BITCH</v>
      </c>
      <c r="AT356" s="91" t="str">
        <f aca="false">IF(AND($AO356="FITS BITCH",$AP356="FITS BITCH",$AR356="FITS BITCH"),"BULLISH","")</f>
        <v/>
      </c>
      <c r="AU356" s="91" t="str">
        <f aca="false">IF(AND($AO356="FITS BITCH",$AQ356="FITS BITCH",$AS356="FITS BITCH"),"BEARISH","")</f>
        <v/>
      </c>
      <c r="AV356" s="86"/>
      <c r="AW356" s="86"/>
      <c r="AX356" s="86"/>
      <c r="CL356" s="99" t="n">
        <v>42632</v>
      </c>
      <c r="CM356" s="23" t="n">
        <f aca="false">$BA$68*CL356+$BA$70</f>
        <v>107.867103244769</v>
      </c>
    </row>
    <row r="357" customFormat="false" ht="15.75" hidden="false" customHeight="false" outlineLevel="0" collapsed="false">
      <c r="AE357" s="90" t="n">
        <f aca="false">Data!A352</f>
        <v>42460</v>
      </c>
      <c r="AF357" s="17" t="n">
        <f aca="false">Data!B352</f>
        <v>109.72</v>
      </c>
      <c r="AG357" s="17" t="n">
        <f aca="false">Data!F352</f>
        <v>25685672</v>
      </c>
      <c r="AH357" s="17" t="n">
        <f aca="false">Data!C352</f>
        <v>109.9</v>
      </c>
      <c r="AI357" s="17" t="n">
        <f aca="false">Data!D352</f>
        <v>108.88</v>
      </c>
      <c r="AJ357" s="17" t="n">
        <f aca="false">Data!E352</f>
        <v>108.99</v>
      </c>
      <c r="AK357" s="17" t="n">
        <f aca="false">Data!F352</f>
        <v>25685672</v>
      </c>
      <c r="AL357" s="17" t="n">
        <f aca="false">AJ357</f>
        <v>108.99</v>
      </c>
      <c r="AM357" s="17" t="n">
        <f aca="false">(AL357-AL356)/AL357*100</f>
        <v>-0.91751536838242</v>
      </c>
      <c r="AN357" s="17" t="n">
        <f aca="false">(AK357-AK356)/AK357*100</f>
        <v>0.231681693980987</v>
      </c>
      <c r="AO357" s="17" t="str">
        <f aca="false">IF(AN357&lt;-8,"FITS BITCH",IF(AN357&gt;-8,"no"))</f>
        <v>no</v>
      </c>
      <c r="AP357" s="17" t="str">
        <f aca="false">IF(AH358&lt;AH357,"FITS BITCH",IF(AH358&gt;AH357,"no"))</f>
        <v>no</v>
      </c>
      <c r="AQ357" s="17" t="str">
        <f aca="false">IF(AI358&lt;AI357,"FITS BITCH",IF(AI358&gt;AI357,"no"))</f>
        <v>FITS BITCH</v>
      </c>
      <c r="AR357" s="17" t="str">
        <f aca="false">IF(AJ357&lt;AH358,"FITS BITCH",IF(AJ357&gt;AH358,"no"))</f>
        <v>FITS BITCH</v>
      </c>
      <c r="AS357" s="17" t="str">
        <f aca="false">IF(AJ357&gt;AJ358,"FITS BITCH",IF(AJ357&lt;AJ358,"no"))</f>
        <v>no</v>
      </c>
      <c r="AT357" s="91" t="str">
        <f aca="false">IF(AND($AO357="FITS BITCH",$AP357="FITS BITCH",$AR357="FITS BITCH"),"BULLISH","")</f>
        <v/>
      </c>
      <c r="AU357" s="91" t="str">
        <f aca="false">IF(AND($AO357="FITS BITCH",$AQ357="FITS BITCH",$AS357="FITS BITCH"),"BEARISH","")</f>
        <v/>
      </c>
      <c r="AV357" s="86"/>
      <c r="AW357" s="86"/>
      <c r="AX357" s="86"/>
      <c r="CL357" s="99" t="n">
        <v>42629</v>
      </c>
      <c r="CM357" s="23" t="n">
        <f aca="false">$BA$68*CL357+$BA$70</f>
        <v>107.40474855404</v>
      </c>
    </row>
    <row r="358" customFormat="false" ht="15.75" hidden="false" customHeight="false" outlineLevel="0" collapsed="false">
      <c r="AE358" s="90" t="n">
        <f aca="false">Data!A353</f>
        <v>42459</v>
      </c>
      <c r="AF358" s="17" t="n">
        <f aca="false">Data!B353</f>
        <v>108.65</v>
      </c>
      <c r="AG358" s="17" t="n">
        <f aca="false">Data!F353</f>
        <v>45159861</v>
      </c>
      <c r="AH358" s="17" t="n">
        <f aca="false">Data!C353</f>
        <v>110.42</v>
      </c>
      <c r="AI358" s="17" t="n">
        <f aca="false">Data!D353</f>
        <v>108.6</v>
      </c>
      <c r="AJ358" s="17" t="n">
        <f aca="false">Data!E353</f>
        <v>109.56</v>
      </c>
      <c r="AK358" s="17" t="n">
        <f aca="false">Data!F353</f>
        <v>45159861</v>
      </c>
      <c r="AL358" s="17" t="n">
        <f aca="false">AJ358</f>
        <v>109.56</v>
      </c>
      <c r="AM358" s="17" t="n">
        <f aca="false">(AL358-AL357)/AL358*100</f>
        <v>0.520262869660467</v>
      </c>
      <c r="AN358" s="17" t="n">
        <f aca="false">(AK358-AK357)/AK358*100</f>
        <v>43.1227833052896</v>
      </c>
      <c r="AO358" s="17" t="str">
        <f aca="false">IF(AN358&lt;-8,"FITS BITCH",IF(AN358&gt;-8,"no"))</f>
        <v>no</v>
      </c>
      <c r="AP358" s="17" t="str">
        <f aca="false">IF(AH359&lt;AH358,"FITS BITCH",IF(AH359&gt;AH358,"no"))</f>
        <v>FITS BITCH</v>
      </c>
      <c r="AQ358" s="17" t="str">
        <f aca="false">IF(AI359&lt;AI358,"FITS BITCH",IF(AI359&gt;AI358,"no"))</f>
        <v>FITS BITCH</v>
      </c>
      <c r="AR358" s="17" t="str">
        <f aca="false">IF(AJ358&lt;AH359,"FITS BITCH",IF(AJ358&gt;AH359,"no"))</f>
        <v>no</v>
      </c>
      <c r="AS358" s="17" t="str">
        <f aca="false">IF(AJ358&gt;AJ359,"FITS BITCH",IF(AJ358&lt;AJ359,"no"))</f>
        <v>FITS BITCH</v>
      </c>
      <c r="AT358" s="91" t="str">
        <f aca="false">IF(AND($AO358="FITS BITCH",$AP358="FITS BITCH",$AR358="FITS BITCH"),"BULLISH","")</f>
        <v/>
      </c>
      <c r="AU358" s="91" t="str">
        <f aca="false">IF(AND($AO358="FITS BITCH",$AQ358="FITS BITCH",$AS358="FITS BITCH"),"BEARISH","")</f>
        <v/>
      </c>
      <c r="AV358" s="86"/>
      <c r="AW358" s="86"/>
      <c r="AX358" s="86"/>
      <c r="CL358" s="99" t="n">
        <v>42628</v>
      </c>
      <c r="CM358" s="23" t="n">
        <f aca="false">$BA$68*CL358+$BA$70</f>
        <v>107.250630323798</v>
      </c>
    </row>
    <row r="359" customFormat="false" ht="15.75" hidden="false" customHeight="false" outlineLevel="0" collapsed="false">
      <c r="AE359" s="90" t="n">
        <f aca="false">Data!A354</f>
        <v>42458</v>
      </c>
      <c r="AF359" s="17" t="n">
        <f aca="false">Data!B354</f>
        <v>104.89</v>
      </c>
      <c r="AG359" s="17" t="n">
        <f aca="false">Data!F354</f>
        <v>30774115</v>
      </c>
      <c r="AH359" s="17" t="n">
        <f aca="false">Data!C354</f>
        <v>107.79</v>
      </c>
      <c r="AI359" s="17" t="n">
        <f aca="false">Data!D354</f>
        <v>104.88</v>
      </c>
      <c r="AJ359" s="17" t="n">
        <f aca="false">Data!E354</f>
        <v>107.68</v>
      </c>
      <c r="AK359" s="17" t="n">
        <f aca="false">Data!F354</f>
        <v>30774115</v>
      </c>
      <c r="AL359" s="17" t="n">
        <f aca="false">AJ359</f>
        <v>107.68</v>
      </c>
      <c r="AM359" s="17" t="n">
        <f aca="false">(AL359-AL358)/AL359*100</f>
        <v>-1.74591381872214</v>
      </c>
      <c r="AN359" s="17" t="n">
        <f aca="false">(AK359-AK358)/AK359*100</f>
        <v>-46.7462541164872</v>
      </c>
      <c r="AO359" s="17" t="str">
        <f aca="false">IF(AN359&lt;-8,"FITS BITCH",IF(AN359&gt;-8,"no"))</f>
        <v>FITS BITCH</v>
      </c>
      <c r="AP359" s="17" t="str">
        <f aca="false">IF(AH360&lt;AH359,"FITS BITCH",IF(AH360&gt;AH359,"no"))</f>
        <v>FITS BITCH</v>
      </c>
      <c r="AQ359" s="17" t="str">
        <f aca="false">IF(AI360&lt;AI359,"FITS BITCH",IF(AI360&gt;AI359,"no"))</f>
        <v>no</v>
      </c>
      <c r="AR359" s="17" t="str">
        <f aca="false">IF(AJ359&lt;AH360,"FITS BITCH",IF(AJ359&gt;AH360,"no"))</f>
        <v>no</v>
      </c>
      <c r="AS359" s="17" t="str">
        <f aca="false">IF(AJ359&gt;AJ360,"FITS BITCH",IF(AJ359&lt;AJ360,"no"))</f>
        <v>FITS BITCH</v>
      </c>
      <c r="AT359" s="91" t="str">
        <f aca="false">IF(AND($AO359="FITS BITCH",$AP359="FITS BITCH",$AR359="FITS BITCH"),"BULLISH","")</f>
        <v/>
      </c>
      <c r="AU359" s="91" t="str">
        <f aca="false">IF(AND($AO359="FITS BITCH",$AQ359="FITS BITCH",$AS359="FITS BITCH"),"BEARISH","")</f>
        <v/>
      </c>
      <c r="AV359" s="86"/>
      <c r="AW359" s="86"/>
      <c r="AX359" s="86"/>
      <c r="CL359" s="99" t="n">
        <v>42627</v>
      </c>
      <c r="CM359" s="23" t="n">
        <f aca="false">$BA$68*CL359+$BA$70</f>
        <v>107.096512093555</v>
      </c>
    </row>
    <row r="360" customFormat="false" ht="15.75" hidden="false" customHeight="false" outlineLevel="0" collapsed="false">
      <c r="AE360" s="90" t="n">
        <f aca="false">Data!A355</f>
        <v>42457</v>
      </c>
      <c r="AF360" s="17" t="n">
        <f aca="false">Data!B355</f>
        <v>106</v>
      </c>
      <c r="AG360" s="17" t="n">
        <f aca="false">Data!F355</f>
        <v>19303557</v>
      </c>
      <c r="AH360" s="17" t="n">
        <f aca="false">Data!C355</f>
        <v>106.19</v>
      </c>
      <c r="AI360" s="17" t="n">
        <f aca="false">Data!D355</f>
        <v>105.06</v>
      </c>
      <c r="AJ360" s="17" t="n">
        <f aca="false">Data!E355</f>
        <v>105.19</v>
      </c>
      <c r="AK360" s="17" t="n">
        <f aca="false">Data!F355</f>
        <v>19303557</v>
      </c>
      <c r="AL360" s="17" t="n">
        <f aca="false">AJ360</f>
        <v>105.19</v>
      </c>
      <c r="AM360" s="17" t="n">
        <f aca="false">(AL360-AL359)/AL360*100</f>
        <v>-2.3671451658903</v>
      </c>
      <c r="AN360" s="17" t="n">
        <f aca="false">(AK360-AK359)/AK360*100</f>
        <v>-59.4219915013591</v>
      </c>
      <c r="AO360" s="17" t="str">
        <f aca="false">IF(AN360&lt;-8,"FITS BITCH",IF(AN360&gt;-8,"no"))</f>
        <v>FITS BITCH</v>
      </c>
      <c r="AP360" s="17" t="str">
        <f aca="false">IF(AH361&lt;AH360,"FITS BITCH",IF(AH361&gt;AH360,"no"))</f>
        <v>no</v>
      </c>
      <c r="AQ360" s="17" t="str">
        <f aca="false">IF(AI361&lt;AI360,"FITS BITCH",IF(AI361&gt;AI360,"no"))</f>
        <v>FITS BITCH</v>
      </c>
      <c r="AR360" s="17" t="str">
        <f aca="false">IF(AJ360&lt;AH361,"FITS BITCH",IF(AJ360&gt;AH361,"no"))</f>
        <v>FITS BITCH</v>
      </c>
      <c r="AS360" s="17" t="str">
        <f aca="false">IF(AJ360&gt;AJ361,"FITS BITCH",IF(AJ360&lt;AJ361,"no"))</f>
        <v>no</v>
      </c>
      <c r="AT360" s="91" t="str">
        <f aca="false">IF(AND($AO360="FITS BITCH",$AP360="FITS BITCH",$AR360="FITS BITCH"),"BULLISH","")</f>
        <v/>
      </c>
      <c r="AU360" s="91" t="str">
        <f aca="false">IF(AND($AO360="FITS BITCH",$AQ360="FITS BITCH",$AS360="FITS BITCH"),"BEARISH","")</f>
        <v/>
      </c>
      <c r="AV360" s="86"/>
      <c r="AW360" s="86"/>
      <c r="AX360" s="86"/>
      <c r="CL360" s="99" t="n">
        <v>42626</v>
      </c>
      <c r="CM360" s="23" t="n">
        <f aca="false">$BA$68*CL360+$BA$70</f>
        <v>106.942393863313</v>
      </c>
    </row>
    <row r="361" customFormat="false" ht="15.75" hidden="false" customHeight="false" outlineLevel="0" collapsed="false">
      <c r="AE361" s="90" t="n">
        <f aca="false">Data!A356</f>
        <v>42453</v>
      </c>
      <c r="AF361" s="17" t="n">
        <f aca="false">Data!B356</f>
        <v>105.47</v>
      </c>
      <c r="AG361" s="17" t="n">
        <f aca="false">Data!F356</f>
        <v>25480914</v>
      </c>
      <c r="AH361" s="17" t="n">
        <f aca="false">Data!C356</f>
        <v>106.25</v>
      </c>
      <c r="AI361" s="17" t="n">
        <f aca="false">Data!D356</f>
        <v>104.89</v>
      </c>
      <c r="AJ361" s="17" t="n">
        <f aca="false">Data!E356</f>
        <v>105.67</v>
      </c>
      <c r="AK361" s="17" t="n">
        <f aca="false">Data!F356</f>
        <v>25480914</v>
      </c>
      <c r="AL361" s="17" t="n">
        <f aca="false">AJ361</f>
        <v>105.67</v>
      </c>
      <c r="AM361" s="17" t="n">
        <f aca="false">(AL361-AL360)/AL361*100</f>
        <v>0.454244345604243</v>
      </c>
      <c r="AN361" s="17" t="n">
        <f aca="false">(AK361-AK360)/AK361*100</f>
        <v>24.2430746401012</v>
      </c>
      <c r="AO361" s="17" t="str">
        <f aca="false">IF(AN361&lt;-8,"FITS BITCH",IF(AN361&gt;-8,"no"))</f>
        <v>no</v>
      </c>
      <c r="AP361" s="17" t="str">
        <f aca="false">IF(AH362&lt;AH361,"FITS BITCH",IF(AH362&gt;AH361,"no"))</f>
        <v>no</v>
      </c>
      <c r="AQ361" s="17" t="str">
        <f aca="false">IF(AI362&lt;AI361,"FITS BITCH",IF(AI362&gt;AI361,"no"))</f>
        <v>no</v>
      </c>
      <c r="AR361" s="17" t="str">
        <f aca="false">IF(AJ361&lt;AH362,"FITS BITCH",IF(AJ361&gt;AH362,"no"))</f>
        <v>FITS BITCH</v>
      </c>
      <c r="AS361" s="17" t="str">
        <f aca="false">IF(AJ361&gt;AJ362,"FITS BITCH",IF(AJ361&lt;AJ362,"no"))</f>
        <v>no</v>
      </c>
      <c r="AT361" s="91" t="str">
        <f aca="false">IF(AND($AO361="FITS BITCH",$AP361="FITS BITCH",$AR361="FITS BITCH"),"BULLISH","")</f>
        <v/>
      </c>
      <c r="AU361" s="91" t="str">
        <f aca="false">IF(AND($AO361="FITS BITCH",$AQ361="FITS BITCH",$AS361="FITS BITCH"),"BEARISH","")</f>
        <v/>
      </c>
      <c r="AV361" s="86"/>
      <c r="AW361" s="86"/>
      <c r="AX361" s="86"/>
      <c r="CL361" s="99" t="n">
        <v>42625</v>
      </c>
      <c r="CM361" s="23" t="n">
        <f aca="false">$BA$68*CL361+$BA$70</f>
        <v>106.78827563307</v>
      </c>
    </row>
    <row r="362" customFormat="false" ht="15.75" hidden="false" customHeight="false" outlineLevel="0" collapsed="false">
      <c r="AE362" s="90" t="n">
        <f aca="false">Data!A357</f>
        <v>42452</v>
      </c>
      <c r="AF362" s="17" t="n">
        <f aca="false">Data!B357</f>
        <v>106.48</v>
      </c>
      <c r="AG362" s="17" t="n">
        <f aca="false">Data!F357</f>
        <v>25452612</v>
      </c>
      <c r="AH362" s="17" t="n">
        <f aca="false">Data!C357</f>
        <v>107.07</v>
      </c>
      <c r="AI362" s="17" t="n">
        <f aca="false">Data!D357</f>
        <v>105.9</v>
      </c>
      <c r="AJ362" s="17" t="n">
        <f aca="false">Data!E357</f>
        <v>106.13</v>
      </c>
      <c r="AK362" s="17" t="n">
        <f aca="false">Data!F357</f>
        <v>25452612</v>
      </c>
      <c r="AL362" s="17" t="n">
        <f aca="false">AJ362</f>
        <v>106.13</v>
      </c>
      <c r="AM362" s="17" t="n">
        <f aca="false">(AL362-AL361)/AL362*100</f>
        <v>0.433430698200314</v>
      </c>
      <c r="AN362" s="17" t="n">
        <f aca="false">(AK362-AK361)/AK362*100</f>
        <v>-0.111194874616405</v>
      </c>
      <c r="AO362" s="17" t="str">
        <f aca="false">IF(AN362&lt;-8,"FITS BITCH",IF(AN362&gt;-8,"no"))</f>
        <v>no</v>
      </c>
      <c r="AP362" s="17" t="str">
        <f aca="false">IF(AH363&lt;AH362,"FITS BITCH",IF(AH363&gt;AH362,"no"))</f>
        <v>no</v>
      </c>
      <c r="AQ362" s="17" t="str">
        <f aca="false">IF(AI363&lt;AI362,"FITS BITCH",IF(AI363&gt;AI362,"no"))</f>
        <v>FITS BITCH</v>
      </c>
      <c r="AR362" s="17" t="str">
        <f aca="false">IF(AJ362&lt;AH363,"FITS BITCH",IF(AJ362&gt;AH363,"no"))</f>
        <v>FITS BITCH</v>
      </c>
      <c r="AS362" s="17" t="str">
        <f aca="false">IF(AJ362&gt;AJ363,"FITS BITCH",IF(AJ362&lt;AJ363,"no"))</f>
        <v>no</v>
      </c>
      <c r="AT362" s="91" t="str">
        <f aca="false">IF(AND($AO362="FITS BITCH",$AP362="FITS BITCH",$AR362="FITS BITCH"),"BULLISH","")</f>
        <v/>
      </c>
      <c r="AU362" s="91" t="str">
        <f aca="false">IF(AND($AO362="FITS BITCH",$AQ362="FITS BITCH",$AS362="FITS BITCH"),"BEARISH","")</f>
        <v/>
      </c>
      <c r="AV362" s="86"/>
      <c r="AW362" s="86"/>
      <c r="AX362" s="86"/>
      <c r="CL362" s="99" t="n">
        <v>42622</v>
      </c>
      <c r="CM362" s="23" t="n">
        <f aca="false">$BA$68*CL362+$BA$70</f>
        <v>106.325920942342</v>
      </c>
    </row>
    <row r="363" customFormat="false" ht="15.75" hidden="false" customHeight="false" outlineLevel="0" collapsed="false">
      <c r="AE363" s="90" t="n">
        <f aca="false">Data!A358</f>
        <v>42451</v>
      </c>
      <c r="AF363" s="17" t="n">
        <f aca="false">Data!B358</f>
        <v>105.25</v>
      </c>
      <c r="AG363" s="17" t="n">
        <f aca="false">Data!F358</f>
        <v>32232567</v>
      </c>
      <c r="AH363" s="17" t="n">
        <f aca="false">Data!C358</f>
        <v>107.29</v>
      </c>
      <c r="AI363" s="17" t="n">
        <f aca="false">Data!D358</f>
        <v>105.21</v>
      </c>
      <c r="AJ363" s="17" t="n">
        <f aca="false">Data!E358</f>
        <v>106.72</v>
      </c>
      <c r="AK363" s="17" t="n">
        <f aca="false">Data!F358</f>
        <v>32232567</v>
      </c>
      <c r="AL363" s="17" t="n">
        <f aca="false">AJ363</f>
        <v>106.72</v>
      </c>
      <c r="AM363" s="17" t="n">
        <f aca="false">(AL363-AL362)/AL363*100</f>
        <v>0.552848575712147</v>
      </c>
      <c r="AN363" s="17" t="n">
        <f aca="false">(AK363-AK362)/AK363*100</f>
        <v>21.0344866420351</v>
      </c>
      <c r="AO363" s="17" t="str">
        <f aca="false">IF(AN363&lt;-8,"FITS BITCH",IF(AN363&gt;-8,"no"))</f>
        <v>no</v>
      </c>
      <c r="AP363" s="17" t="str">
        <f aca="false">IF(AH364&lt;AH363,"FITS BITCH",IF(AH364&gt;AH363,"no"))</f>
        <v>no</v>
      </c>
      <c r="AQ363" s="17" t="str">
        <f aca="false">IF(AI364&lt;AI363,"FITS BITCH",IF(AI364&gt;AI363,"no"))</f>
        <v>FITS BITCH</v>
      </c>
      <c r="AR363" s="17" t="str">
        <f aca="false">IF(AJ363&lt;AH364,"FITS BITCH",IF(AJ363&gt;AH364,"no"))</f>
        <v>FITS BITCH</v>
      </c>
      <c r="AS363" s="17" t="str">
        <f aca="false">IF(AJ363&gt;AJ364,"FITS BITCH",IF(AJ363&lt;AJ364,"no"))</f>
        <v>FITS BITCH</v>
      </c>
      <c r="AT363" s="91" t="str">
        <f aca="false">IF(AND($AO363="FITS BITCH",$AP363="FITS BITCH",$AR363="FITS BITCH"),"BULLISH","")</f>
        <v/>
      </c>
      <c r="AU363" s="91" t="str">
        <f aca="false">IF(AND($AO363="FITS BITCH",$AQ363="FITS BITCH",$AS363="FITS BITCH"),"BEARISH","")</f>
        <v/>
      </c>
      <c r="AV363" s="86"/>
      <c r="AW363" s="86"/>
      <c r="AX363" s="86"/>
      <c r="CL363" s="99" t="n">
        <v>42621</v>
      </c>
      <c r="CM363" s="23" t="n">
        <f aca="false">$BA$68*CL363+$BA$70</f>
        <v>106.1718027121</v>
      </c>
    </row>
    <row r="364" customFormat="false" ht="15.75" hidden="false" customHeight="false" outlineLevel="0" collapsed="false">
      <c r="AE364" s="90" t="n">
        <f aca="false">Data!A359</f>
        <v>42450</v>
      </c>
      <c r="AF364" s="17" t="n">
        <f aca="false">Data!B359</f>
        <v>105.93</v>
      </c>
      <c r="AG364" s="17" t="n">
        <f aca="false">Data!F359</f>
        <v>35180796</v>
      </c>
      <c r="AH364" s="17" t="n">
        <f aca="false">Data!C359</f>
        <v>107.65</v>
      </c>
      <c r="AI364" s="17" t="n">
        <f aca="false">Data!D359</f>
        <v>105.14</v>
      </c>
      <c r="AJ364" s="17" t="n">
        <f aca="false">Data!E359</f>
        <v>105.91</v>
      </c>
      <c r="AK364" s="17" t="n">
        <f aca="false">Data!F359</f>
        <v>35180796</v>
      </c>
      <c r="AL364" s="17" t="n">
        <f aca="false">AJ364</f>
        <v>105.91</v>
      </c>
      <c r="AM364" s="17" t="n">
        <f aca="false">(AL364-AL363)/AL364*100</f>
        <v>-0.764800302143332</v>
      </c>
      <c r="AN364" s="17" t="n">
        <f aca="false">(AK364-AK363)/AK364*100</f>
        <v>8.38022255096218</v>
      </c>
      <c r="AO364" s="17" t="str">
        <f aca="false">IF(AN364&lt;-8,"FITS BITCH",IF(AN364&gt;-8,"no"))</f>
        <v>no</v>
      </c>
      <c r="AP364" s="17" t="str">
        <f aca="false">IF(AH365&lt;AH364,"FITS BITCH",IF(AH365&gt;AH364,"no"))</f>
        <v>FITS BITCH</v>
      </c>
      <c r="AQ364" s="17" t="str">
        <f aca="false">IF(AI365&lt;AI364,"FITS BITCH",IF(AI365&gt;AI364,"no"))</f>
        <v>no</v>
      </c>
      <c r="AR364" s="17" t="str">
        <f aca="false">IF(AJ364&lt;AH365,"FITS BITCH",IF(AJ364&gt;AH365,"no"))</f>
        <v>FITS BITCH</v>
      </c>
      <c r="AS364" s="17" t="str">
        <f aca="false">IF(AJ364&gt;AJ365,"FITS BITCH",IF(AJ364&lt;AJ365,"no"))</f>
        <v>no</v>
      </c>
      <c r="AT364" s="91" t="str">
        <f aca="false">IF(AND($AO364="FITS BITCH",$AP364="FITS BITCH",$AR364="FITS BITCH"),"BULLISH","")</f>
        <v/>
      </c>
      <c r="AU364" s="91" t="str">
        <f aca="false">IF(AND($AO364="FITS BITCH",$AQ364="FITS BITCH",$AS364="FITS BITCH"),"BEARISH","")</f>
        <v/>
      </c>
      <c r="AV364" s="86"/>
      <c r="AW364" s="86"/>
      <c r="AX364" s="86"/>
      <c r="CL364" s="99" t="n">
        <v>42620</v>
      </c>
      <c r="CM364" s="23" t="n">
        <f aca="false">$BA$68*CL364+$BA$70</f>
        <v>106.017684481857</v>
      </c>
    </row>
    <row r="365" customFormat="false" ht="15.75" hidden="false" customHeight="false" outlineLevel="0" collapsed="false">
      <c r="AE365" s="90" t="n">
        <f aca="false">Data!A360</f>
        <v>42447</v>
      </c>
      <c r="AF365" s="17" t="n">
        <f aca="false">Data!B360</f>
        <v>106.34</v>
      </c>
      <c r="AG365" s="17" t="n">
        <f aca="false">Data!F360</f>
        <v>43402289</v>
      </c>
      <c r="AH365" s="17" t="n">
        <f aca="false">Data!C360</f>
        <v>106.5</v>
      </c>
      <c r="AI365" s="17" t="n">
        <f aca="false">Data!D360</f>
        <v>105.19</v>
      </c>
      <c r="AJ365" s="17" t="n">
        <f aca="false">Data!E360</f>
        <v>105.92</v>
      </c>
      <c r="AK365" s="17" t="n">
        <f aca="false">Data!F360</f>
        <v>43402289</v>
      </c>
      <c r="AL365" s="17" t="n">
        <f aca="false">AJ365</f>
        <v>105.92</v>
      </c>
      <c r="AM365" s="17" t="n">
        <f aca="false">(AL365-AL364)/AL365*100</f>
        <v>0.00944108761329788</v>
      </c>
      <c r="AN365" s="17" t="n">
        <f aca="false">(AK365-AK364)/AK365*100</f>
        <v>18.942533192201</v>
      </c>
      <c r="AO365" s="17" t="str">
        <f aca="false">IF(AN365&lt;-8,"FITS BITCH",IF(AN365&gt;-8,"no"))</f>
        <v>no</v>
      </c>
      <c r="AP365" s="17" t="str">
        <f aca="false">IF(AH366&lt;AH365,"FITS BITCH",IF(AH366&gt;AH365,"no"))</f>
        <v>FITS BITCH</v>
      </c>
      <c r="AQ365" s="17" t="str">
        <f aca="false">IF(AI366&lt;AI365,"FITS BITCH",IF(AI366&gt;AI365,"no"))</f>
        <v>FITS BITCH</v>
      </c>
      <c r="AR365" s="17" t="str">
        <f aca="false">IF(AJ365&lt;AH366,"FITS BITCH",IF(AJ365&gt;AH366,"no"))</f>
        <v>FITS BITCH</v>
      </c>
      <c r="AS365" s="17" t="str">
        <f aca="false">IF(AJ365&gt;AJ366,"FITS BITCH",IF(AJ365&lt;AJ366,"no"))</f>
        <v>FITS BITCH</v>
      </c>
      <c r="AT365" s="91" t="str">
        <f aca="false">IF(AND($AO365="FITS BITCH",$AP365="FITS BITCH",$AR365="FITS BITCH"),"BULLISH","")</f>
        <v/>
      </c>
      <c r="AU365" s="91" t="str">
        <f aca="false">IF(AND($AO365="FITS BITCH",$AQ365="FITS BITCH",$AS365="FITS BITCH"),"BEARISH","")</f>
        <v/>
      </c>
      <c r="AV365" s="86"/>
      <c r="AW365" s="86"/>
      <c r="AX365" s="86"/>
      <c r="CL365" s="99" t="n">
        <v>42619</v>
      </c>
      <c r="CM365" s="23" t="n">
        <f aca="false">$BA$68*CL365+$BA$70</f>
        <v>105.863566251614</v>
      </c>
    </row>
    <row r="366" customFormat="false" ht="15.75" hidden="false" customHeight="false" outlineLevel="0" collapsed="false">
      <c r="AE366" s="90" t="n">
        <f aca="false">Data!A361</f>
        <v>42446</v>
      </c>
      <c r="AF366" s="17" t="n">
        <f aca="false">Data!B361</f>
        <v>105.52</v>
      </c>
      <c r="AG366" s="17" t="n">
        <f aca="false">Data!F361</f>
        <v>34244593</v>
      </c>
      <c r="AH366" s="17" t="n">
        <f aca="false">Data!C361</f>
        <v>106.47</v>
      </c>
      <c r="AI366" s="17" t="n">
        <f aca="false">Data!D361</f>
        <v>104.96</v>
      </c>
      <c r="AJ366" s="17" t="n">
        <f aca="false">Data!E361</f>
        <v>105.8</v>
      </c>
      <c r="AK366" s="17" t="n">
        <f aca="false">Data!F361</f>
        <v>34244593</v>
      </c>
      <c r="AL366" s="17" t="n">
        <f aca="false">AJ366</f>
        <v>105.8</v>
      </c>
      <c r="AM366" s="17" t="n">
        <f aca="false">(AL366-AL365)/AL366*100</f>
        <v>-0.113421550094522</v>
      </c>
      <c r="AN366" s="17" t="n">
        <f aca="false">(AK366-AK365)/AK366*100</f>
        <v>-26.7420202657979</v>
      </c>
      <c r="AO366" s="17" t="str">
        <f aca="false">IF(AN366&lt;-8,"FITS BITCH",IF(AN366&gt;-8,"no"))</f>
        <v>FITS BITCH</v>
      </c>
      <c r="AP366" s="17" t="str">
        <f aca="false">IF(AH367&lt;AH366,"FITS BITCH",IF(AH367&gt;AH366,"no"))</f>
        <v>FITS BITCH</v>
      </c>
      <c r="AQ366" s="17" t="str">
        <f aca="false">IF(AI367&lt;AI366,"FITS BITCH",IF(AI367&gt;AI366,"no"))</f>
        <v>FITS BITCH</v>
      </c>
      <c r="AR366" s="17" t="str">
        <f aca="false">IF(AJ366&lt;AH367,"FITS BITCH",IF(AJ366&gt;AH367,"no"))</f>
        <v>FITS BITCH</v>
      </c>
      <c r="AS366" s="17" t="str">
        <f aca="false">IF(AJ366&gt;AJ367,"FITS BITCH",IF(AJ366&lt;AJ367,"no"))</f>
        <v>no</v>
      </c>
      <c r="AT366" s="91" t="str">
        <f aca="false">IF(AND($AO366="FITS BITCH",$AP366="FITS BITCH",$AR366="FITS BITCH"),"BULLISH","")</f>
        <v>BULLISH</v>
      </c>
      <c r="AU366" s="91" t="str">
        <f aca="false">IF(AND($AO366="FITS BITCH",$AQ366="FITS BITCH",$AS366="FITS BITCH"),"BEARISH","")</f>
        <v/>
      </c>
      <c r="AV366" s="86"/>
      <c r="AW366" s="86"/>
      <c r="AX366" s="86"/>
      <c r="CL366" s="99" t="n">
        <v>42618</v>
      </c>
      <c r="CM366" s="23" t="n">
        <f aca="false">$BA$68*CL366+$BA$70</f>
        <v>105.709448021371</v>
      </c>
    </row>
    <row r="367" customFormat="false" ht="15.75" hidden="false" customHeight="false" outlineLevel="0" collapsed="false">
      <c r="AE367" s="90" t="n">
        <f aca="false">Data!A362</f>
        <v>42445</v>
      </c>
      <c r="AF367" s="17" t="n">
        <f aca="false">Data!B362</f>
        <v>104.61</v>
      </c>
      <c r="AG367" s="17" t="n">
        <f aca="false">Data!F362</f>
        <v>37893758</v>
      </c>
      <c r="AH367" s="17" t="n">
        <f aca="false">Data!C362</f>
        <v>106.31</v>
      </c>
      <c r="AI367" s="17" t="n">
        <f aca="false">Data!D362</f>
        <v>104.59</v>
      </c>
      <c r="AJ367" s="17" t="n">
        <f aca="false">Data!E362</f>
        <v>105.97</v>
      </c>
      <c r="AK367" s="17" t="n">
        <f aca="false">Data!F362</f>
        <v>37893758</v>
      </c>
      <c r="AL367" s="17" t="n">
        <f aca="false">AJ367</f>
        <v>105.97</v>
      </c>
      <c r="AM367" s="17" t="n">
        <f aca="false">(AL367-AL366)/AL367*100</f>
        <v>0.16042276115882</v>
      </c>
      <c r="AN367" s="17" t="n">
        <f aca="false">(AK367-AK366)/AK367*100</f>
        <v>9.62998972020669</v>
      </c>
      <c r="AO367" s="17" t="str">
        <f aca="false">IF(AN367&lt;-8,"FITS BITCH",IF(AN367&gt;-8,"no"))</f>
        <v>no</v>
      </c>
      <c r="AP367" s="17" t="str">
        <f aca="false">IF(AH368&lt;AH367,"FITS BITCH",IF(AH368&gt;AH367,"no"))</f>
        <v>FITS BITCH</v>
      </c>
      <c r="AQ367" s="17" t="str">
        <f aca="false">IF(AI368&lt;AI367,"FITS BITCH",IF(AI368&gt;AI367,"no"))</f>
        <v>FITS BITCH</v>
      </c>
      <c r="AR367" s="17" t="str">
        <f aca="false">IF(AJ367&lt;AH368,"FITS BITCH",IF(AJ367&gt;AH368,"no"))</f>
        <v>no</v>
      </c>
      <c r="AS367" s="17" t="str">
        <f aca="false">IF(AJ367&gt;AJ368,"FITS BITCH",IF(AJ367&lt;AJ368,"no"))</f>
        <v>FITS BITCH</v>
      </c>
      <c r="AT367" s="91" t="str">
        <f aca="false">IF(AND($AO367="FITS BITCH",$AP367="FITS BITCH",$AR367="FITS BITCH"),"BULLISH","")</f>
        <v/>
      </c>
      <c r="AU367" s="91" t="str">
        <f aca="false">IF(AND($AO367="FITS BITCH",$AQ367="FITS BITCH",$AS367="FITS BITCH"),"BEARISH","")</f>
        <v/>
      </c>
      <c r="AV367" s="86"/>
      <c r="AW367" s="86"/>
      <c r="AX367" s="86"/>
      <c r="CL367" s="99" t="n">
        <v>42615</v>
      </c>
      <c r="CM367" s="23" t="n">
        <f aca="false">$BA$68*CL367+$BA$70</f>
        <v>105.247093330643</v>
      </c>
    </row>
    <row r="368" customFormat="false" ht="15.75" hidden="false" customHeight="false" outlineLevel="0" collapsed="false">
      <c r="AE368" s="90" t="n">
        <f aca="false">Data!A363</f>
        <v>42444</v>
      </c>
      <c r="AF368" s="17" t="n">
        <f aca="false">Data!B363</f>
        <v>103.96</v>
      </c>
      <c r="AG368" s="17" t="n">
        <f aca="false">Data!F363</f>
        <v>40067734</v>
      </c>
      <c r="AH368" s="17" t="n">
        <f aca="false">Data!C363</f>
        <v>105.18</v>
      </c>
      <c r="AI368" s="17" t="n">
        <f aca="false">Data!D363</f>
        <v>103.85</v>
      </c>
      <c r="AJ368" s="17" t="n">
        <f aca="false">Data!E363</f>
        <v>104.58</v>
      </c>
      <c r="AK368" s="17" t="n">
        <f aca="false">Data!F363</f>
        <v>40067734</v>
      </c>
      <c r="AL368" s="17" t="n">
        <f aca="false">AJ368</f>
        <v>104.58</v>
      </c>
      <c r="AM368" s="17" t="n">
        <f aca="false">(AL368-AL367)/AL368*100</f>
        <v>-1.32912602792121</v>
      </c>
      <c r="AN368" s="17" t="n">
        <f aca="false">(AK368-AK367)/AK368*100</f>
        <v>5.42575230233884</v>
      </c>
      <c r="AO368" s="17" t="str">
        <f aca="false">IF(AN368&lt;-8,"FITS BITCH",IF(AN368&gt;-8,"no"))</f>
        <v>no</v>
      </c>
      <c r="AP368" s="17" t="str">
        <f aca="false">IF(AH369&lt;AH368,"FITS BITCH",IF(AH369&gt;AH368,"no"))</f>
        <v>FITS BITCH</v>
      </c>
      <c r="AQ368" s="17" t="str">
        <f aca="false">IF(AI369&lt;AI368,"FITS BITCH",IF(AI369&gt;AI368,"no"))</f>
        <v>FITS BITCH</v>
      </c>
      <c r="AR368" s="17" t="str">
        <f aca="false">IF(AJ368&lt;AH369,"FITS BITCH",IF(AJ368&gt;AH369,"no"))</f>
        <v>no</v>
      </c>
      <c r="AS368" s="17" t="str">
        <f aca="false">IF(AJ368&gt;AJ369,"FITS BITCH",IF(AJ368&lt;AJ369,"no"))</f>
        <v>FITS BITCH</v>
      </c>
      <c r="AT368" s="91" t="str">
        <f aca="false">IF(AND($AO368="FITS BITCH",$AP368="FITS BITCH",$AR368="FITS BITCH"),"BULLISH","")</f>
        <v/>
      </c>
      <c r="AU368" s="91" t="str">
        <f aca="false">IF(AND($AO368="FITS BITCH",$AQ368="FITS BITCH",$AS368="FITS BITCH"),"BEARISH","")</f>
        <v/>
      </c>
      <c r="AV368" s="86"/>
      <c r="AW368" s="86"/>
      <c r="AX368" s="86"/>
      <c r="CL368" s="99" t="n">
        <v>42614</v>
      </c>
      <c r="CM368" s="23" t="n">
        <f aca="false">$BA$68*CL368+$BA$70</f>
        <v>105.092975100401</v>
      </c>
    </row>
    <row r="369" customFormat="false" ht="15.75" hidden="false" customHeight="false" outlineLevel="0" collapsed="false">
      <c r="AE369" s="90" t="n">
        <f aca="false">Data!A364</f>
        <v>42443</v>
      </c>
      <c r="AF369" s="17" t="n">
        <f aca="false">Data!B364</f>
        <v>101.91</v>
      </c>
      <c r="AG369" s="17" t="n">
        <f aca="false">Data!F364</f>
        <v>25027426</v>
      </c>
      <c r="AH369" s="17" t="n">
        <f aca="false">Data!C364</f>
        <v>102.91</v>
      </c>
      <c r="AI369" s="17" t="n">
        <f aca="false">Data!D364</f>
        <v>101.78</v>
      </c>
      <c r="AJ369" s="17" t="n">
        <f aca="false">Data!E364</f>
        <v>102.52</v>
      </c>
      <c r="AK369" s="17" t="n">
        <f aca="false">Data!F364</f>
        <v>25027426</v>
      </c>
      <c r="AL369" s="17" t="n">
        <f aca="false">AJ369</f>
        <v>102.52</v>
      </c>
      <c r="AM369" s="17" t="n">
        <f aca="false">(AL369-AL368)/AL369*100</f>
        <v>-2.00936402653141</v>
      </c>
      <c r="AN369" s="17" t="n">
        <f aca="false">(AK369-AK368)/AK369*100</f>
        <v>-60.0953050465517</v>
      </c>
      <c r="AO369" s="17" t="str">
        <f aca="false">IF(AN369&lt;-8,"FITS BITCH",IF(AN369&gt;-8,"no"))</f>
        <v>FITS BITCH</v>
      </c>
      <c r="AP369" s="17" t="str">
        <f aca="false">IF(AH370&lt;AH369,"FITS BITCH",IF(AH370&gt;AH369,"no"))</f>
        <v>FITS BITCH</v>
      </c>
      <c r="AQ369" s="17" t="str">
        <f aca="false">IF(AI370&lt;AI369,"FITS BITCH",IF(AI370&gt;AI369,"no"))</f>
        <v>FITS BITCH</v>
      </c>
      <c r="AR369" s="17" t="str">
        <f aca="false">IF(AJ369&lt;AH370,"FITS BITCH",IF(AJ369&gt;AH370,"no"))</f>
        <v>no</v>
      </c>
      <c r="AS369" s="17" t="str">
        <f aca="false">IF(AJ369&gt;AJ370,"FITS BITCH",IF(AJ369&lt;AJ370,"no"))</f>
        <v>FITS BITCH</v>
      </c>
      <c r="AT369" s="91" t="str">
        <f aca="false">IF(AND($AO369="FITS BITCH",$AP369="FITS BITCH",$AR369="FITS BITCH"),"BULLISH","")</f>
        <v/>
      </c>
      <c r="AU369" s="91" t="str">
        <f aca="false">IF(AND($AO369="FITS BITCH",$AQ369="FITS BITCH",$AS369="FITS BITCH"),"BEARISH","")</f>
        <v>BEARISH</v>
      </c>
      <c r="AV369" s="86"/>
      <c r="AW369" s="86"/>
      <c r="AX369" s="86"/>
      <c r="CL369" s="99" t="n">
        <v>42613</v>
      </c>
      <c r="CM369" s="23" t="n">
        <f aca="false">$BA$68*CL369+$BA$70</f>
        <v>104.938856870158</v>
      </c>
    </row>
    <row r="370" customFormat="false" ht="15.75" hidden="false" customHeight="false" outlineLevel="0" collapsed="false">
      <c r="AE370" s="90" t="n">
        <f aca="false">Data!A365</f>
        <v>42440</v>
      </c>
      <c r="AF370" s="17" t="n">
        <f aca="false">Data!B365</f>
        <v>102.24</v>
      </c>
      <c r="AG370" s="17" t="n">
        <f aca="false">Data!F365</f>
        <v>27200833</v>
      </c>
      <c r="AH370" s="17" t="n">
        <f aca="false">Data!C365</f>
        <v>102.28</v>
      </c>
      <c r="AI370" s="17" t="n">
        <f aca="false">Data!D365</f>
        <v>101.5</v>
      </c>
      <c r="AJ370" s="17" t="n">
        <f aca="false">Data!E365</f>
        <v>102.26</v>
      </c>
      <c r="AK370" s="17" t="n">
        <f aca="false">Data!F365</f>
        <v>27200833</v>
      </c>
      <c r="AL370" s="17" t="n">
        <f aca="false">AJ370</f>
        <v>102.26</v>
      </c>
      <c r="AM370" s="17" t="n">
        <f aca="false">(AL370-AL369)/AL370*100</f>
        <v>-0.254253862702905</v>
      </c>
      <c r="AN370" s="17" t="n">
        <f aca="false">(AK370-AK369)/AK370*100</f>
        <v>7.99022221120949</v>
      </c>
      <c r="AO370" s="17" t="str">
        <f aca="false">IF(AN370&lt;-8,"FITS BITCH",IF(AN370&gt;-8,"no"))</f>
        <v>no</v>
      </c>
      <c r="AP370" s="17" t="str">
        <f aca="false">IF(AH371&lt;AH370,"FITS BITCH",IF(AH371&gt;AH370,"no"))</f>
        <v>FITS BITCH</v>
      </c>
      <c r="AQ370" s="17" t="str">
        <f aca="false">IF(AI371&lt;AI370,"FITS BITCH",IF(AI371&gt;AI370,"no"))</f>
        <v>FITS BITCH</v>
      </c>
      <c r="AR370" s="17" t="str">
        <f aca="false">IF(AJ370&lt;AH371,"FITS BITCH",IF(AJ370&gt;AH371,"no"))</f>
        <v>no</v>
      </c>
      <c r="AS370" s="17" t="str">
        <f aca="false">IF(AJ370&gt;AJ371,"FITS BITCH",IF(AJ370&lt;AJ371,"no"))</f>
        <v>FITS BITCH</v>
      </c>
      <c r="AT370" s="91" t="str">
        <f aca="false">IF(AND($AO370="FITS BITCH",$AP370="FITS BITCH",$AR370="FITS BITCH"),"BULLISH","")</f>
        <v/>
      </c>
      <c r="AU370" s="91" t="str">
        <f aca="false">IF(AND($AO370="FITS BITCH",$AQ370="FITS BITCH",$AS370="FITS BITCH"),"BEARISH","")</f>
        <v/>
      </c>
      <c r="AV370" s="86"/>
      <c r="AW370" s="86"/>
      <c r="AX370" s="86"/>
      <c r="CL370" s="99" t="n">
        <v>42612</v>
      </c>
      <c r="CM370" s="23" t="n">
        <f aca="false">$BA$68*CL370+$BA$70</f>
        <v>104.784738639915</v>
      </c>
    </row>
    <row r="371" customFormat="false" ht="15.75" hidden="false" customHeight="false" outlineLevel="0" collapsed="false">
      <c r="AE371" s="90" t="n">
        <f aca="false">Data!A366</f>
        <v>42439</v>
      </c>
      <c r="AF371" s="17" t="n">
        <f aca="false">Data!B366</f>
        <v>101.41</v>
      </c>
      <c r="AG371" s="17" t="n">
        <f aca="false">Data!F366</f>
        <v>33513577</v>
      </c>
      <c r="AH371" s="17" t="n">
        <f aca="false">Data!C366</f>
        <v>102.24</v>
      </c>
      <c r="AI371" s="17" t="n">
        <f aca="false">Data!D366</f>
        <v>100.15</v>
      </c>
      <c r="AJ371" s="17" t="n">
        <f aca="false">Data!E366</f>
        <v>101.17</v>
      </c>
      <c r="AK371" s="17" t="n">
        <f aca="false">Data!F366</f>
        <v>33513577</v>
      </c>
      <c r="AL371" s="17" t="n">
        <f aca="false">AJ371</f>
        <v>101.17</v>
      </c>
      <c r="AM371" s="17" t="n">
        <f aca="false">(AL371-AL370)/AL371*100</f>
        <v>-1.07739448453099</v>
      </c>
      <c r="AN371" s="17" t="n">
        <f aca="false">(AK371-AK370)/AK371*100</f>
        <v>18.8363778656035</v>
      </c>
      <c r="AO371" s="17" t="str">
        <f aca="false">IF(AN371&lt;-8,"FITS BITCH",IF(AN371&gt;-8,"no"))</f>
        <v>no</v>
      </c>
      <c r="AP371" s="17" t="str">
        <f aca="false">IF(AH372&lt;AH371,"FITS BITCH",IF(AH372&gt;AH371,"no"))</f>
        <v>FITS BITCH</v>
      </c>
      <c r="AQ371" s="17" t="str">
        <f aca="false">IF(AI372&lt;AI371,"FITS BITCH",IF(AI372&gt;AI371,"no"))</f>
        <v>no</v>
      </c>
      <c r="AR371" s="17" t="str">
        <f aca="false">IF(AJ371&lt;AH372,"FITS BITCH",IF(AJ371&gt;AH372,"no"))</f>
        <v>FITS BITCH</v>
      </c>
      <c r="AS371" s="17" t="str">
        <f aca="false">IF(AJ371&gt;AJ372,"FITS BITCH",IF(AJ371&lt;AJ372,"no"))</f>
        <v>FITS BITCH</v>
      </c>
      <c r="AT371" s="91" t="str">
        <f aca="false">IF(AND($AO371="FITS BITCH",$AP371="FITS BITCH",$AR371="FITS BITCH"),"BULLISH","")</f>
        <v/>
      </c>
      <c r="AU371" s="91" t="str">
        <f aca="false">IF(AND($AO371="FITS BITCH",$AQ371="FITS BITCH",$AS371="FITS BITCH"),"BEARISH","")</f>
        <v/>
      </c>
      <c r="AV371" s="86"/>
      <c r="AW371" s="86"/>
      <c r="AX371" s="86"/>
      <c r="CL371" s="99" t="n">
        <v>42611</v>
      </c>
      <c r="CM371" s="23" t="n">
        <f aca="false">$BA$68*CL371+$BA$70</f>
        <v>104.630620409673</v>
      </c>
    </row>
    <row r="372" customFormat="false" ht="15.75" hidden="false" customHeight="false" outlineLevel="0" collapsed="false">
      <c r="AE372" s="90" t="n">
        <f aca="false">Data!A367</f>
        <v>42438</v>
      </c>
      <c r="AF372" s="17" t="n">
        <f aca="false">Data!B367</f>
        <v>101.31</v>
      </c>
      <c r="AG372" s="17" t="n">
        <f aca="false">Data!F367</f>
        <v>27130729</v>
      </c>
      <c r="AH372" s="17" t="n">
        <f aca="false">Data!C367</f>
        <v>101.58</v>
      </c>
      <c r="AI372" s="17" t="n">
        <f aca="false">Data!D367</f>
        <v>100.27</v>
      </c>
      <c r="AJ372" s="17" t="n">
        <f aca="false">Data!E367</f>
        <v>101.12</v>
      </c>
      <c r="AK372" s="17" t="n">
        <f aca="false">Data!F367</f>
        <v>27130729</v>
      </c>
      <c r="AL372" s="17" t="n">
        <f aca="false">AJ372</f>
        <v>101.12</v>
      </c>
      <c r="AM372" s="17" t="n">
        <f aca="false">(AL372-AL371)/AL372*100</f>
        <v>-0.0494462025316428</v>
      </c>
      <c r="AN372" s="17" t="n">
        <f aca="false">(AK372-AK371)/AK372*100</f>
        <v>-23.5262679451039</v>
      </c>
      <c r="AO372" s="17" t="str">
        <f aca="false">IF(AN372&lt;-8,"FITS BITCH",IF(AN372&gt;-8,"no"))</f>
        <v>FITS BITCH</v>
      </c>
      <c r="AP372" s="17" t="str">
        <f aca="false">IF(AH373&lt;AH372,"FITS BITCH",IF(AH373&gt;AH372,"no"))</f>
        <v>no</v>
      </c>
      <c r="AQ372" s="17" t="str">
        <f aca="false">IF(AI373&lt;AI372,"FITS BITCH",IF(AI373&gt;AI372,"no"))</f>
        <v>no</v>
      </c>
      <c r="AR372" s="17" t="str">
        <f aca="false">IF(AJ372&lt;AH373,"FITS BITCH",IF(AJ372&gt;AH373,"no"))</f>
        <v>FITS BITCH</v>
      </c>
      <c r="AS372" s="17" t="str">
        <f aca="false">IF(AJ372&gt;AJ373,"FITS BITCH",IF(AJ372&lt;AJ373,"no"))</f>
        <v>FITS BITCH</v>
      </c>
      <c r="AT372" s="91" t="str">
        <f aca="false">IF(AND($AO372="FITS BITCH",$AP372="FITS BITCH",$AR372="FITS BITCH"),"BULLISH","")</f>
        <v/>
      </c>
      <c r="AU372" s="91" t="str">
        <f aca="false">IF(AND($AO372="FITS BITCH",$AQ372="FITS BITCH",$AS372="FITS BITCH"),"BEARISH","")</f>
        <v/>
      </c>
      <c r="AV372" s="86"/>
      <c r="AW372" s="86"/>
      <c r="AX372" s="86"/>
      <c r="CL372" s="99" t="n">
        <v>42608</v>
      </c>
      <c r="CM372" s="23" t="n">
        <f aca="false">$BA$68*CL372+$BA$70</f>
        <v>104.168265718944</v>
      </c>
    </row>
    <row r="373" customFormat="false" ht="15.75" hidden="false" customHeight="false" outlineLevel="0" collapsed="false">
      <c r="AE373" s="90" t="n">
        <f aca="false">Data!A368</f>
        <v>42437</v>
      </c>
      <c r="AF373" s="17" t="n">
        <f aca="false">Data!B368</f>
        <v>100.78</v>
      </c>
      <c r="AG373" s="17" t="n">
        <f aca="false">Data!F368</f>
        <v>31274161</v>
      </c>
      <c r="AH373" s="17" t="n">
        <f aca="false">Data!C368</f>
        <v>101.76</v>
      </c>
      <c r="AI373" s="17" t="n">
        <f aca="false">Data!D368</f>
        <v>100.4</v>
      </c>
      <c r="AJ373" s="17" t="n">
        <f aca="false">Data!E368</f>
        <v>101.03</v>
      </c>
      <c r="AK373" s="17" t="n">
        <f aca="false">Data!F368</f>
        <v>31274161</v>
      </c>
      <c r="AL373" s="17" t="n">
        <f aca="false">AJ373</f>
        <v>101.03</v>
      </c>
      <c r="AM373" s="17" t="n">
        <f aca="false">(AL373-AL372)/AL373*100</f>
        <v>-0.0890824507572042</v>
      </c>
      <c r="AN373" s="17" t="n">
        <f aca="false">(AK373-AK372)/AK373*100</f>
        <v>13.248739110859</v>
      </c>
      <c r="AO373" s="17" t="str">
        <f aca="false">IF(AN373&lt;-8,"FITS BITCH",IF(AN373&gt;-8,"no"))</f>
        <v>no</v>
      </c>
      <c r="AP373" s="17" t="str">
        <f aca="false">IF(AH374&lt;AH373,"FITS BITCH",IF(AH374&gt;AH373,"no"))</f>
        <v>no</v>
      </c>
      <c r="AQ373" s="17" t="str">
        <f aca="false">IF(AI374&lt;AI373,"FITS BITCH",IF(AI374&gt;AI373,"no"))</f>
        <v>no</v>
      </c>
      <c r="AR373" s="17" t="str">
        <f aca="false">IF(AJ373&lt;AH374,"FITS BITCH",IF(AJ373&gt;AH374,"no"))</f>
        <v>FITS BITCH</v>
      </c>
      <c r="AS373" s="17" t="str">
        <f aca="false">IF(AJ373&gt;AJ374,"FITS BITCH",IF(AJ373&lt;AJ374,"no"))</f>
        <v>no</v>
      </c>
      <c r="AT373" s="91" t="str">
        <f aca="false">IF(AND($AO373="FITS BITCH",$AP373="FITS BITCH",$AR373="FITS BITCH"),"BULLISH","")</f>
        <v/>
      </c>
      <c r="AU373" s="91" t="str">
        <f aca="false">IF(AND($AO373="FITS BITCH",$AQ373="FITS BITCH",$AS373="FITS BITCH"),"BEARISH","")</f>
        <v/>
      </c>
      <c r="AV373" s="86"/>
      <c r="AW373" s="86"/>
      <c r="AX373" s="86"/>
      <c r="CL373" s="99" t="n">
        <v>42607</v>
      </c>
      <c r="CM373" s="23" t="n">
        <f aca="false">$BA$68*CL373+$BA$70</f>
        <v>104.014147488701</v>
      </c>
    </row>
    <row r="374" customFormat="false" ht="15.75" hidden="false" customHeight="false" outlineLevel="0" collapsed="false">
      <c r="AE374" s="90" t="n">
        <f aca="false">Data!A369</f>
        <v>42436</v>
      </c>
      <c r="AF374" s="17" t="n">
        <f aca="false">Data!B369</f>
        <v>102.39</v>
      </c>
      <c r="AG374" s="17" t="n">
        <f aca="false">Data!F369</f>
        <v>35828909</v>
      </c>
      <c r="AH374" s="17" t="n">
        <f aca="false">Data!C369</f>
        <v>102.83</v>
      </c>
      <c r="AI374" s="17" t="n">
        <f aca="false">Data!D369</f>
        <v>100.96</v>
      </c>
      <c r="AJ374" s="17" t="n">
        <f aca="false">Data!E369</f>
        <v>101.87</v>
      </c>
      <c r="AK374" s="17" t="n">
        <f aca="false">Data!F369</f>
        <v>35828909</v>
      </c>
      <c r="AL374" s="17" t="n">
        <f aca="false">AJ374</f>
        <v>101.87</v>
      </c>
      <c r="AM374" s="17" t="n">
        <f aca="false">(AL374-AL373)/AL374*100</f>
        <v>0.824580347501721</v>
      </c>
      <c r="AN374" s="17" t="n">
        <f aca="false">(AK374-AK373)/AK374*100</f>
        <v>12.7124942598727</v>
      </c>
      <c r="AO374" s="17" t="str">
        <f aca="false">IF(AN374&lt;-8,"FITS BITCH",IF(AN374&gt;-8,"no"))</f>
        <v>no</v>
      </c>
      <c r="AP374" s="17" t="str">
        <f aca="false">IF(AH375&lt;AH374,"FITS BITCH",IF(AH375&gt;AH374,"no"))</f>
        <v>no</v>
      </c>
      <c r="AQ374" s="17" t="str">
        <f aca="false">IF(AI375&lt;AI374,"FITS BITCH",IF(AI375&gt;AI374,"no"))</f>
        <v>no</v>
      </c>
      <c r="AR374" s="17" t="str">
        <f aca="false">IF(AJ374&lt;AH375,"FITS BITCH",IF(AJ374&gt;AH375,"no"))</f>
        <v>FITS BITCH</v>
      </c>
      <c r="AS374" s="17" t="str">
        <f aca="false">IF(AJ374&gt;AJ375,"FITS BITCH",IF(AJ374&lt;AJ375,"no"))</f>
        <v>no</v>
      </c>
      <c r="AT374" s="91" t="str">
        <f aca="false">IF(AND($AO374="FITS BITCH",$AP374="FITS BITCH",$AR374="FITS BITCH"),"BULLISH","")</f>
        <v/>
      </c>
      <c r="AU374" s="91" t="str">
        <f aca="false">IF(AND($AO374="FITS BITCH",$AQ374="FITS BITCH",$AS374="FITS BITCH"),"BEARISH","")</f>
        <v/>
      </c>
      <c r="AV374" s="86"/>
      <c r="AW374" s="86"/>
      <c r="AX374" s="86"/>
      <c r="CL374" s="99" t="n">
        <v>42606</v>
      </c>
      <c r="CM374" s="23" t="n">
        <f aca="false">$BA$68*CL374+$BA$70</f>
        <v>103.860029258459</v>
      </c>
    </row>
    <row r="375" customFormat="false" ht="15.75" hidden="false" customHeight="false" outlineLevel="0" collapsed="false">
      <c r="AE375" s="90" t="n">
        <f aca="false">Data!A370</f>
        <v>42433</v>
      </c>
      <c r="AF375" s="17" t="n">
        <f aca="false">Data!B370</f>
        <v>102.37</v>
      </c>
      <c r="AG375" s="17" t="n">
        <f aca="false">Data!F370</f>
        <v>45936485</v>
      </c>
      <c r="AH375" s="17" t="n">
        <f aca="false">Data!C370</f>
        <v>103.75</v>
      </c>
      <c r="AI375" s="17" t="n">
        <f aca="false">Data!D370</f>
        <v>101.37</v>
      </c>
      <c r="AJ375" s="17" t="n">
        <f aca="false">Data!E370</f>
        <v>103.01</v>
      </c>
      <c r="AK375" s="17" t="n">
        <f aca="false">Data!F370</f>
        <v>45936485</v>
      </c>
      <c r="AL375" s="17" t="n">
        <f aca="false">AJ375</f>
        <v>103.01</v>
      </c>
      <c r="AM375" s="17" t="n">
        <f aca="false">(AL375-AL374)/AL375*100</f>
        <v>1.10668867100282</v>
      </c>
      <c r="AN375" s="17" t="n">
        <f aca="false">(AK375-AK374)/AK375*100</f>
        <v>22.003372700371</v>
      </c>
      <c r="AO375" s="17" t="str">
        <f aca="false">IF(AN375&lt;-8,"FITS BITCH",IF(AN375&gt;-8,"no"))</f>
        <v>no</v>
      </c>
      <c r="AP375" s="17" t="str">
        <f aca="false">IF(AH376&lt;AH375,"FITS BITCH",IF(AH376&gt;AH375,"no"))</f>
        <v>FITS BITCH</v>
      </c>
      <c r="AQ375" s="17" t="str">
        <f aca="false">IF(AI376&lt;AI375,"FITS BITCH",IF(AI376&gt;AI375,"no"))</f>
        <v>FITS BITCH</v>
      </c>
      <c r="AR375" s="17" t="str">
        <f aca="false">IF(AJ375&lt;AH376,"FITS BITCH",IF(AJ375&gt;AH376,"no"))</f>
        <v>no</v>
      </c>
      <c r="AS375" s="17" t="str">
        <f aca="false">IF(AJ375&gt;AJ376,"FITS BITCH",IF(AJ375&lt;AJ376,"no"))</f>
        <v>FITS BITCH</v>
      </c>
      <c r="AT375" s="91" t="str">
        <f aca="false">IF(AND($AO375="FITS BITCH",$AP375="FITS BITCH",$AR375="FITS BITCH"),"BULLISH","")</f>
        <v/>
      </c>
      <c r="AU375" s="91" t="str">
        <f aca="false">IF(AND($AO375="FITS BITCH",$AQ375="FITS BITCH",$AS375="FITS BITCH"),"BEARISH","")</f>
        <v/>
      </c>
      <c r="AV375" s="86"/>
      <c r="AW375" s="86"/>
      <c r="AX375" s="86"/>
      <c r="CL375" s="99" t="n">
        <v>42605</v>
      </c>
      <c r="CM375" s="23" t="n">
        <f aca="false">$BA$68*CL375+$BA$70</f>
        <v>103.705911028216</v>
      </c>
    </row>
    <row r="376" customFormat="false" ht="15.75" hidden="false" customHeight="false" outlineLevel="0" collapsed="false">
      <c r="AE376" s="90" t="n">
        <f aca="false">Data!A371</f>
        <v>42432</v>
      </c>
      <c r="AF376" s="17" t="n">
        <f aca="false">Data!B371</f>
        <v>100.58</v>
      </c>
      <c r="AG376" s="17" t="n">
        <f aca="false">Data!F371</f>
        <v>36792245</v>
      </c>
      <c r="AH376" s="17" t="n">
        <f aca="false">Data!C371</f>
        <v>101.71</v>
      </c>
      <c r="AI376" s="17" t="n">
        <f aca="false">Data!D371</f>
        <v>100.45</v>
      </c>
      <c r="AJ376" s="17" t="n">
        <f aca="false">Data!E371</f>
        <v>101.5</v>
      </c>
      <c r="AK376" s="17" t="n">
        <f aca="false">Data!F371</f>
        <v>36792245</v>
      </c>
      <c r="AL376" s="17" t="n">
        <f aca="false">AJ376</f>
        <v>101.5</v>
      </c>
      <c r="AM376" s="17" t="n">
        <f aca="false">(AL376-AL375)/AL376*100</f>
        <v>-1.48768472906404</v>
      </c>
      <c r="AN376" s="17" t="n">
        <f aca="false">(AK376-AK375)/AK376*100</f>
        <v>-24.8537157762458</v>
      </c>
      <c r="AO376" s="17" t="str">
        <f aca="false">IF(AN376&lt;-8,"FITS BITCH",IF(AN376&gt;-8,"no"))</f>
        <v>FITS BITCH</v>
      </c>
      <c r="AP376" s="17" t="str">
        <f aca="false">IF(AH377&lt;AH376,"FITS BITCH",IF(AH377&gt;AH376,"no"))</f>
        <v>FITS BITCH</v>
      </c>
      <c r="AQ376" s="17" t="str">
        <f aca="false">IF(AI377&lt;AI376,"FITS BITCH",IF(AI377&gt;AI376,"no"))</f>
        <v>FITS BITCH</v>
      </c>
      <c r="AR376" s="17" t="str">
        <f aca="false">IF(AJ376&lt;AH377,"FITS BITCH",IF(AJ376&gt;AH377,"no"))</f>
        <v>no</v>
      </c>
      <c r="AS376" s="17" t="str">
        <f aca="false">IF(AJ376&gt;AJ377,"FITS BITCH",IF(AJ376&lt;AJ377,"no"))</f>
        <v>FITS BITCH</v>
      </c>
      <c r="AT376" s="91" t="str">
        <f aca="false">IF(AND($AO376="FITS BITCH",$AP376="FITS BITCH",$AR376="FITS BITCH"),"BULLISH","")</f>
        <v/>
      </c>
      <c r="AU376" s="91" t="str">
        <f aca="false">IF(AND($AO376="FITS BITCH",$AQ376="FITS BITCH",$AS376="FITS BITCH"),"BEARISH","")</f>
        <v>BEARISH</v>
      </c>
      <c r="AV376" s="86"/>
      <c r="AW376" s="86"/>
      <c r="AX376" s="86"/>
      <c r="CL376" s="99" t="n">
        <v>42604</v>
      </c>
      <c r="CM376" s="23" t="n">
        <f aca="false">$BA$68*CL376+$BA$70</f>
        <v>103.551792797974</v>
      </c>
    </row>
    <row r="377" customFormat="false" ht="15.75" hidden="false" customHeight="false" outlineLevel="0" collapsed="false">
      <c r="AE377" s="90" t="n">
        <f aca="false">Data!A372</f>
        <v>42431</v>
      </c>
      <c r="AF377" s="17" t="n">
        <f aca="false">Data!B372</f>
        <v>100.51</v>
      </c>
      <c r="AG377" s="17" t="n">
        <f aca="false">Data!F372</f>
        <v>33084941</v>
      </c>
      <c r="AH377" s="17" t="n">
        <f aca="false">Data!C372</f>
        <v>100.89</v>
      </c>
      <c r="AI377" s="17" t="n">
        <f aca="false">Data!D372</f>
        <v>99.64</v>
      </c>
      <c r="AJ377" s="17" t="n">
        <f aca="false">Data!E372</f>
        <v>100.75</v>
      </c>
      <c r="AK377" s="17" t="n">
        <f aca="false">Data!F372</f>
        <v>33084941</v>
      </c>
      <c r="AL377" s="17" t="n">
        <f aca="false">AJ377</f>
        <v>100.75</v>
      </c>
      <c r="AM377" s="17" t="n">
        <f aca="false">(AL377-AL376)/AL377*100</f>
        <v>-0.744416873449132</v>
      </c>
      <c r="AN377" s="17" t="n">
        <f aca="false">(AK377-AK376)/AK377*100</f>
        <v>-11.2054121541278</v>
      </c>
      <c r="AO377" s="17" t="str">
        <f aca="false">IF(AN377&lt;-8,"FITS BITCH",IF(AN377&gt;-8,"no"))</f>
        <v>FITS BITCH</v>
      </c>
      <c r="AP377" s="17" t="str">
        <f aca="false">IF(AH378&lt;AH377,"FITS BITCH",IF(AH378&gt;AH377,"no"))</f>
        <v>FITS BITCH</v>
      </c>
      <c r="AQ377" s="17" t="str">
        <f aca="false">IF(AI378&lt;AI377,"FITS BITCH",IF(AI378&gt;AI377,"no"))</f>
        <v>FITS BITCH</v>
      </c>
      <c r="AR377" s="17" t="str">
        <f aca="false">IF(AJ377&lt;AH378,"FITS BITCH",IF(AJ377&gt;AH378,"no"))</f>
        <v>FITS BITCH</v>
      </c>
      <c r="AS377" s="17" t="str">
        <f aca="false">IF(AJ377&gt;AJ378,"FITS BITCH",IF(AJ377&lt;AJ378,"no"))</f>
        <v>FITS BITCH</v>
      </c>
      <c r="AT377" s="91" t="str">
        <f aca="false">IF(AND($AO377="FITS BITCH",$AP377="FITS BITCH",$AR377="FITS BITCH"),"BULLISH","")</f>
        <v>BULLISH</v>
      </c>
      <c r="AU377" s="91" t="str">
        <f aca="false">IF(AND($AO377="FITS BITCH",$AQ377="FITS BITCH",$AS377="FITS BITCH"),"BEARISH","")</f>
        <v>BEARISH</v>
      </c>
      <c r="AV377" s="86"/>
      <c r="AW377" s="86"/>
      <c r="AX377" s="86"/>
      <c r="CL377" s="99" t="n">
        <v>42601</v>
      </c>
      <c r="CM377" s="23" t="n">
        <f aca="false">$BA$68*CL377+$BA$70</f>
        <v>103.089438107246</v>
      </c>
    </row>
    <row r="378" customFormat="false" ht="15.75" hidden="false" customHeight="false" outlineLevel="0" collapsed="false">
      <c r="AE378" s="90" t="n">
        <f aca="false">Data!A373</f>
        <v>42430</v>
      </c>
      <c r="AF378" s="17" t="n">
        <f aca="false">Data!B373</f>
        <v>97.65</v>
      </c>
      <c r="AG378" s="17" t="n">
        <f aca="false">Data!F373</f>
        <v>50153943</v>
      </c>
      <c r="AH378" s="17" t="n">
        <f aca="false">Data!C373</f>
        <v>100.77</v>
      </c>
      <c r="AI378" s="17" t="n">
        <f aca="false">Data!D373</f>
        <v>97.42</v>
      </c>
      <c r="AJ378" s="17" t="n">
        <f aca="false">Data!E373</f>
        <v>100.53</v>
      </c>
      <c r="AK378" s="17" t="n">
        <f aca="false">Data!F373</f>
        <v>50153943</v>
      </c>
      <c r="AL378" s="17" t="n">
        <f aca="false">AJ378</f>
        <v>100.53</v>
      </c>
      <c r="AM378" s="17" t="n">
        <f aca="false">(AL378-AL377)/AL378*100</f>
        <v>-0.218840147219734</v>
      </c>
      <c r="AN378" s="17" t="n">
        <f aca="false">(AK378-AK377)/AK378*100</f>
        <v>34.0332204787966</v>
      </c>
      <c r="AO378" s="17" t="str">
        <f aca="false">IF(AN378&lt;-8,"FITS BITCH",IF(AN378&gt;-8,"no"))</f>
        <v>no</v>
      </c>
      <c r="AP378" s="17" t="str">
        <f aca="false">IF(AH379&lt;AH378,"FITS BITCH",IF(AH379&gt;AH378,"no"))</f>
        <v>FITS BITCH</v>
      </c>
      <c r="AQ378" s="17" t="str">
        <f aca="false">IF(AI379&lt;AI378,"FITS BITCH",IF(AI379&gt;AI378,"no"))</f>
        <v>FITS BITCH</v>
      </c>
      <c r="AR378" s="17" t="str">
        <f aca="false">IF(AJ378&lt;AH379,"FITS BITCH",IF(AJ378&gt;AH379,"no"))</f>
        <v>no</v>
      </c>
      <c r="AS378" s="17" t="str">
        <f aca="false">IF(AJ378&gt;AJ379,"FITS BITCH",IF(AJ378&lt;AJ379,"no"))</f>
        <v>FITS BITCH</v>
      </c>
      <c r="AT378" s="91" t="str">
        <f aca="false">IF(AND($AO378="FITS BITCH",$AP378="FITS BITCH",$AR378="FITS BITCH"),"BULLISH","")</f>
        <v/>
      </c>
      <c r="AU378" s="91" t="str">
        <f aca="false">IF(AND($AO378="FITS BITCH",$AQ378="FITS BITCH",$AS378="FITS BITCH"),"BEARISH","")</f>
        <v/>
      </c>
      <c r="AV378" s="86"/>
      <c r="AW378" s="86"/>
      <c r="AX378" s="86"/>
      <c r="CL378" s="99" t="n">
        <v>42600</v>
      </c>
      <c r="CM378" s="23" t="n">
        <f aca="false">$BA$68*CL378+$BA$70</f>
        <v>102.935319877003</v>
      </c>
    </row>
    <row r="379" customFormat="false" ht="15.75" hidden="false" customHeight="false" outlineLevel="0" collapsed="false">
      <c r="AE379" s="90" t="n">
        <f aca="false">Data!A374</f>
        <v>42429</v>
      </c>
      <c r="AF379" s="17" t="n">
        <f aca="false">Data!B374</f>
        <v>96.86</v>
      </c>
      <c r="AG379" s="17" t="n">
        <f aca="false">Data!F374</f>
        <v>34876558</v>
      </c>
      <c r="AH379" s="17" t="n">
        <f aca="false">Data!C374</f>
        <v>98.23</v>
      </c>
      <c r="AI379" s="17" t="n">
        <f aca="false">Data!D374</f>
        <v>96.65</v>
      </c>
      <c r="AJ379" s="17" t="n">
        <f aca="false">Data!E374</f>
        <v>96.69</v>
      </c>
      <c r="AK379" s="17" t="n">
        <f aca="false">Data!F374</f>
        <v>34876558</v>
      </c>
      <c r="AL379" s="17" t="n">
        <f aca="false">AJ379</f>
        <v>96.69</v>
      </c>
      <c r="AM379" s="17" t="n">
        <f aca="false">(AL379-AL378)/AL379*100</f>
        <v>-3.97145516599442</v>
      </c>
      <c r="AN379" s="17" t="n">
        <f aca="false">(AK379-AK378)/AK379*100</f>
        <v>-43.8041649637559</v>
      </c>
      <c r="AO379" s="17" t="str">
        <f aca="false">IF(AN379&lt;-8,"FITS BITCH",IF(AN379&gt;-8,"no"))</f>
        <v>FITS BITCH</v>
      </c>
      <c r="AP379" s="17" t="str">
        <f aca="false">IF(AH380&lt;AH379,"FITS BITCH",IF(AH380&gt;AH379,"no"))</f>
        <v>FITS BITCH</v>
      </c>
      <c r="AQ379" s="17" t="str">
        <f aca="false">IF(AI380&lt;AI379,"FITS BITCH",IF(AI380&gt;AI379,"no"))</f>
        <v>FITS BITCH</v>
      </c>
      <c r="AR379" s="17" t="str">
        <f aca="false">IF(AJ379&lt;AH380,"FITS BITCH",IF(AJ379&gt;AH380,"no"))</f>
        <v>FITS BITCH</v>
      </c>
      <c r="AS379" s="17" t="str">
        <f aca="false">IF(AJ379&gt;AJ380,"FITS BITCH",IF(AJ379&lt;AJ380,"no"))</f>
        <v>no</v>
      </c>
      <c r="AT379" s="91" t="str">
        <f aca="false">IF(AND($AO379="FITS BITCH",$AP379="FITS BITCH",$AR379="FITS BITCH"),"BULLISH","")</f>
        <v>BULLISH</v>
      </c>
      <c r="AU379" s="91" t="str">
        <f aca="false">IF(AND($AO379="FITS BITCH",$AQ379="FITS BITCH",$AS379="FITS BITCH"),"BEARISH","")</f>
        <v/>
      </c>
      <c r="AV379" s="86"/>
      <c r="AW379" s="86"/>
      <c r="AX379" s="86"/>
      <c r="CL379" s="99" t="n">
        <v>42599</v>
      </c>
      <c r="CM379" s="23" t="n">
        <f aca="false">$BA$68*CL379+$BA$70</f>
        <v>102.781201646761</v>
      </c>
    </row>
    <row r="380" customFormat="false" ht="15.75" hidden="false" customHeight="false" outlineLevel="0" collapsed="false">
      <c r="AE380" s="90" t="n">
        <f aca="false">Data!A375</f>
        <v>42426</v>
      </c>
      <c r="AF380" s="17" t="n">
        <f aca="false">Data!B375</f>
        <v>97.2</v>
      </c>
      <c r="AG380" s="17" t="n">
        <f aca="false">Data!F375</f>
        <v>28913208</v>
      </c>
      <c r="AH380" s="17" t="n">
        <f aca="false">Data!C375</f>
        <v>98.02</v>
      </c>
      <c r="AI380" s="17" t="n">
        <f aca="false">Data!D375</f>
        <v>96.58</v>
      </c>
      <c r="AJ380" s="17" t="n">
        <f aca="false">Data!E375</f>
        <v>96.91</v>
      </c>
      <c r="AK380" s="17" t="n">
        <f aca="false">Data!F375</f>
        <v>28913208</v>
      </c>
      <c r="AL380" s="17" t="n">
        <f aca="false">AJ380</f>
        <v>96.91</v>
      </c>
      <c r="AM380" s="17" t="n">
        <f aca="false">(AL380-AL379)/AL380*100</f>
        <v>0.227014755959136</v>
      </c>
      <c r="AN380" s="17" t="n">
        <f aca="false">(AK380-AK379)/AK380*100</f>
        <v>-20.6250029398329</v>
      </c>
      <c r="AO380" s="17" t="str">
        <f aca="false">IF(AN380&lt;-8,"FITS BITCH",IF(AN380&gt;-8,"no"))</f>
        <v>FITS BITCH</v>
      </c>
      <c r="AP380" s="17" t="str">
        <f aca="false">IF(AH381&lt;AH380,"FITS BITCH",IF(AH381&gt;AH380,"no"))</f>
        <v>FITS BITCH</v>
      </c>
      <c r="AQ380" s="17" t="str">
        <f aca="false">IF(AI381&lt;AI380,"FITS BITCH",IF(AI381&gt;AI380,"no"))</f>
        <v>FITS BITCH</v>
      </c>
      <c r="AR380" s="17" t="str">
        <f aca="false">IF(AJ380&lt;AH381,"FITS BITCH",IF(AJ380&gt;AH381,"no"))</f>
        <v>no</v>
      </c>
      <c r="AS380" s="17" t="str">
        <f aca="false">IF(AJ380&gt;AJ381,"FITS BITCH",IF(AJ380&lt;AJ381,"no"))</f>
        <v>FITS BITCH</v>
      </c>
      <c r="AT380" s="91" t="str">
        <f aca="false">IF(AND($AO380="FITS BITCH",$AP380="FITS BITCH",$AR380="FITS BITCH"),"BULLISH","")</f>
        <v/>
      </c>
      <c r="AU380" s="91" t="str">
        <f aca="false">IF(AND($AO380="FITS BITCH",$AQ380="FITS BITCH",$AS380="FITS BITCH"),"BEARISH","")</f>
        <v>BEARISH</v>
      </c>
      <c r="AV380" s="86"/>
      <c r="AW380" s="86"/>
      <c r="AX380" s="86"/>
      <c r="CL380" s="99" t="n">
        <v>42598</v>
      </c>
      <c r="CM380" s="23" t="n">
        <f aca="false">$BA$68*CL380+$BA$70</f>
        <v>102.627083416517</v>
      </c>
    </row>
    <row r="381" customFormat="false" ht="15.75" hidden="false" customHeight="false" outlineLevel="0" collapsed="false">
      <c r="AE381" s="90" t="n">
        <f aca="false">Data!A376</f>
        <v>42425</v>
      </c>
      <c r="AF381" s="17" t="n">
        <f aca="false">Data!B376</f>
        <v>96.05</v>
      </c>
      <c r="AG381" s="17" t="n">
        <f aca="false">Data!F376</f>
        <v>27393905</v>
      </c>
      <c r="AH381" s="17" t="n">
        <f aca="false">Data!C376</f>
        <v>96.76</v>
      </c>
      <c r="AI381" s="17" t="n">
        <f aca="false">Data!D376</f>
        <v>95.25</v>
      </c>
      <c r="AJ381" s="17" t="n">
        <f aca="false">Data!E376</f>
        <v>96.76</v>
      </c>
      <c r="AK381" s="17" t="n">
        <f aca="false">Data!F376</f>
        <v>27393905</v>
      </c>
      <c r="AL381" s="17" t="n">
        <f aca="false">AJ381</f>
        <v>96.76</v>
      </c>
      <c r="AM381" s="17" t="n">
        <f aca="false">(AL381-AL380)/AL381*100</f>
        <v>-0.155022736668036</v>
      </c>
      <c r="AN381" s="17" t="n">
        <f aca="false">(AK381-AK380)/AK381*100</f>
        <v>-5.54613517130909</v>
      </c>
      <c r="AO381" s="17" t="str">
        <f aca="false">IF(AN381&lt;-8,"FITS BITCH",IF(AN381&gt;-8,"no"))</f>
        <v>no</v>
      </c>
      <c r="AP381" s="17" t="str">
        <f aca="false">IF(AH382&lt;AH381,"FITS BITCH",IF(AH382&gt;AH381,"no"))</f>
        <v>FITS BITCH</v>
      </c>
      <c r="AQ381" s="17" t="str">
        <f aca="false">IF(AI382&lt;AI381,"FITS BITCH",IF(AI382&gt;AI381,"no"))</f>
        <v>FITS BITCH</v>
      </c>
      <c r="AR381" s="17" t="str">
        <f aca="false">IF(AJ381&lt;AH382,"FITS BITCH",IF(AJ381&gt;AH382,"no"))</f>
        <v>no</v>
      </c>
      <c r="AS381" s="17" t="str">
        <f aca="false">IF(AJ381&gt;AJ382,"FITS BITCH",IF(AJ381&lt;AJ382,"no"))</f>
        <v>FITS BITCH</v>
      </c>
      <c r="AT381" s="91" t="str">
        <f aca="false">IF(AND($AO381="FITS BITCH",$AP381="FITS BITCH",$AR381="FITS BITCH"),"BULLISH","")</f>
        <v/>
      </c>
      <c r="AU381" s="91" t="str">
        <f aca="false">IF(AND($AO381="FITS BITCH",$AQ381="FITS BITCH",$AS381="FITS BITCH"),"BEARISH","")</f>
        <v/>
      </c>
      <c r="AV381" s="86"/>
      <c r="AW381" s="86"/>
      <c r="AX381" s="86"/>
      <c r="CL381" s="99" t="n">
        <v>42597</v>
      </c>
      <c r="CM381" s="23" t="n">
        <f aca="false">$BA$68*CL381+$BA$70</f>
        <v>102.472965186274</v>
      </c>
    </row>
    <row r="382" customFormat="false" ht="15.75" hidden="false" customHeight="false" outlineLevel="0" collapsed="false">
      <c r="AE382" s="90" t="n">
        <f aca="false">Data!A377</f>
        <v>42424</v>
      </c>
      <c r="AF382" s="17" t="n">
        <f aca="false">Data!B377</f>
        <v>93.98</v>
      </c>
      <c r="AG382" s="17" t="n">
        <f aca="false">Data!F377</f>
        <v>36155642</v>
      </c>
      <c r="AH382" s="17" t="n">
        <f aca="false">Data!C377</f>
        <v>96.38</v>
      </c>
      <c r="AI382" s="17" t="n">
        <f aca="false">Data!D377</f>
        <v>93.32</v>
      </c>
      <c r="AJ382" s="17" t="n">
        <f aca="false">Data!E377</f>
        <v>96.1</v>
      </c>
      <c r="AK382" s="17" t="n">
        <f aca="false">Data!F377</f>
        <v>36155642</v>
      </c>
      <c r="AL382" s="17" t="n">
        <f aca="false">AJ382</f>
        <v>96.1</v>
      </c>
      <c r="AM382" s="17" t="n">
        <f aca="false">(AL382-AL381)/AL382*100</f>
        <v>-0.686784599375662</v>
      </c>
      <c r="AN382" s="17" t="n">
        <f aca="false">(AK382-AK381)/AK382*100</f>
        <v>24.2333879730306</v>
      </c>
      <c r="AO382" s="17" t="str">
        <f aca="false">IF(AN382&lt;-8,"FITS BITCH",IF(AN382&gt;-8,"no"))</f>
        <v>no</v>
      </c>
      <c r="AP382" s="17" t="str">
        <f aca="false">IF(AH383&lt;AH382,"FITS BITCH",IF(AH383&gt;AH382,"no"))</f>
        <v>no</v>
      </c>
      <c r="AQ382" s="17" t="str">
        <f aca="false">IF(AI383&lt;AI382,"FITS BITCH",IF(AI383&gt;AI382,"no"))</f>
        <v>no</v>
      </c>
      <c r="AR382" s="17" t="str">
        <f aca="false">IF(AJ382&lt;AH383,"FITS BITCH",IF(AJ382&gt;AH383,"no"))</f>
        <v>FITS BITCH</v>
      </c>
      <c r="AS382" s="17" t="str">
        <f aca="false">IF(AJ382&gt;AJ383,"FITS BITCH",IF(AJ382&lt;AJ383,"no"))</f>
        <v>FITS BITCH</v>
      </c>
      <c r="AT382" s="91" t="str">
        <f aca="false">IF(AND($AO382="FITS BITCH",$AP382="FITS BITCH",$AR382="FITS BITCH"),"BULLISH","")</f>
        <v/>
      </c>
      <c r="AU382" s="91" t="str">
        <f aca="false">IF(AND($AO382="FITS BITCH",$AQ382="FITS BITCH",$AS382="FITS BITCH"),"BEARISH","")</f>
        <v/>
      </c>
      <c r="AV382" s="86"/>
      <c r="AW382" s="86"/>
      <c r="AX382" s="86"/>
      <c r="CL382" s="99" t="n">
        <v>42594</v>
      </c>
      <c r="CM382" s="23" t="n">
        <f aca="false">$BA$68*CL382+$BA$70</f>
        <v>102.010610495547</v>
      </c>
    </row>
    <row r="383" customFormat="false" ht="15.75" hidden="false" customHeight="false" outlineLevel="0" collapsed="false">
      <c r="AE383" s="90" t="n">
        <f aca="false">Data!A378</f>
        <v>42423</v>
      </c>
      <c r="AF383" s="17" t="n">
        <f aca="false">Data!B378</f>
        <v>96.4</v>
      </c>
      <c r="AG383" s="17" t="n">
        <f aca="false">Data!F378</f>
        <v>31686699</v>
      </c>
      <c r="AH383" s="17" t="n">
        <f aca="false">Data!C378</f>
        <v>96.5</v>
      </c>
      <c r="AI383" s="17" t="n">
        <f aca="false">Data!D378</f>
        <v>94.55</v>
      </c>
      <c r="AJ383" s="17" t="n">
        <f aca="false">Data!E378</f>
        <v>94.69</v>
      </c>
      <c r="AK383" s="17" t="n">
        <f aca="false">Data!F378</f>
        <v>31686699</v>
      </c>
      <c r="AL383" s="17" t="n">
        <f aca="false">AJ383</f>
        <v>94.69</v>
      </c>
      <c r="AM383" s="17" t="n">
        <f aca="false">(AL383-AL382)/AL383*100</f>
        <v>-1.48906959552223</v>
      </c>
      <c r="AN383" s="17" t="n">
        <f aca="false">(AK383-AK382)/AK383*100</f>
        <v>-14.103529686068</v>
      </c>
      <c r="AO383" s="17" t="str">
        <f aca="false">IF(AN383&lt;-8,"FITS BITCH",IF(AN383&gt;-8,"no"))</f>
        <v>FITS BITCH</v>
      </c>
      <c r="AP383" s="17" t="str">
        <f aca="false">IF(AH384&lt;AH383,"FITS BITCH",IF(AH384&gt;AH383,"no"))</f>
        <v>no</v>
      </c>
      <c r="AQ383" s="17" t="str">
        <f aca="false">IF(AI384&lt;AI383,"FITS BITCH",IF(AI384&gt;AI383,"no"))</f>
        <v>no</v>
      </c>
      <c r="AR383" s="17" t="str">
        <f aca="false">IF(AJ383&lt;AH384,"FITS BITCH",IF(AJ383&gt;AH384,"no"))</f>
        <v>FITS BITCH</v>
      </c>
      <c r="AS383" s="17" t="str">
        <f aca="false">IF(AJ383&gt;AJ384,"FITS BITCH",IF(AJ383&lt;AJ384,"no"))</f>
        <v>no</v>
      </c>
      <c r="AT383" s="91" t="str">
        <f aca="false">IF(AND($AO383="FITS BITCH",$AP383="FITS BITCH",$AR383="FITS BITCH"),"BULLISH","")</f>
        <v/>
      </c>
      <c r="AU383" s="91" t="str">
        <f aca="false">IF(AND($AO383="FITS BITCH",$AQ383="FITS BITCH",$AS383="FITS BITCH"),"BEARISH","")</f>
        <v/>
      </c>
      <c r="AV383" s="86"/>
      <c r="AW383" s="86"/>
      <c r="AX383" s="86"/>
      <c r="CL383" s="99" t="n">
        <v>42593</v>
      </c>
      <c r="CM383" s="23" t="n">
        <f aca="false">$BA$68*CL383+$BA$70</f>
        <v>101.856492265304</v>
      </c>
    </row>
    <row r="384" customFormat="false" ht="15.75" hidden="false" customHeight="false" outlineLevel="0" collapsed="false">
      <c r="AE384" s="90" t="n">
        <f aca="false">Data!A379</f>
        <v>42422</v>
      </c>
      <c r="AF384" s="17" t="n">
        <f aca="false">Data!B379</f>
        <v>96.31</v>
      </c>
      <c r="AG384" s="17" t="n">
        <f aca="false">Data!F379</f>
        <v>34048195</v>
      </c>
      <c r="AH384" s="17" t="n">
        <f aca="false">Data!C379</f>
        <v>96.9</v>
      </c>
      <c r="AI384" s="17" t="n">
        <f aca="false">Data!D379</f>
        <v>95.92</v>
      </c>
      <c r="AJ384" s="17" t="n">
        <f aca="false">Data!E379</f>
        <v>96.88</v>
      </c>
      <c r="AK384" s="17" t="n">
        <f aca="false">Data!F379</f>
        <v>34048195</v>
      </c>
      <c r="AL384" s="17" t="n">
        <f aca="false">AJ384</f>
        <v>96.88</v>
      </c>
      <c r="AM384" s="17" t="n">
        <f aca="false">(AL384-AL383)/AL384*100</f>
        <v>2.26052848885219</v>
      </c>
      <c r="AN384" s="17" t="n">
        <f aca="false">(AK384-AK383)/AK384*100</f>
        <v>6.93574505197706</v>
      </c>
      <c r="AO384" s="17" t="str">
        <f aca="false">IF(AN384&lt;-8,"FITS BITCH",IF(AN384&gt;-8,"no"))</f>
        <v>no</v>
      </c>
      <c r="AP384" s="17" t="str">
        <f aca="false">IF(AH385&lt;AH384,"FITS BITCH",IF(AH385&gt;AH384,"no"))</f>
        <v>FITS BITCH</v>
      </c>
      <c r="AQ384" s="17" t="str">
        <f aca="false">IF(AI385&lt;AI384,"FITS BITCH",IF(AI385&gt;AI384,"no"))</f>
        <v>FITS BITCH</v>
      </c>
      <c r="AR384" s="17" t="str">
        <f aca="false">IF(AJ384&lt;AH385,"FITS BITCH",IF(AJ384&gt;AH385,"no"))</f>
        <v>no</v>
      </c>
      <c r="AS384" s="17" t="str">
        <f aca="false">IF(AJ384&gt;AJ385,"FITS BITCH",IF(AJ384&lt;AJ385,"no"))</f>
        <v>FITS BITCH</v>
      </c>
      <c r="AT384" s="91" t="str">
        <f aca="false">IF(AND($AO384="FITS BITCH",$AP384="FITS BITCH",$AR384="FITS BITCH"),"BULLISH","")</f>
        <v/>
      </c>
      <c r="AU384" s="91" t="str">
        <f aca="false">IF(AND($AO384="FITS BITCH",$AQ384="FITS BITCH",$AS384="FITS BITCH"),"BEARISH","")</f>
        <v/>
      </c>
      <c r="AV384" s="86"/>
      <c r="AW384" s="86"/>
      <c r="AX384" s="86"/>
      <c r="CL384" s="99" t="n">
        <v>42592</v>
      </c>
      <c r="CM384" s="23" t="n">
        <f aca="false">$BA$68*CL384+$BA$70</f>
        <v>101.702374035061</v>
      </c>
    </row>
    <row r="385" customFormat="false" ht="15.75" hidden="false" customHeight="false" outlineLevel="0" collapsed="false">
      <c r="AE385" s="90" t="n">
        <f aca="false">Data!A380</f>
        <v>42419</v>
      </c>
      <c r="AF385" s="17" t="n">
        <f aca="false">Data!B380</f>
        <v>96</v>
      </c>
      <c r="AG385" s="17" t="n">
        <f aca="false">Data!F380</f>
        <v>34485576</v>
      </c>
      <c r="AH385" s="17" t="n">
        <f aca="false">Data!C380</f>
        <v>96.76</v>
      </c>
      <c r="AI385" s="17" t="n">
        <f aca="false">Data!D380</f>
        <v>95.8</v>
      </c>
      <c r="AJ385" s="17" t="n">
        <f aca="false">Data!E380</f>
        <v>96.04</v>
      </c>
      <c r="AK385" s="17" t="n">
        <f aca="false">Data!F380</f>
        <v>34485576</v>
      </c>
      <c r="AL385" s="17" t="n">
        <f aca="false">AJ385</f>
        <v>96.04</v>
      </c>
      <c r="AM385" s="17" t="n">
        <f aca="false">(AL385-AL384)/AL385*100</f>
        <v>-0.874635568513108</v>
      </c>
      <c r="AN385" s="17" t="n">
        <f aca="false">(AK385-AK384)/AK385*100</f>
        <v>1.26830127471265</v>
      </c>
      <c r="AO385" s="17" t="str">
        <f aca="false">IF(AN385&lt;-8,"FITS BITCH",IF(AN385&gt;-8,"no"))</f>
        <v>no</v>
      </c>
      <c r="AP385" s="17" t="str">
        <f aca="false">IF(AH386&lt;AH385,"FITS BITCH",IF(AH386&gt;AH385,"no"))</f>
        <v>no</v>
      </c>
      <c r="AQ385" s="17" t="str">
        <f aca="false">IF(AI386&lt;AI385,"FITS BITCH",IF(AI386&gt;AI385,"no"))</f>
        <v>no</v>
      </c>
      <c r="AR385" s="17" t="str">
        <f aca="false">IF(AJ385&lt;AH386,"FITS BITCH",IF(AJ385&gt;AH386,"no"))</f>
        <v>FITS BITCH</v>
      </c>
      <c r="AS385" s="17" t="str">
        <f aca="false">IF(AJ385&gt;AJ386,"FITS BITCH",IF(AJ385&lt;AJ386,"no"))</f>
        <v>no</v>
      </c>
      <c r="AT385" s="91" t="str">
        <f aca="false">IF(AND($AO385="FITS BITCH",$AP385="FITS BITCH",$AR385="FITS BITCH"),"BULLISH","")</f>
        <v/>
      </c>
      <c r="AU385" s="91" t="str">
        <f aca="false">IF(AND($AO385="FITS BITCH",$AQ385="FITS BITCH",$AS385="FITS BITCH"),"BEARISH","")</f>
        <v/>
      </c>
      <c r="AV385" s="86"/>
      <c r="AW385" s="86"/>
      <c r="AX385" s="86"/>
      <c r="CL385" s="99" t="n">
        <v>42591</v>
      </c>
      <c r="CM385" s="23" t="n">
        <f aca="false">$BA$68*CL385+$BA$70</f>
        <v>101.548255804819</v>
      </c>
    </row>
    <row r="386" customFormat="false" ht="15.75" hidden="false" customHeight="false" outlineLevel="0" collapsed="false">
      <c r="AE386" s="90" t="n">
        <f aca="false">Data!A381</f>
        <v>42418</v>
      </c>
      <c r="AF386" s="17" t="n">
        <f aca="false">Data!B381</f>
        <v>98.84</v>
      </c>
      <c r="AG386" s="17" t="n">
        <f aca="false">Data!F381</f>
        <v>38494442</v>
      </c>
      <c r="AH386" s="17" t="n">
        <f aca="false">Data!C381</f>
        <v>98.89</v>
      </c>
      <c r="AI386" s="17" t="n">
        <f aca="false">Data!D381</f>
        <v>96.09</v>
      </c>
      <c r="AJ386" s="17" t="n">
        <f aca="false">Data!E381</f>
        <v>96.26</v>
      </c>
      <c r="AK386" s="17" t="n">
        <f aca="false">Data!F381</f>
        <v>38494442</v>
      </c>
      <c r="AL386" s="17" t="n">
        <f aca="false">AJ386</f>
        <v>96.26</v>
      </c>
      <c r="AM386" s="17" t="n">
        <f aca="false">(AL386-AL385)/AL386*100</f>
        <v>0.228547683357572</v>
      </c>
      <c r="AN386" s="17" t="n">
        <f aca="false">(AK386-AK385)/AK386*100</f>
        <v>10.4141423845032</v>
      </c>
      <c r="AO386" s="17" t="str">
        <f aca="false">IF(AN386&lt;-8,"FITS BITCH",IF(AN386&gt;-8,"no"))</f>
        <v>no</v>
      </c>
      <c r="AP386" s="17" t="str">
        <f aca="false">IF(AH387&lt;AH386,"FITS BITCH",IF(AH387&gt;AH386,"no"))</f>
        <v>FITS BITCH</v>
      </c>
      <c r="AQ386" s="17" t="str">
        <f aca="false">IF(AI387&lt;AI386,"FITS BITCH",IF(AI387&gt;AI386,"no"))</f>
        <v>no</v>
      </c>
      <c r="AR386" s="17" t="str">
        <f aca="false">IF(AJ386&lt;AH387,"FITS BITCH",IF(AJ386&gt;AH387,"no"))</f>
        <v>FITS BITCH</v>
      </c>
      <c r="AS386" s="17" t="str">
        <f aca="false">IF(AJ386&gt;AJ387,"FITS BITCH",IF(AJ386&lt;AJ387,"no"))</f>
        <v>no</v>
      </c>
      <c r="AT386" s="91" t="str">
        <f aca="false">IF(AND($AO386="FITS BITCH",$AP386="FITS BITCH",$AR386="FITS BITCH"),"BULLISH","")</f>
        <v/>
      </c>
      <c r="AU386" s="91" t="str">
        <f aca="false">IF(AND($AO386="FITS BITCH",$AQ386="FITS BITCH",$AS386="FITS BITCH"),"BEARISH","")</f>
        <v/>
      </c>
      <c r="AV386" s="86"/>
      <c r="AW386" s="86"/>
      <c r="AX386" s="86"/>
      <c r="CL386" s="99" t="n">
        <v>42590</v>
      </c>
      <c r="CM386" s="23" t="n">
        <f aca="false">$BA$68*CL386+$BA$70</f>
        <v>101.394137574576</v>
      </c>
    </row>
    <row r="387" customFormat="false" ht="15.75" hidden="false" customHeight="false" outlineLevel="0" collapsed="false">
      <c r="AE387" s="90" t="n">
        <f aca="false">Data!A382</f>
        <v>42417</v>
      </c>
      <c r="AF387" s="17" t="n">
        <f aca="false">Data!B382</f>
        <v>96.67</v>
      </c>
      <c r="AG387" s="17" t="n">
        <f aca="false">Data!F382</f>
        <v>44390173</v>
      </c>
      <c r="AH387" s="17" t="n">
        <f aca="false">Data!C382</f>
        <v>98.21</v>
      </c>
      <c r="AI387" s="17" t="n">
        <f aca="false">Data!D382</f>
        <v>96.15</v>
      </c>
      <c r="AJ387" s="17" t="n">
        <f aca="false">Data!E382</f>
        <v>98.12</v>
      </c>
      <c r="AK387" s="17" t="n">
        <f aca="false">Data!F382</f>
        <v>44390173</v>
      </c>
      <c r="AL387" s="17" t="n">
        <f aca="false">AJ387</f>
        <v>98.12</v>
      </c>
      <c r="AM387" s="17" t="n">
        <f aca="false">(AL387-AL386)/AL387*100</f>
        <v>1.8956379942927</v>
      </c>
      <c r="AN387" s="17" t="n">
        <f aca="false">(AK387-AK386)/AK387*100</f>
        <v>13.2816130272797</v>
      </c>
      <c r="AO387" s="17" t="str">
        <f aca="false">IF(AN387&lt;-8,"FITS BITCH",IF(AN387&gt;-8,"no"))</f>
        <v>no</v>
      </c>
      <c r="AP387" s="17" t="str">
        <f aca="false">IF(AH388&lt;AH387,"FITS BITCH",IF(AH388&gt;AH387,"no"))</f>
        <v>FITS BITCH</v>
      </c>
      <c r="AQ387" s="17" t="str">
        <f aca="false">IF(AI388&lt;AI387,"FITS BITCH",IF(AI388&gt;AI387,"no"))</f>
        <v>FITS BITCH</v>
      </c>
      <c r="AR387" s="17" t="str">
        <f aca="false">IF(AJ387&lt;AH388,"FITS BITCH",IF(AJ387&gt;AH388,"no"))</f>
        <v>no</v>
      </c>
      <c r="AS387" s="17" t="str">
        <f aca="false">IF(AJ387&gt;AJ388,"FITS BITCH",IF(AJ387&lt;AJ388,"no"))</f>
        <v>FITS BITCH</v>
      </c>
      <c r="AT387" s="91" t="str">
        <f aca="false">IF(AND($AO387="FITS BITCH",$AP387="FITS BITCH",$AR387="FITS BITCH"),"BULLISH","")</f>
        <v/>
      </c>
      <c r="AU387" s="91" t="str">
        <f aca="false">IF(AND($AO387="FITS BITCH",$AQ387="FITS BITCH",$AS387="FITS BITCH"),"BEARISH","")</f>
        <v/>
      </c>
      <c r="AV387" s="86"/>
      <c r="AW387" s="86"/>
      <c r="AX387" s="86"/>
      <c r="CL387" s="99" t="n">
        <v>42587</v>
      </c>
      <c r="CM387" s="23" t="n">
        <f aca="false">$BA$68*CL387+$BA$70</f>
        <v>100.931782883848</v>
      </c>
    </row>
    <row r="388" customFormat="false" ht="15.75" hidden="false" customHeight="false" outlineLevel="0" collapsed="false">
      <c r="AE388" s="90" t="n">
        <f aca="false">Data!A383</f>
        <v>42416</v>
      </c>
      <c r="AF388" s="17" t="n">
        <f aca="false">Data!B383</f>
        <v>95.02</v>
      </c>
      <c r="AG388" s="17" t="n">
        <f aca="false">Data!F383</f>
        <v>47490678</v>
      </c>
      <c r="AH388" s="17" t="n">
        <f aca="false">Data!C383</f>
        <v>96.85</v>
      </c>
      <c r="AI388" s="17" t="n">
        <f aca="false">Data!D383</f>
        <v>94.61</v>
      </c>
      <c r="AJ388" s="17" t="n">
        <f aca="false">Data!E383</f>
        <v>96.64</v>
      </c>
      <c r="AK388" s="17" t="n">
        <f aca="false">Data!F383</f>
        <v>47490678</v>
      </c>
      <c r="AL388" s="17" t="n">
        <f aca="false">AJ388</f>
        <v>96.64</v>
      </c>
      <c r="AM388" s="17" t="n">
        <f aca="false">(AL388-AL387)/AL388*100</f>
        <v>-1.53145695364239</v>
      </c>
      <c r="AN388" s="17" t="n">
        <f aca="false">(AK388-AK387)/AK388*100</f>
        <v>6.52866021411613</v>
      </c>
      <c r="AO388" s="17" t="str">
        <f aca="false">IF(AN388&lt;-8,"FITS BITCH",IF(AN388&gt;-8,"no"))</f>
        <v>no</v>
      </c>
      <c r="AP388" s="17" t="str">
        <f aca="false">IF(AH389&lt;AH388,"FITS BITCH",IF(AH389&gt;AH388,"no"))</f>
        <v>FITS BITCH</v>
      </c>
      <c r="AQ388" s="17" t="str">
        <f aca="false">IF(AI389&lt;AI388,"FITS BITCH",IF(AI389&gt;AI388,"no"))</f>
        <v>FITS BITCH</v>
      </c>
      <c r="AR388" s="17" t="str">
        <f aca="false">IF(AJ388&lt;AH389,"FITS BITCH",IF(AJ388&gt;AH389,"no"))</f>
        <v>no</v>
      </c>
      <c r="AS388" s="17" t="str">
        <f aca="false">IF(AJ388&gt;AJ389,"FITS BITCH",IF(AJ388&lt;AJ389,"no"))</f>
        <v>FITS BITCH</v>
      </c>
      <c r="AT388" s="91" t="str">
        <f aca="false">IF(AND($AO388="FITS BITCH",$AP388="FITS BITCH",$AR388="FITS BITCH"),"BULLISH","")</f>
        <v/>
      </c>
      <c r="AU388" s="91" t="str">
        <f aca="false">IF(AND($AO388="FITS BITCH",$AQ388="FITS BITCH",$AS388="FITS BITCH"),"BEARISH","")</f>
        <v/>
      </c>
      <c r="AV388" s="86"/>
      <c r="AW388" s="86"/>
      <c r="AX388" s="86"/>
      <c r="CL388" s="99" t="n">
        <v>42586</v>
      </c>
      <c r="CM388" s="23" t="n">
        <f aca="false">$BA$68*CL388+$BA$70</f>
        <v>100.777664653605</v>
      </c>
    </row>
    <row r="389" customFormat="false" ht="15.75" hidden="false" customHeight="false" outlineLevel="0" collapsed="false">
      <c r="AE389" s="90" t="n">
        <f aca="false">Data!A384</f>
        <v>42412</v>
      </c>
      <c r="AF389" s="17" t="n">
        <f aca="false">Data!B384</f>
        <v>94.19</v>
      </c>
      <c r="AG389" s="17" t="n">
        <f aca="false">Data!F384</f>
        <v>40121670</v>
      </c>
      <c r="AH389" s="17" t="n">
        <f aca="false">Data!C384</f>
        <v>94.5</v>
      </c>
      <c r="AI389" s="17" t="n">
        <f aca="false">Data!D384</f>
        <v>93.01</v>
      </c>
      <c r="AJ389" s="17" t="n">
        <f aca="false">Data!E384</f>
        <v>93.99</v>
      </c>
      <c r="AK389" s="17" t="n">
        <f aca="false">Data!F384</f>
        <v>40121670</v>
      </c>
      <c r="AL389" s="17" t="n">
        <f aca="false">AJ389</f>
        <v>93.99</v>
      </c>
      <c r="AM389" s="17" t="n">
        <f aca="false">(AL389-AL388)/AL389*100</f>
        <v>-2.81944887754017</v>
      </c>
      <c r="AN389" s="17" t="n">
        <f aca="false">(AK389-AK388)/AK389*100</f>
        <v>-18.36665323253</v>
      </c>
      <c r="AO389" s="17" t="str">
        <f aca="false">IF(AN389&lt;-8,"FITS BITCH",IF(AN389&gt;-8,"no"))</f>
        <v>FITS BITCH</v>
      </c>
      <c r="AP389" s="17" t="str">
        <f aca="false">IF(AH390&lt;AH389,"FITS BITCH",IF(AH390&gt;AH389,"no"))</f>
        <v>no</v>
      </c>
      <c r="AQ389" s="17" t="str">
        <f aca="false">IF(AI390&lt;AI389,"FITS BITCH",IF(AI390&gt;AI389,"no"))</f>
        <v>FITS BITCH</v>
      </c>
      <c r="AR389" s="17" t="str">
        <f aca="false">IF(AJ389&lt;AH390,"FITS BITCH",IF(AJ389&gt;AH390,"no"))</f>
        <v>FITS BITCH</v>
      </c>
      <c r="AS389" s="17" t="str">
        <f aca="false">IF(AJ389&gt;AJ390,"FITS BITCH",IF(AJ389&lt;AJ390,"no"))</f>
        <v>FITS BITCH</v>
      </c>
      <c r="AT389" s="91" t="str">
        <f aca="false">IF(AND($AO389="FITS BITCH",$AP389="FITS BITCH",$AR389="FITS BITCH"),"BULLISH","")</f>
        <v/>
      </c>
      <c r="AU389" s="91" t="str">
        <f aca="false">IF(AND($AO389="FITS BITCH",$AQ389="FITS BITCH",$AS389="FITS BITCH"),"BEARISH","")</f>
        <v>BEARISH</v>
      </c>
      <c r="AV389" s="86"/>
      <c r="AW389" s="86"/>
      <c r="AX389" s="86"/>
      <c r="CL389" s="99" t="n">
        <v>42585</v>
      </c>
      <c r="CM389" s="23" t="n">
        <f aca="false">$BA$68*CL389+$BA$70</f>
        <v>100.623546423362</v>
      </c>
    </row>
    <row r="390" customFormat="false" ht="15.75" hidden="false" customHeight="false" outlineLevel="0" collapsed="false">
      <c r="AE390" s="90" t="n">
        <f aca="false">Data!A385</f>
        <v>42411</v>
      </c>
      <c r="AF390" s="17" t="n">
        <f aca="false">Data!B385</f>
        <v>93.79</v>
      </c>
      <c r="AG390" s="17" t="n">
        <f aca="false">Data!F385</f>
        <v>49686210</v>
      </c>
      <c r="AH390" s="17" t="n">
        <f aca="false">Data!C385</f>
        <v>94.72</v>
      </c>
      <c r="AI390" s="17" t="n">
        <f aca="false">Data!D385</f>
        <v>92.59</v>
      </c>
      <c r="AJ390" s="17" t="n">
        <f aca="false">Data!E385</f>
        <v>93.7</v>
      </c>
      <c r="AK390" s="17" t="n">
        <f aca="false">Data!F385</f>
        <v>49686210</v>
      </c>
      <c r="AL390" s="17" t="n">
        <f aca="false">AJ390</f>
        <v>93.7</v>
      </c>
      <c r="AM390" s="17" t="n">
        <f aca="false">(AL390-AL389)/AL390*100</f>
        <v>-0.309498399146203</v>
      </c>
      <c r="AN390" s="17" t="n">
        <f aca="false">(AK390-AK389)/AK390*100</f>
        <v>19.2498884499341</v>
      </c>
      <c r="AO390" s="17" t="str">
        <f aca="false">IF(AN390&lt;-8,"FITS BITCH",IF(AN390&gt;-8,"no"))</f>
        <v>no</v>
      </c>
      <c r="AP390" s="17" t="str">
        <f aca="false">IF(AH391&lt;AH390,"FITS BITCH",IF(AH391&gt;AH390,"no"))</f>
        <v>no</v>
      </c>
      <c r="AQ390" s="17" t="str">
        <f aca="false">IF(AI391&lt;AI390,"FITS BITCH",IF(AI391&gt;AI390,"no"))</f>
        <v>no</v>
      </c>
      <c r="AR390" s="17" t="str">
        <f aca="false">IF(AJ390&lt;AH391,"FITS BITCH",IF(AJ390&gt;AH391,"no"))</f>
        <v>FITS BITCH</v>
      </c>
      <c r="AS390" s="17" t="str">
        <f aca="false">IF(AJ390&gt;AJ391,"FITS BITCH",IF(AJ390&lt;AJ391,"no"))</f>
        <v>no</v>
      </c>
      <c r="AT390" s="91" t="str">
        <f aca="false">IF(AND($AO390="FITS BITCH",$AP390="FITS BITCH",$AR390="FITS BITCH"),"BULLISH","")</f>
        <v/>
      </c>
      <c r="AU390" s="91" t="str">
        <f aca="false">IF(AND($AO390="FITS BITCH",$AQ390="FITS BITCH",$AS390="FITS BITCH"),"BEARISH","")</f>
        <v/>
      </c>
      <c r="AV390" s="86"/>
      <c r="AW390" s="86"/>
      <c r="AX390" s="86"/>
      <c r="CL390" s="99" t="n">
        <v>42584</v>
      </c>
      <c r="CM390" s="23" t="n">
        <f aca="false">$BA$68*CL390+$BA$70</f>
        <v>100.46942819312</v>
      </c>
    </row>
    <row r="391" customFormat="false" ht="15.75" hidden="false" customHeight="false" outlineLevel="0" collapsed="false">
      <c r="AE391" s="90" t="n">
        <f aca="false">Data!A386</f>
        <v>42410</v>
      </c>
      <c r="AF391" s="17" t="n">
        <f aca="false">Data!B386</f>
        <v>95.92</v>
      </c>
      <c r="AG391" s="17" t="n">
        <f aca="false">Data!F386</f>
        <v>42244975</v>
      </c>
      <c r="AH391" s="17" t="n">
        <f aca="false">Data!C386</f>
        <v>96.35</v>
      </c>
      <c r="AI391" s="17" t="n">
        <f aca="false">Data!D386</f>
        <v>94.1</v>
      </c>
      <c r="AJ391" s="17" t="n">
        <f aca="false">Data!E386</f>
        <v>94.27</v>
      </c>
      <c r="AK391" s="17" t="n">
        <f aca="false">Data!F386</f>
        <v>42244975</v>
      </c>
      <c r="AL391" s="17" t="n">
        <f aca="false">AJ391</f>
        <v>94.27</v>
      </c>
      <c r="AM391" s="17" t="n">
        <f aca="false">(AL391-AL390)/AL391*100</f>
        <v>0.604646228916934</v>
      </c>
      <c r="AN391" s="17" t="n">
        <f aca="false">(AK391-AK390)/AK391*100</f>
        <v>-17.6144855098151</v>
      </c>
      <c r="AO391" s="17" t="str">
        <f aca="false">IF(AN391&lt;-8,"FITS BITCH",IF(AN391&gt;-8,"no"))</f>
        <v>FITS BITCH</v>
      </c>
      <c r="AP391" s="17" t="str">
        <f aca="false">IF(AH392&lt;AH391,"FITS BITCH",IF(AH392&gt;AH391,"no"))</f>
        <v>FITS BITCH</v>
      </c>
      <c r="AQ391" s="17" t="str">
        <f aca="false">IF(AI392&lt;AI391,"FITS BITCH",IF(AI392&gt;AI391,"no"))</f>
        <v>FITS BITCH</v>
      </c>
      <c r="AR391" s="17" t="str">
        <f aca="false">IF(AJ391&lt;AH392,"FITS BITCH",IF(AJ391&gt;AH392,"no"))</f>
        <v>FITS BITCH</v>
      </c>
      <c r="AS391" s="17" t="str">
        <f aca="false">IF(AJ391&gt;AJ392,"FITS BITCH",IF(AJ391&lt;AJ392,"no"))</f>
        <v>no</v>
      </c>
      <c r="AT391" s="91" t="str">
        <f aca="false">IF(AND($AO391="FITS BITCH",$AP391="FITS BITCH",$AR391="FITS BITCH"),"BULLISH","")</f>
        <v>BULLISH</v>
      </c>
      <c r="AU391" s="91" t="str">
        <f aca="false">IF(AND($AO391="FITS BITCH",$AQ391="FITS BITCH",$AS391="FITS BITCH"),"BEARISH","")</f>
        <v/>
      </c>
      <c r="AV391" s="86"/>
      <c r="AW391" s="86"/>
      <c r="AX391" s="86"/>
      <c r="CL391" s="99" t="n">
        <v>42583</v>
      </c>
      <c r="CM391" s="23" t="n">
        <f aca="false">$BA$68*CL391+$BA$70</f>
        <v>100.315309962877</v>
      </c>
    </row>
    <row r="392" customFormat="false" ht="15.75" hidden="false" customHeight="false" outlineLevel="0" collapsed="false">
      <c r="AE392" s="90" t="n">
        <f aca="false">Data!A387</f>
        <v>42409</v>
      </c>
      <c r="AF392" s="17" t="n">
        <f aca="false">Data!B387</f>
        <v>94.29</v>
      </c>
      <c r="AG392" s="17" t="n">
        <f aca="false">Data!F387</f>
        <v>44262912</v>
      </c>
      <c r="AH392" s="17" t="n">
        <f aca="false">Data!C387</f>
        <v>95.94</v>
      </c>
      <c r="AI392" s="17" t="n">
        <f aca="false">Data!D387</f>
        <v>93.93</v>
      </c>
      <c r="AJ392" s="17" t="n">
        <f aca="false">Data!E387</f>
        <v>94.99</v>
      </c>
      <c r="AK392" s="17" t="n">
        <f aca="false">Data!F387</f>
        <v>44262912</v>
      </c>
      <c r="AL392" s="17" t="n">
        <f aca="false">AJ392</f>
        <v>94.99</v>
      </c>
      <c r="AM392" s="17" t="n">
        <f aca="false">(AL392-AL391)/AL392*100</f>
        <v>0.757974523634066</v>
      </c>
      <c r="AN392" s="17" t="n">
        <f aca="false">(AK392-AK391)/AK392*100</f>
        <v>4.55897930981134</v>
      </c>
      <c r="AO392" s="17" t="str">
        <f aca="false">IF(AN392&lt;-8,"FITS BITCH",IF(AN392&gt;-8,"no"))</f>
        <v>no</v>
      </c>
      <c r="AP392" s="17" t="str">
        <f aca="false">IF(AH393&lt;AH392,"FITS BITCH",IF(AH393&gt;AH392,"no"))</f>
        <v>FITS BITCH</v>
      </c>
      <c r="AQ392" s="17" t="str">
        <f aca="false">IF(AI393&lt;AI392,"FITS BITCH",IF(AI393&gt;AI392,"no"))</f>
        <v>FITS BITCH</v>
      </c>
      <c r="AR392" s="17" t="str">
        <f aca="false">IF(AJ392&lt;AH393,"FITS BITCH",IF(AJ392&gt;AH393,"no"))</f>
        <v>FITS BITCH</v>
      </c>
      <c r="AS392" s="17" t="str">
        <f aca="false">IF(AJ392&gt;AJ393,"FITS BITCH",IF(AJ392&lt;AJ393,"no"))</f>
        <v>no</v>
      </c>
      <c r="AT392" s="91" t="str">
        <f aca="false">IF(AND($AO392="FITS BITCH",$AP392="FITS BITCH",$AR392="FITS BITCH"),"BULLISH","")</f>
        <v/>
      </c>
      <c r="AU392" s="91" t="str">
        <f aca="false">IF(AND($AO392="FITS BITCH",$AQ392="FITS BITCH",$AS392="FITS BITCH"),"BEARISH","")</f>
        <v/>
      </c>
      <c r="AV392" s="86"/>
      <c r="AW392" s="86"/>
      <c r="AX392" s="86"/>
      <c r="CL392" s="99" t="n">
        <v>42580</v>
      </c>
      <c r="CM392" s="23" t="n">
        <f aca="false">$BA$68*CL392+$BA$70</f>
        <v>99.8529552721493</v>
      </c>
    </row>
    <row r="393" customFormat="false" ht="15.75" hidden="false" customHeight="false" outlineLevel="0" collapsed="false">
      <c r="AE393" s="90" t="n">
        <f aca="false">Data!A388</f>
        <v>42408</v>
      </c>
      <c r="AF393" s="17" t="n">
        <f aca="false">Data!B388</f>
        <v>93.13</v>
      </c>
      <c r="AG393" s="17" t="n">
        <f aca="false">Data!F388</f>
        <v>53852284</v>
      </c>
      <c r="AH393" s="17" t="n">
        <f aca="false">Data!C388</f>
        <v>95.7</v>
      </c>
      <c r="AI393" s="17" t="n">
        <f aca="false">Data!D388</f>
        <v>93.04</v>
      </c>
      <c r="AJ393" s="17" t="n">
        <f aca="false">Data!E388</f>
        <v>95.01</v>
      </c>
      <c r="AK393" s="17" t="n">
        <f aca="false">Data!F388</f>
        <v>53852284</v>
      </c>
      <c r="AL393" s="17" t="n">
        <f aca="false">AJ393</f>
        <v>95.01</v>
      </c>
      <c r="AM393" s="17" t="n">
        <f aca="false">(AL393-AL392)/AL393*100</f>
        <v>0.0210504157457217</v>
      </c>
      <c r="AN393" s="17" t="n">
        <f aca="false">(AK393-AK392)/AK393*100</f>
        <v>17.8068064856822</v>
      </c>
      <c r="AO393" s="17" t="str">
        <f aca="false">IF(AN393&lt;-8,"FITS BITCH",IF(AN393&gt;-8,"no"))</f>
        <v>no</v>
      </c>
      <c r="AP393" s="17" t="str">
        <f aca="false">IF(AH394&lt;AH393,"FITS BITCH",IF(AH394&gt;AH393,"no"))</f>
        <v>no</v>
      </c>
      <c r="AQ393" s="17" t="str">
        <f aca="false">IF(AI394&lt;AI393,"FITS BITCH",IF(AI394&gt;AI393,"no"))</f>
        <v>no</v>
      </c>
      <c r="AR393" s="17" t="str">
        <f aca="false">IF(AJ393&lt;AH394,"FITS BITCH",IF(AJ393&gt;AH394,"no"))</f>
        <v>FITS BITCH</v>
      </c>
      <c r="AS393" s="17" t="str">
        <f aca="false">IF(AJ393&gt;AJ394,"FITS BITCH",IF(AJ393&lt;AJ394,"no"))</f>
        <v>FITS BITCH</v>
      </c>
      <c r="AT393" s="91" t="str">
        <f aca="false">IF(AND($AO393="FITS BITCH",$AP393="FITS BITCH",$AR393="FITS BITCH"),"BULLISH","")</f>
        <v/>
      </c>
      <c r="AU393" s="91" t="str">
        <f aca="false">IF(AND($AO393="FITS BITCH",$AQ393="FITS BITCH",$AS393="FITS BITCH"),"BEARISH","")</f>
        <v/>
      </c>
      <c r="AV393" s="86"/>
      <c r="AW393" s="86"/>
      <c r="AX393" s="86"/>
      <c r="CL393" s="99" t="n">
        <v>42579</v>
      </c>
      <c r="CM393" s="23" t="n">
        <f aca="false">$BA$68*CL393+$BA$70</f>
        <v>99.6988370419067</v>
      </c>
    </row>
    <row r="394" customFormat="false" ht="15.75" hidden="false" customHeight="false" outlineLevel="0" collapsed="false">
      <c r="AE394" s="90" t="n">
        <f aca="false">Data!A389</f>
        <v>42405</v>
      </c>
      <c r="AF394" s="17" t="n">
        <f aca="false">Data!B389</f>
        <v>96.52</v>
      </c>
      <c r="AG394" s="17" t="n">
        <f aca="false">Data!F389</f>
        <v>45853883</v>
      </c>
      <c r="AH394" s="17" t="n">
        <f aca="false">Data!C389</f>
        <v>96.92</v>
      </c>
      <c r="AI394" s="17" t="n">
        <f aca="false">Data!D389</f>
        <v>93.69</v>
      </c>
      <c r="AJ394" s="17" t="n">
        <f aca="false">Data!E389</f>
        <v>94.02</v>
      </c>
      <c r="AK394" s="17" t="n">
        <f aca="false">Data!F389</f>
        <v>45853883</v>
      </c>
      <c r="AL394" s="17" t="n">
        <f aca="false">AJ394</f>
        <v>94.02</v>
      </c>
      <c r="AM394" s="17" t="n">
        <f aca="false">(AL394-AL393)/AL394*100</f>
        <v>-1.05296745373326</v>
      </c>
      <c r="AN394" s="17" t="n">
        <f aca="false">(AK394-AK393)/AK394*100</f>
        <v>-17.443235941436</v>
      </c>
      <c r="AO394" s="17" t="str">
        <f aca="false">IF(AN394&lt;-8,"FITS BITCH",IF(AN394&gt;-8,"no"))</f>
        <v>FITS BITCH</v>
      </c>
      <c r="AP394" s="17" t="str">
        <f aca="false">IF(AH395&lt;AH394,"FITS BITCH",IF(AH395&gt;AH394,"no"))</f>
        <v>no</v>
      </c>
      <c r="AQ394" s="17" t="str">
        <f aca="false">IF(AI395&lt;AI394,"FITS BITCH",IF(AI395&gt;AI394,"no"))</f>
        <v>no</v>
      </c>
      <c r="AR394" s="17" t="str">
        <f aca="false">IF(AJ394&lt;AH395,"FITS BITCH",IF(AJ394&gt;AH395,"no"))</f>
        <v>FITS BITCH</v>
      </c>
      <c r="AS394" s="17" t="str">
        <f aca="false">IF(AJ394&gt;AJ395,"FITS BITCH",IF(AJ394&lt;AJ395,"no"))</f>
        <v>no</v>
      </c>
      <c r="AT394" s="91" t="str">
        <f aca="false">IF(AND($AO394="FITS BITCH",$AP394="FITS BITCH",$AR394="FITS BITCH"),"BULLISH","")</f>
        <v/>
      </c>
      <c r="AU394" s="91" t="str">
        <f aca="false">IF(AND($AO394="FITS BITCH",$AQ394="FITS BITCH",$AS394="FITS BITCH"),"BEARISH","")</f>
        <v/>
      </c>
      <c r="AV394" s="86"/>
      <c r="AW394" s="86"/>
      <c r="AX394" s="86"/>
      <c r="CL394" s="99" t="n">
        <v>42578</v>
      </c>
      <c r="CM394" s="23" t="n">
        <f aca="false">$BA$68*CL394+$BA$70</f>
        <v>99.5447188116641</v>
      </c>
    </row>
    <row r="395" customFormat="false" ht="15.75" hidden="false" customHeight="false" outlineLevel="0" collapsed="false">
      <c r="AE395" s="90" t="n">
        <f aca="false">Data!A390</f>
        <v>42404</v>
      </c>
      <c r="AF395" s="17" t="n">
        <f aca="false">Data!B390</f>
        <v>95.86</v>
      </c>
      <c r="AG395" s="17" t="n">
        <f aca="false">Data!F390</f>
        <v>46263907</v>
      </c>
      <c r="AH395" s="17" t="n">
        <f aca="false">Data!C390</f>
        <v>97.33</v>
      </c>
      <c r="AI395" s="17" t="n">
        <f aca="false">Data!D390</f>
        <v>95.19</v>
      </c>
      <c r="AJ395" s="17" t="n">
        <f aca="false">Data!E390</f>
        <v>96.6</v>
      </c>
      <c r="AK395" s="17" t="n">
        <f aca="false">Data!F390</f>
        <v>46263907</v>
      </c>
      <c r="AL395" s="17" t="n">
        <f aca="false">AJ395</f>
        <v>96.6</v>
      </c>
      <c r="AM395" s="17" t="n">
        <f aca="false">(AL395-AL394)/AL395*100</f>
        <v>2.67080745341615</v>
      </c>
      <c r="AN395" s="17" t="n">
        <f aca="false">(AK395-AK394)/AK395*100</f>
        <v>0.886271883608965</v>
      </c>
      <c r="AO395" s="17" t="str">
        <f aca="false">IF(AN395&lt;-8,"FITS BITCH",IF(AN395&gt;-8,"no"))</f>
        <v>no</v>
      </c>
      <c r="AP395" s="17" t="str">
        <f aca="false">IF(AH396&lt;AH395,"FITS BITCH",IF(AH396&gt;AH395,"no"))</f>
        <v>FITS BITCH</v>
      </c>
      <c r="AQ395" s="17" t="str">
        <f aca="false">IF(AI396&lt;AI395,"FITS BITCH",IF(AI396&gt;AI395,"no"))</f>
        <v>FITS BITCH</v>
      </c>
      <c r="AR395" s="17" t="str">
        <f aca="false">IF(AJ395&lt;AH396,"FITS BITCH",IF(AJ395&gt;AH396,"no"))</f>
        <v>FITS BITCH</v>
      </c>
      <c r="AS395" s="17" t="str">
        <f aca="false">IF(AJ395&gt;AJ396,"FITS BITCH",IF(AJ395&lt;AJ396,"no"))</f>
        <v>FITS BITCH</v>
      </c>
      <c r="AT395" s="91" t="str">
        <f aca="false">IF(AND($AO395="FITS BITCH",$AP395="FITS BITCH",$AR395="FITS BITCH"),"BULLISH","")</f>
        <v/>
      </c>
      <c r="AU395" s="91" t="str">
        <f aca="false">IF(AND($AO395="FITS BITCH",$AQ395="FITS BITCH",$AS395="FITS BITCH"),"BEARISH","")</f>
        <v/>
      </c>
      <c r="AV395" s="86"/>
      <c r="AW395" s="86"/>
      <c r="AX395" s="86"/>
      <c r="CL395" s="99" t="n">
        <v>42577</v>
      </c>
      <c r="CM395" s="23" t="n">
        <f aca="false">$BA$68*CL395+$BA$70</f>
        <v>99.3906005814206</v>
      </c>
    </row>
    <row r="396" customFormat="false" ht="15.75" hidden="false" customHeight="false" outlineLevel="0" collapsed="false">
      <c r="AE396" s="90" t="n">
        <f aca="false">Data!A391</f>
        <v>42403</v>
      </c>
      <c r="AF396" s="17" t="n">
        <f aca="false">Data!B391</f>
        <v>95</v>
      </c>
      <c r="AG396" s="17" t="n">
        <f aca="false">Data!F391</f>
        <v>45366710</v>
      </c>
      <c r="AH396" s="17" t="n">
        <f aca="false">Data!C391</f>
        <v>96.84</v>
      </c>
      <c r="AI396" s="17" t="n">
        <f aca="false">Data!D391</f>
        <v>94.08</v>
      </c>
      <c r="AJ396" s="17" t="n">
        <f aca="false">Data!E391</f>
        <v>96.35</v>
      </c>
      <c r="AK396" s="17" t="n">
        <f aca="false">Data!F391</f>
        <v>45366710</v>
      </c>
      <c r="AL396" s="17" t="n">
        <f aca="false">AJ396</f>
        <v>96.35</v>
      </c>
      <c r="AM396" s="17" t="n">
        <f aca="false">(AL396-AL395)/AL396*100</f>
        <v>-0.259470679813181</v>
      </c>
      <c r="AN396" s="17" t="n">
        <f aca="false">(AK396-AK395)/AK396*100</f>
        <v>-1.97765498093205</v>
      </c>
      <c r="AO396" s="17" t="str">
        <f aca="false">IF(AN396&lt;-8,"FITS BITCH",IF(AN396&gt;-8,"no"))</f>
        <v>no</v>
      </c>
      <c r="AP396" s="17" t="str">
        <f aca="false">IF(AH397&lt;AH396,"FITS BITCH",IF(AH397&gt;AH396,"no"))</f>
        <v>FITS BITCH</v>
      </c>
      <c r="AQ396" s="17" t="str">
        <f aca="false">IF(AI397&lt;AI396,"FITS BITCH",IF(AI397&gt;AI396,"no"))</f>
        <v>no</v>
      </c>
      <c r="AR396" s="17" t="str">
        <f aca="false">IF(AJ396&lt;AH397,"FITS BITCH",IF(AJ396&gt;AH397,"no"))</f>
        <v>no</v>
      </c>
      <c r="AS396" s="17" t="str">
        <f aca="false">IF(AJ396&gt;AJ397,"FITS BITCH",IF(AJ396&lt;AJ397,"no"))</f>
        <v>FITS BITCH</v>
      </c>
      <c r="AT396" s="91" t="str">
        <f aca="false">IF(AND($AO396="FITS BITCH",$AP396="FITS BITCH",$AR396="FITS BITCH"),"BULLISH","")</f>
        <v/>
      </c>
      <c r="AU396" s="91" t="str">
        <f aca="false">IF(AND($AO396="FITS BITCH",$AQ396="FITS BITCH",$AS396="FITS BITCH"),"BEARISH","")</f>
        <v/>
      </c>
      <c r="AV396" s="86"/>
      <c r="AW396" s="86"/>
      <c r="AX396" s="86"/>
      <c r="CL396" s="99" t="n">
        <v>42576</v>
      </c>
      <c r="CM396" s="23" t="n">
        <f aca="false">$BA$68*CL396+$BA$70</f>
        <v>99.236482351178</v>
      </c>
    </row>
    <row r="397" customFormat="false" ht="15.75" hidden="false" customHeight="false" outlineLevel="0" collapsed="false">
      <c r="AE397" s="90" t="n">
        <f aca="false">Data!A392</f>
        <v>42402</v>
      </c>
      <c r="AF397" s="17" t="n">
        <f aca="false">Data!B392</f>
        <v>95.42</v>
      </c>
      <c r="AG397" s="17" t="n">
        <f aca="false">Data!F392</f>
        <v>37081206</v>
      </c>
      <c r="AH397" s="17" t="n">
        <f aca="false">Data!C392</f>
        <v>96.04</v>
      </c>
      <c r="AI397" s="17" t="n">
        <f aca="false">Data!D392</f>
        <v>94.28</v>
      </c>
      <c r="AJ397" s="17" t="n">
        <f aca="false">Data!E392</f>
        <v>94.48</v>
      </c>
      <c r="AK397" s="17" t="n">
        <f aca="false">Data!F392</f>
        <v>37081206</v>
      </c>
      <c r="AL397" s="17" t="n">
        <f aca="false">AJ397</f>
        <v>94.48</v>
      </c>
      <c r="AM397" s="17" t="n">
        <f aca="false">(AL397-AL396)/AL397*100</f>
        <v>-1.97925486875528</v>
      </c>
      <c r="AN397" s="17" t="n">
        <f aca="false">(AK397-AK396)/AK397*100</f>
        <v>-22.3442139395358</v>
      </c>
      <c r="AO397" s="17" t="str">
        <f aca="false">IF(AN397&lt;-8,"FITS BITCH",IF(AN397&gt;-8,"no"))</f>
        <v>FITS BITCH</v>
      </c>
      <c r="AP397" s="17" t="str">
        <f aca="false">IF(AH398&lt;AH397,"FITS BITCH",IF(AH398&gt;AH397,"no"))</f>
        <v>no</v>
      </c>
      <c r="AQ397" s="17" t="str">
        <f aca="false">IF(AI398&lt;AI397,"FITS BITCH",IF(AI398&gt;AI397,"no"))</f>
        <v>no</v>
      </c>
      <c r="AR397" s="17" t="str">
        <f aca="false">IF(AJ397&lt;AH398,"FITS BITCH",IF(AJ397&gt;AH398,"no"))</f>
        <v>FITS BITCH</v>
      </c>
      <c r="AS397" s="17" t="str">
        <f aca="false">IF(AJ397&gt;AJ398,"FITS BITCH",IF(AJ397&lt;AJ398,"no"))</f>
        <v>no</v>
      </c>
      <c r="AT397" s="91" t="str">
        <f aca="false">IF(AND($AO397="FITS BITCH",$AP397="FITS BITCH",$AR397="FITS BITCH"),"BULLISH","")</f>
        <v/>
      </c>
      <c r="AU397" s="91" t="str">
        <f aca="false">IF(AND($AO397="FITS BITCH",$AQ397="FITS BITCH",$AS397="FITS BITCH"),"BEARISH","")</f>
        <v/>
      </c>
      <c r="AV397" s="86"/>
      <c r="AW397" s="86"/>
      <c r="AX397" s="86"/>
      <c r="CL397" s="99" t="n">
        <v>42573</v>
      </c>
      <c r="CM397" s="23" t="n">
        <f aca="false">$BA$68*CL397+$BA$70</f>
        <v>98.7741276604502</v>
      </c>
    </row>
    <row r="398" customFormat="false" ht="15.75" hidden="false" customHeight="false" outlineLevel="0" collapsed="false">
      <c r="AE398" s="90" t="n">
        <f aca="false">Data!A393</f>
        <v>42401</v>
      </c>
      <c r="AF398" s="17" t="n">
        <f aca="false">Data!B393</f>
        <v>96.47</v>
      </c>
      <c r="AG398" s="17" t="n">
        <f aca="false">Data!F393</f>
        <v>40571593</v>
      </c>
      <c r="AH398" s="17" t="n">
        <f aca="false">Data!C393</f>
        <v>96.71</v>
      </c>
      <c r="AI398" s="17" t="n">
        <f aca="false">Data!D393</f>
        <v>95.4</v>
      </c>
      <c r="AJ398" s="17" t="n">
        <f aca="false">Data!E393</f>
        <v>96.43</v>
      </c>
      <c r="AK398" s="17" t="n">
        <f aca="false">Data!F393</f>
        <v>40571593</v>
      </c>
      <c r="AL398" s="17" t="n">
        <f aca="false">AJ398</f>
        <v>96.43</v>
      </c>
      <c r="AM398" s="17" t="n">
        <f aca="false">(AL398-AL397)/AL398*100</f>
        <v>2.02219226381832</v>
      </c>
      <c r="AN398" s="17" t="n">
        <f aca="false">(AK398-AK397)/AK398*100</f>
        <v>8.60303168278357</v>
      </c>
      <c r="AO398" s="17" t="str">
        <f aca="false">IF(AN398&lt;-8,"FITS BITCH",IF(AN398&gt;-8,"no"))</f>
        <v>no</v>
      </c>
      <c r="AP398" s="17" t="str">
        <f aca="false">IF(AH399&lt;AH398,"FITS BITCH",IF(AH399&gt;AH398,"no"))</f>
        <v>no</v>
      </c>
      <c r="AQ398" s="17" t="str">
        <f aca="false">IF(AI399&lt;AI398,"FITS BITCH",IF(AI399&gt;AI398,"no"))</f>
        <v>FITS BITCH</v>
      </c>
      <c r="AR398" s="17" t="str">
        <f aca="false">IF(AJ398&lt;AH399,"FITS BITCH",IF(AJ398&gt;AH399,"no"))</f>
        <v>FITS BITCH</v>
      </c>
      <c r="AS398" s="17" t="str">
        <f aca="false">IF(AJ398&gt;AJ399,"FITS BITCH",IF(AJ398&lt;AJ399,"no"))</f>
        <v>no</v>
      </c>
      <c r="AT398" s="91" t="str">
        <f aca="false">IF(AND($AO398="FITS BITCH",$AP398="FITS BITCH",$AR398="FITS BITCH"),"BULLISH","")</f>
        <v/>
      </c>
      <c r="AU398" s="91" t="str">
        <f aca="false">IF(AND($AO398="FITS BITCH",$AQ398="FITS BITCH",$AS398="FITS BITCH"),"BEARISH","")</f>
        <v/>
      </c>
      <c r="AV398" s="86"/>
      <c r="AW398" s="86"/>
      <c r="AX398" s="86"/>
      <c r="CL398" s="99" t="n">
        <v>42572</v>
      </c>
      <c r="CM398" s="23" t="n">
        <f aca="false">$BA$68*CL398+$BA$70</f>
        <v>98.6200094302076</v>
      </c>
    </row>
    <row r="399" customFormat="false" ht="15.75" hidden="false" customHeight="false" outlineLevel="0" collapsed="false">
      <c r="AE399" s="90" t="n">
        <f aca="false">Data!A394</f>
        <v>42398</v>
      </c>
      <c r="AF399" s="17" t="n">
        <f aca="false">Data!B394</f>
        <v>94.79</v>
      </c>
      <c r="AG399" s="17" t="n">
        <f aca="false">Data!F394</f>
        <v>64010141</v>
      </c>
      <c r="AH399" s="17" t="n">
        <f aca="false">Data!C394</f>
        <v>97.34</v>
      </c>
      <c r="AI399" s="17" t="n">
        <f aca="false">Data!D394</f>
        <v>94.35</v>
      </c>
      <c r="AJ399" s="17" t="n">
        <f aca="false">Data!E394</f>
        <v>97.34</v>
      </c>
      <c r="AK399" s="17" t="n">
        <f aca="false">Data!F394</f>
        <v>64010141</v>
      </c>
      <c r="AL399" s="17" t="n">
        <f aca="false">AJ399</f>
        <v>97.34</v>
      </c>
      <c r="AM399" s="17" t="n">
        <f aca="false">(AL399-AL398)/AL399*100</f>
        <v>0.934867474830488</v>
      </c>
      <c r="AN399" s="17" t="n">
        <f aca="false">(AK399-AK398)/AK399*100</f>
        <v>36.616929183143</v>
      </c>
      <c r="AO399" s="17" t="str">
        <f aca="false">IF(AN399&lt;-8,"FITS BITCH",IF(AN399&gt;-8,"no"))</f>
        <v>no</v>
      </c>
      <c r="AP399" s="17" t="str">
        <f aca="false">IF(AH400&lt;AH399,"FITS BITCH",IF(AH400&gt;AH399,"no"))</f>
        <v>FITS BITCH</v>
      </c>
      <c r="AQ399" s="17" t="str">
        <f aca="false">IF(AI400&lt;AI399,"FITS BITCH",IF(AI400&gt;AI399,"no"))</f>
        <v>FITS BITCH</v>
      </c>
      <c r="AR399" s="17" t="str">
        <f aca="false">IF(AJ399&lt;AH400,"FITS BITCH",IF(AJ399&gt;AH400,"no"))</f>
        <v>no</v>
      </c>
      <c r="AS399" s="17" t="str">
        <f aca="false">IF(AJ399&gt;AJ400,"FITS BITCH",IF(AJ399&lt;AJ400,"no"))</f>
        <v>FITS BITCH</v>
      </c>
      <c r="AT399" s="91" t="str">
        <f aca="false">IF(AND($AO399="FITS BITCH",$AP399="FITS BITCH",$AR399="FITS BITCH"),"BULLISH","")</f>
        <v/>
      </c>
      <c r="AU399" s="91" t="str">
        <f aca="false">IF(AND($AO399="FITS BITCH",$AQ399="FITS BITCH",$AS399="FITS BITCH"),"BEARISH","")</f>
        <v/>
      </c>
      <c r="AV399" s="86"/>
      <c r="AW399" s="86"/>
      <c r="AX399" s="86"/>
      <c r="CL399" s="99" t="n">
        <v>42571</v>
      </c>
      <c r="CM399" s="23" t="n">
        <f aca="false">$BA$68*CL399+$BA$70</f>
        <v>98.465891199965</v>
      </c>
    </row>
    <row r="400" customFormat="false" ht="15.75" hidden="false" customHeight="false" outlineLevel="0" collapsed="false">
      <c r="AE400" s="90" t="n">
        <f aca="false">Data!A395</f>
        <v>42397</v>
      </c>
      <c r="AF400" s="17" t="n">
        <f aca="false">Data!B395</f>
        <v>93.79</v>
      </c>
      <c r="AG400" s="17" t="n">
        <f aca="false">Data!F395</f>
        <v>55557109</v>
      </c>
      <c r="AH400" s="17" t="n">
        <f aca="false">Data!C395</f>
        <v>94.52</v>
      </c>
      <c r="AI400" s="17" t="n">
        <f aca="false">Data!D395</f>
        <v>92.39</v>
      </c>
      <c r="AJ400" s="17" t="n">
        <f aca="false">Data!E395</f>
        <v>94.09</v>
      </c>
      <c r="AK400" s="17" t="n">
        <f aca="false">Data!F395</f>
        <v>55557109</v>
      </c>
      <c r="AL400" s="17" t="n">
        <f aca="false">AJ400</f>
        <v>94.09</v>
      </c>
      <c r="AM400" s="17" t="n">
        <f aca="false">(AL400-AL399)/AL400*100</f>
        <v>-3.45413965352322</v>
      </c>
      <c r="AN400" s="17" t="n">
        <f aca="false">(AK400-AK399)/AK400*100</f>
        <v>-15.2150321572708</v>
      </c>
      <c r="AO400" s="17" t="str">
        <f aca="false">IF(AN400&lt;-8,"FITS BITCH",IF(AN400&gt;-8,"no"))</f>
        <v>FITS BITCH</v>
      </c>
      <c r="AP400" s="17" t="str">
        <f aca="false">IF(AH401&lt;AH400,"FITS BITCH",IF(AH401&gt;AH400,"no"))</f>
        <v>no</v>
      </c>
      <c r="AQ400" s="17" t="str">
        <f aca="false">IF(AI401&lt;AI400,"FITS BITCH",IF(AI401&gt;AI400,"no"))</f>
        <v>no</v>
      </c>
      <c r="AR400" s="17" t="str">
        <f aca="false">IF(AJ400&lt;AH401,"FITS BITCH",IF(AJ400&gt;AH401,"no"))</f>
        <v>FITS BITCH</v>
      </c>
      <c r="AS400" s="17" t="str">
        <f aca="false">IF(AJ400&gt;AJ401,"FITS BITCH",IF(AJ400&lt;AJ401,"no"))</f>
        <v>FITS BITCH</v>
      </c>
      <c r="AT400" s="91" t="str">
        <f aca="false">IF(AND($AO400="FITS BITCH",$AP400="FITS BITCH",$AR400="FITS BITCH"),"BULLISH","")</f>
        <v/>
      </c>
      <c r="AU400" s="91" t="str">
        <f aca="false">IF(AND($AO400="FITS BITCH",$AQ400="FITS BITCH",$AS400="FITS BITCH"),"BEARISH","")</f>
        <v/>
      </c>
      <c r="AV400" s="86"/>
      <c r="AW400" s="86"/>
      <c r="AX400" s="86"/>
      <c r="CL400" s="99" t="n">
        <v>42570</v>
      </c>
      <c r="CM400" s="23" t="n">
        <f aca="false">$BA$68*CL400+$BA$70</f>
        <v>98.3117729697224</v>
      </c>
    </row>
    <row r="401" customFormat="false" ht="15.75" hidden="false" customHeight="false" outlineLevel="0" collapsed="false">
      <c r="AE401" s="90" t="n">
        <f aca="false">Data!A396</f>
        <v>42396</v>
      </c>
      <c r="AF401" s="17" t="n">
        <f aca="false">Data!B396</f>
        <v>96.04</v>
      </c>
      <c r="AG401" s="17" t="n">
        <f aca="false">Data!F396</f>
        <v>132224500</v>
      </c>
      <c r="AH401" s="17" t="n">
        <f aca="false">Data!C396</f>
        <v>96.63</v>
      </c>
      <c r="AI401" s="17" t="n">
        <f aca="false">Data!D396</f>
        <v>93.34</v>
      </c>
      <c r="AJ401" s="17" t="n">
        <f aca="false">Data!E396</f>
        <v>93.42</v>
      </c>
      <c r="AK401" s="17" t="n">
        <f aca="false">Data!F396</f>
        <v>132224500</v>
      </c>
      <c r="AL401" s="17" t="n">
        <f aca="false">AJ401</f>
        <v>93.42</v>
      </c>
      <c r="AM401" s="17" t="n">
        <f aca="false">(AL401-AL400)/AL401*100</f>
        <v>-0.717191179618927</v>
      </c>
      <c r="AN401" s="17" t="n">
        <f aca="false">(AK401-AK400)/AK401*100</f>
        <v>57.9827422300708</v>
      </c>
      <c r="AO401" s="17" t="str">
        <f aca="false">IF(AN401&lt;-8,"FITS BITCH",IF(AN401&gt;-8,"no"))</f>
        <v>no</v>
      </c>
      <c r="AP401" s="17" t="str">
        <f aca="false">IF(AH402&lt;AH401,"FITS BITCH",IF(AH402&gt;AH401,"no"))</f>
        <v>no</v>
      </c>
      <c r="AQ401" s="17" t="str">
        <f aca="false">IF(AI402&lt;AI401,"FITS BITCH",IF(AI402&gt;AI401,"no"))</f>
        <v>no</v>
      </c>
      <c r="AR401" s="17" t="str">
        <f aca="false">IF(AJ401&lt;AH402,"FITS BITCH",IF(AJ401&gt;AH402,"no"))</f>
        <v>FITS BITCH</v>
      </c>
      <c r="AS401" s="17" t="str">
        <f aca="false">IF(AJ401&gt;AJ402,"FITS BITCH",IF(AJ401&lt;AJ402,"no"))</f>
        <v>no</v>
      </c>
      <c r="AT401" s="91" t="str">
        <f aca="false">IF(AND($AO401="FITS BITCH",$AP401="FITS BITCH",$AR401="FITS BITCH"),"BULLISH","")</f>
        <v/>
      </c>
      <c r="AU401" s="91" t="str">
        <f aca="false">IF(AND($AO401="FITS BITCH",$AQ401="FITS BITCH",$AS401="FITS BITCH"),"BEARISH","")</f>
        <v/>
      </c>
      <c r="AV401" s="86"/>
      <c r="AW401" s="86"/>
      <c r="AX401" s="86"/>
      <c r="CL401" s="99" t="n">
        <v>42569</v>
      </c>
      <c r="CM401" s="23" t="n">
        <f aca="false">$BA$68*CL401+$BA$70</f>
        <v>98.1576547394798</v>
      </c>
    </row>
    <row r="402" customFormat="false" ht="15.75" hidden="false" customHeight="false" outlineLevel="0" collapsed="false">
      <c r="AE402" s="90" t="n">
        <f aca="false">Data!A397</f>
        <v>42395</v>
      </c>
      <c r="AF402" s="17" t="n">
        <f aca="false">Data!B397</f>
        <v>99.93</v>
      </c>
      <c r="AG402" s="17" t="n">
        <f aca="false">Data!F397</f>
        <v>63538305</v>
      </c>
      <c r="AH402" s="17" t="n">
        <f aca="false">Data!C397</f>
        <v>100.88</v>
      </c>
      <c r="AI402" s="17" t="n">
        <f aca="false">Data!D397</f>
        <v>98.07</v>
      </c>
      <c r="AJ402" s="17" t="n">
        <f aca="false">Data!E397</f>
        <v>99.99</v>
      </c>
      <c r="AK402" s="17" t="n">
        <f aca="false">Data!F397</f>
        <v>63538305</v>
      </c>
      <c r="AL402" s="17" t="n">
        <f aca="false">AJ402</f>
        <v>99.99</v>
      </c>
      <c r="AM402" s="17" t="n">
        <f aca="false">(AL402-AL401)/AL402*100</f>
        <v>6.57065706570656</v>
      </c>
      <c r="AN402" s="17" t="n">
        <f aca="false">(AK402-AK401)/AK402*100</f>
        <v>-108.102026014071</v>
      </c>
      <c r="AO402" s="17" t="str">
        <f aca="false">IF(AN402&lt;-8,"FITS BITCH",IF(AN402&gt;-8,"no"))</f>
        <v>FITS BITCH</v>
      </c>
      <c r="AP402" s="17" t="str">
        <f aca="false">IF(AH403&lt;AH402,"FITS BITCH",IF(AH403&gt;AH402,"no"))</f>
        <v>no</v>
      </c>
      <c r="AQ402" s="17" t="str">
        <f aca="false">IF(AI403&lt;AI402,"FITS BITCH",IF(AI403&gt;AI402,"no"))</f>
        <v>no</v>
      </c>
      <c r="AR402" s="17" t="str">
        <f aca="false">IF(AJ402&lt;AH403,"FITS BITCH",IF(AJ402&gt;AH403,"no"))</f>
        <v>FITS BITCH</v>
      </c>
      <c r="AS402" s="17" t="str">
        <f aca="false">IF(AJ402&gt;AJ403,"FITS BITCH",IF(AJ402&lt;AJ403,"no"))</f>
        <v>FITS BITCH</v>
      </c>
      <c r="AT402" s="91" t="str">
        <f aca="false">IF(AND($AO402="FITS BITCH",$AP402="FITS BITCH",$AR402="FITS BITCH"),"BULLISH","")</f>
        <v/>
      </c>
      <c r="AU402" s="91" t="str">
        <f aca="false">IF(AND($AO402="FITS BITCH",$AQ402="FITS BITCH",$AS402="FITS BITCH"),"BEARISH","")</f>
        <v/>
      </c>
      <c r="AV402" s="86"/>
      <c r="AW402" s="86"/>
      <c r="AX402" s="86"/>
      <c r="CL402" s="99" t="n">
        <v>42566</v>
      </c>
      <c r="CM402" s="23" t="n">
        <f aca="false">$BA$68*CL402+$BA$70</f>
        <v>97.695300048751</v>
      </c>
    </row>
    <row r="403" customFormat="false" ht="15.75" hidden="false" customHeight="false" outlineLevel="0" collapsed="false">
      <c r="AE403" s="90" t="n">
        <f aca="false">Data!A398</f>
        <v>42394</v>
      </c>
      <c r="AF403" s="17" t="n">
        <f aca="false">Data!B398</f>
        <v>101.52</v>
      </c>
      <c r="AG403" s="17" t="n">
        <f aca="false">Data!F398</f>
        <v>51196375</v>
      </c>
      <c r="AH403" s="17" t="n">
        <f aca="false">Data!C398</f>
        <v>101.53</v>
      </c>
      <c r="AI403" s="17" t="n">
        <f aca="false">Data!D398</f>
        <v>99.21</v>
      </c>
      <c r="AJ403" s="17" t="n">
        <f aca="false">Data!E398</f>
        <v>99.44</v>
      </c>
      <c r="AK403" s="17" t="n">
        <f aca="false">Data!F398</f>
        <v>51196375</v>
      </c>
      <c r="AL403" s="17" t="n">
        <f aca="false">AJ403</f>
        <v>99.44</v>
      </c>
      <c r="AM403" s="17" t="n">
        <f aca="false">(AL403-AL402)/AL403*100</f>
        <v>-0.553097345132741</v>
      </c>
      <c r="AN403" s="17" t="n">
        <f aca="false">(AK403-AK402)/AK403*100</f>
        <v>-24.1070388284327</v>
      </c>
      <c r="AO403" s="17" t="str">
        <f aca="false">IF(AN403&lt;-8,"FITS BITCH",IF(AN403&gt;-8,"no"))</f>
        <v>FITS BITCH</v>
      </c>
      <c r="AP403" s="17" t="str">
        <f aca="false">IF(AH404&lt;AH403,"FITS BITCH",IF(AH404&gt;AH403,"no"))</f>
        <v>FITS BITCH</v>
      </c>
      <c r="AQ403" s="17" t="str">
        <f aca="false">IF(AI404&lt;AI403,"FITS BITCH",IF(AI404&gt;AI403,"no"))</f>
        <v>FITS BITCH</v>
      </c>
      <c r="AR403" s="17" t="str">
        <f aca="false">IF(AJ403&lt;AH404,"FITS BITCH",IF(AJ403&gt;AH404,"no"))</f>
        <v>FITS BITCH</v>
      </c>
      <c r="AS403" s="17" t="str">
        <f aca="false">IF(AJ403&gt;AJ404,"FITS BITCH",IF(AJ403&lt;AJ404,"no"))</f>
        <v>no</v>
      </c>
      <c r="AT403" s="91" t="str">
        <f aca="false">IF(AND($AO403="FITS BITCH",$AP403="FITS BITCH",$AR403="FITS BITCH"),"BULLISH","")</f>
        <v>BULLISH</v>
      </c>
      <c r="AU403" s="91" t="str">
        <f aca="false">IF(AND($AO403="FITS BITCH",$AQ403="FITS BITCH",$AS403="FITS BITCH"),"BEARISH","")</f>
        <v/>
      </c>
      <c r="AV403" s="86"/>
      <c r="AW403" s="86"/>
      <c r="AX403" s="86"/>
      <c r="CL403" s="99" t="n">
        <v>42565</v>
      </c>
      <c r="CM403" s="23" t="n">
        <f aca="false">$BA$68*CL403+$BA$70</f>
        <v>97.5411818185085</v>
      </c>
    </row>
    <row r="404" customFormat="false" ht="15.75" hidden="false" customHeight="false" outlineLevel="0" collapsed="false">
      <c r="AE404" s="90" t="n">
        <f aca="false">Data!A399</f>
        <v>42391</v>
      </c>
      <c r="AF404" s="17" t="n">
        <f aca="false">Data!B399</f>
        <v>98.63</v>
      </c>
      <c r="AG404" s="17" t="n">
        <f aca="false">Data!F399</f>
        <v>65562769</v>
      </c>
      <c r="AH404" s="17" t="n">
        <f aca="false">Data!C399</f>
        <v>101.46</v>
      </c>
      <c r="AI404" s="17" t="n">
        <f aca="false">Data!D399</f>
        <v>98.37</v>
      </c>
      <c r="AJ404" s="17" t="n">
        <f aca="false">Data!E399</f>
        <v>101.42</v>
      </c>
      <c r="AK404" s="17" t="n">
        <f aca="false">Data!F399</f>
        <v>65562769</v>
      </c>
      <c r="AL404" s="17" t="n">
        <f aca="false">AJ404</f>
        <v>101.42</v>
      </c>
      <c r="AM404" s="17" t="n">
        <f aca="false">(AL404-AL403)/AL404*100</f>
        <v>1.95227765726682</v>
      </c>
      <c r="AN404" s="17" t="n">
        <f aca="false">(AK404-AK403)/AK404*100</f>
        <v>21.9124271581635</v>
      </c>
      <c r="AO404" s="17" t="str">
        <f aca="false">IF(AN404&lt;-8,"FITS BITCH",IF(AN404&gt;-8,"no"))</f>
        <v>no</v>
      </c>
      <c r="AP404" s="17" t="str">
        <f aca="false">IF(AH405&lt;AH404,"FITS BITCH",IF(AH405&gt;AH404,"no"))</f>
        <v>FITS BITCH</v>
      </c>
      <c r="AQ404" s="17" t="str">
        <f aca="false">IF(AI405&lt;AI404,"FITS BITCH",IF(AI405&gt;AI404,"no"))</f>
        <v>FITS BITCH</v>
      </c>
      <c r="AR404" s="17" t="str">
        <f aca="false">IF(AJ404&lt;AH405,"FITS BITCH",IF(AJ404&gt;AH405,"no"))</f>
        <v>no</v>
      </c>
      <c r="AS404" s="17" t="str">
        <f aca="false">IF(AJ404&gt;AJ405,"FITS BITCH",IF(AJ404&lt;AJ405,"no"))</f>
        <v>FITS BITCH</v>
      </c>
      <c r="AT404" s="91" t="str">
        <f aca="false">IF(AND($AO404="FITS BITCH",$AP404="FITS BITCH",$AR404="FITS BITCH"),"BULLISH","")</f>
        <v/>
      </c>
      <c r="AU404" s="91" t="str">
        <f aca="false">IF(AND($AO404="FITS BITCH",$AQ404="FITS BITCH",$AS404="FITS BITCH"),"BEARISH","")</f>
        <v/>
      </c>
      <c r="AV404" s="86"/>
      <c r="AW404" s="86"/>
      <c r="AX404" s="86"/>
      <c r="CL404" s="99" t="n">
        <v>42564</v>
      </c>
      <c r="CM404" s="23" t="n">
        <f aca="false">$BA$68*CL404+$BA$70</f>
        <v>97.3870635882659</v>
      </c>
    </row>
    <row r="405" customFormat="false" ht="15.75" hidden="false" customHeight="false" outlineLevel="0" collapsed="false">
      <c r="AE405" s="90" t="n">
        <f aca="false">Data!A400</f>
        <v>42390</v>
      </c>
      <c r="AF405" s="17" t="n">
        <f aca="false">Data!B400</f>
        <v>97.06</v>
      </c>
      <c r="AG405" s="17" t="n">
        <f aca="false">Data!F400</f>
        <v>52054521</v>
      </c>
      <c r="AH405" s="17" t="n">
        <f aca="false">Data!C400</f>
        <v>97.88</v>
      </c>
      <c r="AI405" s="17" t="n">
        <f aca="false">Data!D400</f>
        <v>94.94</v>
      </c>
      <c r="AJ405" s="17" t="n">
        <f aca="false">Data!E400</f>
        <v>96.3</v>
      </c>
      <c r="AK405" s="17" t="n">
        <f aca="false">Data!F400</f>
        <v>52054521</v>
      </c>
      <c r="AL405" s="17" t="n">
        <f aca="false">AJ405</f>
        <v>96.3</v>
      </c>
      <c r="AM405" s="17" t="n">
        <f aca="false">(AL405-AL404)/AL405*100</f>
        <v>-5.31671858774663</v>
      </c>
      <c r="AN405" s="17" t="n">
        <f aca="false">(AK405-AK404)/AK405*100</f>
        <v>-25.9501917230206</v>
      </c>
      <c r="AO405" s="17" t="str">
        <f aca="false">IF(AN405&lt;-8,"FITS BITCH",IF(AN405&gt;-8,"no"))</f>
        <v>FITS BITCH</v>
      </c>
      <c r="AP405" s="17" t="str">
        <f aca="false">IF(AH406&lt;AH405,"FITS BITCH",IF(AH406&gt;AH405,"no"))</f>
        <v>no</v>
      </c>
      <c r="AQ405" s="17" t="str">
        <f aca="false">IF(AI406&lt;AI405,"FITS BITCH",IF(AI406&gt;AI405,"no"))</f>
        <v>FITS BITCH</v>
      </c>
      <c r="AR405" s="17" t="str">
        <f aca="false">IF(AJ405&lt;AH406,"FITS BITCH",IF(AJ405&gt;AH406,"no"))</f>
        <v>FITS BITCH</v>
      </c>
      <c r="AS405" s="17" t="str">
        <f aca="false">IF(AJ405&gt;AJ406,"FITS BITCH",IF(AJ405&lt;AJ406,"no"))</f>
        <v>no</v>
      </c>
      <c r="AT405" s="91" t="str">
        <f aca="false">IF(AND($AO405="FITS BITCH",$AP405="FITS BITCH",$AR405="FITS BITCH"),"BULLISH","")</f>
        <v/>
      </c>
      <c r="AU405" s="91" t="str">
        <f aca="false">IF(AND($AO405="FITS BITCH",$AQ405="FITS BITCH",$AS405="FITS BITCH"),"BEARISH","")</f>
        <v/>
      </c>
      <c r="AV405" s="86"/>
      <c r="AW405" s="86"/>
      <c r="AX405" s="86"/>
      <c r="CL405" s="99" t="n">
        <v>42563</v>
      </c>
      <c r="CM405" s="23" t="n">
        <f aca="false">$BA$68*CL405+$BA$70</f>
        <v>97.2329453580232</v>
      </c>
    </row>
    <row r="406" customFormat="false" ht="15.75" hidden="false" customHeight="false" outlineLevel="0" collapsed="false">
      <c r="AE406" s="90" t="n">
        <f aca="false">Data!A401</f>
        <v>42389</v>
      </c>
      <c r="AF406" s="17" t="n">
        <f aca="false">Data!B401</f>
        <v>95.1</v>
      </c>
      <c r="AG406" s="17" t="n">
        <f aca="false">Data!F401</f>
        <v>72008265</v>
      </c>
      <c r="AH406" s="17" t="n">
        <f aca="false">Data!C401</f>
        <v>98.19</v>
      </c>
      <c r="AI406" s="17" t="n">
        <f aca="false">Data!D401</f>
        <v>93.42</v>
      </c>
      <c r="AJ406" s="17" t="n">
        <f aca="false">Data!E401</f>
        <v>96.79</v>
      </c>
      <c r="AK406" s="17" t="n">
        <f aca="false">Data!F401</f>
        <v>72008265</v>
      </c>
      <c r="AL406" s="17" t="n">
        <f aca="false">AJ406</f>
        <v>96.79</v>
      </c>
      <c r="AM406" s="17" t="n">
        <f aca="false">(AL406-AL405)/AL406*100</f>
        <v>0.506250645727874</v>
      </c>
      <c r="AN406" s="17" t="n">
        <f aca="false">(AK406-AK405)/AK406*100</f>
        <v>27.7103524157956</v>
      </c>
      <c r="AO406" s="17" t="str">
        <f aca="false">IF(AN406&lt;-8,"FITS BITCH",IF(AN406&gt;-8,"no"))</f>
        <v>no</v>
      </c>
      <c r="AP406" s="17" t="str">
        <f aca="false">IF(AH407&lt;AH406,"FITS BITCH",IF(AH407&gt;AH406,"no"))</f>
        <v>no</v>
      </c>
      <c r="AQ406" s="17" t="str">
        <f aca="false">IF(AI407&lt;AI406,"FITS BITCH",IF(AI407&gt;AI406,"no"))</f>
        <v>no</v>
      </c>
      <c r="AR406" s="17" t="str">
        <f aca="false">IF(AJ406&lt;AH407,"FITS BITCH",IF(AJ406&gt;AH407,"no"))</f>
        <v>FITS BITCH</v>
      </c>
      <c r="AS406" s="17" t="str">
        <f aca="false">IF(AJ406&gt;AJ407,"FITS BITCH",IF(AJ406&lt;AJ407,"no"))</f>
        <v>FITS BITCH</v>
      </c>
      <c r="AT406" s="91" t="str">
        <f aca="false">IF(AND($AO406="FITS BITCH",$AP406="FITS BITCH",$AR406="FITS BITCH"),"BULLISH","")</f>
        <v/>
      </c>
      <c r="AU406" s="91" t="str">
        <f aca="false">IF(AND($AO406="FITS BITCH",$AQ406="FITS BITCH",$AS406="FITS BITCH"),"BEARISH","")</f>
        <v/>
      </c>
      <c r="AV406" s="86"/>
      <c r="AW406" s="86"/>
      <c r="AX406" s="86"/>
      <c r="CL406" s="99" t="n">
        <v>42562</v>
      </c>
      <c r="CM406" s="23" t="n">
        <f aca="false">$BA$68*CL406+$BA$70</f>
        <v>97.0788271277806</v>
      </c>
    </row>
    <row r="407" customFormat="false" ht="15.75" hidden="false" customHeight="false" outlineLevel="0" collapsed="false">
      <c r="AE407" s="90" t="n">
        <f aca="false">Data!A402</f>
        <v>42388</v>
      </c>
      <c r="AF407" s="17" t="n">
        <f aca="false">Data!B402</f>
        <v>98.41</v>
      </c>
      <c r="AG407" s="17" t="n">
        <f aca="false">Data!F402</f>
        <v>52841349</v>
      </c>
      <c r="AH407" s="17" t="n">
        <f aca="false">Data!C402</f>
        <v>98.65</v>
      </c>
      <c r="AI407" s="17" t="n">
        <f aca="false">Data!D402</f>
        <v>95.5</v>
      </c>
      <c r="AJ407" s="17" t="n">
        <f aca="false">Data!E402</f>
        <v>96.66</v>
      </c>
      <c r="AK407" s="17" t="n">
        <f aca="false">Data!F402</f>
        <v>52841349</v>
      </c>
      <c r="AL407" s="17" t="n">
        <f aca="false">AJ407</f>
        <v>96.66</v>
      </c>
      <c r="AM407" s="17" t="n">
        <f aca="false">(AL407-AL406)/AL407*100</f>
        <v>-0.134492033933385</v>
      </c>
      <c r="AN407" s="17" t="n">
        <f aca="false">(AK407-AK406)/AK407*100</f>
        <v>-36.272571315316</v>
      </c>
      <c r="AO407" s="17" t="str">
        <f aca="false">IF(AN407&lt;-8,"FITS BITCH",IF(AN407&gt;-8,"no"))</f>
        <v>FITS BITCH</v>
      </c>
      <c r="AP407" s="17" t="str">
        <f aca="false">IF(AH408&lt;AH407,"FITS BITCH",IF(AH408&gt;AH407,"no"))</f>
        <v>FITS BITCH</v>
      </c>
      <c r="AQ407" s="17" t="str">
        <f aca="false">IF(AI408&lt;AI407,"FITS BITCH",IF(AI408&gt;AI407,"no"))</f>
        <v>FITS BITCH</v>
      </c>
      <c r="AR407" s="17" t="str">
        <f aca="false">IF(AJ407&lt;AH408,"FITS BITCH",IF(AJ407&gt;AH408,"no"))</f>
        <v>FITS BITCH</v>
      </c>
      <c r="AS407" s="17" t="str">
        <f aca="false">IF(AJ407&gt;AJ408,"FITS BITCH",IF(AJ407&lt;AJ408,"no"))</f>
        <v>no</v>
      </c>
      <c r="AT407" s="91" t="str">
        <f aca="false">IF(AND($AO407="FITS BITCH",$AP407="FITS BITCH",$AR407="FITS BITCH"),"BULLISH","")</f>
        <v>BULLISH</v>
      </c>
      <c r="AU407" s="91" t="str">
        <f aca="false">IF(AND($AO407="FITS BITCH",$AQ407="FITS BITCH",$AS407="FITS BITCH"),"BEARISH","")</f>
        <v/>
      </c>
      <c r="AV407" s="86"/>
      <c r="AW407" s="86"/>
      <c r="AX407" s="86"/>
      <c r="CL407" s="99" t="n">
        <v>42559</v>
      </c>
      <c r="CM407" s="23" t="n">
        <f aca="false">$BA$68*CL407+$BA$70</f>
        <v>96.6164724370528</v>
      </c>
    </row>
    <row r="408" customFormat="false" ht="15.75" hidden="false" customHeight="false" outlineLevel="0" collapsed="false">
      <c r="AE408" s="90" t="n">
        <f aca="false">Data!A403</f>
        <v>42384</v>
      </c>
      <c r="AF408" s="17" t="n">
        <f aca="false">Data!B403</f>
        <v>96.2</v>
      </c>
      <c r="AG408" s="17" t="n">
        <f aca="false">Data!F403</f>
        <v>79010008</v>
      </c>
      <c r="AH408" s="17" t="n">
        <f aca="false">Data!C403</f>
        <v>97.71</v>
      </c>
      <c r="AI408" s="17" t="n">
        <f aca="false">Data!D403</f>
        <v>95.36</v>
      </c>
      <c r="AJ408" s="17" t="n">
        <f aca="false">Data!E403</f>
        <v>97.13</v>
      </c>
      <c r="AK408" s="17" t="n">
        <f aca="false">Data!F403</f>
        <v>79010008</v>
      </c>
      <c r="AL408" s="17" t="n">
        <f aca="false">AJ408</f>
        <v>97.13</v>
      </c>
      <c r="AM408" s="17" t="n">
        <f aca="false">(AL408-AL407)/AL408*100</f>
        <v>0.483887573355296</v>
      </c>
      <c r="AN408" s="17" t="n">
        <f aca="false">(AK408-AK407)/AK408*100</f>
        <v>33.1206889638589</v>
      </c>
      <c r="AO408" s="17" t="str">
        <f aca="false">IF(AN408&lt;-8,"FITS BITCH",IF(AN408&gt;-8,"no"))</f>
        <v>no</v>
      </c>
      <c r="AP408" s="17" t="str">
        <f aca="false">IF(AH409&lt;AH408,"FITS BITCH",IF(AH409&gt;AH408,"no"))</f>
        <v>no</v>
      </c>
      <c r="AQ408" s="17" t="str">
        <f aca="false">IF(AI409&lt;AI408,"FITS BITCH",IF(AI409&gt;AI408,"no"))</f>
        <v>no</v>
      </c>
      <c r="AR408" s="17" t="str">
        <f aca="false">IF(AJ408&lt;AH409,"FITS BITCH",IF(AJ408&gt;AH409,"no"))</f>
        <v>FITS BITCH</v>
      </c>
      <c r="AS408" s="17" t="str">
        <f aca="false">IF(AJ408&gt;AJ409,"FITS BITCH",IF(AJ408&lt;AJ409,"no"))</f>
        <v>no</v>
      </c>
      <c r="AT408" s="91" t="str">
        <f aca="false">IF(AND($AO408="FITS BITCH",$AP408="FITS BITCH",$AR408="FITS BITCH"),"BULLISH","")</f>
        <v/>
      </c>
      <c r="AU408" s="91" t="str">
        <f aca="false">IF(AND($AO408="FITS BITCH",$AQ408="FITS BITCH",$AS408="FITS BITCH"),"BEARISH","")</f>
        <v/>
      </c>
      <c r="AV408" s="86"/>
      <c r="AW408" s="86"/>
      <c r="AX408" s="86"/>
      <c r="CL408" s="99" t="n">
        <v>42558</v>
      </c>
      <c r="CM408" s="23" t="n">
        <f aca="false">$BA$68*CL408+$BA$70</f>
        <v>96.4623542068102</v>
      </c>
    </row>
    <row r="409" customFormat="false" ht="15.75" hidden="false" customHeight="false" outlineLevel="0" collapsed="false">
      <c r="AE409" s="90" t="n">
        <f aca="false">Data!A404</f>
        <v>42383</v>
      </c>
      <c r="AF409" s="17" t="n">
        <f aca="false">Data!B404</f>
        <v>97.96</v>
      </c>
      <c r="AG409" s="17" t="n">
        <f aca="false">Data!F404</f>
        <v>62424154</v>
      </c>
      <c r="AH409" s="17" t="n">
        <f aca="false">Data!C404</f>
        <v>100.48</v>
      </c>
      <c r="AI409" s="17" t="n">
        <f aca="false">Data!D404</f>
        <v>95.74</v>
      </c>
      <c r="AJ409" s="17" t="n">
        <f aca="false">Data!E404</f>
        <v>99.52</v>
      </c>
      <c r="AK409" s="17" t="n">
        <f aca="false">Data!F404</f>
        <v>62424154</v>
      </c>
      <c r="AL409" s="17" t="n">
        <f aca="false">AJ409</f>
        <v>99.52</v>
      </c>
      <c r="AM409" s="17" t="n">
        <f aca="false">(AL409-AL408)/AL409*100</f>
        <v>2.40152733118971</v>
      </c>
      <c r="AN409" s="17" t="n">
        <f aca="false">(AK409-AK408)/AK409*100</f>
        <v>-26.5696095777285</v>
      </c>
      <c r="AO409" s="17" t="str">
        <f aca="false">IF(AN409&lt;-8,"FITS BITCH",IF(AN409&gt;-8,"no"))</f>
        <v>FITS BITCH</v>
      </c>
      <c r="AP409" s="17" t="str">
        <f aca="false">IF(AH410&lt;AH409,"FITS BITCH",IF(AH410&gt;AH409,"no"))</f>
        <v>no</v>
      </c>
      <c r="AQ409" s="17" t="str">
        <f aca="false">IF(AI410&lt;AI409,"FITS BITCH",IF(AI410&gt;AI409,"no"))</f>
        <v>no</v>
      </c>
      <c r="AR409" s="17" t="str">
        <f aca="false">IF(AJ409&lt;AH410,"FITS BITCH",IF(AJ409&gt;AH410,"no"))</f>
        <v>FITS BITCH</v>
      </c>
      <c r="AS409" s="17" t="str">
        <f aca="false">IF(AJ409&gt;AJ410,"FITS BITCH",IF(AJ409&lt;AJ410,"no"))</f>
        <v>FITS BITCH</v>
      </c>
      <c r="AT409" s="91" t="str">
        <f aca="false">IF(AND($AO409="FITS BITCH",$AP409="FITS BITCH",$AR409="FITS BITCH"),"BULLISH","")</f>
        <v/>
      </c>
      <c r="AU409" s="91" t="str">
        <f aca="false">IF(AND($AO409="FITS BITCH",$AQ409="FITS BITCH",$AS409="FITS BITCH"),"BEARISH","")</f>
        <v/>
      </c>
      <c r="AV409" s="86"/>
      <c r="AW409" s="86"/>
      <c r="AX409" s="86"/>
      <c r="CL409" s="99" t="n">
        <v>42557</v>
      </c>
      <c r="CM409" s="23" t="n">
        <f aca="false">$BA$68*CL409+$BA$70</f>
        <v>96.3082359765676</v>
      </c>
    </row>
    <row r="410" customFormat="false" ht="15.75" hidden="false" customHeight="false" outlineLevel="0" collapsed="false">
      <c r="AE410" s="90" t="n">
        <f aca="false">Data!A405</f>
        <v>42382</v>
      </c>
      <c r="AF410" s="17" t="n">
        <f aca="false">Data!B405</f>
        <v>100.32</v>
      </c>
      <c r="AG410" s="17" t="n">
        <f aca="false">Data!F405</f>
        <v>61745031</v>
      </c>
      <c r="AH410" s="17" t="n">
        <f aca="false">Data!C405</f>
        <v>101.19</v>
      </c>
      <c r="AI410" s="17" t="n">
        <f aca="false">Data!D405</f>
        <v>97.3</v>
      </c>
      <c r="AJ410" s="17" t="n">
        <f aca="false">Data!E405</f>
        <v>97.39</v>
      </c>
      <c r="AK410" s="17" t="n">
        <f aca="false">Data!F405</f>
        <v>61745031</v>
      </c>
      <c r="AL410" s="17" t="n">
        <f aca="false">AJ410</f>
        <v>97.39</v>
      </c>
      <c r="AM410" s="17" t="n">
        <f aca="false">(AL410-AL409)/AL410*100</f>
        <v>-2.18708286271691</v>
      </c>
      <c r="AN410" s="17" t="n">
        <f aca="false">(AK410-AK409)/AK410*100</f>
        <v>-1.09988283915511</v>
      </c>
      <c r="AO410" s="17" t="str">
        <f aca="false">IF(AN410&lt;-8,"FITS BITCH",IF(AN410&gt;-8,"no"))</f>
        <v>no</v>
      </c>
      <c r="AP410" s="17" t="str">
        <f aca="false">IF(AH411&lt;AH410,"FITS BITCH",IF(AH411&gt;AH410,"no"))</f>
        <v>FITS BITCH</v>
      </c>
      <c r="AQ410" s="17" t="str">
        <f aca="false">IF(AI411&lt;AI410,"FITS BITCH",IF(AI411&gt;AI410,"no"))</f>
        <v>no</v>
      </c>
      <c r="AR410" s="17" t="str">
        <f aca="false">IF(AJ410&lt;AH411,"FITS BITCH",IF(AJ410&gt;AH411,"no"))</f>
        <v>FITS BITCH</v>
      </c>
      <c r="AS410" s="17" t="str">
        <f aca="false">IF(AJ410&gt;AJ411,"FITS BITCH",IF(AJ410&lt;AJ411,"no"))</f>
        <v>no</v>
      </c>
      <c r="AT410" s="91" t="str">
        <f aca="false">IF(AND($AO410="FITS BITCH",$AP410="FITS BITCH",$AR410="FITS BITCH"),"BULLISH","")</f>
        <v/>
      </c>
      <c r="AU410" s="91" t="str">
        <f aca="false">IF(AND($AO410="FITS BITCH",$AQ410="FITS BITCH",$AS410="FITS BITCH"),"BEARISH","")</f>
        <v/>
      </c>
      <c r="AV410" s="86"/>
      <c r="AW410" s="86"/>
      <c r="AX410" s="86"/>
      <c r="CL410" s="99" t="n">
        <v>42556</v>
      </c>
      <c r="CM410" s="23" t="n">
        <f aca="false">$BA$68*CL410+$BA$70</f>
        <v>96.1541177463241</v>
      </c>
    </row>
    <row r="411" customFormat="false" ht="15.75" hidden="false" customHeight="false" outlineLevel="0" collapsed="false">
      <c r="AE411" s="90" t="n">
        <f aca="false">Data!A406</f>
        <v>42381</v>
      </c>
      <c r="AF411" s="17" t="n">
        <f aca="false">Data!B406</f>
        <v>100.55</v>
      </c>
      <c r="AG411" s="17" t="n">
        <f aca="false">Data!F406</f>
        <v>49154227</v>
      </c>
      <c r="AH411" s="17" t="n">
        <f aca="false">Data!C406</f>
        <v>100.69</v>
      </c>
      <c r="AI411" s="17" t="n">
        <f aca="false">Data!D406</f>
        <v>98.84</v>
      </c>
      <c r="AJ411" s="17" t="n">
        <f aca="false">Data!E406</f>
        <v>99.96</v>
      </c>
      <c r="AK411" s="17" t="n">
        <f aca="false">Data!F406</f>
        <v>49154227</v>
      </c>
      <c r="AL411" s="17" t="n">
        <f aca="false">AJ411</f>
        <v>99.96</v>
      </c>
      <c r="AM411" s="17" t="n">
        <f aca="false">(AL411-AL410)/AL411*100</f>
        <v>2.57102841136454</v>
      </c>
      <c r="AN411" s="17" t="n">
        <f aca="false">(AK411-AK410)/AK411*100</f>
        <v>-25.614895744368</v>
      </c>
      <c r="AO411" s="17" t="str">
        <f aca="false">IF(AN411&lt;-8,"FITS BITCH",IF(AN411&gt;-8,"no"))</f>
        <v>FITS BITCH</v>
      </c>
      <c r="AP411" s="17" t="str">
        <f aca="false">IF(AH412&lt;AH411,"FITS BITCH",IF(AH412&gt;AH411,"no"))</f>
        <v>FITS BITCH</v>
      </c>
      <c r="AQ411" s="17" t="str">
        <f aca="false">IF(AI412&lt;AI411,"FITS BITCH",IF(AI412&gt;AI411,"no"))</f>
        <v>FITS BITCH</v>
      </c>
      <c r="AR411" s="17" t="str">
        <f aca="false">IF(AJ411&lt;AH412,"FITS BITCH",IF(AJ411&gt;AH412,"no"))</f>
        <v>no</v>
      </c>
      <c r="AS411" s="17" t="str">
        <f aca="false">IF(AJ411&gt;AJ412,"FITS BITCH",IF(AJ411&lt;AJ412,"no"))</f>
        <v>FITS BITCH</v>
      </c>
      <c r="AT411" s="91" t="str">
        <f aca="false">IF(AND($AO411="FITS BITCH",$AP411="FITS BITCH",$AR411="FITS BITCH"),"BULLISH","")</f>
        <v/>
      </c>
      <c r="AU411" s="91" t="str">
        <f aca="false">IF(AND($AO411="FITS BITCH",$AQ411="FITS BITCH",$AS411="FITS BITCH"),"BEARISH","")</f>
        <v>BEARISH</v>
      </c>
      <c r="AV411" s="86"/>
      <c r="AW411" s="86"/>
      <c r="AX411" s="86"/>
      <c r="CL411" s="99" t="n">
        <v>42555</v>
      </c>
      <c r="CM411" s="23" t="n">
        <f aca="false">$BA$68*CL411+$BA$70</f>
        <v>95.9999995160815</v>
      </c>
    </row>
    <row r="412" customFormat="false" ht="15.75" hidden="false" customHeight="false" outlineLevel="0" collapsed="false">
      <c r="AE412" s="90" t="n">
        <f aca="false">Data!A407</f>
        <v>42380</v>
      </c>
      <c r="AF412" s="17" t="n">
        <f aca="false">Data!B407</f>
        <v>98.97</v>
      </c>
      <c r="AG412" s="17" t="n">
        <f aca="false">Data!F407</f>
        <v>49739377</v>
      </c>
      <c r="AH412" s="17" t="n">
        <f aca="false">Data!C407</f>
        <v>99.06</v>
      </c>
      <c r="AI412" s="17" t="n">
        <f aca="false">Data!D407</f>
        <v>97.34</v>
      </c>
      <c r="AJ412" s="17" t="n">
        <f aca="false">Data!E407</f>
        <v>98.53</v>
      </c>
      <c r="AK412" s="17" t="n">
        <f aca="false">Data!F407</f>
        <v>49739377</v>
      </c>
      <c r="AL412" s="17" t="n">
        <f aca="false">AJ412</f>
        <v>98.53</v>
      </c>
      <c r="AM412" s="17" t="n">
        <f aca="false">(AL412-AL411)/AL412*100</f>
        <v>-1.45133461889779</v>
      </c>
      <c r="AN412" s="17" t="n">
        <f aca="false">(AK412-AK411)/AK412*100</f>
        <v>1.17643210529155</v>
      </c>
      <c r="AO412" s="17" t="str">
        <f aca="false">IF(AN412&lt;-8,"FITS BITCH",IF(AN412&gt;-8,"no"))</f>
        <v>no</v>
      </c>
      <c r="AP412" s="17" t="str">
        <f aca="false">IF(AH413&lt;AH412,"FITS BITCH",IF(AH413&gt;AH412,"no"))</f>
        <v>no</v>
      </c>
      <c r="AQ412" s="17" t="str">
        <f aca="false">IF(AI413&lt;AI412,"FITS BITCH",IF(AI413&gt;AI412,"no"))</f>
        <v>FITS BITCH</v>
      </c>
      <c r="AR412" s="17" t="str">
        <f aca="false">IF(AJ412&lt;AH413,"FITS BITCH",IF(AJ412&gt;AH413,"no"))</f>
        <v>FITS BITCH</v>
      </c>
      <c r="AS412" s="17" t="str">
        <f aca="false">IF(AJ412&gt;AJ413,"FITS BITCH",IF(AJ412&lt;AJ413,"no"))</f>
        <v>FITS BITCH</v>
      </c>
      <c r="AT412" s="91" t="str">
        <f aca="false">IF(AND($AO412="FITS BITCH",$AP412="FITS BITCH",$AR412="FITS BITCH"),"BULLISH","")</f>
        <v/>
      </c>
      <c r="AU412" s="91" t="str">
        <f aca="false">IF(AND($AO412="FITS BITCH",$AQ412="FITS BITCH",$AS412="FITS BITCH"),"BEARISH","")</f>
        <v/>
      </c>
      <c r="AV412" s="86"/>
      <c r="AW412" s="86"/>
      <c r="AX412" s="86"/>
      <c r="CL412" s="99" t="n">
        <v>42552</v>
      </c>
      <c r="CM412" s="23" t="n">
        <f aca="false">$BA$68*CL412+$BA$70</f>
        <v>95.5376448253537</v>
      </c>
    </row>
    <row r="413" customFormat="false" ht="15.75" hidden="false" customHeight="false" outlineLevel="0" collapsed="false">
      <c r="AE413" s="90" t="n">
        <f aca="false">Data!A408</f>
        <v>42377</v>
      </c>
      <c r="AF413" s="17" t="n">
        <f aca="false">Data!B408</f>
        <v>98.55</v>
      </c>
      <c r="AG413" s="17" t="n">
        <f aca="false">Data!F408</f>
        <v>70798016</v>
      </c>
      <c r="AH413" s="17" t="n">
        <f aca="false">Data!C408</f>
        <v>99.11</v>
      </c>
      <c r="AI413" s="17" t="n">
        <f aca="false">Data!D408</f>
        <v>96.76</v>
      </c>
      <c r="AJ413" s="17" t="n">
        <f aca="false">Data!E408</f>
        <v>96.96</v>
      </c>
      <c r="AK413" s="17" t="n">
        <f aca="false">Data!F408</f>
        <v>70798016</v>
      </c>
      <c r="AL413" s="17" t="n">
        <f aca="false">AJ413</f>
        <v>96.96</v>
      </c>
      <c r="AM413" s="17" t="n">
        <f aca="false">(AL413-AL412)/AL413*100</f>
        <v>-1.61922442244225</v>
      </c>
      <c r="AN413" s="17" t="n">
        <f aca="false">(AK413-AK412)/AK413*100</f>
        <v>29.744673918546</v>
      </c>
      <c r="AO413" s="17" t="str">
        <f aca="false">IF(AN413&lt;-8,"FITS BITCH",IF(AN413&gt;-8,"no"))</f>
        <v>no</v>
      </c>
      <c r="AP413" s="17" t="str">
        <f aca="false">IF(AH414&lt;AH413,"FITS BITCH",IF(AH414&gt;AH413,"no"))</f>
        <v>no</v>
      </c>
      <c r="AQ413" s="17" t="str">
        <f aca="false">IF(AI414&lt;AI413,"FITS BITCH",IF(AI414&gt;AI413,"no"))</f>
        <v>FITS BITCH</v>
      </c>
      <c r="AR413" s="17" t="str">
        <f aca="false">IF(AJ413&lt;AH414,"FITS BITCH",IF(AJ413&gt;AH414,"no"))</f>
        <v>FITS BITCH</v>
      </c>
      <c r="AS413" s="17" t="str">
        <f aca="false">IF(AJ413&gt;AJ414,"FITS BITCH",IF(AJ413&lt;AJ414,"no"))</f>
        <v>FITS BITCH</v>
      </c>
      <c r="AT413" s="91" t="str">
        <f aca="false">IF(AND($AO413="FITS BITCH",$AP413="FITS BITCH",$AR413="FITS BITCH"),"BULLISH","")</f>
        <v/>
      </c>
      <c r="AU413" s="91" t="str">
        <f aca="false">IF(AND($AO413="FITS BITCH",$AQ413="FITS BITCH",$AS413="FITS BITCH"),"BEARISH","")</f>
        <v/>
      </c>
      <c r="AV413" s="86"/>
      <c r="AW413" s="86"/>
      <c r="AX413" s="86"/>
      <c r="CL413" s="99" t="n">
        <v>42551</v>
      </c>
      <c r="CM413" s="23" t="n">
        <f aca="false">$BA$68*CL413+$BA$70</f>
        <v>95.3835265951111</v>
      </c>
    </row>
    <row r="414" customFormat="false" ht="15.75" hidden="false" customHeight="false" outlineLevel="0" collapsed="false">
      <c r="AE414" s="90" t="n">
        <f aca="false">Data!A409</f>
        <v>42376</v>
      </c>
      <c r="AF414" s="17" t="n">
        <f aca="false">Data!B409</f>
        <v>98.68</v>
      </c>
      <c r="AG414" s="17" t="n">
        <f aca="false">Data!F409</f>
        <v>81094428</v>
      </c>
      <c r="AH414" s="17" t="n">
        <f aca="false">Data!C409</f>
        <v>100.13</v>
      </c>
      <c r="AI414" s="17" t="n">
        <f aca="false">Data!D409</f>
        <v>96.43</v>
      </c>
      <c r="AJ414" s="17" t="n">
        <f aca="false">Data!E409</f>
        <v>96.45</v>
      </c>
      <c r="AK414" s="17" t="n">
        <f aca="false">Data!F409</f>
        <v>81094428</v>
      </c>
      <c r="AL414" s="17" t="n">
        <f aca="false">AJ414</f>
        <v>96.45</v>
      </c>
      <c r="AM414" s="17" t="n">
        <f aca="false">(AL414-AL413)/AL414*100</f>
        <v>-0.528771384136849</v>
      </c>
      <c r="AN414" s="17" t="n">
        <f aca="false">(AK414-AK413)/AK414*100</f>
        <v>12.6968180847148</v>
      </c>
      <c r="AO414" s="17" t="str">
        <f aca="false">IF(AN414&lt;-8,"FITS BITCH",IF(AN414&gt;-8,"no"))</f>
        <v>no</v>
      </c>
      <c r="AP414" s="17" t="str">
        <f aca="false">IF(AH415&lt;AH414,"FITS BITCH",IF(AH415&gt;AH414,"no"))</f>
        <v>no</v>
      </c>
      <c r="AQ414" s="17" t="str">
        <f aca="false">IF(AI415&lt;AI414,"FITS BITCH",IF(AI415&gt;AI414,"no"))</f>
        <v>no</v>
      </c>
      <c r="AR414" s="17" t="str">
        <f aca="false">IF(AJ414&lt;AH415,"FITS BITCH",IF(AJ414&gt;AH415,"no"))</f>
        <v>FITS BITCH</v>
      </c>
      <c r="AS414" s="17" t="str">
        <f aca="false">IF(AJ414&gt;AJ415,"FITS BITCH",IF(AJ414&lt;AJ415,"no"))</f>
        <v>no</v>
      </c>
      <c r="AT414" s="91" t="str">
        <f aca="false">IF(AND($AO414="FITS BITCH",$AP414="FITS BITCH",$AR414="FITS BITCH"),"BULLISH","")</f>
        <v/>
      </c>
      <c r="AU414" s="91" t="str">
        <f aca="false">IF(AND($AO414="FITS BITCH",$AQ414="FITS BITCH",$AS414="FITS BITCH"),"BEARISH","")</f>
        <v/>
      </c>
      <c r="AV414" s="86"/>
      <c r="AW414" s="86"/>
      <c r="AX414" s="86"/>
      <c r="CL414" s="99" t="n">
        <v>42550</v>
      </c>
      <c r="CM414" s="23" t="n">
        <f aca="false">$BA$68*CL414+$BA$70</f>
        <v>95.2294083648685</v>
      </c>
    </row>
    <row r="415" customFormat="false" ht="15.75" hidden="false" customHeight="false" outlineLevel="0" collapsed="false">
      <c r="AE415" s="90" t="n">
        <f aca="false">Data!A410</f>
        <v>42375</v>
      </c>
      <c r="AF415" s="17" t="n">
        <f aca="false">Data!B410</f>
        <v>100.56</v>
      </c>
      <c r="AG415" s="17" t="n">
        <f aca="false">Data!F410</f>
        <v>68457388</v>
      </c>
      <c r="AH415" s="17" t="n">
        <f aca="false">Data!C410</f>
        <v>102.37</v>
      </c>
      <c r="AI415" s="17" t="n">
        <f aca="false">Data!D410</f>
        <v>99.87</v>
      </c>
      <c r="AJ415" s="17" t="n">
        <f aca="false">Data!E410</f>
        <v>100.7</v>
      </c>
      <c r="AK415" s="17" t="n">
        <f aca="false">Data!F410</f>
        <v>68457388</v>
      </c>
      <c r="AL415" s="17" t="n">
        <f aca="false">AJ415</f>
        <v>100.7</v>
      </c>
      <c r="AM415" s="17" t="n">
        <f aca="false">(AL415-AL414)/AL415*100</f>
        <v>4.22045680238332</v>
      </c>
      <c r="AN415" s="17" t="n">
        <f aca="false">(AK415-AK414)/AK415*100</f>
        <v>-18.4597168679588</v>
      </c>
      <c r="AO415" s="17" t="str">
        <f aca="false">IF(AN415&lt;-8,"FITS BITCH",IF(AN415&gt;-8,"no"))</f>
        <v>FITS BITCH</v>
      </c>
      <c r="AP415" s="17" t="str">
        <f aca="false">IF(AH416&lt;AH415,"FITS BITCH",IF(AH416&gt;AH415,"no"))</f>
        <v>no</v>
      </c>
      <c r="AQ415" s="17" t="str">
        <f aca="false">IF(AI416&lt;AI415,"FITS BITCH",IF(AI416&gt;AI415,"no"))</f>
        <v>no</v>
      </c>
      <c r="AR415" s="17" t="str">
        <f aca="false">IF(AJ415&lt;AH416,"FITS BITCH",IF(AJ415&gt;AH416,"no"))</f>
        <v>FITS BITCH</v>
      </c>
      <c r="AS415" s="17" t="str">
        <f aca="false">IF(AJ415&gt;AJ416,"FITS BITCH",IF(AJ415&lt;AJ416,"no"))</f>
        <v>no</v>
      </c>
      <c r="AT415" s="91" t="str">
        <f aca="false">IF(AND($AO415="FITS BITCH",$AP415="FITS BITCH",$AR415="FITS BITCH"),"BULLISH","")</f>
        <v/>
      </c>
      <c r="AU415" s="91" t="str">
        <f aca="false">IF(AND($AO415="FITS BITCH",$AQ415="FITS BITCH",$AS415="FITS BITCH"),"BEARISH","")</f>
        <v/>
      </c>
      <c r="AV415" s="86"/>
      <c r="AW415" s="86"/>
      <c r="AX415" s="86"/>
      <c r="CL415" s="99" t="n">
        <v>42549</v>
      </c>
      <c r="CM415" s="23" t="n">
        <f aca="false">$BA$68*CL415+$BA$70</f>
        <v>95.0752901346259</v>
      </c>
    </row>
    <row r="416" customFormat="false" ht="15.75" hidden="false" customHeight="false" outlineLevel="0" collapsed="false">
      <c r="AE416" s="90" t="n">
        <f aca="false">Data!A411</f>
        <v>42374</v>
      </c>
      <c r="AF416" s="17" t="n">
        <f aca="false">Data!B411</f>
        <v>105.75</v>
      </c>
      <c r="AG416" s="17" t="n">
        <f aca="false">Data!F411</f>
        <v>55790992</v>
      </c>
      <c r="AH416" s="17" t="n">
        <f aca="false">Data!C411</f>
        <v>105.85</v>
      </c>
      <c r="AI416" s="17" t="n">
        <f aca="false">Data!D411</f>
        <v>102.41</v>
      </c>
      <c r="AJ416" s="17" t="n">
        <f aca="false">Data!E411</f>
        <v>102.71</v>
      </c>
      <c r="AK416" s="17" t="n">
        <f aca="false">Data!F411</f>
        <v>55790992</v>
      </c>
      <c r="AL416" s="17" t="n">
        <f aca="false">AJ416</f>
        <v>102.71</v>
      </c>
      <c r="AM416" s="17" t="n">
        <f aca="false">(AL416-AL415)/AL416*100</f>
        <v>1.95696621555836</v>
      </c>
      <c r="AN416" s="17" t="n">
        <f aca="false">(AK416-AK415)/AK416*100</f>
        <v>-22.7032994860532</v>
      </c>
      <c r="AO416" s="17" t="str">
        <f aca="false">IF(AN416&lt;-8,"FITS BITCH",IF(AN416&gt;-8,"no"))</f>
        <v>FITS BITCH</v>
      </c>
      <c r="AP416" s="17" t="str">
        <f aca="false">IF(AH417&lt;AH416,"FITS BITCH",IF(AH417&gt;AH416,"no"))</f>
        <v>FITS BITCH</v>
      </c>
      <c r="AQ416" s="17" t="str">
        <f aca="false">IF(AI417&lt;AI416,"FITS BITCH",IF(AI417&gt;AI416,"no"))</f>
        <v>FITS BITCH</v>
      </c>
      <c r="AR416" s="17" t="str">
        <f aca="false">IF(AJ416&lt;AH417,"FITS BITCH",IF(AJ416&gt;AH417,"no"))</f>
        <v>FITS BITCH</v>
      </c>
      <c r="AS416" s="17" t="str">
        <f aca="false">IF(AJ416&gt;AJ417,"FITS BITCH",IF(AJ416&lt;AJ417,"no"))</f>
        <v>no</v>
      </c>
      <c r="AT416" s="91" t="str">
        <f aca="false">IF(AND($AO416="FITS BITCH",$AP416="FITS BITCH",$AR416="FITS BITCH"),"BULLISH","")</f>
        <v>BULLISH</v>
      </c>
      <c r="AU416" s="91" t="str">
        <f aca="false">IF(AND($AO416="FITS BITCH",$AQ416="FITS BITCH",$AS416="FITS BITCH"),"BEARISH","")</f>
        <v/>
      </c>
      <c r="AV416" s="86"/>
      <c r="AW416" s="86"/>
      <c r="AX416" s="86"/>
      <c r="CL416" s="99" t="n">
        <v>42548</v>
      </c>
      <c r="CM416" s="23" t="n">
        <f aca="false">$BA$68*CL416+$BA$70</f>
        <v>94.9211719043833</v>
      </c>
    </row>
    <row r="417" customFormat="false" ht="15.75" hidden="false" customHeight="false" outlineLevel="0" collapsed="false">
      <c r="AE417" s="90" t="n">
        <f aca="false">Data!A412</f>
        <v>42373</v>
      </c>
      <c r="AF417" s="17" t="n">
        <f aca="false">Data!B412</f>
        <v>102.61</v>
      </c>
      <c r="AG417" s="17" t="n">
        <f aca="false">Data!F412</f>
        <v>67281190</v>
      </c>
      <c r="AH417" s="17" t="n">
        <f aca="false">Data!C412</f>
        <v>105.37</v>
      </c>
      <c r="AI417" s="17" t="n">
        <f aca="false">Data!D412</f>
        <v>102</v>
      </c>
      <c r="AJ417" s="17" t="n">
        <f aca="false">Data!E412</f>
        <v>105.35</v>
      </c>
      <c r="AK417" s="17" t="n">
        <f aca="false">Data!F412</f>
        <v>67281190</v>
      </c>
      <c r="AL417" s="17" t="n">
        <f aca="false">AJ417</f>
        <v>105.35</v>
      </c>
      <c r="AM417" s="17" t="n">
        <f aca="false">(AL417-AL416)/AL417*100</f>
        <v>2.50593260560038</v>
      </c>
      <c r="AN417" s="17" t="n">
        <f aca="false">(AK417-AK416)/AK417*100</f>
        <v>17.077875703447</v>
      </c>
      <c r="AO417" s="17" t="str">
        <f aca="false">IF(AN417&lt;-8,"FITS BITCH",IF(AN417&gt;-8,"no"))</f>
        <v>no</v>
      </c>
      <c r="AP417" s="17" t="str">
        <f aca="false">IF(AH418&lt;AH417,"FITS BITCH",IF(AH418&gt;AH417,"no"))</f>
        <v>no</v>
      </c>
      <c r="AQ417" s="17" t="str">
        <f aca="false">IF(AI418&lt;AI417,"FITS BITCH",IF(AI418&gt;AI417,"no"))</f>
        <v>no</v>
      </c>
      <c r="AR417" s="17" t="str">
        <f aca="false">IF(AJ417&lt;AH418,"FITS BITCH",IF(AJ417&gt;AH418,"no"))</f>
        <v>FITS BITCH</v>
      </c>
      <c r="AS417" s="17" t="str">
        <f aca="false">IF(AJ417&gt;AJ418,"FITS BITCH",IF(AJ417&lt;AJ418,"no"))</f>
        <v>FITS BITCH</v>
      </c>
      <c r="AT417" s="91" t="str">
        <f aca="false">IF(AND($AO417="FITS BITCH",$AP417="FITS BITCH",$AR417="FITS BITCH"),"BULLISH","")</f>
        <v/>
      </c>
      <c r="AU417" s="91" t="str">
        <f aca="false">IF(AND($AO417="FITS BITCH",$AQ417="FITS BITCH",$AS417="FITS BITCH"),"BEARISH","")</f>
        <v/>
      </c>
      <c r="AV417" s="86"/>
      <c r="AW417" s="86"/>
      <c r="AX417" s="86"/>
      <c r="CL417" s="99" t="n">
        <v>42545</v>
      </c>
      <c r="CM417" s="23" t="n">
        <f aca="false">$BA$68*CL417+$BA$70</f>
        <v>94.4588172136546</v>
      </c>
    </row>
    <row r="418" customFormat="false" ht="15.75" hidden="false" customHeight="false" outlineLevel="0" collapsed="false">
      <c r="AE418" s="90" t="n">
        <f aca="false">Data!A413</f>
        <v>42369</v>
      </c>
      <c r="AF418" s="17" t="n">
        <f aca="false">Data!B413</f>
        <v>107.01</v>
      </c>
      <c r="AG418" s="17" t="n">
        <f aca="false">Data!F413</f>
        <v>40912316</v>
      </c>
      <c r="AH418" s="17" t="n">
        <f aca="false">Data!C413</f>
        <v>107.03</v>
      </c>
      <c r="AI418" s="17" t="n">
        <f aca="false">Data!D413</f>
        <v>104.82</v>
      </c>
      <c r="AJ418" s="17" t="n">
        <f aca="false">Data!E413</f>
        <v>105.26</v>
      </c>
      <c r="AK418" s="17" t="n">
        <f aca="false">Data!F413</f>
        <v>40912316</v>
      </c>
      <c r="AL418" s="17" t="n">
        <f aca="false">AJ418</f>
        <v>105.26</v>
      </c>
      <c r="AM418" s="17" t="n">
        <f aca="false">(AL418-AL417)/AL418*100</f>
        <v>-0.0855025650769421</v>
      </c>
      <c r="AN418" s="17" t="n">
        <f aca="false">(AK418-AK417)/AK418*100</f>
        <v>-64.452166433208</v>
      </c>
      <c r="AO418" s="17" t="str">
        <f aca="false">IF(AN418&lt;-8,"FITS BITCH",IF(AN418&gt;-8,"no"))</f>
        <v>FITS BITCH</v>
      </c>
      <c r="AP418" s="17" t="str">
        <f aca="false">IF(AH419&lt;AH418,"FITS BITCH",IF(AH419&gt;AH418,"no"))</f>
        <v>no</v>
      </c>
      <c r="AQ418" s="17" t="str">
        <f aca="false">IF(AI419&lt;AI418,"FITS BITCH",IF(AI419&gt;AI418,"no"))</f>
        <v>no</v>
      </c>
      <c r="AR418" s="17" t="str">
        <f aca="false">IF(AJ418&lt;AH419,"FITS BITCH",IF(AJ418&gt;AH419,"no"))</f>
        <v>FITS BITCH</v>
      </c>
      <c r="AS418" s="17" t="str">
        <f aca="false">IF(AJ418&gt;AJ419,"FITS BITCH",IF(AJ418&lt;AJ419,"no"))</f>
        <v>no</v>
      </c>
      <c r="AT418" s="91" t="str">
        <f aca="false">IF(AND($AO418="FITS BITCH",$AP418="FITS BITCH",$AR418="FITS BITCH"),"BULLISH","")</f>
        <v/>
      </c>
      <c r="AU418" s="91" t="str">
        <f aca="false">IF(AND($AO418="FITS BITCH",$AQ418="FITS BITCH",$AS418="FITS BITCH"),"BEARISH","")</f>
        <v/>
      </c>
      <c r="AV418" s="86"/>
      <c r="AW418" s="86"/>
      <c r="AX418" s="86"/>
      <c r="CL418" s="99" t="n">
        <v>42544</v>
      </c>
      <c r="CM418" s="23" t="n">
        <f aca="false">$BA$68*CL418+$BA$70</f>
        <v>94.304698983412</v>
      </c>
    </row>
    <row r="419" customFormat="false" ht="15.75" hidden="false" customHeight="false" outlineLevel="0" collapsed="false">
      <c r="AE419" s="90" t="n">
        <f aca="false">Data!A414</f>
        <v>42368</v>
      </c>
      <c r="AF419" s="17" t="n">
        <f aca="false">Data!B414</f>
        <v>108.58</v>
      </c>
      <c r="AG419" s="17" t="n">
        <f aca="false">Data!F414</f>
        <v>25213777</v>
      </c>
      <c r="AH419" s="17" t="n">
        <f aca="false">Data!C414</f>
        <v>108.7</v>
      </c>
      <c r="AI419" s="17" t="n">
        <f aca="false">Data!D414</f>
        <v>107.18</v>
      </c>
      <c r="AJ419" s="17" t="n">
        <f aca="false">Data!E414</f>
        <v>107.32</v>
      </c>
      <c r="AK419" s="17" t="n">
        <f aca="false">Data!F414</f>
        <v>25213777</v>
      </c>
      <c r="AL419" s="17" t="n">
        <f aca="false">AJ419</f>
        <v>107.32</v>
      </c>
      <c r="AM419" s="17" t="n">
        <f aca="false">(AL419-AL418)/AL419*100</f>
        <v>1.9194931047335</v>
      </c>
      <c r="AN419" s="17" t="n">
        <f aca="false">(AK419-AK418)/AK419*100</f>
        <v>-62.2617507880711</v>
      </c>
      <c r="AO419" s="17" t="str">
        <f aca="false">IF(AN419&lt;-8,"FITS BITCH",IF(AN419&gt;-8,"no"))</f>
        <v>FITS BITCH</v>
      </c>
      <c r="AP419" s="17" t="str">
        <f aca="false">IF(AH420&lt;AH419,"FITS BITCH",IF(AH420&gt;AH419,"no"))</f>
        <v>no</v>
      </c>
      <c r="AQ419" s="17" t="str">
        <f aca="false">IF(AI420&lt;AI419,"FITS BITCH",IF(AI420&gt;AI419,"no"))</f>
        <v>FITS BITCH</v>
      </c>
      <c r="AR419" s="17" t="str">
        <f aca="false">IF(AJ419&lt;AH420,"FITS BITCH",IF(AJ419&gt;AH420,"no"))</f>
        <v>FITS BITCH</v>
      </c>
      <c r="AS419" s="17" t="str">
        <f aca="false">IF(AJ419&gt;AJ420,"FITS BITCH",IF(AJ419&lt;AJ420,"no"))</f>
        <v>no</v>
      </c>
      <c r="AT419" s="91" t="str">
        <f aca="false">IF(AND($AO419="FITS BITCH",$AP419="FITS BITCH",$AR419="FITS BITCH"),"BULLISH","")</f>
        <v/>
      </c>
      <c r="AU419" s="91" t="str">
        <f aca="false">IF(AND($AO419="FITS BITCH",$AQ419="FITS BITCH",$AS419="FITS BITCH"),"BEARISH","")</f>
        <v/>
      </c>
      <c r="AV419" s="86"/>
      <c r="AW419" s="86"/>
      <c r="AX419" s="86"/>
      <c r="CL419" s="99" t="n">
        <v>42543</v>
      </c>
      <c r="CM419" s="23" t="n">
        <f aca="false">$BA$68*CL419+$BA$70</f>
        <v>94.1505807531694</v>
      </c>
    </row>
    <row r="420" customFormat="false" ht="15.75" hidden="false" customHeight="false" outlineLevel="0" collapsed="false">
      <c r="AE420" s="90" t="n">
        <f aca="false">Data!A415</f>
        <v>42367</v>
      </c>
      <c r="AF420" s="17" t="n">
        <f aca="false">Data!B415</f>
        <v>106.96</v>
      </c>
      <c r="AG420" s="17" t="n">
        <f aca="false">Data!F415</f>
        <v>30931243</v>
      </c>
      <c r="AH420" s="17" t="n">
        <f aca="false">Data!C415</f>
        <v>109.43</v>
      </c>
      <c r="AI420" s="17" t="n">
        <f aca="false">Data!D415</f>
        <v>106.86</v>
      </c>
      <c r="AJ420" s="17" t="n">
        <f aca="false">Data!E415</f>
        <v>108.74</v>
      </c>
      <c r="AK420" s="17" t="n">
        <f aca="false">Data!F415</f>
        <v>30931243</v>
      </c>
      <c r="AL420" s="17" t="n">
        <f aca="false">AJ420</f>
        <v>108.74</v>
      </c>
      <c r="AM420" s="17" t="n">
        <f aca="false">(AL420-AL419)/AL420*100</f>
        <v>1.30586720617988</v>
      </c>
      <c r="AN420" s="17" t="n">
        <f aca="false">(AK420-AK419)/AK420*100</f>
        <v>18.4844365937703</v>
      </c>
      <c r="AO420" s="17" t="str">
        <f aca="false">IF(AN420&lt;-8,"FITS BITCH",IF(AN420&gt;-8,"no"))</f>
        <v>no</v>
      </c>
      <c r="AP420" s="17" t="str">
        <f aca="false">IF(AH421&lt;AH420,"FITS BITCH",IF(AH421&gt;AH420,"no"))</f>
        <v>FITS BITCH</v>
      </c>
      <c r="AQ420" s="17" t="str">
        <f aca="false">IF(AI421&lt;AI420,"FITS BITCH",IF(AI421&gt;AI420,"no"))</f>
        <v>FITS BITCH</v>
      </c>
      <c r="AR420" s="17" t="str">
        <f aca="false">IF(AJ420&lt;AH421,"FITS BITCH",IF(AJ420&gt;AH421,"no"))</f>
        <v>no</v>
      </c>
      <c r="AS420" s="17" t="str">
        <f aca="false">IF(AJ420&gt;AJ421,"FITS BITCH",IF(AJ420&lt;AJ421,"no"))</f>
        <v>FITS BITCH</v>
      </c>
      <c r="AT420" s="91" t="str">
        <f aca="false">IF(AND($AO420="FITS BITCH",$AP420="FITS BITCH",$AR420="FITS BITCH"),"BULLISH","")</f>
        <v/>
      </c>
      <c r="AU420" s="91" t="str">
        <f aca="false">IF(AND($AO420="FITS BITCH",$AQ420="FITS BITCH",$AS420="FITS BITCH"),"BEARISH","")</f>
        <v/>
      </c>
      <c r="AV420" s="86"/>
      <c r="AW420" s="86"/>
      <c r="AX420" s="86"/>
      <c r="CL420" s="99" t="n">
        <v>42542</v>
      </c>
      <c r="CM420" s="23" t="n">
        <f aca="false">$BA$68*CL420+$BA$70</f>
        <v>93.9964625229268</v>
      </c>
    </row>
    <row r="421" customFormat="false" ht="15.75" hidden="false" customHeight="false" outlineLevel="0" collapsed="false">
      <c r="AE421" s="90" t="n">
        <f aca="false">Data!A416</f>
        <v>42366</v>
      </c>
      <c r="AF421" s="17" t="n">
        <f aca="false">Data!B416</f>
        <v>107.59</v>
      </c>
      <c r="AG421" s="17" t="n">
        <f aca="false">Data!F416</f>
        <v>26704210</v>
      </c>
      <c r="AH421" s="17" t="n">
        <f aca="false">Data!C416</f>
        <v>107.69</v>
      </c>
      <c r="AI421" s="17" t="n">
        <f aca="false">Data!D416</f>
        <v>106.18</v>
      </c>
      <c r="AJ421" s="17" t="n">
        <f aca="false">Data!E416</f>
        <v>106.82</v>
      </c>
      <c r="AK421" s="17" t="n">
        <f aca="false">Data!F416</f>
        <v>26704210</v>
      </c>
      <c r="AL421" s="17" t="n">
        <f aca="false">AJ421</f>
        <v>106.82</v>
      </c>
      <c r="AM421" s="17" t="n">
        <f aca="false">(AL421-AL420)/AL421*100</f>
        <v>-1.7974162141921</v>
      </c>
      <c r="AN421" s="17" t="n">
        <f aca="false">(AK421-AK420)/AK421*100</f>
        <v>-15.829088372208</v>
      </c>
      <c r="AO421" s="17" t="str">
        <f aca="false">IF(AN421&lt;-8,"FITS BITCH",IF(AN421&gt;-8,"no"))</f>
        <v>FITS BITCH</v>
      </c>
      <c r="AP421" s="17" t="str">
        <f aca="false">IF(AH422&lt;AH421,"FITS BITCH",IF(AH422&gt;AH421,"no"))</f>
        <v>no</v>
      </c>
      <c r="AQ421" s="17" t="str">
        <f aca="false">IF(AI422&lt;AI421,"FITS BITCH",IF(AI422&gt;AI421,"no"))</f>
        <v>no</v>
      </c>
      <c r="AR421" s="17" t="str">
        <f aca="false">IF(AJ421&lt;AH422,"FITS BITCH",IF(AJ421&gt;AH422,"no"))</f>
        <v>FITS BITCH</v>
      </c>
      <c r="AS421" s="17" t="str">
        <f aca="false">IF(AJ421&gt;AJ422,"FITS BITCH",IF(AJ421&lt;AJ422,"no"))</f>
        <v>no</v>
      </c>
      <c r="AT421" s="91" t="str">
        <f aca="false">IF(AND($AO421="FITS BITCH",$AP421="FITS BITCH",$AR421="FITS BITCH"),"BULLISH","")</f>
        <v/>
      </c>
      <c r="AU421" s="91" t="str">
        <f aca="false">IF(AND($AO421="FITS BITCH",$AQ421="FITS BITCH",$AS421="FITS BITCH"),"BEARISH","")</f>
        <v/>
      </c>
      <c r="AV421" s="86"/>
      <c r="AW421" s="86"/>
      <c r="AX421" s="86"/>
      <c r="CL421" s="99" t="n">
        <v>42541</v>
      </c>
      <c r="CM421" s="23" t="n">
        <f aca="false">$BA$68*CL421+$BA$70</f>
        <v>93.8423442926842</v>
      </c>
    </row>
    <row r="422" customFormat="false" ht="15.75" hidden="false" customHeight="false" outlineLevel="0" collapsed="false">
      <c r="AE422" s="90" t="n">
        <f aca="false">Data!A417</f>
        <v>42362</v>
      </c>
      <c r="AF422" s="17" t="n">
        <f aca="false">Data!B417</f>
        <v>109</v>
      </c>
      <c r="AG422" s="17" t="n">
        <f aca="false">Data!F417</f>
        <v>13596680</v>
      </c>
      <c r="AH422" s="17" t="n">
        <f aca="false">Data!C417</f>
        <v>109</v>
      </c>
      <c r="AI422" s="17" t="n">
        <f aca="false">Data!D417</f>
        <v>107.95</v>
      </c>
      <c r="AJ422" s="17" t="n">
        <f aca="false">Data!E417</f>
        <v>108.03</v>
      </c>
      <c r="AK422" s="17" t="n">
        <f aca="false">Data!F417</f>
        <v>13596680</v>
      </c>
      <c r="AL422" s="17" t="n">
        <f aca="false">AJ422</f>
        <v>108.03</v>
      </c>
      <c r="AM422" s="17" t="n">
        <f aca="false">(AL422-AL421)/AL422*100</f>
        <v>1.12005924280293</v>
      </c>
      <c r="AN422" s="17" t="n">
        <f aca="false">(AK422-AK421)/AK422*100</f>
        <v>-96.4024305933507</v>
      </c>
      <c r="AO422" s="17" t="str">
        <f aca="false">IF(AN422&lt;-8,"FITS BITCH",IF(AN422&gt;-8,"no"))</f>
        <v>FITS BITCH</v>
      </c>
      <c r="AP422" s="17" t="str">
        <f aca="false">IF(AH423&lt;AH422,"FITS BITCH",IF(AH423&gt;AH422,"no"))</f>
        <v>FITS BITCH</v>
      </c>
      <c r="AQ422" s="17" t="str">
        <f aca="false">IF(AI423&lt;AI422,"FITS BITCH",IF(AI423&gt;AI422,"no"))</f>
        <v>FITS BITCH</v>
      </c>
      <c r="AR422" s="17" t="str">
        <f aca="false">IF(AJ422&lt;AH423,"FITS BITCH",IF(AJ422&gt;AH423,"no"))</f>
        <v>FITS BITCH</v>
      </c>
      <c r="AS422" s="17" t="str">
        <f aca="false">IF(AJ422&gt;AJ423,"FITS BITCH",IF(AJ422&lt;AJ423,"no"))</f>
        <v>no</v>
      </c>
      <c r="AT422" s="91" t="str">
        <f aca="false">IF(AND($AO422="FITS BITCH",$AP422="FITS BITCH",$AR422="FITS BITCH"),"BULLISH","")</f>
        <v>BULLISH</v>
      </c>
      <c r="AU422" s="91" t="str">
        <f aca="false">IF(AND($AO422="FITS BITCH",$AQ422="FITS BITCH",$AS422="FITS BITCH"),"BEARISH","")</f>
        <v/>
      </c>
      <c r="AV422" s="86"/>
      <c r="AW422" s="86"/>
      <c r="AX422" s="86"/>
      <c r="CL422" s="99" t="n">
        <v>42538</v>
      </c>
      <c r="CM422" s="23" t="n">
        <f aca="false">$BA$68*CL422+$BA$70</f>
        <v>93.3799896019564</v>
      </c>
    </row>
    <row r="423" customFormat="false" ht="15.75" hidden="false" customHeight="false" outlineLevel="0" collapsed="false">
      <c r="AE423" s="90" t="n">
        <f aca="false">Data!A418</f>
        <v>42361</v>
      </c>
      <c r="AF423" s="17" t="n">
        <f aca="false">Data!B418</f>
        <v>107.27</v>
      </c>
      <c r="AG423" s="17" t="n">
        <f aca="false">Data!F418</f>
        <v>32657354</v>
      </c>
      <c r="AH423" s="17" t="n">
        <f aca="false">Data!C418</f>
        <v>108.85</v>
      </c>
      <c r="AI423" s="17" t="n">
        <f aca="false">Data!D418</f>
        <v>107.2</v>
      </c>
      <c r="AJ423" s="17" t="n">
        <f aca="false">Data!E418</f>
        <v>108.61</v>
      </c>
      <c r="AK423" s="17" t="n">
        <f aca="false">Data!F418</f>
        <v>32657354</v>
      </c>
      <c r="AL423" s="17" t="n">
        <f aca="false">AJ423</f>
        <v>108.61</v>
      </c>
      <c r="AM423" s="17" t="n">
        <f aca="false">(AL423-AL422)/AL423*100</f>
        <v>0.534020808397015</v>
      </c>
      <c r="AN423" s="17" t="n">
        <f aca="false">(AK423-AK422)/AK423*100</f>
        <v>58.3656410130472</v>
      </c>
      <c r="AO423" s="17" t="str">
        <f aca="false">IF(AN423&lt;-8,"FITS BITCH",IF(AN423&gt;-8,"no"))</f>
        <v>no</v>
      </c>
      <c r="AP423" s="17" t="str">
        <f aca="false">IF(AH424&lt;AH423,"FITS BITCH",IF(AH424&gt;AH423,"no"))</f>
        <v>FITS BITCH</v>
      </c>
      <c r="AQ423" s="17" t="str">
        <f aca="false">IF(AI424&lt;AI423,"FITS BITCH",IF(AI424&gt;AI423,"no"))</f>
        <v>FITS BITCH</v>
      </c>
      <c r="AR423" s="17" t="str">
        <f aca="false">IF(AJ423&lt;AH424,"FITS BITCH",IF(AJ423&gt;AH424,"no"))</f>
        <v>no</v>
      </c>
      <c r="AS423" s="17" t="str">
        <f aca="false">IF(AJ423&gt;AJ424,"FITS BITCH",IF(AJ423&lt;AJ424,"no"))</f>
        <v>FITS BITCH</v>
      </c>
      <c r="AT423" s="91" t="str">
        <f aca="false">IF(AND($AO423="FITS BITCH",$AP423="FITS BITCH",$AR423="FITS BITCH"),"BULLISH","")</f>
        <v/>
      </c>
      <c r="AU423" s="91" t="str">
        <f aca="false">IF(AND($AO423="FITS BITCH",$AQ423="FITS BITCH",$AS423="FITS BITCH"),"BEARISH","")</f>
        <v/>
      </c>
      <c r="AV423" s="86"/>
      <c r="AW423" s="86"/>
      <c r="AX423" s="86"/>
      <c r="CL423" s="99" t="n">
        <v>42537</v>
      </c>
      <c r="CM423" s="23" t="n">
        <f aca="false">$BA$68*CL423+$BA$70</f>
        <v>93.2258713717138</v>
      </c>
    </row>
    <row r="424" customFormat="false" ht="15.75" hidden="false" customHeight="false" outlineLevel="0" collapsed="false">
      <c r="AE424" s="90" t="n">
        <f aca="false">Data!A419</f>
        <v>42360</v>
      </c>
      <c r="AF424" s="17" t="n">
        <f aca="false">Data!B419</f>
        <v>107.4</v>
      </c>
      <c r="AG424" s="17" t="n">
        <f aca="false">Data!F419</f>
        <v>32789367</v>
      </c>
      <c r="AH424" s="17" t="n">
        <f aca="false">Data!C419</f>
        <v>107.72</v>
      </c>
      <c r="AI424" s="17" t="n">
        <f aca="false">Data!D419</f>
        <v>106.45</v>
      </c>
      <c r="AJ424" s="17" t="n">
        <f aca="false">Data!E419</f>
        <v>107.23</v>
      </c>
      <c r="AK424" s="17" t="n">
        <f aca="false">Data!F419</f>
        <v>32789367</v>
      </c>
      <c r="AL424" s="17" t="n">
        <f aca="false">AJ424</f>
        <v>107.23</v>
      </c>
      <c r="AM424" s="17" t="n">
        <f aca="false">(AL424-AL423)/AL424*100</f>
        <v>-1.28695327800056</v>
      </c>
      <c r="AN424" s="17" t="n">
        <f aca="false">(AK424-AK423)/AK424*100</f>
        <v>0.402609175102404</v>
      </c>
      <c r="AO424" s="17" t="str">
        <f aca="false">IF(AN424&lt;-8,"FITS BITCH",IF(AN424&gt;-8,"no"))</f>
        <v>no</v>
      </c>
      <c r="AP424" s="17" t="str">
        <f aca="false">IF(AH425&lt;AH424,"FITS BITCH",IF(AH425&gt;AH424,"no"))</f>
        <v>FITS BITCH</v>
      </c>
      <c r="AQ424" s="17" t="str">
        <f aca="false">IF(AI425&lt;AI424,"FITS BITCH",IF(AI425&gt;AI424,"no"))</f>
        <v>FITS BITCH</v>
      </c>
      <c r="AR424" s="17" t="str">
        <f aca="false">IF(AJ424&lt;AH425,"FITS BITCH",IF(AJ424&gt;AH425,"no"))</f>
        <v>FITS BITCH</v>
      </c>
      <c r="AS424" s="17" t="str">
        <f aca="false">IF(AJ424&gt;AJ425,"FITS BITCH",IF(AJ424&lt;AJ425,"no"))</f>
        <v>no</v>
      </c>
      <c r="AT424" s="91" t="str">
        <f aca="false">IF(AND($AO424="FITS BITCH",$AP424="FITS BITCH",$AR424="FITS BITCH"),"BULLISH","")</f>
        <v/>
      </c>
      <c r="AU424" s="91" t="str">
        <f aca="false">IF(AND($AO424="FITS BITCH",$AQ424="FITS BITCH",$AS424="FITS BITCH"),"BEARISH","")</f>
        <v/>
      </c>
      <c r="AV424" s="86"/>
      <c r="AW424" s="86"/>
      <c r="AX424" s="86"/>
      <c r="CL424" s="99" t="n">
        <v>42536</v>
      </c>
      <c r="CM424" s="23" t="n">
        <f aca="false">$BA$68*CL424+$BA$70</f>
        <v>93.0717531414712</v>
      </c>
    </row>
    <row r="425" customFormat="false" ht="15.75" hidden="false" customHeight="false" outlineLevel="0" collapsed="false">
      <c r="AE425" s="90" t="n">
        <f aca="false">Data!A420</f>
        <v>42359</v>
      </c>
      <c r="AF425" s="17" t="n">
        <f aca="false">Data!B420</f>
        <v>107.28</v>
      </c>
      <c r="AG425" s="17" t="n">
        <f aca="false">Data!F420</f>
        <v>47590610</v>
      </c>
      <c r="AH425" s="17" t="n">
        <f aca="false">Data!C420</f>
        <v>107.37</v>
      </c>
      <c r="AI425" s="17" t="n">
        <f aca="false">Data!D420</f>
        <v>105.57</v>
      </c>
      <c r="AJ425" s="17" t="n">
        <f aca="false">Data!E420</f>
        <v>107.33</v>
      </c>
      <c r="AK425" s="17" t="n">
        <f aca="false">Data!F420</f>
        <v>47590610</v>
      </c>
      <c r="AL425" s="17" t="n">
        <f aca="false">AJ425</f>
        <v>107.33</v>
      </c>
      <c r="AM425" s="17" t="n">
        <f aca="false">(AL425-AL424)/AL425*100</f>
        <v>0.0931705953600991</v>
      </c>
      <c r="AN425" s="17" t="n">
        <f aca="false">(AK425-AK424)/AK425*100</f>
        <v>31.1011836158435</v>
      </c>
      <c r="AO425" s="17" t="str">
        <f aca="false">IF(AN425&lt;-8,"FITS BITCH",IF(AN425&gt;-8,"no"))</f>
        <v>no</v>
      </c>
      <c r="AP425" s="17" t="str">
        <f aca="false">IF(AH426&lt;AH425,"FITS BITCH",IF(AH426&gt;AH425,"no"))</f>
        <v>no</v>
      </c>
      <c r="AQ425" s="17" t="str">
        <f aca="false">IF(AI426&lt;AI425,"FITS BITCH",IF(AI426&gt;AI425,"no"))</f>
        <v>no</v>
      </c>
      <c r="AR425" s="17" t="str">
        <f aca="false">IF(AJ425&lt;AH426,"FITS BITCH",IF(AJ425&gt;AH426,"no"))</f>
        <v>FITS BITCH</v>
      </c>
      <c r="AS425" s="17" t="str">
        <f aca="false">IF(AJ425&gt;AJ426,"FITS BITCH",IF(AJ425&lt;AJ426,"no"))</f>
        <v>FITS BITCH</v>
      </c>
      <c r="AT425" s="91" t="str">
        <f aca="false">IF(AND($AO425="FITS BITCH",$AP425="FITS BITCH",$AR425="FITS BITCH"),"BULLISH","")</f>
        <v/>
      </c>
      <c r="AU425" s="91" t="str">
        <f aca="false">IF(AND($AO425="FITS BITCH",$AQ425="FITS BITCH",$AS425="FITS BITCH"),"BEARISH","")</f>
        <v/>
      </c>
      <c r="AV425" s="86"/>
      <c r="AW425" s="86"/>
      <c r="AX425" s="86"/>
      <c r="CL425" s="99" t="n">
        <v>42535</v>
      </c>
      <c r="CM425" s="23" t="n">
        <f aca="false">$BA$68*CL425+$BA$70</f>
        <v>92.9176349112277</v>
      </c>
    </row>
    <row r="426" customFormat="false" ht="15.75" hidden="false" customHeight="false" outlineLevel="0" collapsed="false">
      <c r="AE426" s="90" t="n">
        <f aca="false">Data!A421</f>
        <v>42356</v>
      </c>
      <c r="AF426" s="17" t="n">
        <f aca="false">Data!B421</f>
        <v>108.91</v>
      </c>
      <c r="AG426" s="17" t="n">
        <f aca="false">Data!F421</f>
        <v>96453327</v>
      </c>
      <c r="AH426" s="17" t="n">
        <f aca="false">Data!C421</f>
        <v>109.52</v>
      </c>
      <c r="AI426" s="17" t="n">
        <f aca="false">Data!D421</f>
        <v>105.81</v>
      </c>
      <c r="AJ426" s="17" t="n">
        <f aca="false">Data!E421</f>
        <v>106.03</v>
      </c>
      <c r="AK426" s="17" t="n">
        <f aca="false">Data!F421</f>
        <v>96453327</v>
      </c>
      <c r="AL426" s="17" t="n">
        <f aca="false">AJ426</f>
        <v>106.03</v>
      </c>
      <c r="AM426" s="17" t="n">
        <f aca="false">(AL426-AL425)/AL426*100</f>
        <v>-1.22606809393568</v>
      </c>
      <c r="AN426" s="17" t="n">
        <f aca="false">(AK426-AK425)/AK426*100</f>
        <v>50.6594417422221</v>
      </c>
      <c r="AO426" s="17" t="str">
        <f aca="false">IF(AN426&lt;-8,"FITS BITCH",IF(AN426&gt;-8,"no"))</f>
        <v>no</v>
      </c>
      <c r="AP426" s="17" t="str">
        <f aca="false">IF(AH427&lt;AH426,"FITS BITCH",IF(AH427&gt;AH426,"no"))</f>
        <v>no</v>
      </c>
      <c r="AQ426" s="17" t="str">
        <f aca="false">IF(AI427&lt;AI426,"FITS BITCH",IF(AI427&gt;AI426,"no"))</f>
        <v>no</v>
      </c>
      <c r="AR426" s="17" t="str">
        <f aca="false">IF(AJ426&lt;AH427,"FITS BITCH",IF(AJ426&gt;AH427,"no"))</f>
        <v>FITS BITCH</v>
      </c>
      <c r="AS426" s="17" t="str">
        <f aca="false">IF(AJ426&gt;AJ427,"FITS BITCH",IF(AJ426&lt;AJ427,"no"))</f>
        <v>no</v>
      </c>
      <c r="AT426" s="91" t="str">
        <f aca="false">IF(AND($AO426="FITS BITCH",$AP426="FITS BITCH",$AR426="FITS BITCH"),"BULLISH","")</f>
        <v/>
      </c>
      <c r="AU426" s="91" t="str">
        <f aca="false">IF(AND($AO426="FITS BITCH",$AQ426="FITS BITCH",$AS426="FITS BITCH"),"BEARISH","")</f>
        <v/>
      </c>
      <c r="AV426" s="86"/>
      <c r="AW426" s="86"/>
      <c r="AX426" s="86"/>
      <c r="CL426" s="99" t="n">
        <v>42534</v>
      </c>
      <c r="CM426" s="23" t="n">
        <f aca="false">$BA$68*CL426+$BA$70</f>
        <v>92.763516680985</v>
      </c>
    </row>
    <row r="427" customFormat="false" ht="15.75" hidden="false" customHeight="false" outlineLevel="0" collapsed="false">
      <c r="AE427" s="90" t="n">
        <f aca="false">Data!A422</f>
        <v>42355</v>
      </c>
      <c r="AF427" s="17" t="n">
        <f aca="false">Data!B422</f>
        <v>112.02</v>
      </c>
      <c r="AG427" s="17" t="n">
        <f aca="false">Data!F422</f>
        <v>44772827</v>
      </c>
      <c r="AH427" s="17" t="n">
        <f aca="false">Data!C422</f>
        <v>112.25</v>
      </c>
      <c r="AI427" s="17" t="n">
        <f aca="false">Data!D422</f>
        <v>108.98</v>
      </c>
      <c r="AJ427" s="17" t="n">
        <f aca="false">Data!E422</f>
        <v>108.98</v>
      </c>
      <c r="AK427" s="17" t="n">
        <f aca="false">Data!F422</f>
        <v>44772827</v>
      </c>
      <c r="AL427" s="17" t="n">
        <f aca="false">AJ427</f>
        <v>108.98</v>
      </c>
      <c r="AM427" s="17" t="n">
        <f aca="false">(AL427-AL426)/AL427*100</f>
        <v>2.70691870067903</v>
      </c>
      <c r="AN427" s="17" t="n">
        <f aca="false">(AK427-AK426)/AK427*100</f>
        <v>-115.428270812562</v>
      </c>
      <c r="AO427" s="17" t="str">
        <f aca="false">IF(AN427&lt;-8,"FITS BITCH",IF(AN427&gt;-8,"no"))</f>
        <v>FITS BITCH</v>
      </c>
      <c r="AP427" s="17" t="str">
        <f aca="false">IF(AH428&lt;AH427,"FITS BITCH",IF(AH428&gt;AH427,"no"))</f>
        <v>FITS BITCH</v>
      </c>
      <c r="AQ427" s="17" t="str">
        <f aca="false">IF(AI428&lt;AI427,"FITS BITCH",IF(AI428&gt;AI427,"no"))</f>
        <v>FITS BITCH</v>
      </c>
      <c r="AR427" s="17" t="str">
        <f aca="false">IF(AJ427&lt;AH428,"FITS BITCH",IF(AJ427&gt;AH428,"no"))</f>
        <v>FITS BITCH</v>
      </c>
      <c r="AS427" s="17" t="str">
        <f aca="false">IF(AJ427&gt;AJ428,"FITS BITCH",IF(AJ427&lt;AJ428,"no"))</f>
        <v>no</v>
      </c>
      <c r="AT427" s="91" t="str">
        <f aca="false">IF(AND($AO427="FITS BITCH",$AP427="FITS BITCH",$AR427="FITS BITCH"),"BULLISH","")</f>
        <v>BULLISH</v>
      </c>
      <c r="AU427" s="91" t="str">
        <f aca="false">IF(AND($AO427="FITS BITCH",$AQ427="FITS BITCH",$AS427="FITS BITCH"),"BEARISH","")</f>
        <v/>
      </c>
      <c r="AV427" s="86"/>
      <c r="AW427" s="86"/>
      <c r="AX427" s="86"/>
      <c r="CL427" s="99" t="n">
        <v>42531</v>
      </c>
      <c r="CM427" s="23" t="n">
        <f aca="false">$BA$68*CL427+$BA$70</f>
        <v>92.3011619902572</v>
      </c>
    </row>
    <row r="428" customFormat="false" ht="15.75" hidden="false" customHeight="false" outlineLevel="0" collapsed="false">
      <c r="AE428" s="90" t="n">
        <f aca="false">Data!A423</f>
        <v>42354</v>
      </c>
      <c r="AF428" s="17" t="n">
        <f aca="false">Data!B423</f>
        <v>111.07</v>
      </c>
      <c r="AG428" s="17" t="n">
        <f aca="false">Data!F423</f>
        <v>56238467</v>
      </c>
      <c r="AH428" s="17" t="n">
        <f aca="false">Data!C423</f>
        <v>111.99</v>
      </c>
      <c r="AI428" s="17" t="n">
        <f aca="false">Data!D423</f>
        <v>108.8</v>
      </c>
      <c r="AJ428" s="17" t="n">
        <f aca="false">Data!E423</f>
        <v>111.34</v>
      </c>
      <c r="AK428" s="17" t="n">
        <f aca="false">Data!F423</f>
        <v>56238467</v>
      </c>
      <c r="AL428" s="17" t="n">
        <f aca="false">AJ428</f>
        <v>111.34</v>
      </c>
      <c r="AM428" s="17" t="n">
        <f aca="false">(AL428-AL427)/AL428*100</f>
        <v>2.11963355487695</v>
      </c>
      <c r="AN428" s="17" t="n">
        <f aca="false">(AK428-AK427)/AK428*100</f>
        <v>20.3875400799954</v>
      </c>
      <c r="AO428" s="17" t="str">
        <f aca="false">IF(AN428&lt;-8,"FITS BITCH",IF(AN428&gt;-8,"no"))</f>
        <v>no</v>
      </c>
      <c r="AP428" s="17" t="str">
        <f aca="false">IF(AH429&lt;AH428,"FITS BITCH",IF(AH429&gt;AH428,"no"))</f>
        <v>no</v>
      </c>
      <c r="AQ428" s="17" t="str">
        <f aca="false">IF(AI429&lt;AI428,"FITS BITCH",IF(AI429&gt;AI428,"no"))</f>
        <v>no</v>
      </c>
      <c r="AR428" s="17" t="str">
        <f aca="false">IF(AJ428&lt;AH429,"FITS BITCH",IF(AJ428&gt;AH429,"no"))</f>
        <v>FITS BITCH</v>
      </c>
      <c r="AS428" s="17" t="str">
        <f aca="false">IF(AJ428&gt;AJ429,"FITS BITCH",IF(AJ428&lt;AJ429,"no"))</f>
        <v>FITS BITCH</v>
      </c>
      <c r="AT428" s="91" t="str">
        <f aca="false">IF(AND($AO428="FITS BITCH",$AP428="FITS BITCH",$AR428="FITS BITCH"),"BULLISH","")</f>
        <v/>
      </c>
      <c r="AU428" s="91" t="str">
        <f aca="false">IF(AND($AO428="FITS BITCH",$AQ428="FITS BITCH",$AS428="FITS BITCH"),"BEARISH","")</f>
        <v/>
      </c>
      <c r="AV428" s="86"/>
      <c r="AW428" s="86"/>
      <c r="AX428" s="86"/>
      <c r="CL428" s="99" t="n">
        <v>42530</v>
      </c>
      <c r="CM428" s="23" t="n">
        <f aca="false">$BA$68*CL428+$BA$70</f>
        <v>92.1470437600146</v>
      </c>
    </row>
    <row r="429" customFormat="false" ht="15.75" hidden="false" customHeight="false" outlineLevel="0" collapsed="false">
      <c r="AE429" s="90" t="n">
        <f aca="false">Data!A424</f>
        <v>42353</v>
      </c>
      <c r="AF429" s="17" t="n">
        <f aca="false">Data!B424</f>
        <v>111.94</v>
      </c>
      <c r="AG429" s="17" t="n">
        <f aca="false">Data!F424</f>
        <v>53323105</v>
      </c>
      <c r="AH429" s="17" t="n">
        <f aca="false">Data!C424</f>
        <v>112.8</v>
      </c>
      <c r="AI429" s="17" t="n">
        <f aca="false">Data!D424</f>
        <v>110.35</v>
      </c>
      <c r="AJ429" s="17" t="n">
        <f aca="false">Data!E424</f>
        <v>110.49</v>
      </c>
      <c r="AK429" s="17" t="n">
        <f aca="false">Data!F424</f>
        <v>53323105</v>
      </c>
      <c r="AL429" s="17" t="n">
        <f aca="false">AJ429</f>
        <v>110.49</v>
      </c>
      <c r="AM429" s="17" t="n">
        <f aca="false">(AL429-AL428)/AL429*100</f>
        <v>-0.769300389175499</v>
      </c>
      <c r="AN429" s="17" t="n">
        <f aca="false">(AK429-AK428)/AK429*100</f>
        <v>-5.46735228565553</v>
      </c>
      <c r="AO429" s="17" t="str">
        <f aca="false">IF(AN429&lt;-8,"FITS BITCH",IF(AN429&gt;-8,"no"))</f>
        <v>no</v>
      </c>
      <c r="AP429" s="17" t="str">
        <f aca="false">IF(AH430&lt;AH429,"FITS BITCH",IF(AH430&gt;AH429,"no"))</f>
        <v>FITS BITCH</v>
      </c>
      <c r="AQ429" s="17" t="str">
        <f aca="false">IF(AI430&lt;AI429,"FITS BITCH",IF(AI430&gt;AI429,"no"))</f>
        <v>FITS BITCH</v>
      </c>
      <c r="AR429" s="17" t="str">
        <f aca="false">IF(AJ429&lt;AH430,"FITS BITCH",IF(AJ429&gt;AH430,"no"))</f>
        <v>FITS BITCH</v>
      </c>
      <c r="AS429" s="17" t="str">
        <f aca="false">IF(AJ429&gt;AJ430,"FITS BITCH",IF(AJ429&lt;AJ430,"no"))</f>
        <v>no</v>
      </c>
      <c r="AT429" s="91" t="str">
        <f aca="false">IF(AND($AO429="FITS BITCH",$AP429="FITS BITCH",$AR429="FITS BITCH"),"BULLISH","")</f>
        <v/>
      </c>
      <c r="AU429" s="91" t="str">
        <f aca="false">IF(AND($AO429="FITS BITCH",$AQ429="FITS BITCH",$AS429="FITS BITCH"),"BEARISH","")</f>
        <v/>
      </c>
      <c r="AV429" s="86"/>
      <c r="AW429" s="86"/>
      <c r="AX429" s="86"/>
      <c r="CL429" s="99" t="n">
        <v>42529</v>
      </c>
      <c r="CM429" s="23" t="n">
        <f aca="false">$BA$68*CL429+$BA$70</f>
        <v>91.992925529772</v>
      </c>
    </row>
    <row r="430" customFormat="false" ht="15.75" hidden="false" customHeight="false" outlineLevel="0" collapsed="false">
      <c r="AE430" s="90" t="n">
        <f aca="false">Data!A425</f>
        <v>42352</v>
      </c>
      <c r="AF430" s="17" t="n">
        <f aca="false">Data!B425</f>
        <v>112.18</v>
      </c>
      <c r="AG430" s="17" t="n">
        <f aca="false">Data!F425</f>
        <v>64318732</v>
      </c>
      <c r="AH430" s="17" t="n">
        <f aca="false">Data!C425</f>
        <v>112.68</v>
      </c>
      <c r="AI430" s="17" t="n">
        <f aca="false">Data!D425</f>
        <v>109.79</v>
      </c>
      <c r="AJ430" s="17" t="n">
        <f aca="false">Data!E425</f>
        <v>112.48</v>
      </c>
      <c r="AK430" s="17" t="n">
        <f aca="false">Data!F425</f>
        <v>64318732</v>
      </c>
      <c r="AL430" s="17" t="n">
        <f aca="false">AJ430</f>
        <v>112.48</v>
      </c>
      <c r="AM430" s="17" t="n">
        <f aca="false">(AL430-AL429)/AL430*100</f>
        <v>1.76920341394026</v>
      </c>
      <c r="AN430" s="17" t="n">
        <f aca="false">(AK430-AK429)/AK430*100</f>
        <v>17.0955282513965</v>
      </c>
      <c r="AO430" s="17" t="str">
        <f aca="false">IF(AN430&lt;-8,"FITS BITCH",IF(AN430&gt;-8,"no"))</f>
        <v>no</v>
      </c>
      <c r="AP430" s="17" t="str">
        <f aca="false">IF(AH431&lt;AH430,"FITS BITCH",IF(AH431&gt;AH430,"no"))</f>
        <v>no</v>
      </c>
      <c r="AQ430" s="17" t="str">
        <f aca="false">IF(AI431&lt;AI430,"FITS BITCH",IF(AI431&gt;AI430,"no"))</f>
        <v>no</v>
      </c>
      <c r="AR430" s="17" t="str">
        <f aca="false">IF(AJ430&lt;AH431,"FITS BITCH",IF(AJ430&gt;AH431,"no"))</f>
        <v>FITS BITCH</v>
      </c>
      <c r="AS430" s="17" t="str">
        <f aca="false">IF(AJ430&gt;AJ431,"FITS BITCH",IF(AJ430&lt;AJ431,"no"))</f>
        <v>no</v>
      </c>
      <c r="AT430" s="91" t="str">
        <f aca="false">IF(AND($AO430="FITS BITCH",$AP430="FITS BITCH",$AR430="FITS BITCH"),"BULLISH","")</f>
        <v/>
      </c>
      <c r="AU430" s="91" t="str">
        <f aca="false">IF(AND($AO430="FITS BITCH",$AQ430="FITS BITCH",$AS430="FITS BITCH"),"BEARISH","")</f>
        <v/>
      </c>
      <c r="AV430" s="86"/>
      <c r="AW430" s="86"/>
      <c r="AX430" s="86"/>
      <c r="CL430" s="99" t="n">
        <v>42528</v>
      </c>
      <c r="CM430" s="23" t="n">
        <f aca="false">$BA$68*CL430+$BA$70</f>
        <v>91.8388072995294</v>
      </c>
    </row>
    <row r="431" customFormat="false" ht="15.75" hidden="false" customHeight="false" outlineLevel="0" collapsed="false">
      <c r="AE431" s="90" t="n">
        <f aca="false">Data!A426</f>
        <v>42349</v>
      </c>
      <c r="AF431" s="17" t="n">
        <f aca="false">Data!B426</f>
        <v>115.19</v>
      </c>
      <c r="AG431" s="17" t="n">
        <f aca="false">Data!F426</f>
        <v>46886161</v>
      </c>
      <c r="AH431" s="17" t="n">
        <f aca="false">Data!C426</f>
        <v>115.39</v>
      </c>
      <c r="AI431" s="17" t="n">
        <f aca="false">Data!D426</f>
        <v>112.85</v>
      </c>
      <c r="AJ431" s="17" t="n">
        <f aca="false">Data!E426</f>
        <v>113.18</v>
      </c>
      <c r="AK431" s="17" t="n">
        <f aca="false">Data!F426</f>
        <v>46886161</v>
      </c>
      <c r="AL431" s="17" t="n">
        <f aca="false">AJ431</f>
        <v>113.18</v>
      </c>
      <c r="AM431" s="17" t="n">
        <f aca="false">(AL431-AL430)/AL431*100</f>
        <v>0.618483831065562</v>
      </c>
      <c r="AN431" s="17" t="n">
        <f aca="false">(AK431-AK430)/AK431*100</f>
        <v>-37.1806320419366</v>
      </c>
      <c r="AO431" s="17" t="str">
        <f aca="false">IF(AN431&lt;-8,"FITS BITCH",IF(AN431&gt;-8,"no"))</f>
        <v>FITS BITCH</v>
      </c>
      <c r="AP431" s="17" t="str">
        <f aca="false">IF(AH432&lt;AH431,"FITS BITCH",IF(AH432&gt;AH431,"no"))</f>
        <v>no</v>
      </c>
      <c r="AQ431" s="17" t="str">
        <f aca="false">IF(AI432&lt;AI431,"FITS BITCH",IF(AI432&gt;AI431,"no"))</f>
        <v>no</v>
      </c>
      <c r="AR431" s="17" t="str">
        <f aca="false">IF(AJ431&lt;AH432,"FITS BITCH",IF(AJ431&gt;AH432,"no"))</f>
        <v>FITS BITCH</v>
      </c>
      <c r="AS431" s="17" t="str">
        <f aca="false">IF(AJ431&gt;AJ432,"FITS BITCH",IF(AJ431&lt;AJ432,"no"))</f>
        <v>no</v>
      </c>
      <c r="AT431" s="91" t="str">
        <f aca="false">IF(AND($AO431="FITS BITCH",$AP431="FITS BITCH",$AR431="FITS BITCH"),"BULLISH","")</f>
        <v/>
      </c>
      <c r="AU431" s="91" t="str">
        <f aca="false">IF(AND($AO431="FITS BITCH",$AQ431="FITS BITCH",$AS431="FITS BITCH"),"BEARISH","")</f>
        <v/>
      </c>
      <c r="AV431" s="86"/>
      <c r="AW431" s="86"/>
      <c r="AX431" s="86"/>
      <c r="CL431" s="99" t="n">
        <v>42527</v>
      </c>
      <c r="CM431" s="23" t="n">
        <f aca="false">$BA$68*CL431+$BA$70</f>
        <v>91.6846890692868</v>
      </c>
    </row>
    <row r="432" customFormat="false" ht="15.75" hidden="false" customHeight="false" outlineLevel="0" collapsed="false">
      <c r="AE432" s="90" t="n">
        <f aca="false">Data!A427</f>
        <v>42348</v>
      </c>
      <c r="AF432" s="17" t="n">
        <f aca="false">Data!B427</f>
        <v>116.04</v>
      </c>
      <c r="AG432" s="17" t="n">
        <f aca="false">Data!F427</f>
        <v>29212727</v>
      </c>
      <c r="AH432" s="17" t="n">
        <f aca="false">Data!C427</f>
        <v>116.94</v>
      </c>
      <c r="AI432" s="17" t="n">
        <f aca="false">Data!D427</f>
        <v>115.51</v>
      </c>
      <c r="AJ432" s="17" t="n">
        <f aca="false">Data!E427</f>
        <v>116.17</v>
      </c>
      <c r="AK432" s="17" t="n">
        <f aca="false">Data!F427</f>
        <v>29212727</v>
      </c>
      <c r="AL432" s="17" t="n">
        <f aca="false">AJ432</f>
        <v>116.17</v>
      </c>
      <c r="AM432" s="17" t="n">
        <f aca="false">(AL432-AL431)/AL432*100</f>
        <v>2.57381423775501</v>
      </c>
      <c r="AN432" s="17" t="n">
        <f aca="false">(AK432-AK431)/AK432*100</f>
        <v>-60.4990900027923</v>
      </c>
      <c r="AO432" s="17" t="str">
        <f aca="false">IF(AN432&lt;-8,"FITS BITCH",IF(AN432&gt;-8,"no"))</f>
        <v>FITS BITCH</v>
      </c>
      <c r="AP432" s="17" t="str">
        <f aca="false">IF(AH433&lt;AH432,"FITS BITCH",IF(AH433&gt;AH432,"no"))</f>
        <v>no</v>
      </c>
      <c r="AQ432" s="17" t="str">
        <f aca="false">IF(AI433&lt;AI432,"FITS BITCH",IF(AI433&gt;AI432,"no"))</f>
        <v>FITS BITCH</v>
      </c>
      <c r="AR432" s="17" t="str">
        <f aca="false">IF(AJ432&lt;AH433,"FITS BITCH",IF(AJ432&gt;AH433,"no"))</f>
        <v>FITS BITCH</v>
      </c>
      <c r="AS432" s="17" t="str">
        <f aca="false">IF(AJ432&gt;AJ433,"FITS BITCH",IF(AJ432&lt;AJ433,"no"))</f>
        <v>FITS BITCH</v>
      </c>
      <c r="AT432" s="91" t="str">
        <f aca="false">IF(AND($AO432="FITS BITCH",$AP432="FITS BITCH",$AR432="FITS BITCH"),"BULLISH","")</f>
        <v/>
      </c>
      <c r="AU432" s="91" t="str">
        <f aca="false">IF(AND($AO432="FITS BITCH",$AQ432="FITS BITCH",$AS432="FITS BITCH"),"BEARISH","")</f>
        <v>BEARISH</v>
      </c>
      <c r="AV432" s="86"/>
      <c r="AW432" s="86"/>
      <c r="AX432" s="86"/>
      <c r="CL432" s="99" t="n">
        <v>42524</v>
      </c>
      <c r="CM432" s="23" t="n">
        <f aca="false">$BA$68*CL432+$BA$70</f>
        <v>91.2223343785581</v>
      </c>
    </row>
    <row r="433" customFormat="false" ht="15.75" hidden="false" customHeight="false" outlineLevel="0" collapsed="false">
      <c r="AE433" s="90" t="n">
        <f aca="false">Data!A428</f>
        <v>42347</v>
      </c>
      <c r="AF433" s="17" t="n">
        <f aca="false">Data!B428</f>
        <v>115.3</v>
      </c>
      <c r="AG433" s="17" t="n">
        <f aca="false">Data!F428</f>
        <v>46361357</v>
      </c>
      <c r="AH433" s="17" t="n">
        <f aca="false">Data!C428</f>
        <v>117.69</v>
      </c>
      <c r="AI433" s="17" t="n">
        <f aca="false">Data!D428</f>
        <v>115.08</v>
      </c>
      <c r="AJ433" s="17" t="n">
        <f aca="false">Data!E428</f>
        <v>115.62</v>
      </c>
      <c r="AK433" s="17" t="n">
        <f aca="false">Data!F428</f>
        <v>46361357</v>
      </c>
      <c r="AL433" s="17" t="n">
        <f aca="false">AJ433</f>
        <v>115.62</v>
      </c>
      <c r="AM433" s="17" t="n">
        <f aca="false">(AL433-AL432)/AL433*100</f>
        <v>-0.475696246324163</v>
      </c>
      <c r="AN433" s="17" t="n">
        <f aca="false">(AK433-AK432)/AK433*100</f>
        <v>36.9890596601821</v>
      </c>
      <c r="AO433" s="17" t="str">
        <f aca="false">IF(AN433&lt;-8,"FITS BITCH",IF(AN433&gt;-8,"no"))</f>
        <v>no</v>
      </c>
      <c r="AP433" s="17" t="str">
        <f aca="false">IF(AH434&lt;AH433,"FITS BITCH",IF(AH434&gt;AH433,"no"))</f>
        <v>no</v>
      </c>
      <c r="AQ433" s="17" t="str">
        <f aca="false">IF(AI434&lt;AI433,"FITS BITCH",IF(AI434&gt;AI433,"no"))</f>
        <v>no</v>
      </c>
      <c r="AR433" s="17" t="str">
        <f aca="false">IF(AJ433&lt;AH434,"FITS BITCH",IF(AJ433&gt;AH434,"no"))</f>
        <v>FITS BITCH</v>
      </c>
      <c r="AS433" s="17" t="str">
        <f aca="false">IF(AJ433&gt;AJ434,"FITS BITCH",IF(AJ433&lt;AJ434,"no"))</f>
        <v>no</v>
      </c>
      <c r="AT433" s="91" t="str">
        <f aca="false">IF(AND($AO433="FITS BITCH",$AP433="FITS BITCH",$AR433="FITS BITCH"),"BULLISH","")</f>
        <v/>
      </c>
      <c r="AU433" s="91" t="str">
        <f aca="false">IF(AND($AO433="FITS BITCH",$AQ433="FITS BITCH",$AS433="FITS BITCH"),"BEARISH","")</f>
        <v/>
      </c>
      <c r="AV433" s="86"/>
      <c r="AW433" s="86"/>
      <c r="AX433" s="86"/>
      <c r="CL433" s="99" t="n">
        <v>42523</v>
      </c>
      <c r="CM433" s="23" t="n">
        <f aca="false">$BA$68*CL433+$BA$70</f>
        <v>91.0682161483155</v>
      </c>
    </row>
    <row r="434" customFormat="false" ht="15.75" hidden="false" customHeight="false" outlineLevel="0" collapsed="false">
      <c r="AE434" s="90" t="n">
        <f aca="false">Data!A429</f>
        <v>42346</v>
      </c>
      <c r="AF434" s="17" t="n">
        <f aca="false">Data!B429</f>
        <v>117.52</v>
      </c>
      <c r="AG434" s="17" t="n">
        <f aca="false">Data!F429</f>
        <v>34309450</v>
      </c>
      <c r="AH434" s="17" t="n">
        <f aca="false">Data!C429</f>
        <v>118.6</v>
      </c>
      <c r="AI434" s="17" t="n">
        <f aca="false">Data!D429</f>
        <v>116.86</v>
      </c>
      <c r="AJ434" s="17" t="n">
        <f aca="false">Data!E429</f>
        <v>118.23</v>
      </c>
      <c r="AK434" s="17" t="n">
        <f aca="false">Data!F429</f>
        <v>34309450</v>
      </c>
      <c r="AL434" s="17" t="n">
        <f aca="false">AJ434</f>
        <v>118.23</v>
      </c>
      <c r="AM434" s="17" t="n">
        <f aca="false">(AL434-AL433)/AL434*100</f>
        <v>2.20756153260594</v>
      </c>
      <c r="AN434" s="17" t="n">
        <f aca="false">(AK434-AK433)/AK434*100</f>
        <v>-35.1270772338233</v>
      </c>
      <c r="AO434" s="17" t="str">
        <f aca="false">IF(AN434&lt;-8,"FITS BITCH",IF(AN434&gt;-8,"no"))</f>
        <v>FITS BITCH</v>
      </c>
      <c r="AP434" s="17" t="str">
        <f aca="false">IF(AH435&lt;AH434,"FITS BITCH",IF(AH435&gt;AH434,"no"))</f>
        <v>no</v>
      </c>
      <c r="AQ434" s="17" t="str">
        <f aca="false">IF(AI435&lt;AI434,"FITS BITCH",IF(AI435&gt;AI434,"no"))</f>
        <v>no</v>
      </c>
      <c r="AR434" s="17" t="str">
        <f aca="false">IF(AJ434&lt;AH435,"FITS BITCH",IF(AJ434&gt;AH435,"no"))</f>
        <v>FITS BITCH</v>
      </c>
      <c r="AS434" s="17" t="str">
        <f aca="false">IF(AJ434&gt;AJ435,"FITS BITCH",IF(AJ434&lt;AJ435,"no"))</f>
        <v>no</v>
      </c>
      <c r="AT434" s="91" t="str">
        <f aca="false">IF(AND($AO434="FITS BITCH",$AP434="FITS BITCH",$AR434="FITS BITCH"),"BULLISH","")</f>
        <v/>
      </c>
      <c r="AU434" s="91" t="str">
        <f aca="false">IF(AND($AO434="FITS BITCH",$AQ434="FITS BITCH",$AS434="FITS BITCH"),"BEARISH","")</f>
        <v/>
      </c>
      <c r="AV434" s="86"/>
      <c r="AW434" s="86"/>
      <c r="AX434" s="86"/>
      <c r="CL434" s="99" t="n">
        <v>42522</v>
      </c>
      <c r="CM434" s="23" t="n">
        <f aca="false">$BA$68*CL434+$BA$70</f>
        <v>90.9140979180729</v>
      </c>
    </row>
    <row r="435" customFormat="false" ht="15.75" hidden="false" customHeight="false" outlineLevel="0" collapsed="false">
      <c r="AE435" s="90" t="n">
        <f aca="false">Data!A430</f>
        <v>42345</v>
      </c>
      <c r="AF435" s="17" t="n">
        <f aca="false">Data!B430</f>
        <v>118.32</v>
      </c>
      <c r="AG435" s="17" t="n">
        <f aca="false">Data!F430</f>
        <v>32084249</v>
      </c>
      <c r="AH435" s="17" t="n">
        <f aca="false">Data!C430</f>
        <v>119.86</v>
      </c>
      <c r="AI435" s="17" t="n">
        <f aca="false">Data!D430</f>
        <v>117.81</v>
      </c>
      <c r="AJ435" s="17" t="n">
        <f aca="false">Data!E430</f>
        <v>118.28</v>
      </c>
      <c r="AK435" s="17" t="n">
        <f aca="false">Data!F430</f>
        <v>32084249</v>
      </c>
      <c r="AL435" s="17" t="n">
        <f aca="false">AJ435</f>
        <v>118.28</v>
      </c>
      <c r="AM435" s="17" t="n">
        <f aca="false">(AL435-AL434)/AL435*100</f>
        <v>0.0422725735542756</v>
      </c>
      <c r="AN435" s="17" t="n">
        <f aca="false">(AK435-AK434)/AK435*100</f>
        <v>-6.93549348778586</v>
      </c>
      <c r="AO435" s="17" t="str">
        <f aca="false">IF(AN435&lt;-8,"FITS BITCH",IF(AN435&gt;-8,"no"))</f>
        <v>no</v>
      </c>
      <c r="AP435" s="17" t="str">
        <f aca="false">IF(AH436&lt;AH435,"FITS BITCH",IF(AH436&gt;AH435,"no"))</f>
        <v>FITS BITCH</v>
      </c>
      <c r="AQ435" s="17" t="str">
        <f aca="false">IF(AI436&lt;AI435,"FITS BITCH",IF(AI436&gt;AI435,"no"))</f>
        <v>FITS BITCH</v>
      </c>
      <c r="AR435" s="17" t="str">
        <f aca="false">IF(AJ435&lt;AH436,"FITS BITCH",IF(AJ435&gt;AH436,"no"))</f>
        <v>FITS BITCH</v>
      </c>
      <c r="AS435" s="17" t="str">
        <f aca="false">IF(AJ435&gt;AJ436,"FITS BITCH",IF(AJ435&lt;AJ436,"no"))</f>
        <v>no</v>
      </c>
      <c r="AT435" s="91" t="str">
        <f aca="false">IF(AND($AO435="FITS BITCH",$AP435="FITS BITCH",$AR435="FITS BITCH"),"BULLISH","")</f>
        <v/>
      </c>
      <c r="AU435" s="91" t="str">
        <f aca="false">IF(AND($AO435="FITS BITCH",$AQ435="FITS BITCH",$AS435="FITS BITCH"),"BEARISH","")</f>
        <v/>
      </c>
      <c r="AV435" s="86"/>
      <c r="AW435" s="86"/>
      <c r="AX435" s="86"/>
      <c r="CL435" s="99" t="n">
        <v>42521</v>
      </c>
      <c r="CM435" s="23" t="n">
        <f aca="false">$BA$68*CL435+$BA$70</f>
        <v>90.7599796878303</v>
      </c>
    </row>
    <row r="436" customFormat="false" ht="15.75" hidden="false" customHeight="false" outlineLevel="0" collapsed="false">
      <c r="AE436" s="90" t="n">
        <f aca="false">Data!A431</f>
        <v>42342</v>
      </c>
      <c r="AF436" s="17" t="n">
        <f aca="false">Data!B431</f>
        <v>115.29</v>
      </c>
      <c r="AG436" s="17" t="n">
        <f aca="false">Data!F431</f>
        <v>57776977</v>
      </c>
      <c r="AH436" s="17" t="n">
        <f aca="false">Data!C431</f>
        <v>119.25</v>
      </c>
      <c r="AI436" s="17" t="n">
        <f aca="false">Data!D431</f>
        <v>115.11</v>
      </c>
      <c r="AJ436" s="17" t="n">
        <f aca="false">Data!E431</f>
        <v>119.03</v>
      </c>
      <c r="AK436" s="17" t="n">
        <f aca="false">Data!F431</f>
        <v>57776977</v>
      </c>
      <c r="AL436" s="17" t="n">
        <f aca="false">AJ436</f>
        <v>119.03</v>
      </c>
      <c r="AM436" s="17" t="n">
        <f aca="false">(AL436-AL435)/AL436*100</f>
        <v>0.630093253801563</v>
      </c>
      <c r="AN436" s="17" t="n">
        <f aca="false">(AK436-AK435)/AK436*100</f>
        <v>44.4687993973793</v>
      </c>
      <c r="AO436" s="17" t="str">
        <f aca="false">IF(AN436&lt;-8,"FITS BITCH",IF(AN436&gt;-8,"no"))</f>
        <v>no</v>
      </c>
      <c r="AP436" s="17" t="str">
        <f aca="false">IF(AH437&lt;AH436,"FITS BITCH",IF(AH437&gt;AH436,"no"))</f>
        <v>FITS BITCH</v>
      </c>
      <c r="AQ436" s="17" t="str">
        <f aca="false">IF(AI437&lt;AI436,"FITS BITCH",IF(AI437&gt;AI436,"no"))</f>
        <v>FITS BITCH</v>
      </c>
      <c r="AR436" s="17" t="str">
        <f aca="false">IF(AJ436&lt;AH437,"FITS BITCH",IF(AJ436&gt;AH437,"no"))</f>
        <v>no</v>
      </c>
      <c r="AS436" s="17" t="str">
        <f aca="false">IF(AJ436&gt;AJ437,"FITS BITCH",IF(AJ436&lt;AJ437,"no"))</f>
        <v>FITS BITCH</v>
      </c>
      <c r="AT436" s="91" t="str">
        <f aca="false">IF(AND($AO436="FITS BITCH",$AP436="FITS BITCH",$AR436="FITS BITCH"),"BULLISH","")</f>
        <v/>
      </c>
      <c r="AU436" s="91" t="str">
        <f aca="false">IF(AND($AO436="FITS BITCH",$AQ436="FITS BITCH",$AS436="FITS BITCH"),"BEARISH","")</f>
        <v/>
      </c>
      <c r="AV436" s="86"/>
      <c r="AW436" s="86"/>
      <c r="AX436" s="86"/>
      <c r="CL436" s="99" t="n">
        <v>42520</v>
      </c>
      <c r="CM436" s="23" t="n">
        <f aca="false">$BA$68*CL436+$BA$70</f>
        <v>90.6058614575877</v>
      </c>
    </row>
    <row r="437" customFormat="false" ht="15.75" hidden="false" customHeight="false" outlineLevel="0" collapsed="false">
      <c r="AE437" s="90" t="n">
        <f aca="false">Data!A432</f>
        <v>42341</v>
      </c>
      <c r="AF437" s="17" t="n">
        <f aca="false">Data!B432</f>
        <v>115.24</v>
      </c>
      <c r="AG437" s="17" t="n">
        <f aca="false">Data!F432</f>
        <v>41569509</v>
      </c>
      <c r="AH437" s="17" t="n">
        <f aca="false">Data!C432</f>
        <v>116.79</v>
      </c>
      <c r="AI437" s="17" t="n">
        <f aca="false">Data!D432</f>
        <v>114.22</v>
      </c>
      <c r="AJ437" s="17" t="n">
        <f aca="false">Data!E432</f>
        <v>115.2</v>
      </c>
      <c r="AK437" s="17" t="n">
        <f aca="false">Data!F432</f>
        <v>41569509</v>
      </c>
      <c r="AL437" s="17" t="n">
        <f aca="false">AJ437</f>
        <v>115.2</v>
      </c>
      <c r="AM437" s="17" t="n">
        <f aca="false">(AL437-AL436)/AL437*100</f>
        <v>-3.32465277777778</v>
      </c>
      <c r="AN437" s="17" t="n">
        <f aca="false">(AK437-AK436)/AK437*100</f>
        <v>-38.9888367457022</v>
      </c>
      <c r="AO437" s="17" t="str">
        <f aca="false">IF(AN437&lt;-8,"FITS BITCH",IF(AN437&gt;-8,"no"))</f>
        <v>FITS BITCH</v>
      </c>
      <c r="AP437" s="17" t="str">
        <f aca="false">IF(AH438&lt;AH437,"FITS BITCH",IF(AH438&gt;AH437,"no"))</f>
        <v>no</v>
      </c>
      <c r="AQ437" s="17" t="str">
        <f aca="false">IF(AI438&lt;AI437,"FITS BITCH",IF(AI438&gt;AI437,"no"))</f>
        <v>no</v>
      </c>
      <c r="AR437" s="17" t="str">
        <f aca="false">IF(AJ437&lt;AH438,"FITS BITCH",IF(AJ437&gt;AH438,"no"))</f>
        <v>FITS BITCH</v>
      </c>
      <c r="AS437" s="17" t="str">
        <f aca="false">IF(AJ437&gt;AJ438,"FITS BITCH",IF(AJ437&lt;AJ438,"no"))</f>
        <v>no</v>
      </c>
      <c r="AT437" s="91" t="str">
        <f aca="false">IF(AND($AO437="FITS BITCH",$AP437="FITS BITCH",$AR437="FITS BITCH"),"BULLISH","")</f>
        <v/>
      </c>
      <c r="AU437" s="91" t="str">
        <f aca="false">IF(AND($AO437="FITS BITCH",$AQ437="FITS BITCH",$AS437="FITS BITCH"),"BEARISH","")</f>
        <v/>
      </c>
      <c r="AV437" s="86"/>
      <c r="AW437" s="86"/>
      <c r="AX437" s="86"/>
      <c r="CL437" s="99" t="n">
        <v>42517</v>
      </c>
      <c r="CM437" s="23" t="n">
        <f aca="false">$BA$68*CL437+$BA$70</f>
        <v>90.1435067668599</v>
      </c>
    </row>
    <row r="438" customFormat="false" ht="15.75" hidden="false" customHeight="false" outlineLevel="0" collapsed="false">
      <c r="AE438" s="90" t="n">
        <f aca="false">Data!A433</f>
        <v>42340</v>
      </c>
      <c r="AF438" s="17" t="n">
        <f aca="false">Data!B433</f>
        <v>117.34</v>
      </c>
      <c r="AG438" s="17" t="n">
        <f aca="false">Data!F433</f>
        <v>33198964</v>
      </c>
      <c r="AH438" s="17" t="n">
        <f aca="false">Data!C433</f>
        <v>118.11</v>
      </c>
      <c r="AI438" s="17" t="n">
        <f aca="false">Data!D433</f>
        <v>116.08</v>
      </c>
      <c r="AJ438" s="17" t="n">
        <f aca="false">Data!E433</f>
        <v>116.28</v>
      </c>
      <c r="AK438" s="17" t="n">
        <f aca="false">Data!F433</f>
        <v>33198964</v>
      </c>
      <c r="AL438" s="17" t="n">
        <f aca="false">AJ438</f>
        <v>116.28</v>
      </c>
      <c r="AM438" s="17" t="n">
        <f aca="false">(AL438-AL437)/AL438*100</f>
        <v>0.928792569659441</v>
      </c>
      <c r="AN438" s="17" t="n">
        <f aca="false">(AK438-AK437)/AK438*100</f>
        <v>-25.2132717153463</v>
      </c>
      <c r="AO438" s="17" t="str">
        <f aca="false">IF(AN438&lt;-8,"FITS BITCH",IF(AN438&gt;-8,"no"))</f>
        <v>FITS BITCH</v>
      </c>
      <c r="AP438" s="17" t="str">
        <f aca="false">IF(AH439&lt;AH438,"FITS BITCH",IF(AH439&gt;AH438,"no"))</f>
        <v>no</v>
      </c>
      <c r="AQ438" s="17" t="str">
        <f aca="false">IF(AI439&lt;AI438,"FITS BITCH",IF(AI439&gt;AI438,"no"))</f>
        <v>no</v>
      </c>
      <c r="AR438" s="17" t="str">
        <f aca="false">IF(AJ438&lt;AH439,"FITS BITCH",IF(AJ438&gt;AH439,"no"))</f>
        <v>FITS BITCH</v>
      </c>
      <c r="AS438" s="17" t="str">
        <f aca="false">IF(AJ438&gt;AJ439,"FITS BITCH",IF(AJ438&lt;AJ439,"no"))</f>
        <v>no</v>
      </c>
      <c r="AT438" s="91" t="str">
        <f aca="false">IF(AND($AO438="FITS BITCH",$AP438="FITS BITCH",$AR438="FITS BITCH"),"BULLISH","")</f>
        <v/>
      </c>
      <c r="AU438" s="91" t="str">
        <f aca="false">IF(AND($AO438="FITS BITCH",$AQ438="FITS BITCH",$AS438="FITS BITCH"),"BEARISH","")</f>
        <v/>
      </c>
      <c r="AV438" s="86"/>
      <c r="AW438" s="86"/>
      <c r="AX438" s="86"/>
      <c r="CL438" s="99" t="n">
        <v>42516</v>
      </c>
      <c r="CM438" s="23" t="n">
        <f aca="false">$BA$68*CL438+$BA$70</f>
        <v>89.9893885366173</v>
      </c>
    </row>
    <row r="439" customFormat="false" ht="15.75" hidden="false" customHeight="false" outlineLevel="0" collapsed="false">
      <c r="AE439" s="90" t="n">
        <f aca="false">Data!A434</f>
        <v>42339</v>
      </c>
      <c r="AF439" s="17" t="n">
        <f aca="false">Data!B434</f>
        <v>118.75</v>
      </c>
      <c r="AG439" s="17" t="n">
        <f aca="false">Data!F434</f>
        <v>34700991</v>
      </c>
      <c r="AH439" s="17" t="n">
        <f aca="false">Data!C434</f>
        <v>118.81</v>
      </c>
      <c r="AI439" s="17" t="n">
        <f aca="false">Data!D434</f>
        <v>116.86</v>
      </c>
      <c r="AJ439" s="17" t="n">
        <f aca="false">Data!E434</f>
        <v>117.34</v>
      </c>
      <c r="AK439" s="17" t="n">
        <f aca="false">Data!F434</f>
        <v>34700991</v>
      </c>
      <c r="AL439" s="17" t="n">
        <f aca="false">AJ439</f>
        <v>117.34</v>
      </c>
      <c r="AM439" s="17" t="n">
        <f aca="false">(AL439-AL438)/AL439*100</f>
        <v>0.903357763763424</v>
      </c>
      <c r="AN439" s="17" t="n">
        <f aca="false">(AK439-AK438)/AK439*100</f>
        <v>4.32848445164001</v>
      </c>
      <c r="AO439" s="17" t="str">
        <f aca="false">IF(AN439&lt;-8,"FITS BITCH",IF(AN439&gt;-8,"no"))</f>
        <v>no</v>
      </c>
      <c r="AP439" s="17" t="str">
        <f aca="false">IF(AH440&lt;AH439,"FITS BITCH",IF(AH440&gt;AH439,"no"))</f>
        <v>no</v>
      </c>
      <c r="AQ439" s="17" t="str">
        <f aca="false">IF(AI440&lt;AI439,"FITS BITCH",IF(AI440&gt;AI439,"no"))</f>
        <v>no</v>
      </c>
      <c r="AR439" s="17" t="str">
        <f aca="false">IF(AJ439&lt;AH440,"FITS BITCH",IF(AJ439&gt;AH440,"no"))</f>
        <v>FITS BITCH</v>
      </c>
      <c r="AS439" s="17" t="str">
        <f aca="false">IF(AJ439&gt;AJ440,"FITS BITCH",IF(AJ439&lt;AJ440,"no"))</f>
        <v>no</v>
      </c>
      <c r="AT439" s="91" t="str">
        <f aca="false">IF(AND($AO439="FITS BITCH",$AP439="FITS BITCH",$AR439="FITS BITCH"),"BULLISH","")</f>
        <v/>
      </c>
      <c r="AU439" s="91" t="str">
        <f aca="false">IF(AND($AO439="FITS BITCH",$AQ439="FITS BITCH",$AS439="FITS BITCH"),"BEARISH","")</f>
        <v/>
      </c>
      <c r="AV439" s="86"/>
      <c r="AW439" s="86"/>
      <c r="AX439" s="86"/>
      <c r="CL439" s="99" t="n">
        <v>42515</v>
      </c>
      <c r="CM439" s="23" t="n">
        <f aca="false">$BA$68*CL439+$BA$70</f>
        <v>89.8352703063747</v>
      </c>
    </row>
    <row r="440" customFormat="false" ht="15.75" hidden="false" customHeight="false" outlineLevel="0" collapsed="false">
      <c r="AE440" s="90" t="n">
        <f aca="false">Data!A435</f>
        <v>42338</v>
      </c>
      <c r="AF440" s="17" t="n">
        <f aca="false">Data!B435</f>
        <v>117.99</v>
      </c>
      <c r="AG440" s="17" t="n">
        <f aca="false">Data!F435</f>
        <v>37658671</v>
      </c>
      <c r="AH440" s="17" t="n">
        <f aca="false">Data!C435</f>
        <v>119.41</v>
      </c>
      <c r="AI440" s="17" t="n">
        <f aca="false">Data!D435</f>
        <v>117.75</v>
      </c>
      <c r="AJ440" s="17" t="n">
        <f aca="false">Data!E435</f>
        <v>118.3</v>
      </c>
      <c r="AK440" s="17" t="n">
        <f aca="false">Data!F435</f>
        <v>37658671</v>
      </c>
      <c r="AL440" s="17" t="n">
        <f aca="false">AJ440</f>
        <v>118.3</v>
      </c>
      <c r="AM440" s="17" t="n">
        <f aca="false">(AL440-AL439)/AL440*100</f>
        <v>0.811496196111576</v>
      </c>
      <c r="AN440" s="17" t="n">
        <f aca="false">(AK440-AK439)/AK440*100</f>
        <v>7.85391497219857</v>
      </c>
      <c r="AO440" s="17" t="str">
        <f aca="false">IF(AN440&lt;-8,"FITS BITCH",IF(AN440&gt;-8,"no"))</f>
        <v>no</v>
      </c>
      <c r="AP440" s="17" t="str">
        <f aca="false">IF(AH441&lt;AH440,"FITS BITCH",IF(AH441&gt;AH440,"no"))</f>
        <v>FITS BITCH</v>
      </c>
      <c r="AQ440" s="17" t="str">
        <f aca="false">IF(AI441&lt;AI440,"FITS BITCH",IF(AI441&gt;AI440,"no"))</f>
        <v>FITS BITCH</v>
      </c>
      <c r="AR440" s="17" t="str">
        <f aca="false">IF(AJ440&lt;AH441,"FITS BITCH",IF(AJ440&gt;AH441,"no"))</f>
        <v>FITS BITCH</v>
      </c>
      <c r="AS440" s="17" t="str">
        <f aca="false">IF(AJ440&gt;AJ441,"FITS BITCH",IF(AJ440&lt;AJ441,"no"))</f>
        <v>FITS BITCH</v>
      </c>
      <c r="AT440" s="91" t="str">
        <f aca="false">IF(AND($AO440="FITS BITCH",$AP440="FITS BITCH",$AR440="FITS BITCH"),"BULLISH","")</f>
        <v/>
      </c>
      <c r="AU440" s="91" t="str">
        <f aca="false">IF(AND($AO440="FITS BITCH",$AQ440="FITS BITCH",$AS440="FITS BITCH"),"BEARISH","")</f>
        <v/>
      </c>
      <c r="AV440" s="86"/>
      <c r="AW440" s="86"/>
      <c r="AX440" s="86"/>
      <c r="CL440" s="99" t="n">
        <v>42514</v>
      </c>
      <c r="CM440" s="23" t="n">
        <f aca="false">$BA$68*CL440+$BA$70</f>
        <v>89.6811520761321</v>
      </c>
    </row>
    <row r="441" customFormat="false" ht="15.75" hidden="false" customHeight="false" outlineLevel="0" collapsed="false">
      <c r="AE441" s="90" t="n">
        <f aca="false">Data!A436</f>
        <v>42335</v>
      </c>
      <c r="AF441" s="17" t="n">
        <f aca="false">Data!B436</f>
        <v>118.29</v>
      </c>
      <c r="AG441" s="17" t="n">
        <f aca="false">Data!F436</f>
        <v>13043720</v>
      </c>
      <c r="AH441" s="17" t="n">
        <f aca="false">Data!C436</f>
        <v>118.41</v>
      </c>
      <c r="AI441" s="17" t="n">
        <f aca="false">Data!D436</f>
        <v>117.6</v>
      </c>
      <c r="AJ441" s="17" t="n">
        <f aca="false">Data!E436</f>
        <v>117.81</v>
      </c>
      <c r="AK441" s="17" t="n">
        <f aca="false">Data!F436</f>
        <v>13043720</v>
      </c>
      <c r="AL441" s="17" t="n">
        <f aca="false">AJ441</f>
        <v>117.81</v>
      </c>
      <c r="AM441" s="17" t="n">
        <f aca="false">(AL441-AL440)/AL441*100</f>
        <v>-0.415923945335706</v>
      </c>
      <c r="AN441" s="17" t="n">
        <f aca="false">(AK441-AK440)/AK441*100</f>
        <v>-188.711126887115</v>
      </c>
      <c r="AO441" s="17" t="str">
        <f aca="false">IF(AN441&lt;-8,"FITS BITCH",IF(AN441&gt;-8,"no"))</f>
        <v>FITS BITCH</v>
      </c>
      <c r="AP441" s="17" t="str">
        <f aca="false">IF(AH442&lt;AH441,"FITS BITCH",IF(AH442&gt;AH441,"no"))</f>
        <v>no</v>
      </c>
      <c r="AQ441" s="17" t="str">
        <f aca="false">IF(AI442&lt;AI441,"FITS BITCH",IF(AI442&gt;AI441,"no"))</f>
        <v>no</v>
      </c>
      <c r="AR441" s="17" t="str">
        <f aca="false">IF(AJ441&lt;AH442,"FITS BITCH",IF(AJ441&gt;AH442,"no"))</f>
        <v>FITS BITCH</v>
      </c>
      <c r="AS441" s="17" t="str">
        <f aca="false">IF(AJ441&gt;AJ442,"FITS BITCH",IF(AJ441&lt;AJ442,"no"))</f>
        <v>no</v>
      </c>
      <c r="AT441" s="91" t="str">
        <f aca="false">IF(AND($AO441="FITS BITCH",$AP441="FITS BITCH",$AR441="FITS BITCH"),"BULLISH","")</f>
        <v/>
      </c>
      <c r="AU441" s="91" t="str">
        <f aca="false">IF(AND($AO441="FITS BITCH",$AQ441="FITS BITCH",$AS441="FITS BITCH"),"BEARISH","")</f>
        <v/>
      </c>
      <c r="AV441" s="86"/>
      <c r="AW441" s="86"/>
      <c r="AX441" s="86"/>
      <c r="CL441" s="99" t="n">
        <v>42513</v>
      </c>
      <c r="CM441" s="23" t="n">
        <f aca="false">$BA$68*CL441+$BA$70</f>
        <v>89.5270338458886</v>
      </c>
    </row>
    <row r="442" customFormat="false" ht="15.75" hidden="false" customHeight="false" outlineLevel="0" collapsed="false">
      <c r="AE442" s="90" t="n">
        <f aca="false">Data!A437</f>
        <v>42333</v>
      </c>
      <c r="AF442" s="17" t="n">
        <f aca="false">Data!B437</f>
        <v>119.21</v>
      </c>
      <c r="AG442" s="17" t="n">
        <f aca="false">Data!F437</f>
        <v>21388308</v>
      </c>
      <c r="AH442" s="17" t="n">
        <f aca="false">Data!C437</f>
        <v>119.23</v>
      </c>
      <c r="AI442" s="17" t="n">
        <f aca="false">Data!D437</f>
        <v>117.92</v>
      </c>
      <c r="AJ442" s="17" t="n">
        <f aca="false">Data!E437</f>
        <v>118.03</v>
      </c>
      <c r="AK442" s="17" t="n">
        <f aca="false">Data!F437</f>
        <v>21388308</v>
      </c>
      <c r="AL442" s="17" t="n">
        <f aca="false">AJ442</f>
        <v>118.03</v>
      </c>
      <c r="AM442" s="17" t="n">
        <f aca="false">(AL442-AL441)/AL442*100</f>
        <v>0.186393289841565</v>
      </c>
      <c r="AN442" s="17" t="n">
        <f aca="false">(AK442-AK441)/AK442*100</f>
        <v>39.0147177607504</v>
      </c>
      <c r="AO442" s="17" t="str">
        <f aca="false">IF(AN442&lt;-8,"FITS BITCH",IF(AN442&gt;-8,"no"))</f>
        <v>no</v>
      </c>
      <c r="AP442" s="17" t="str">
        <f aca="false">IF(AH443&lt;AH442,"FITS BITCH",IF(AH443&gt;AH442,"no"))</f>
        <v>no</v>
      </c>
      <c r="AQ442" s="17" t="str">
        <f aca="false">IF(AI443&lt;AI442,"FITS BITCH",IF(AI443&gt;AI442,"no"))</f>
        <v>FITS BITCH</v>
      </c>
      <c r="AR442" s="17" t="str">
        <f aca="false">IF(AJ442&lt;AH443,"FITS BITCH",IF(AJ442&gt;AH443,"no"))</f>
        <v>FITS BITCH</v>
      </c>
      <c r="AS442" s="17" t="str">
        <f aca="false">IF(AJ442&gt;AJ443,"FITS BITCH",IF(AJ442&lt;AJ443,"no"))</f>
        <v>no</v>
      </c>
      <c r="AT442" s="91" t="str">
        <f aca="false">IF(AND($AO442="FITS BITCH",$AP442="FITS BITCH",$AR442="FITS BITCH"),"BULLISH","")</f>
        <v/>
      </c>
      <c r="AU442" s="91" t="str">
        <f aca="false">IF(AND($AO442="FITS BITCH",$AQ442="FITS BITCH",$AS442="FITS BITCH"),"BEARISH","")</f>
        <v/>
      </c>
      <c r="AV442" s="86"/>
      <c r="AW442" s="86"/>
      <c r="AX442" s="86"/>
      <c r="CL442" s="99" t="n">
        <v>42510</v>
      </c>
      <c r="CM442" s="23" t="n">
        <f aca="false">$BA$68*CL442+$BA$70</f>
        <v>89.0646791551608</v>
      </c>
    </row>
    <row r="443" customFormat="false" ht="15.75" hidden="false" customHeight="false" outlineLevel="0" collapsed="false">
      <c r="AE443" s="90" t="n">
        <f aca="false">Data!A438</f>
        <v>42332</v>
      </c>
      <c r="AF443" s="17" t="n">
        <f aca="false">Data!B438</f>
        <v>117.33</v>
      </c>
      <c r="AG443" s="17" t="n">
        <f aca="false">Data!F438</f>
        <v>42426855</v>
      </c>
      <c r="AH443" s="17" t="n">
        <f aca="false">Data!C438</f>
        <v>119.35</v>
      </c>
      <c r="AI443" s="17" t="n">
        <f aca="false">Data!D438</f>
        <v>117.12</v>
      </c>
      <c r="AJ443" s="17" t="n">
        <f aca="false">Data!E438</f>
        <v>118.88</v>
      </c>
      <c r="AK443" s="17" t="n">
        <f aca="false">Data!F438</f>
        <v>42426855</v>
      </c>
      <c r="AL443" s="17" t="n">
        <f aca="false">AJ443</f>
        <v>118.88</v>
      </c>
      <c r="AM443" s="17" t="n">
        <f aca="false">(AL443-AL442)/AL443*100</f>
        <v>0.715006729475096</v>
      </c>
      <c r="AN443" s="17" t="n">
        <f aca="false">(AK443-AK442)/AK443*100</f>
        <v>49.5878070622958</v>
      </c>
      <c r="AO443" s="17" t="str">
        <f aca="false">IF(AN443&lt;-8,"FITS BITCH",IF(AN443&gt;-8,"no"))</f>
        <v>no</v>
      </c>
      <c r="AP443" s="17" t="str">
        <f aca="false">IF(AH444&lt;AH443,"FITS BITCH",IF(AH444&gt;AH443,"no"))</f>
        <v>no</v>
      </c>
      <c r="AQ443" s="17" t="str">
        <f aca="false">IF(AI444&lt;AI443,"FITS BITCH",IF(AI444&gt;AI443,"no"))</f>
        <v>no</v>
      </c>
      <c r="AR443" s="17" t="str">
        <f aca="false">IF(AJ443&lt;AH444,"FITS BITCH",IF(AJ443&gt;AH444,"no"))</f>
        <v>FITS BITCH</v>
      </c>
      <c r="AS443" s="17" t="str">
        <f aca="false">IF(AJ443&gt;AJ444,"FITS BITCH",IF(AJ443&lt;AJ444,"no"))</f>
        <v>FITS BITCH</v>
      </c>
      <c r="AT443" s="91" t="str">
        <f aca="false">IF(AND($AO443="FITS BITCH",$AP443="FITS BITCH",$AR443="FITS BITCH"),"BULLISH","")</f>
        <v/>
      </c>
      <c r="AU443" s="91" t="str">
        <f aca="false">IF(AND($AO443="FITS BITCH",$AQ443="FITS BITCH",$AS443="FITS BITCH"),"BEARISH","")</f>
        <v/>
      </c>
      <c r="AV443" s="86"/>
      <c r="AW443" s="86"/>
      <c r="AX443" s="86"/>
      <c r="CL443" s="99" t="n">
        <v>42509</v>
      </c>
      <c r="CM443" s="23" t="n">
        <f aca="false">$BA$68*CL443+$BA$70</f>
        <v>88.9105609249182</v>
      </c>
    </row>
    <row r="444" customFormat="false" ht="15.75" hidden="false" customHeight="false" outlineLevel="0" collapsed="false">
      <c r="AE444" s="90" t="n">
        <f aca="false">Data!A439</f>
        <v>42331</v>
      </c>
      <c r="AF444" s="17" t="n">
        <f aca="false">Data!B439</f>
        <v>119.27</v>
      </c>
      <c r="AG444" s="17" t="n">
        <f aca="false">Data!F439</f>
        <v>32266736</v>
      </c>
      <c r="AH444" s="17" t="n">
        <f aca="false">Data!C439</f>
        <v>119.73</v>
      </c>
      <c r="AI444" s="17" t="n">
        <f aca="false">Data!D439</f>
        <v>117.34</v>
      </c>
      <c r="AJ444" s="17" t="n">
        <f aca="false">Data!E439</f>
        <v>117.75</v>
      </c>
      <c r="AK444" s="17" t="n">
        <f aca="false">Data!F439</f>
        <v>32266736</v>
      </c>
      <c r="AL444" s="17" t="n">
        <f aca="false">AJ444</f>
        <v>117.75</v>
      </c>
      <c r="AM444" s="17" t="n">
        <f aca="false">(AL444-AL443)/AL444*100</f>
        <v>-0.959660297239911</v>
      </c>
      <c r="AN444" s="17" t="n">
        <f aca="false">(AK444-AK443)/AK444*100</f>
        <v>-31.487904447478</v>
      </c>
      <c r="AO444" s="17" t="str">
        <f aca="false">IF(AN444&lt;-8,"FITS BITCH",IF(AN444&gt;-8,"no"))</f>
        <v>FITS BITCH</v>
      </c>
      <c r="AP444" s="17" t="str">
        <f aca="false">IF(AH445&lt;AH444,"FITS BITCH",IF(AH445&gt;AH444,"no"))</f>
        <v>no</v>
      </c>
      <c r="AQ444" s="17" t="str">
        <f aca="false">IF(AI445&lt;AI444,"FITS BITCH",IF(AI445&gt;AI444,"no"))</f>
        <v>no</v>
      </c>
      <c r="AR444" s="17" t="str">
        <f aca="false">IF(AJ444&lt;AH445,"FITS BITCH",IF(AJ444&gt;AH445,"no"))</f>
        <v>FITS BITCH</v>
      </c>
      <c r="AS444" s="17" t="str">
        <f aca="false">IF(AJ444&gt;AJ445,"FITS BITCH",IF(AJ444&lt;AJ445,"no"))</f>
        <v>no</v>
      </c>
      <c r="AT444" s="91" t="str">
        <f aca="false">IF(AND($AO444="FITS BITCH",$AP444="FITS BITCH",$AR444="FITS BITCH"),"BULLISH","")</f>
        <v/>
      </c>
      <c r="AU444" s="91" t="str">
        <f aca="false">IF(AND($AO444="FITS BITCH",$AQ444="FITS BITCH",$AS444="FITS BITCH"),"BEARISH","")</f>
        <v/>
      </c>
      <c r="AV444" s="86"/>
      <c r="AW444" s="86"/>
      <c r="AX444" s="86"/>
      <c r="CL444" s="99" t="n">
        <v>42508</v>
      </c>
      <c r="CM444" s="23" t="n">
        <f aca="false">$BA$68*CL444+$BA$70</f>
        <v>88.7564426946756</v>
      </c>
    </row>
    <row r="445" customFormat="false" ht="15.75" hidden="false" customHeight="false" outlineLevel="0" collapsed="false">
      <c r="AE445" s="90" t="n">
        <f aca="false">Data!A440</f>
        <v>42328</v>
      </c>
      <c r="AF445" s="17" t="n">
        <f aca="false">Data!B440</f>
        <v>119.2</v>
      </c>
      <c r="AG445" s="17" t="n">
        <f aca="false">Data!F440</f>
        <v>34103529</v>
      </c>
      <c r="AH445" s="17" t="n">
        <f aca="false">Data!C440</f>
        <v>119.92</v>
      </c>
      <c r="AI445" s="17" t="n">
        <f aca="false">Data!D440</f>
        <v>118.85</v>
      </c>
      <c r="AJ445" s="17" t="n">
        <f aca="false">Data!E440</f>
        <v>119.3</v>
      </c>
      <c r="AK445" s="17" t="n">
        <f aca="false">Data!F440</f>
        <v>34103529</v>
      </c>
      <c r="AL445" s="17" t="n">
        <f aca="false">AJ445</f>
        <v>119.3</v>
      </c>
      <c r="AM445" s="17" t="n">
        <f aca="false">(AL445-AL444)/AL445*100</f>
        <v>1.29924559932942</v>
      </c>
      <c r="AN445" s="17" t="n">
        <f aca="false">(AK445-AK444)/AK445*100</f>
        <v>5.38593234735326</v>
      </c>
      <c r="AO445" s="17" t="str">
        <f aca="false">IF(AN445&lt;-8,"FITS BITCH",IF(AN445&gt;-8,"no"))</f>
        <v>no</v>
      </c>
      <c r="AP445" s="17" t="str">
        <f aca="false">IF(AH446&lt;AH445,"FITS BITCH",IF(AH446&gt;AH445,"no"))</f>
        <v>FITS BITCH</v>
      </c>
      <c r="AQ445" s="17" t="str">
        <f aca="false">IF(AI446&lt;AI445,"FITS BITCH",IF(AI446&gt;AI445,"no"))</f>
        <v>FITS BITCH</v>
      </c>
      <c r="AR445" s="17" t="str">
        <f aca="false">IF(AJ445&lt;AH446,"FITS BITCH",IF(AJ445&gt;AH446,"no"))</f>
        <v>FITS BITCH</v>
      </c>
      <c r="AS445" s="17" t="str">
        <f aca="false">IF(AJ445&gt;AJ446,"FITS BITCH",IF(AJ445&lt;AJ446,"no"))</f>
        <v>FITS BITCH</v>
      </c>
      <c r="AT445" s="91" t="str">
        <f aca="false">IF(AND($AO445="FITS BITCH",$AP445="FITS BITCH",$AR445="FITS BITCH"),"BULLISH","")</f>
        <v/>
      </c>
      <c r="AU445" s="91" t="str">
        <f aca="false">IF(AND($AO445="FITS BITCH",$AQ445="FITS BITCH",$AS445="FITS BITCH"),"BEARISH","")</f>
        <v/>
      </c>
      <c r="AV445" s="86"/>
      <c r="AW445" s="86"/>
      <c r="AX445" s="86"/>
      <c r="CL445" s="99" t="n">
        <v>42507</v>
      </c>
      <c r="CM445" s="23" t="n">
        <f aca="false">$BA$68*CL445+$BA$70</f>
        <v>88.602324464433</v>
      </c>
    </row>
    <row r="446" customFormat="false" ht="15.75" hidden="false" customHeight="false" outlineLevel="0" collapsed="false">
      <c r="AE446" s="90" t="n">
        <f aca="false">Data!A441</f>
        <v>42327</v>
      </c>
      <c r="AF446" s="17" t="n">
        <f aca="false">Data!B441</f>
        <v>117.64</v>
      </c>
      <c r="AG446" s="17" t="n">
        <f aca="false">Data!F441</f>
        <v>42908179</v>
      </c>
      <c r="AH446" s="17" t="n">
        <f aca="false">Data!C441</f>
        <v>119.75</v>
      </c>
      <c r="AI446" s="17" t="n">
        <f aca="false">Data!D441</f>
        <v>116.76</v>
      </c>
      <c r="AJ446" s="17" t="n">
        <f aca="false">Data!E441</f>
        <v>118.78</v>
      </c>
      <c r="AK446" s="17" t="n">
        <f aca="false">Data!F441</f>
        <v>42908179</v>
      </c>
      <c r="AL446" s="17" t="n">
        <f aca="false">AJ446</f>
        <v>118.78</v>
      </c>
      <c r="AM446" s="17" t="n">
        <f aca="false">(AL446-AL445)/AL446*100</f>
        <v>-0.437784138743893</v>
      </c>
      <c r="AN446" s="17" t="n">
        <f aca="false">(AK446-AK445)/AK446*100</f>
        <v>20.519747528787</v>
      </c>
      <c r="AO446" s="17" t="str">
        <f aca="false">IF(AN446&lt;-8,"FITS BITCH",IF(AN446&gt;-8,"no"))</f>
        <v>no</v>
      </c>
      <c r="AP446" s="17" t="str">
        <f aca="false">IF(AH447&lt;AH446,"FITS BITCH",IF(AH447&gt;AH446,"no"))</f>
        <v>FITS BITCH</v>
      </c>
      <c r="AQ446" s="17" t="str">
        <f aca="false">IF(AI447&lt;AI446,"FITS BITCH",IF(AI447&gt;AI446,"no"))</f>
        <v>FITS BITCH</v>
      </c>
      <c r="AR446" s="17" t="str">
        <f aca="false">IF(AJ446&lt;AH447,"FITS BITCH",IF(AJ446&gt;AH447,"no"))</f>
        <v>no</v>
      </c>
      <c r="AS446" s="17" t="str">
        <f aca="false">IF(AJ446&gt;AJ447,"FITS BITCH",IF(AJ446&lt;AJ447,"no"))</f>
        <v>FITS BITCH</v>
      </c>
      <c r="AT446" s="91" t="str">
        <f aca="false">IF(AND($AO446="FITS BITCH",$AP446="FITS BITCH",$AR446="FITS BITCH"),"BULLISH","")</f>
        <v/>
      </c>
      <c r="AU446" s="91" t="str">
        <f aca="false">IF(AND($AO446="FITS BITCH",$AQ446="FITS BITCH",$AS446="FITS BITCH"),"BEARISH","")</f>
        <v/>
      </c>
      <c r="AV446" s="86"/>
      <c r="AW446" s="86"/>
      <c r="AX446" s="86"/>
      <c r="CL446" s="99" t="n">
        <v>42506</v>
      </c>
      <c r="CM446" s="23" t="n">
        <f aca="false">$BA$68*CL446+$BA$70</f>
        <v>88.4482062341904</v>
      </c>
    </row>
    <row r="447" customFormat="false" ht="15.75" hidden="false" customHeight="false" outlineLevel="0" collapsed="false">
      <c r="AE447" s="90" t="n">
        <f aca="false">Data!A442</f>
        <v>42326</v>
      </c>
      <c r="AF447" s="17" t="n">
        <f aca="false">Data!B442</f>
        <v>115.76</v>
      </c>
      <c r="AG447" s="17" t="n">
        <f aca="false">Data!F442</f>
        <v>46163404</v>
      </c>
      <c r="AH447" s="17" t="n">
        <f aca="false">Data!C442</f>
        <v>117.49</v>
      </c>
      <c r="AI447" s="17" t="n">
        <f aca="false">Data!D442</f>
        <v>115.5</v>
      </c>
      <c r="AJ447" s="17" t="n">
        <f aca="false">Data!E442</f>
        <v>117.29</v>
      </c>
      <c r="AK447" s="17" t="n">
        <f aca="false">Data!F442</f>
        <v>46163404</v>
      </c>
      <c r="AL447" s="17" t="n">
        <f aca="false">AJ447</f>
        <v>117.29</v>
      </c>
      <c r="AM447" s="17" t="n">
        <f aca="false">(AL447-AL446)/AL447*100</f>
        <v>-1.2703555290306</v>
      </c>
      <c r="AN447" s="17" t="n">
        <f aca="false">(AK447-AK446)/AK447*100</f>
        <v>7.05152722273254</v>
      </c>
      <c r="AO447" s="17" t="str">
        <f aca="false">IF(AN447&lt;-8,"FITS BITCH",IF(AN447&gt;-8,"no"))</f>
        <v>no</v>
      </c>
      <c r="AP447" s="17" t="str">
        <f aca="false">IF(AH448&lt;AH447,"FITS BITCH",IF(AH448&gt;AH447,"no"))</f>
        <v>FITS BITCH</v>
      </c>
      <c r="AQ447" s="17" t="str">
        <f aca="false">IF(AI448&lt;AI447,"FITS BITCH",IF(AI448&gt;AI447,"no"))</f>
        <v>FITS BITCH</v>
      </c>
      <c r="AR447" s="17" t="str">
        <f aca="false">IF(AJ447&lt;AH448,"FITS BITCH",IF(AJ447&gt;AH448,"no"))</f>
        <v>no</v>
      </c>
      <c r="AS447" s="17" t="str">
        <f aca="false">IF(AJ447&gt;AJ448,"FITS BITCH",IF(AJ447&lt;AJ448,"no"))</f>
        <v>FITS BITCH</v>
      </c>
      <c r="AT447" s="91" t="str">
        <f aca="false">IF(AND($AO447="FITS BITCH",$AP447="FITS BITCH",$AR447="FITS BITCH"),"BULLISH","")</f>
        <v/>
      </c>
      <c r="AU447" s="91" t="str">
        <f aca="false">IF(AND($AO447="FITS BITCH",$AQ447="FITS BITCH",$AS447="FITS BITCH"),"BEARISH","")</f>
        <v/>
      </c>
      <c r="AV447" s="86"/>
      <c r="AW447" s="86"/>
      <c r="AX447" s="86"/>
      <c r="CL447" s="99" t="n">
        <v>42503</v>
      </c>
      <c r="CM447" s="23" t="n">
        <f aca="false">$BA$68*CL447+$BA$70</f>
        <v>87.9858515434617</v>
      </c>
    </row>
    <row r="448" customFormat="false" ht="15.75" hidden="false" customHeight="false" outlineLevel="0" collapsed="false">
      <c r="AE448" s="90" t="n">
        <f aca="false">Data!A443</f>
        <v>42325</v>
      </c>
      <c r="AF448" s="17" t="n">
        <f aca="false">Data!B443</f>
        <v>114.92</v>
      </c>
      <c r="AG448" s="17" t="n">
        <f aca="false">Data!F443</f>
        <v>27253964</v>
      </c>
      <c r="AH448" s="17" t="n">
        <f aca="false">Data!C443</f>
        <v>115.05</v>
      </c>
      <c r="AI448" s="17" t="n">
        <f aca="false">Data!D443</f>
        <v>113.32</v>
      </c>
      <c r="AJ448" s="17" t="n">
        <f aca="false">Data!E443</f>
        <v>113.69</v>
      </c>
      <c r="AK448" s="17" t="n">
        <f aca="false">Data!F443</f>
        <v>27253964</v>
      </c>
      <c r="AL448" s="17" t="n">
        <f aca="false">AJ448</f>
        <v>113.69</v>
      </c>
      <c r="AM448" s="17" t="n">
        <f aca="false">(AL448-AL447)/AL448*100</f>
        <v>-3.16650540944675</v>
      </c>
      <c r="AN448" s="17" t="n">
        <f aca="false">(AK448-AK447)/AK448*100</f>
        <v>-69.3823474632901</v>
      </c>
      <c r="AO448" s="17" t="str">
        <f aca="false">IF(AN448&lt;-8,"FITS BITCH",IF(AN448&gt;-8,"no"))</f>
        <v>FITS BITCH</v>
      </c>
      <c r="AP448" s="17" t="str">
        <f aca="false">IF(AH449&lt;AH448,"FITS BITCH",IF(AH449&gt;AH448,"no"))</f>
        <v>FITS BITCH</v>
      </c>
      <c r="AQ448" s="17" t="str">
        <f aca="false">IF(AI449&lt;AI448,"FITS BITCH",IF(AI449&gt;AI448,"no"))</f>
        <v>FITS BITCH</v>
      </c>
      <c r="AR448" s="17" t="str">
        <f aca="false">IF(AJ448&lt;AH449,"FITS BITCH",IF(AJ448&gt;AH449,"no"))</f>
        <v>FITS BITCH</v>
      </c>
      <c r="AS448" s="17" t="str">
        <f aca="false">IF(AJ448&gt;AJ449,"FITS BITCH",IF(AJ448&lt;AJ449,"no"))</f>
        <v>no</v>
      </c>
      <c r="AT448" s="91" t="str">
        <f aca="false">IF(AND($AO448="FITS BITCH",$AP448="FITS BITCH",$AR448="FITS BITCH"),"BULLISH","")</f>
        <v>BULLISH</v>
      </c>
      <c r="AU448" s="91" t="str">
        <f aca="false">IF(AND($AO448="FITS BITCH",$AQ448="FITS BITCH",$AS448="FITS BITCH"),"BEARISH","")</f>
        <v/>
      </c>
      <c r="AV448" s="86"/>
      <c r="AW448" s="86"/>
      <c r="AX448" s="86"/>
      <c r="CL448" s="99" t="n">
        <v>42502</v>
      </c>
      <c r="CM448" s="23" t="n">
        <f aca="false">$BA$68*CL448+$BA$70</f>
        <v>87.8317333132191</v>
      </c>
    </row>
    <row r="449" customFormat="false" ht="15.75" hidden="false" customHeight="false" outlineLevel="0" collapsed="false">
      <c r="AE449" s="90" t="n">
        <f aca="false">Data!A444</f>
        <v>42324</v>
      </c>
      <c r="AF449" s="17" t="n">
        <f aca="false">Data!B444</f>
        <v>111.38</v>
      </c>
      <c r="AG449" s="17" t="n">
        <f aca="false">Data!F444</f>
        <v>37651022</v>
      </c>
      <c r="AH449" s="17" t="n">
        <f aca="false">Data!C444</f>
        <v>114.24</v>
      </c>
      <c r="AI449" s="17" t="n">
        <f aca="false">Data!D444</f>
        <v>111</v>
      </c>
      <c r="AJ449" s="17" t="n">
        <f aca="false">Data!E444</f>
        <v>114.18</v>
      </c>
      <c r="AK449" s="17" t="n">
        <f aca="false">Data!F444</f>
        <v>37651022</v>
      </c>
      <c r="AL449" s="17" t="n">
        <f aca="false">AJ449</f>
        <v>114.18</v>
      </c>
      <c r="AM449" s="17" t="n">
        <f aca="false">(AL449-AL448)/AL449*100</f>
        <v>0.429146960938876</v>
      </c>
      <c r="AN449" s="17" t="n">
        <f aca="false">(AK449-AK448)/AK449*100</f>
        <v>27.614278305646</v>
      </c>
      <c r="AO449" s="17" t="str">
        <f aca="false">IF(AN449&lt;-8,"FITS BITCH",IF(AN449&gt;-8,"no"))</f>
        <v>no</v>
      </c>
      <c r="AP449" s="17" t="str">
        <f aca="false">IF(AH450&lt;AH449,"FITS BITCH",IF(AH450&gt;AH449,"no"))</f>
        <v>no</v>
      </c>
      <c r="AQ449" s="17" t="str">
        <f aca="false">IF(AI450&lt;AI449,"FITS BITCH",IF(AI450&gt;AI449,"no"))</f>
        <v>no</v>
      </c>
      <c r="AR449" s="17" t="str">
        <f aca="false">IF(AJ449&lt;AH450,"FITS BITCH",IF(AJ449&gt;AH450,"no"))</f>
        <v>FITS BITCH</v>
      </c>
      <c r="AS449" s="17" t="str">
        <f aca="false">IF(AJ449&gt;AJ450,"FITS BITCH",IF(AJ449&lt;AJ450,"no"))</f>
        <v>FITS BITCH</v>
      </c>
      <c r="AT449" s="91" t="str">
        <f aca="false">IF(AND($AO449="FITS BITCH",$AP449="FITS BITCH",$AR449="FITS BITCH"),"BULLISH","")</f>
        <v/>
      </c>
      <c r="AU449" s="91" t="str">
        <f aca="false">IF(AND($AO449="FITS BITCH",$AQ449="FITS BITCH",$AS449="FITS BITCH"),"BEARISH","")</f>
        <v/>
      </c>
      <c r="AV449" s="86"/>
      <c r="AW449" s="86"/>
      <c r="AX449" s="86"/>
      <c r="CL449" s="99" t="n">
        <v>42501</v>
      </c>
      <c r="CM449" s="23" t="n">
        <f aca="false">$BA$68*CL449+$BA$70</f>
        <v>87.6776150829764</v>
      </c>
    </row>
    <row r="450" customFormat="false" ht="15.75" hidden="false" customHeight="false" outlineLevel="0" collapsed="false">
      <c r="AE450" s="90" t="n">
        <f aca="false">Data!A445</f>
        <v>42321</v>
      </c>
      <c r="AF450" s="17" t="n">
        <f aca="false">Data!B445</f>
        <v>115.2</v>
      </c>
      <c r="AG450" s="17" t="n">
        <f aca="false">Data!F445</f>
        <v>45164053</v>
      </c>
      <c r="AH450" s="17" t="n">
        <f aca="false">Data!C445</f>
        <v>115.57</v>
      </c>
      <c r="AI450" s="17" t="n">
        <f aca="false">Data!D445</f>
        <v>112.27</v>
      </c>
      <c r="AJ450" s="17" t="n">
        <f aca="false">Data!E445</f>
        <v>112.34</v>
      </c>
      <c r="AK450" s="17" t="n">
        <f aca="false">Data!F445</f>
        <v>45164053</v>
      </c>
      <c r="AL450" s="17" t="n">
        <f aca="false">AJ450</f>
        <v>112.34</v>
      </c>
      <c r="AM450" s="17" t="n">
        <f aca="false">(AL450-AL449)/AL450*100</f>
        <v>-1.63788499198861</v>
      </c>
      <c r="AN450" s="17" t="n">
        <f aca="false">(AK450-AK449)/AK450*100</f>
        <v>16.6349795931734</v>
      </c>
      <c r="AO450" s="17" t="str">
        <f aca="false">IF(AN450&lt;-8,"FITS BITCH",IF(AN450&gt;-8,"no"))</f>
        <v>no</v>
      </c>
      <c r="AP450" s="17" t="str">
        <f aca="false">IF(AH451&lt;AH450,"FITS BITCH",IF(AH451&gt;AH450,"no"))</f>
        <v>no</v>
      </c>
      <c r="AQ450" s="17" t="str">
        <f aca="false">IF(AI451&lt;AI450,"FITS BITCH",IF(AI451&gt;AI450,"no"))</f>
        <v>no</v>
      </c>
      <c r="AR450" s="17" t="str">
        <f aca="false">IF(AJ450&lt;AH451,"FITS BITCH",IF(AJ450&gt;AH451,"no"))</f>
        <v>FITS BITCH</v>
      </c>
      <c r="AS450" s="17" t="str">
        <f aca="false">IF(AJ450&gt;AJ451,"FITS BITCH",IF(AJ450&lt;AJ451,"no"))</f>
        <v>no</v>
      </c>
      <c r="AT450" s="91" t="str">
        <f aca="false">IF(AND($AO450="FITS BITCH",$AP450="FITS BITCH",$AR450="FITS BITCH"),"BULLISH","")</f>
        <v/>
      </c>
      <c r="AU450" s="91" t="str">
        <f aca="false">IF(AND($AO450="FITS BITCH",$AQ450="FITS BITCH",$AS450="FITS BITCH"),"BEARISH","")</f>
        <v/>
      </c>
      <c r="AV450" s="86"/>
      <c r="AW450" s="86"/>
      <c r="AX450" s="86"/>
      <c r="CL450" s="99" t="n">
        <v>42500</v>
      </c>
      <c r="CM450" s="23" t="n">
        <f aca="false">$BA$68*CL450+$BA$70</f>
        <v>87.5234968527338</v>
      </c>
    </row>
    <row r="451" customFormat="false" ht="15.75" hidden="false" customHeight="false" outlineLevel="0" collapsed="false">
      <c r="AE451" s="90" t="n">
        <f aca="false">Data!A446</f>
        <v>42320</v>
      </c>
      <c r="AF451" s="17" t="n">
        <f aca="false">Data!B446</f>
        <v>116.26</v>
      </c>
      <c r="AG451" s="17" t="n">
        <f aca="false">Data!F446</f>
        <v>32262598</v>
      </c>
      <c r="AH451" s="17" t="n">
        <f aca="false">Data!C446</f>
        <v>116.82</v>
      </c>
      <c r="AI451" s="17" t="n">
        <f aca="false">Data!D446</f>
        <v>115.65</v>
      </c>
      <c r="AJ451" s="17" t="n">
        <f aca="false">Data!E446</f>
        <v>115.72</v>
      </c>
      <c r="AK451" s="17" t="n">
        <f aca="false">Data!F446</f>
        <v>32262598</v>
      </c>
      <c r="AL451" s="17" t="n">
        <f aca="false">AJ451</f>
        <v>115.72</v>
      </c>
      <c r="AM451" s="17" t="n">
        <f aca="false">(AL451-AL450)/AL451*100</f>
        <v>2.92084341513999</v>
      </c>
      <c r="AN451" s="17" t="n">
        <f aca="false">(AK451-AK450)/AK451*100</f>
        <v>-39.9888905413011</v>
      </c>
      <c r="AO451" s="17" t="str">
        <f aca="false">IF(AN451&lt;-8,"FITS BITCH",IF(AN451&gt;-8,"no"))</f>
        <v>FITS BITCH</v>
      </c>
      <c r="AP451" s="17" t="str">
        <f aca="false">IF(AH452&lt;AH451,"FITS BITCH",IF(AH452&gt;AH451,"no"))</f>
        <v>no</v>
      </c>
      <c r="AQ451" s="17" t="str">
        <f aca="false">IF(AI452&lt;AI451,"FITS BITCH",IF(AI452&gt;AI451,"no"))</f>
        <v>FITS BITCH</v>
      </c>
      <c r="AR451" s="17" t="str">
        <f aca="false">IF(AJ451&lt;AH452,"FITS BITCH",IF(AJ451&gt;AH452,"no"))</f>
        <v>FITS BITCH</v>
      </c>
      <c r="AS451" s="17" t="str">
        <f aca="false">IF(AJ451&gt;AJ452,"FITS BITCH",IF(AJ451&lt;AJ452,"no"))</f>
        <v>no</v>
      </c>
      <c r="AT451" s="91" t="str">
        <f aca="false">IF(AND($AO451="FITS BITCH",$AP451="FITS BITCH",$AR451="FITS BITCH"),"BULLISH","")</f>
        <v/>
      </c>
      <c r="AU451" s="91" t="str">
        <f aca="false">IF(AND($AO451="FITS BITCH",$AQ451="FITS BITCH",$AS451="FITS BITCH"),"BEARISH","")</f>
        <v/>
      </c>
      <c r="AV451" s="86"/>
      <c r="AW451" s="86"/>
      <c r="AX451" s="86"/>
      <c r="CL451" s="99" t="n">
        <v>42499</v>
      </c>
      <c r="CM451" s="23" t="n">
        <f aca="false">$BA$68*CL451+$BA$70</f>
        <v>87.3693786224913</v>
      </c>
    </row>
    <row r="452" customFormat="false" ht="15.75" hidden="false" customHeight="false" outlineLevel="0" collapsed="false">
      <c r="AE452" s="90" t="n">
        <f aca="false">Data!A447</f>
        <v>42319</v>
      </c>
      <c r="AF452" s="17" t="n">
        <f aca="false">Data!B447</f>
        <v>116.37</v>
      </c>
      <c r="AG452" s="17" t="n">
        <f aca="false">Data!F447</f>
        <v>45104903</v>
      </c>
      <c r="AH452" s="17" t="n">
        <f aca="false">Data!C447</f>
        <v>117.42</v>
      </c>
      <c r="AI452" s="17" t="n">
        <f aca="false">Data!D447</f>
        <v>115.21</v>
      </c>
      <c r="AJ452" s="17" t="n">
        <f aca="false">Data!E447</f>
        <v>116.11</v>
      </c>
      <c r="AK452" s="17" t="n">
        <f aca="false">Data!F447</f>
        <v>45104903</v>
      </c>
      <c r="AL452" s="17" t="n">
        <f aca="false">AJ452</f>
        <v>116.11</v>
      </c>
      <c r="AM452" s="17" t="n">
        <f aca="false">(AL452-AL451)/AL452*100</f>
        <v>0.335888381707002</v>
      </c>
      <c r="AN452" s="17" t="n">
        <f aca="false">(AK452-AK451)/AK452*100</f>
        <v>28.4720820705456</v>
      </c>
      <c r="AO452" s="17" t="str">
        <f aca="false">IF(AN452&lt;-8,"FITS BITCH",IF(AN452&gt;-8,"no"))</f>
        <v>no</v>
      </c>
      <c r="AP452" s="17" t="str">
        <f aca="false">IF(AH453&lt;AH452,"FITS BITCH",IF(AH453&gt;AH452,"no"))</f>
        <v>no</v>
      </c>
      <c r="AQ452" s="17" t="str">
        <f aca="false">IF(AI453&lt;AI452,"FITS BITCH",IF(AI453&gt;AI452,"no"))</f>
        <v>no</v>
      </c>
      <c r="AR452" s="17" t="str">
        <f aca="false">IF(AJ452&lt;AH453,"FITS BITCH",IF(AJ452&gt;AH453,"no"))</f>
        <v>FITS BITCH</v>
      </c>
      <c r="AS452" s="17" t="str">
        <f aca="false">IF(AJ452&gt;AJ453,"FITS BITCH",IF(AJ452&lt;AJ453,"no"))</f>
        <v>no</v>
      </c>
      <c r="AT452" s="91" t="str">
        <f aca="false">IF(AND($AO452="FITS BITCH",$AP452="FITS BITCH",$AR452="FITS BITCH"),"BULLISH","")</f>
        <v/>
      </c>
      <c r="AU452" s="91" t="str">
        <f aca="false">IF(AND($AO452="FITS BITCH",$AQ452="FITS BITCH",$AS452="FITS BITCH"),"BEARISH","")</f>
        <v/>
      </c>
      <c r="AV452" s="86"/>
      <c r="AW452" s="86"/>
      <c r="AX452" s="86"/>
      <c r="CL452" s="99" t="n">
        <v>42496</v>
      </c>
      <c r="CM452" s="23" t="n">
        <f aca="false">$BA$68*CL452+$BA$70</f>
        <v>86.9070239317634</v>
      </c>
    </row>
    <row r="453" customFormat="false" ht="15.75" hidden="false" customHeight="false" outlineLevel="0" collapsed="false">
      <c r="AE453" s="90" t="n">
        <f aca="false">Data!A448</f>
        <v>42318</v>
      </c>
      <c r="AF453" s="17" t="n">
        <f aca="false">Data!B448</f>
        <v>116.9</v>
      </c>
      <c r="AG453" s="17" t="n">
        <f aca="false">Data!F448</f>
        <v>58635125</v>
      </c>
      <c r="AH453" s="17" t="n">
        <f aca="false">Data!C448</f>
        <v>118.07</v>
      </c>
      <c r="AI453" s="17" t="n">
        <f aca="false">Data!D448</f>
        <v>116.06</v>
      </c>
      <c r="AJ453" s="17" t="n">
        <f aca="false">Data!E448</f>
        <v>116.77</v>
      </c>
      <c r="AK453" s="17" t="n">
        <f aca="false">Data!F448</f>
        <v>58635125</v>
      </c>
      <c r="AL453" s="17" t="n">
        <f aca="false">AJ453</f>
        <v>116.77</v>
      </c>
      <c r="AM453" s="17" t="n">
        <f aca="false">(AL453-AL452)/AL453*100</f>
        <v>0.565213667894148</v>
      </c>
      <c r="AN453" s="17" t="n">
        <f aca="false">(AK453-AK452)/AK453*100</f>
        <v>23.0752846523308</v>
      </c>
      <c r="AO453" s="17" t="str">
        <f aca="false">IF(AN453&lt;-8,"FITS BITCH",IF(AN453&gt;-8,"no"))</f>
        <v>no</v>
      </c>
      <c r="AP453" s="17" t="str">
        <f aca="false">IF(AH454&lt;AH453,"FITS BITCH",IF(AH454&gt;AH453,"no"))</f>
        <v>no</v>
      </c>
      <c r="AQ453" s="17" t="str">
        <f aca="false">IF(AI454&lt;AI453,"FITS BITCH",IF(AI454&gt;AI453,"no"))</f>
        <v>no</v>
      </c>
      <c r="AR453" s="17" t="str">
        <f aca="false">IF(AJ453&lt;AH454,"FITS BITCH",IF(AJ453&gt;AH454,"no"))</f>
        <v>FITS BITCH</v>
      </c>
      <c r="AS453" s="17" t="str">
        <f aca="false">IF(AJ453&gt;AJ454,"FITS BITCH",IF(AJ453&lt;AJ454,"no"))</f>
        <v>no</v>
      </c>
      <c r="AT453" s="91" t="str">
        <f aca="false">IF(AND($AO453="FITS BITCH",$AP453="FITS BITCH",$AR453="FITS BITCH"),"BULLISH","")</f>
        <v/>
      </c>
      <c r="AU453" s="91" t="str">
        <f aca="false">IF(AND($AO453="FITS BITCH",$AQ453="FITS BITCH",$AS453="FITS BITCH"),"BEARISH","")</f>
        <v/>
      </c>
      <c r="AV453" s="86"/>
      <c r="AW453" s="86"/>
      <c r="AX453" s="86"/>
      <c r="CL453" s="99" t="n">
        <v>42495</v>
      </c>
      <c r="CM453" s="23" t="n">
        <f aca="false">$BA$68*CL453+$BA$70</f>
        <v>86.7529057015208</v>
      </c>
    </row>
    <row r="454" customFormat="false" ht="15.75" hidden="false" customHeight="false" outlineLevel="0" collapsed="false">
      <c r="AE454" s="90" t="n">
        <f aca="false">Data!A449</f>
        <v>42317</v>
      </c>
      <c r="AF454" s="17" t="n">
        <f aca="false">Data!B449</f>
        <v>120.96</v>
      </c>
      <c r="AG454" s="17" t="n">
        <f aca="false">Data!F449</f>
        <v>33657546</v>
      </c>
      <c r="AH454" s="17" t="n">
        <f aca="false">Data!C449</f>
        <v>121.81</v>
      </c>
      <c r="AI454" s="17" t="n">
        <f aca="false">Data!D449</f>
        <v>120.05</v>
      </c>
      <c r="AJ454" s="17" t="n">
        <f aca="false">Data!E449</f>
        <v>120.57</v>
      </c>
      <c r="AK454" s="17" t="n">
        <f aca="false">Data!F449</f>
        <v>33657546</v>
      </c>
      <c r="AL454" s="17" t="n">
        <f aca="false">AJ454</f>
        <v>120.57</v>
      </c>
      <c r="AM454" s="17" t="n">
        <f aca="false">(AL454-AL453)/AL454*100</f>
        <v>3.15169611014348</v>
      </c>
      <c r="AN454" s="17" t="n">
        <f aca="false">(AK454-AK453)/AK454*100</f>
        <v>-74.2109332629301</v>
      </c>
      <c r="AO454" s="17" t="str">
        <f aca="false">IF(AN454&lt;-8,"FITS BITCH",IF(AN454&gt;-8,"no"))</f>
        <v>FITS BITCH</v>
      </c>
      <c r="AP454" s="17" t="n">
        <f aca="false">IF(AH455&lt;AH454,"FITS BITCH",IF(AH455&gt;AH454,"no"))</f>
        <v>0</v>
      </c>
      <c r="AQ454" s="17" t="str">
        <f aca="false">IF(AI455&lt;AI454,"FITS BITCH",IF(AI455&gt;AI454,"no"))</f>
        <v>no</v>
      </c>
      <c r="AR454" s="17" t="str">
        <f aca="false">IF(AJ454&lt;AH455,"FITS BITCH",IF(AJ454&gt;AH455,"no"))</f>
        <v>FITS BITCH</v>
      </c>
      <c r="AS454" s="17" t="str">
        <f aca="false">IF(AJ454&gt;AJ455,"FITS BITCH",IF(AJ454&lt;AJ455,"no"))</f>
        <v>no</v>
      </c>
      <c r="AT454" s="91" t="str">
        <f aca="false">IF(AND($AO454="FITS BITCH",$AP454="FITS BITCH",$AR454="FITS BITCH"),"BULLISH","")</f>
        <v/>
      </c>
      <c r="AU454" s="91" t="str">
        <f aca="false">IF(AND($AO454="FITS BITCH",$AQ454="FITS BITCH",$AS454="FITS BITCH"),"BEARISH","")</f>
        <v/>
      </c>
      <c r="AV454" s="86"/>
      <c r="AW454" s="86"/>
      <c r="AX454" s="86"/>
      <c r="CL454" s="99" t="n">
        <v>42494</v>
      </c>
      <c r="CM454" s="23" t="n">
        <f aca="false">$BA$68*CL454+$BA$70</f>
        <v>86.5987874712782</v>
      </c>
    </row>
    <row r="455" customFormat="false" ht="15.75" hidden="false" customHeight="false" outlineLevel="0" collapsed="false">
      <c r="AE455" s="90" t="n">
        <f aca="false">Data!A450</f>
        <v>42314</v>
      </c>
      <c r="AF455" s="17" t="n">
        <f aca="false">Data!B450</f>
        <v>121.08</v>
      </c>
      <c r="AG455" s="17" t="n">
        <f aca="false">Data!F450</f>
        <v>32931447</v>
      </c>
      <c r="AH455" s="17" t="n">
        <f aca="false">Data!C450</f>
        <v>121.81</v>
      </c>
      <c r="AI455" s="17" t="n">
        <f aca="false">Data!D450</f>
        <v>120.62</v>
      </c>
      <c r="AJ455" s="17" t="n">
        <f aca="false">Data!E450</f>
        <v>121.06</v>
      </c>
      <c r="AK455" s="17" t="n">
        <f aca="false">Data!F450</f>
        <v>32931447</v>
      </c>
      <c r="AL455" s="17" t="n">
        <f aca="false">AJ455</f>
        <v>121.06</v>
      </c>
      <c r="AM455" s="17" t="n">
        <f aca="false">(AL455-AL454)/AL455*100</f>
        <v>0.404757971253931</v>
      </c>
      <c r="AN455" s="17" t="n">
        <f aca="false">(AK455-AK454)/AK455*100</f>
        <v>-2.20488033823719</v>
      </c>
      <c r="AO455" s="17" t="str">
        <f aca="false">IF(AN455&lt;-8,"FITS BITCH",IF(AN455&gt;-8,"no"))</f>
        <v>no</v>
      </c>
      <c r="AP455" s="17" t="str">
        <f aca="false">IF(AH456&lt;AH455,"FITS BITCH",IF(AH456&gt;AH455,"no"))</f>
        <v>no</v>
      </c>
      <c r="AQ455" s="17" t="str">
        <f aca="false">IF(AI456&lt;AI455,"FITS BITCH",IF(AI456&gt;AI455,"no"))</f>
        <v>FITS BITCH</v>
      </c>
      <c r="AR455" s="17" t="str">
        <f aca="false">IF(AJ455&lt;AH456,"FITS BITCH",IF(AJ455&gt;AH456,"no"))</f>
        <v>FITS BITCH</v>
      </c>
      <c r="AS455" s="17" t="str">
        <f aca="false">IF(AJ455&gt;AJ456,"FITS BITCH",IF(AJ455&lt;AJ456,"no"))</f>
        <v>FITS BITCH</v>
      </c>
      <c r="AT455" s="91" t="str">
        <f aca="false">IF(AND($AO455="FITS BITCH",$AP455="FITS BITCH",$AR455="FITS BITCH"),"BULLISH","")</f>
        <v/>
      </c>
      <c r="AU455" s="91" t="str">
        <f aca="false">IF(AND($AO455="FITS BITCH",$AQ455="FITS BITCH",$AS455="FITS BITCH"),"BEARISH","")</f>
        <v/>
      </c>
      <c r="AV455" s="86"/>
      <c r="AW455" s="86"/>
      <c r="AX455" s="86"/>
      <c r="CL455" s="99" t="n">
        <v>42493</v>
      </c>
      <c r="CM455" s="23" t="n">
        <f aca="false">$BA$68*CL455+$BA$70</f>
        <v>86.4446692410356</v>
      </c>
    </row>
    <row r="456" customFormat="false" ht="15.75" hidden="false" customHeight="false" outlineLevel="0" collapsed="false">
      <c r="AE456" s="90" t="n">
        <f aca="false">Data!A451</f>
        <v>42313</v>
      </c>
      <c r="AF456" s="17" t="n">
        <f aca="false">Data!B451</f>
        <v>121.85</v>
      </c>
      <c r="AG456" s="17" t="n">
        <f aca="false">Data!F451</f>
        <v>39258480</v>
      </c>
      <c r="AH456" s="17" t="n">
        <f aca="false">Data!C451</f>
        <v>122.69</v>
      </c>
      <c r="AI456" s="17" t="n">
        <f aca="false">Data!D451</f>
        <v>120.18</v>
      </c>
      <c r="AJ456" s="17" t="n">
        <f aca="false">Data!E451</f>
        <v>120.92</v>
      </c>
      <c r="AK456" s="17" t="n">
        <f aca="false">Data!F451</f>
        <v>39258480</v>
      </c>
      <c r="AL456" s="17" t="n">
        <f aca="false">AJ456</f>
        <v>120.92</v>
      </c>
      <c r="AM456" s="17" t="n">
        <f aca="false">(AL456-AL455)/AL456*100</f>
        <v>-0.11577902745617</v>
      </c>
      <c r="AN456" s="17" t="n">
        <f aca="false">(AK456-AK455)/AK456*100</f>
        <v>16.1163473471209</v>
      </c>
      <c r="AO456" s="17" t="str">
        <f aca="false">IF(AN456&lt;-8,"FITS BITCH",IF(AN456&gt;-8,"no"))</f>
        <v>no</v>
      </c>
      <c r="AP456" s="17" t="str">
        <f aca="false">IF(AH457&lt;AH456,"FITS BITCH",IF(AH457&gt;AH456,"no"))</f>
        <v>no</v>
      </c>
      <c r="AQ456" s="17" t="str">
        <f aca="false">IF(AI457&lt;AI456,"FITS BITCH",IF(AI457&gt;AI456,"no"))</f>
        <v>no</v>
      </c>
      <c r="AR456" s="17" t="str">
        <f aca="false">IF(AJ456&lt;AH457,"FITS BITCH",IF(AJ456&gt;AH457,"no"))</f>
        <v>FITS BITCH</v>
      </c>
      <c r="AS456" s="17" t="str">
        <f aca="false">IF(AJ456&gt;AJ457,"FITS BITCH",IF(AJ456&lt;AJ457,"no"))</f>
        <v>no</v>
      </c>
      <c r="AT456" s="91" t="str">
        <f aca="false">IF(AND($AO456="FITS BITCH",$AP456="FITS BITCH",$AR456="FITS BITCH"),"BULLISH","")</f>
        <v/>
      </c>
      <c r="AU456" s="91" t="str">
        <f aca="false">IF(AND($AO456="FITS BITCH",$AQ456="FITS BITCH",$AS456="FITS BITCH"),"BEARISH","")</f>
        <v/>
      </c>
      <c r="AV456" s="86"/>
      <c r="AW456" s="86"/>
      <c r="AX456" s="86"/>
      <c r="CL456" s="99" t="n">
        <v>42492</v>
      </c>
      <c r="CM456" s="23" t="n">
        <f aca="false">$BA$68*CL456+$BA$70</f>
        <v>86.2905510107921</v>
      </c>
    </row>
    <row r="457" customFormat="false" ht="15.75" hidden="false" customHeight="false" outlineLevel="0" collapsed="false">
      <c r="AE457" s="90" t="n">
        <f aca="false">Data!A452</f>
        <v>42312</v>
      </c>
      <c r="AF457" s="17" t="n">
        <f aca="false">Data!B452</f>
        <v>122.56</v>
      </c>
      <c r="AG457" s="17" t="n">
        <f aca="false">Data!F452</f>
        <v>44343498</v>
      </c>
      <c r="AH457" s="17" t="n">
        <f aca="false">Data!C452</f>
        <v>123.82</v>
      </c>
      <c r="AI457" s="17" t="n">
        <f aca="false">Data!D452</f>
        <v>121.62</v>
      </c>
      <c r="AJ457" s="17" t="n">
        <f aca="false">Data!E452</f>
        <v>122</v>
      </c>
      <c r="AK457" s="17" t="n">
        <f aca="false">Data!F452</f>
        <v>44343498</v>
      </c>
      <c r="AL457" s="17" t="n">
        <f aca="false">AJ457</f>
        <v>122</v>
      </c>
      <c r="AM457" s="17" t="n">
        <f aca="false">(AL457-AL456)/AL457*100</f>
        <v>0.885245901639343</v>
      </c>
      <c r="AN457" s="17" t="n">
        <f aca="false">(AK457-AK456)/AK457*100</f>
        <v>11.4673362033821</v>
      </c>
      <c r="AO457" s="17" t="str">
        <f aca="false">IF(AN457&lt;-8,"FITS BITCH",IF(AN457&gt;-8,"no"))</f>
        <v>no</v>
      </c>
      <c r="AP457" s="17" t="str">
        <f aca="false">IF(AH458&lt;AH457,"FITS BITCH",IF(AH458&gt;AH457,"no"))</f>
        <v>FITS BITCH</v>
      </c>
      <c r="AQ457" s="17" t="str">
        <f aca="false">IF(AI458&lt;AI457,"FITS BITCH",IF(AI458&gt;AI457,"no"))</f>
        <v>FITS BITCH</v>
      </c>
      <c r="AR457" s="17" t="str">
        <f aca="false">IF(AJ457&lt;AH458,"FITS BITCH",IF(AJ457&gt;AH458,"no"))</f>
        <v>FITS BITCH</v>
      </c>
      <c r="AS457" s="17" t="str">
        <f aca="false">IF(AJ457&gt;AJ458,"FITS BITCH",IF(AJ457&lt;AJ458,"no"))</f>
        <v>no</v>
      </c>
      <c r="AT457" s="91" t="str">
        <f aca="false">IF(AND($AO457="FITS BITCH",$AP457="FITS BITCH",$AR457="FITS BITCH"),"BULLISH","")</f>
        <v/>
      </c>
      <c r="AU457" s="91" t="str">
        <f aca="false">IF(AND($AO457="FITS BITCH",$AQ457="FITS BITCH",$AS457="FITS BITCH"),"BEARISH","")</f>
        <v/>
      </c>
      <c r="AV457" s="86"/>
      <c r="AW457" s="86"/>
      <c r="AX457" s="86"/>
      <c r="CL457" s="99" t="n">
        <v>42489</v>
      </c>
      <c r="CM457" s="23" t="n">
        <f aca="false">$BA$68*CL457+$BA$70</f>
        <v>85.8281963200643</v>
      </c>
    </row>
    <row r="458" customFormat="false" ht="15.75" hidden="false" customHeight="false" outlineLevel="0" collapsed="false">
      <c r="AE458" s="90" t="n">
        <f aca="false">Data!A453</f>
        <v>42311</v>
      </c>
      <c r="AF458" s="17" t="n">
        <f aca="false">Data!B453</f>
        <v>120.79</v>
      </c>
      <c r="AG458" s="17" t="n">
        <f aca="false">Data!F453</f>
        <v>45331025</v>
      </c>
      <c r="AH458" s="17" t="n">
        <f aca="false">Data!C453</f>
        <v>123.49</v>
      </c>
      <c r="AI458" s="17" t="n">
        <f aca="false">Data!D453</f>
        <v>120.7</v>
      </c>
      <c r="AJ458" s="17" t="n">
        <f aca="false">Data!E453</f>
        <v>122.57</v>
      </c>
      <c r="AK458" s="17" t="n">
        <f aca="false">Data!F453</f>
        <v>45331025</v>
      </c>
      <c r="AL458" s="17" t="n">
        <f aca="false">AJ458</f>
        <v>122.57</v>
      </c>
      <c r="AM458" s="17" t="n">
        <f aca="false">(AL458-AL457)/AL458*100</f>
        <v>0.465040385086068</v>
      </c>
      <c r="AN458" s="17" t="n">
        <f aca="false">(AK458-AK457)/AK458*100</f>
        <v>2.17847930859715</v>
      </c>
      <c r="AO458" s="17" t="str">
        <f aca="false">IF(AN458&lt;-8,"FITS BITCH",IF(AN458&gt;-8,"no"))</f>
        <v>no</v>
      </c>
      <c r="AP458" s="17" t="str">
        <f aca="false">IF(AH459&lt;AH458,"FITS BITCH",IF(AH459&gt;AH458,"no"))</f>
        <v>FITS BITCH</v>
      </c>
      <c r="AQ458" s="17" t="str">
        <f aca="false">IF(AI459&lt;AI458,"FITS BITCH",IF(AI459&gt;AI458,"no"))</f>
        <v>FITS BITCH</v>
      </c>
      <c r="AR458" s="17" t="str">
        <f aca="false">IF(AJ458&lt;AH459,"FITS BITCH",IF(AJ458&gt;AH459,"no"))</f>
        <v>no</v>
      </c>
      <c r="AS458" s="17" t="str">
        <f aca="false">IF(AJ458&gt;AJ459,"FITS BITCH",IF(AJ458&lt;AJ459,"no"))</f>
        <v>FITS BITCH</v>
      </c>
      <c r="AT458" s="91" t="str">
        <f aca="false">IF(AND($AO458="FITS BITCH",$AP458="FITS BITCH",$AR458="FITS BITCH"),"BULLISH","")</f>
        <v/>
      </c>
      <c r="AU458" s="91" t="str">
        <f aca="false">IF(AND($AO458="FITS BITCH",$AQ458="FITS BITCH",$AS458="FITS BITCH"),"BEARISH","")</f>
        <v/>
      </c>
      <c r="AV458" s="86"/>
      <c r="AW458" s="86"/>
      <c r="AX458" s="86"/>
      <c r="CL458" s="99" t="n">
        <v>42488</v>
      </c>
      <c r="CM458" s="23" t="n">
        <f aca="false">$BA$68*CL458+$BA$70</f>
        <v>85.6740780898217</v>
      </c>
    </row>
    <row r="459" customFormat="false" ht="15.75" hidden="false" customHeight="false" outlineLevel="0" collapsed="false">
      <c r="AE459" s="90" t="n">
        <f aca="false">Data!A454</f>
        <v>42310</v>
      </c>
      <c r="AF459" s="17" t="n">
        <f aca="false">Data!B454</f>
        <v>120.8</v>
      </c>
      <c r="AG459" s="17" t="n">
        <f aca="false">Data!F454</f>
        <v>31761309</v>
      </c>
      <c r="AH459" s="17" t="n">
        <f aca="false">Data!C454</f>
        <v>121.36</v>
      </c>
      <c r="AI459" s="17" t="n">
        <f aca="false">Data!D454</f>
        <v>119.61</v>
      </c>
      <c r="AJ459" s="17" t="n">
        <f aca="false">Data!E454</f>
        <v>121.18</v>
      </c>
      <c r="AK459" s="17" t="n">
        <f aca="false">Data!F454</f>
        <v>31761309</v>
      </c>
      <c r="AL459" s="17" t="n">
        <f aca="false">AJ459</f>
        <v>121.18</v>
      </c>
      <c r="AM459" s="17" t="n">
        <f aca="false">(AL459-AL458)/AL459*100</f>
        <v>-1.14705396930185</v>
      </c>
      <c r="AN459" s="17" t="n">
        <f aca="false">(AK459-AK458)/AK459*100</f>
        <v>-42.7240451582144</v>
      </c>
      <c r="AO459" s="17" t="str">
        <f aca="false">IF(AN459&lt;-8,"FITS BITCH",IF(AN459&gt;-8,"no"))</f>
        <v>FITS BITCH</v>
      </c>
      <c r="AP459" s="17" t="str">
        <f aca="false">IF(AH460&lt;AH459,"FITS BITCH",IF(AH460&gt;AH459,"no"))</f>
        <v>FITS BITCH</v>
      </c>
      <c r="AQ459" s="17" t="str">
        <f aca="false">IF(AI460&lt;AI459,"FITS BITCH",IF(AI460&gt;AI459,"no"))</f>
        <v>FITS BITCH</v>
      </c>
      <c r="AR459" s="17" t="str">
        <f aca="false">IF(AJ459&lt;AH460,"FITS BITCH",IF(AJ459&gt;AH460,"no"))</f>
        <v>FITS BITCH</v>
      </c>
      <c r="AS459" s="17" t="str">
        <f aca="false">IF(AJ459&gt;AJ460,"FITS BITCH",IF(AJ459&lt;AJ460,"no"))</f>
        <v>FITS BITCH</v>
      </c>
      <c r="AT459" s="91" t="str">
        <f aca="false">IF(AND($AO459="FITS BITCH",$AP459="FITS BITCH",$AR459="FITS BITCH"),"BULLISH","")</f>
        <v>BULLISH</v>
      </c>
      <c r="AU459" s="91" t="str">
        <f aca="false">IF(AND($AO459="FITS BITCH",$AQ459="FITS BITCH",$AS459="FITS BITCH"),"BEARISH","")</f>
        <v>BEARISH</v>
      </c>
      <c r="AV459" s="86"/>
      <c r="AW459" s="86"/>
      <c r="AX459" s="86"/>
      <c r="CL459" s="99" t="n">
        <v>42487</v>
      </c>
      <c r="CM459" s="23" t="n">
        <f aca="false">$BA$68*CL459+$BA$70</f>
        <v>85.5199598595791</v>
      </c>
    </row>
    <row r="460" customFormat="false" ht="15.75" hidden="false" customHeight="false" outlineLevel="0" collapsed="false">
      <c r="AE460" s="90" t="n">
        <f aca="false">Data!A455</f>
        <v>42307</v>
      </c>
      <c r="AF460" s="17" t="n">
        <f aca="false">Data!B455</f>
        <v>120.99</v>
      </c>
      <c r="AG460" s="17" t="n">
        <f aca="false">Data!F455</f>
        <v>48811991</v>
      </c>
      <c r="AH460" s="17" t="n">
        <f aca="false">Data!C455</f>
        <v>121.22</v>
      </c>
      <c r="AI460" s="17" t="n">
        <f aca="false">Data!D455</f>
        <v>119.45</v>
      </c>
      <c r="AJ460" s="17" t="n">
        <f aca="false">Data!E455</f>
        <v>119.5</v>
      </c>
      <c r="AK460" s="17" t="n">
        <f aca="false">Data!F455</f>
        <v>48811991</v>
      </c>
      <c r="AL460" s="17" t="n">
        <f aca="false">AJ460</f>
        <v>119.5</v>
      </c>
      <c r="AM460" s="17" t="n">
        <f aca="false">(AL460-AL459)/AL460*100</f>
        <v>-1.40585774058578</v>
      </c>
      <c r="AN460" s="17" t="n">
        <f aca="false">(AK460-AK459)/AK460*100</f>
        <v>34.9313388999027</v>
      </c>
      <c r="AO460" s="17" t="str">
        <f aca="false">IF(AN460&lt;-8,"FITS BITCH",IF(AN460&gt;-8,"no"))</f>
        <v>no</v>
      </c>
      <c r="AP460" s="17" t="str">
        <f aca="false">IF(AH461&lt;AH460,"FITS BITCH",IF(AH461&gt;AH460,"no"))</f>
        <v>FITS BITCH</v>
      </c>
      <c r="AQ460" s="17" t="str">
        <f aca="false">IF(AI461&lt;AI460,"FITS BITCH",IF(AI461&gt;AI460,"no"))</f>
        <v>FITS BITCH</v>
      </c>
      <c r="AR460" s="17" t="str">
        <f aca="false">IF(AJ460&lt;AH461,"FITS BITCH",IF(AJ460&gt;AH461,"no"))</f>
        <v>FITS BITCH</v>
      </c>
      <c r="AS460" s="17" t="str">
        <f aca="false">IF(AJ460&gt;AJ461,"FITS BITCH",IF(AJ460&lt;AJ461,"no"))</f>
        <v>no</v>
      </c>
      <c r="AT460" s="91" t="str">
        <f aca="false">IF(AND($AO460="FITS BITCH",$AP460="FITS BITCH",$AR460="FITS BITCH"),"BULLISH","")</f>
        <v/>
      </c>
      <c r="AU460" s="91" t="str">
        <f aca="false">IF(AND($AO460="FITS BITCH",$AQ460="FITS BITCH",$AS460="FITS BITCH"),"BEARISH","")</f>
        <v/>
      </c>
      <c r="AV460" s="86"/>
      <c r="AW460" s="86"/>
      <c r="AX460" s="86"/>
      <c r="CL460" s="99" t="n">
        <v>42486</v>
      </c>
      <c r="CM460" s="23" t="n">
        <f aca="false">$BA$68*CL460+$BA$70</f>
        <v>85.3658416293365</v>
      </c>
    </row>
    <row r="461" customFormat="false" ht="15.75" hidden="false" customHeight="false" outlineLevel="0" collapsed="false">
      <c r="AE461" s="90" t="n">
        <f aca="false">Data!A456</f>
        <v>42306</v>
      </c>
      <c r="AF461" s="17" t="n">
        <f aca="false">Data!B456</f>
        <v>118.7</v>
      </c>
      <c r="AG461" s="17" t="n">
        <f aca="false">Data!F456</f>
        <v>50240803</v>
      </c>
      <c r="AH461" s="17" t="n">
        <f aca="false">Data!C456</f>
        <v>120.69</v>
      </c>
      <c r="AI461" s="17" t="n">
        <f aca="false">Data!D456</f>
        <v>118.27</v>
      </c>
      <c r="AJ461" s="17" t="n">
        <f aca="false">Data!E456</f>
        <v>120.53</v>
      </c>
      <c r="AK461" s="17" t="n">
        <f aca="false">Data!F456</f>
        <v>50240803</v>
      </c>
      <c r="AL461" s="17" t="n">
        <f aca="false">AJ461</f>
        <v>120.53</v>
      </c>
      <c r="AM461" s="17" t="n">
        <f aca="false">(AL461-AL460)/AL461*100</f>
        <v>0.854559030946653</v>
      </c>
      <c r="AN461" s="17" t="n">
        <f aca="false">(AK461-AK460)/AK461*100</f>
        <v>2.84392747464645</v>
      </c>
      <c r="AO461" s="17" t="str">
        <f aca="false">IF(AN461&lt;-8,"FITS BITCH",IF(AN461&gt;-8,"no"))</f>
        <v>no</v>
      </c>
      <c r="AP461" s="17" t="str">
        <f aca="false">IF(AH462&lt;AH461,"FITS BITCH",IF(AH462&gt;AH461,"no"))</f>
        <v>FITS BITCH</v>
      </c>
      <c r="AQ461" s="17" t="str">
        <f aca="false">IF(AI462&lt;AI461,"FITS BITCH",IF(AI462&gt;AI461,"no"))</f>
        <v>FITS BITCH</v>
      </c>
      <c r="AR461" s="17" t="str">
        <f aca="false">IF(AJ461&lt;AH462,"FITS BITCH",IF(AJ461&gt;AH462,"no"))</f>
        <v>no</v>
      </c>
      <c r="AS461" s="17" t="str">
        <f aca="false">IF(AJ461&gt;AJ462,"FITS BITCH",IF(AJ461&lt;AJ462,"no"))</f>
        <v>FITS BITCH</v>
      </c>
      <c r="AT461" s="91" t="str">
        <f aca="false">IF(AND($AO461="FITS BITCH",$AP461="FITS BITCH",$AR461="FITS BITCH"),"BULLISH","")</f>
        <v/>
      </c>
      <c r="AU461" s="91" t="str">
        <f aca="false">IF(AND($AO461="FITS BITCH",$AQ461="FITS BITCH",$AS461="FITS BITCH"),"BEARISH","")</f>
        <v/>
      </c>
      <c r="AV461" s="86"/>
      <c r="AW461" s="86"/>
      <c r="AX461" s="86"/>
      <c r="CL461" s="99" t="n">
        <v>42485</v>
      </c>
      <c r="CM461" s="23" t="n">
        <f aca="false">$BA$68*CL461+$BA$70</f>
        <v>85.2117233990939</v>
      </c>
    </row>
    <row r="462" customFormat="false" ht="15.75" hidden="false" customHeight="false" outlineLevel="0" collapsed="false">
      <c r="AE462" s="90" t="n">
        <f aca="false">Data!A457</f>
        <v>42305</v>
      </c>
      <c r="AF462" s="17" t="n">
        <f aca="false">Data!B457</f>
        <v>117.58</v>
      </c>
      <c r="AG462" s="17" t="n">
        <f aca="false">Data!F457</f>
        <v>85023324</v>
      </c>
      <c r="AH462" s="17" t="n">
        <f aca="false">Data!C457</f>
        <v>119.3</v>
      </c>
      <c r="AI462" s="17" t="n">
        <f aca="false">Data!D457</f>
        <v>116.06</v>
      </c>
      <c r="AJ462" s="17" t="n">
        <f aca="false">Data!E457</f>
        <v>119.27</v>
      </c>
      <c r="AK462" s="17" t="n">
        <f aca="false">Data!F457</f>
        <v>85023324</v>
      </c>
      <c r="AL462" s="17" t="n">
        <f aca="false">AJ462</f>
        <v>119.27</v>
      </c>
      <c r="AM462" s="17" t="n">
        <f aca="false">(AL462-AL461)/AL462*100</f>
        <v>-1.05642659512032</v>
      </c>
      <c r="AN462" s="17" t="n">
        <f aca="false">(AK462-AK461)/AK462*100</f>
        <v>40.9093874052725</v>
      </c>
      <c r="AO462" s="17" t="str">
        <f aca="false">IF(AN462&lt;-8,"FITS BITCH",IF(AN462&gt;-8,"no"))</f>
        <v>no</v>
      </c>
      <c r="AP462" s="17" t="str">
        <f aca="false">IF(AH463&lt;AH462,"FITS BITCH",IF(AH463&gt;AH462,"no"))</f>
        <v>FITS BITCH</v>
      </c>
      <c r="AQ462" s="17" t="str">
        <f aca="false">IF(AI463&lt;AI462,"FITS BITCH",IF(AI463&gt;AI462,"no"))</f>
        <v>FITS BITCH</v>
      </c>
      <c r="AR462" s="17" t="str">
        <f aca="false">IF(AJ462&lt;AH463,"FITS BITCH",IF(AJ462&gt;AH463,"no"))</f>
        <v>no</v>
      </c>
      <c r="AS462" s="17" t="str">
        <f aca="false">IF(AJ462&gt;AJ463,"FITS BITCH",IF(AJ462&lt;AJ463,"no"))</f>
        <v>FITS BITCH</v>
      </c>
      <c r="AT462" s="91" t="str">
        <f aca="false">IF(AND($AO462="FITS BITCH",$AP462="FITS BITCH",$AR462="FITS BITCH"),"BULLISH","")</f>
        <v/>
      </c>
      <c r="AU462" s="91" t="str">
        <f aca="false">IF(AND($AO462="FITS BITCH",$AQ462="FITS BITCH",$AS462="FITS BITCH"),"BEARISH","")</f>
        <v/>
      </c>
      <c r="AV462" s="86"/>
      <c r="AW462" s="86"/>
      <c r="AX462" s="86"/>
      <c r="CL462" s="99" t="n">
        <v>42482</v>
      </c>
      <c r="CM462" s="23" t="n">
        <f aca="false">$BA$68*CL462+$BA$70</f>
        <v>84.7493687083652</v>
      </c>
    </row>
    <row r="463" customFormat="false" ht="15.75" hidden="false" customHeight="false" outlineLevel="0" collapsed="false">
      <c r="AE463" s="90" t="n">
        <f aca="false">Data!A458</f>
        <v>42304</v>
      </c>
      <c r="AF463" s="17" t="n">
        <f aca="false">Data!B458</f>
        <v>115.4</v>
      </c>
      <c r="AG463" s="17" t="n">
        <f aca="false">Data!F458</f>
        <v>57953589</v>
      </c>
      <c r="AH463" s="17" t="n">
        <f aca="false">Data!C458</f>
        <v>116.54</v>
      </c>
      <c r="AI463" s="17" t="n">
        <f aca="false">Data!D458</f>
        <v>113.99</v>
      </c>
      <c r="AJ463" s="17" t="n">
        <f aca="false">Data!E458</f>
        <v>114.55</v>
      </c>
      <c r="AK463" s="17" t="n">
        <f aca="false">Data!F458</f>
        <v>57953589</v>
      </c>
      <c r="AL463" s="17" t="n">
        <f aca="false">AJ463</f>
        <v>114.55</v>
      </c>
      <c r="AM463" s="17" t="n">
        <f aca="false">(AL463-AL462)/AL463*100</f>
        <v>-4.12047140986469</v>
      </c>
      <c r="AN463" s="17" t="n">
        <f aca="false">(AK463-AK462)/AK463*100</f>
        <v>-46.7093332217958</v>
      </c>
      <c r="AO463" s="17" t="str">
        <f aca="false">IF(AN463&lt;-8,"FITS BITCH",IF(AN463&gt;-8,"no"))</f>
        <v>FITS BITCH</v>
      </c>
      <c r="AP463" s="17" t="str">
        <f aca="false">IF(AH464&lt;AH463,"FITS BITCH",IF(AH464&gt;AH463,"no"))</f>
        <v>no</v>
      </c>
      <c r="AQ463" s="17" t="str">
        <f aca="false">IF(AI464&lt;AI463,"FITS BITCH",IF(AI464&gt;AI463,"no"))</f>
        <v>no</v>
      </c>
      <c r="AR463" s="17" t="str">
        <f aca="false">IF(AJ463&lt;AH464,"FITS BITCH",IF(AJ463&gt;AH464,"no"))</f>
        <v>FITS BITCH</v>
      </c>
      <c r="AS463" s="17" t="str">
        <f aca="false">IF(AJ463&gt;AJ464,"FITS BITCH",IF(AJ463&lt;AJ464,"no"))</f>
        <v>no</v>
      </c>
      <c r="AT463" s="91" t="str">
        <f aca="false">IF(AND($AO463="FITS BITCH",$AP463="FITS BITCH",$AR463="FITS BITCH"),"BULLISH","")</f>
        <v/>
      </c>
      <c r="AU463" s="91" t="str">
        <f aca="false">IF(AND($AO463="FITS BITCH",$AQ463="FITS BITCH",$AS463="FITS BITCH"),"BEARISH","")</f>
        <v/>
      </c>
      <c r="AV463" s="86"/>
      <c r="AW463" s="86"/>
      <c r="AX463" s="86"/>
      <c r="CL463" s="99" t="n">
        <v>42481</v>
      </c>
      <c r="CM463" s="23" t="n">
        <f aca="false">$BA$68*CL463+$BA$70</f>
        <v>84.5952504781226</v>
      </c>
    </row>
    <row r="464" customFormat="false" ht="15.75" hidden="false" customHeight="false" outlineLevel="0" collapsed="false">
      <c r="AE464" s="90" t="n">
        <f aca="false">Data!A459</f>
        <v>42303</v>
      </c>
      <c r="AF464" s="17" t="n">
        <f aca="false">Data!B459</f>
        <v>118.08</v>
      </c>
      <c r="AG464" s="17" t="n">
        <f aca="false">Data!F459</f>
        <v>66019504</v>
      </c>
      <c r="AH464" s="17" t="n">
        <f aca="false">Data!C459</f>
        <v>118.13</v>
      </c>
      <c r="AI464" s="17" t="n">
        <f aca="false">Data!D459</f>
        <v>114.92</v>
      </c>
      <c r="AJ464" s="17" t="n">
        <f aca="false">Data!E459</f>
        <v>115.28</v>
      </c>
      <c r="AK464" s="17" t="n">
        <f aca="false">Data!F459</f>
        <v>66019504</v>
      </c>
      <c r="AL464" s="17" t="n">
        <f aca="false">AJ464</f>
        <v>115.28</v>
      </c>
      <c r="AM464" s="17" t="n">
        <f aca="false">(AL464-AL463)/AL464*100</f>
        <v>0.633240804996534</v>
      </c>
      <c r="AN464" s="17" t="n">
        <f aca="false">(AK464-AK463)/AK464*100</f>
        <v>12.2174728849826</v>
      </c>
      <c r="AO464" s="17" t="str">
        <f aca="false">IF(AN464&lt;-8,"FITS BITCH",IF(AN464&gt;-8,"no"))</f>
        <v>no</v>
      </c>
      <c r="AP464" s="17" t="str">
        <f aca="false">IF(AH465&lt;AH464,"FITS BITCH",IF(AH465&gt;AH464,"no"))</f>
        <v>no</v>
      </c>
      <c r="AQ464" s="17" t="str">
        <f aca="false">IF(AI465&lt;AI464,"FITS BITCH",IF(AI465&gt;AI464,"no"))</f>
        <v>no</v>
      </c>
      <c r="AR464" s="17" t="str">
        <f aca="false">IF(AJ464&lt;AH465,"FITS BITCH",IF(AJ464&gt;AH465,"no"))</f>
        <v>FITS BITCH</v>
      </c>
      <c r="AS464" s="17" t="str">
        <f aca="false">IF(AJ464&gt;AJ465,"FITS BITCH",IF(AJ464&lt;AJ465,"no"))</f>
        <v>no</v>
      </c>
      <c r="AT464" s="91" t="str">
        <f aca="false">IF(AND($AO464="FITS BITCH",$AP464="FITS BITCH",$AR464="FITS BITCH"),"BULLISH","")</f>
        <v/>
      </c>
      <c r="AU464" s="91" t="str">
        <f aca="false">IF(AND($AO464="FITS BITCH",$AQ464="FITS BITCH",$AS464="FITS BITCH"),"BEARISH","")</f>
        <v/>
      </c>
      <c r="AV464" s="86"/>
      <c r="AW464" s="86"/>
      <c r="AX464" s="86"/>
      <c r="CL464" s="99" t="n">
        <v>42480</v>
      </c>
      <c r="CM464" s="23" t="n">
        <f aca="false">$BA$68*CL464+$BA$70</f>
        <v>84.44113224788</v>
      </c>
    </row>
    <row r="465" customFormat="false" ht="15.75" hidden="false" customHeight="false" outlineLevel="0" collapsed="false">
      <c r="AE465" s="90" t="n">
        <f aca="false">Data!A460</f>
        <v>42300</v>
      </c>
      <c r="AF465" s="17" t="n">
        <f aca="false">Data!B460</f>
        <v>118.77</v>
      </c>
      <c r="AG465" s="17" t="n">
        <f aca="false">Data!F460</f>
        <v>59139552</v>
      </c>
      <c r="AH465" s="17" t="n">
        <f aca="false">Data!C460</f>
        <v>119.23</v>
      </c>
      <c r="AI465" s="17" t="n">
        <f aca="false">Data!D460</f>
        <v>116.33</v>
      </c>
      <c r="AJ465" s="17" t="n">
        <f aca="false">Data!E460</f>
        <v>119.08</v>
      </c>
      <c r="AK465" s="17" t="n">
        <f aca="false">Data!F460</f>
        <v>59139552</v>
      </c>
      <c r="AL465" s="17" t="n">
        <f aca="false">AJ465</f>
        <v>119.08</v>
      </c>
      <c r="AM465" s="17" t="n">
        <f aca="false">(AL465-AL464)/AL465*100</f>
        <v>3.19113201209271</v>
      </c>
      <c r="AN465" s="17" t="n">
        <f aca="false">(AK465-AK464)/AK465*100</f>
        <v>-11.6334192047988</v>
      </c>
      <c r="AO465" s="17" t="str">
        <f aca="false">IF(AN465&lt;-8,"FITS BITCH",IF(AN465&gt;-8,"no"))</f>
        <v>FITS BITCH</v>
      </c>
      <c r="AP465" s="17" t="str">
        <f aca="false">IF(AH466&lt;AH465,"FITS BITCH",IF(AH466&gt;AH465,"no"))</f>
        <v>FITS BITCH</v>
      </c>
      <c r="AQ465" s="17" t="str">
        <f aca="false">IF(AI466&lt;AI465,"FITS BITCH",IF(AI466&gt;AI465,"no"))</f>
        <v>FITS BITCH</v>
      </c>
      <c r="AR465" s="17" t="str">
        <f aca="false">IF(AJ465&lt;AH466,"FITS BITCH",IF(AJ465&gt;AH466,"no"))</f>
        <v>no</v>
      </c>
      <c r="AS465" s="17" t="str">
        <f aca="false">IF(AJ465&gt;AJ466,"FITS BITCH",IF(AJ465&lt;AJ466,"no"))</f>
        <v>FITS BITCH</v>
      </c>
      <c r="AT465" s="91" t="str">
        <f aca="false">IF(AND($AO465="FITS BITCH",$AP465="FITS BITCH",$AR465="FITS BITCH"),"BULLISH","")</f>
        <v/>
      </c>
      <c r="AU465" s="91" t="str">
        <f aca="false">IF(AND($AO465="FITS BITCH",$AQ465="FITS BITCH",$AS465="FITS BITCH"),"BEARISH","")</f>
        <v>BEARISH</v>
      </c>
      <c r="AV465" s="86"/>
      <c r="AW465" s="86"/>
      <c r="AX465" s="86"/>
      <c r="CL465" s="99" t="n">
        <v>42479</v>
      </c>
      <c r="CM465" s="23" t="n">
        <f aca="false">$BA$68*CL465+$BA$70</f>
        <v>84.2870140176374</v>
      </c>
    </row>
    <row r="466" customFormat="false" ht="15.75" hidden="false" customHeight="false" outlineLevel="0" collapsed="false">
      <c r="AE466" s="90" t="n">
        <f aca="false">Data!A461</f>
        <v>42299</v>
      </c>
      <c r="AF466" s="17" t="n">
        <f aca="false">Data!B461</f>
        <v>114.33</v>
      </c>
      <c r="AG466" s="17" t="n">
        <f aca="false">Data!F461</f>
        <v>41272693</v>
      </c>
      <c r="AH466" s="17" t="n">
        <f aca="false">Data!C461</f>
        <v>115.5</v>
      </c>
      <c r="AI466" s="17" t="n">
        <f aca="false">Data!D461</f>
        <v>114.1</v>
      </c>
      <c r="AJ466" s="17" t="n">
        <f aca="false">Data!E461</f>
        <v>115.5</v>
      </c>
      <c r="AK466" s="17" t="n">
        <f aca="false">Data!F461</f>
        <v>41272693</v>
      </c>
      <c r="AL466" s="17" t="n">
        <f aca="false">AJ466</f>
        <v>115.5</v>
      </c>
      <c r="AM466" s="17" t="n">
        <f aca="false">(AL466-AL465)/AL466*100</f>
        <v>-3.0995670995671</v>
      </c>
      <c r="AN466" s="17" t="n">
        <f aca="false">(AK466-AK465)/AK466*100</f>
        <v>-43.2897824234537</v>
      </c>
      <c r="AO466" s="17" t="str">
        <f aca="false">IF(AN466&lt;-8,"FITS BITCH",IF(AN466&gt;-8,"no"))</f>
        <v>FITS BITCH</v>
      </c>
      <c r="AP466" s="17" t="str">
        <f aca="false">IF(AH467&lt;AH466,"FITS BITCH",IF(AH467&gt;AH466,"no"))</f>
        <v>no</v>
      </c>
      <c r="AQ466" s="17" t="str">
        <f aca="false">IF(AI467&lt;AI466,"FITS BITCH",IF(AI467&gt;AI466,"no"))</f>
        <v>FITS BITCH</v>
      </c>
      <c r="AR466" s="17" t="str">
        <f aca="false">IF(AJ466&lt;AH467,"FITS BITCH",IF(AJ466&gt;AH467,"no"))</f>
        <v>FITS BITCH</v>
      </c>
      <c r="AS466" s="17" t="str">
        <f aca="false">IF(AJ466&gt;AJ467,"FITS BITCH",IF(AJ466&lt;AJ467,"no"))</f>
        <v>FITS BITCH</v>
      </c>
      <c r="AT466" s="91" t="str">
        <f aca="false">IF(AND($AO466="FITS BITCH",$AP466="FITS BITCH",$AR466="FITS BITCH"),"BULLISH","")</f>
        <v/>
      </c>
      <c r="AU466" s="91" t="str">
        <f aca="false">IF(AND($AO466="FITS BITCH",$AQ466="FITS BITCH",$AS466="FITS BITCH"),"BEARISH","")</f>
        <v>BEARISH</v>
      </c>
      <c r="AV466" s="86"/>
      <c r="AW466" s="86"/>
      <c r="AX466" s="86"/>
      <c r="CL466" s="99" t="n">
        <v>42478</v>
      </c>
      <c r="CM466" s="23" t="n">
        <f aca="false">$BA$68*CL466+$BA$70</f>
        <v>84.1328957873948</v>
      </c>
    </row>
    <row r="467" customFormat="false" ht="15.75" hidden="false" customHeight="false" outlineLevel="0" collapsed="false">
      <c r="AE467" s="90" t="n">
        <f aca="false">Data!A462</f>
        <v>42298</v>
      </c>
      <c r="AF467" s="17" t="n">
        <f aca="false">Data!B462</f>
        <v>114</v>
      </c>
      <c r="AG467" s="17" t="n">
        <f aca="false">Data!F462</f>
        <v>41795238</v>
      </c>
      <c r="AH467" s="17" t="n">
        <f aca="false">Data!C462</f>
        <v>115.58</v>
      </c>
      <c r="AI467" s="17" t="n">
        <f aca="false">Data!D462</f>
        <v>113.7</v>
      </c>
      <c r="AJ467" s="17" t="n">
        <f aca="false">Data!E462</f>
        <v>113.76</v>
      </c>
      <c r="AK467" s="17" t="n">
        <f aca="false">Data!F462</f>
        <v>41795238</v>
      </c>
      <c r="AL467" s="17" t="n">
        <f aca="false">AJ467</f>
        <v>113.76</v>
      </c>
      <c r="AM467" s="17" t="n">
        <f aca="false">(AL467-AL466)/AL467*100</f>
        <v>-1.5295358649789</v>
      </c>
      <c r="AN467" s="17" t="n">
        <f aca="false">(AK467-AK466)/AK467*100</f>
        <v>1.25025008829953</v>
      </c>
      <c r="AO467" s="17" t="str">
        <f aca="false">IF(AN467&lt;-8,"FITS BITCH",IF(AN467&gt;-8,"no"))</f>
        <v>no</v>
      </c>
      <c r="AP467" s="17" t="str">
        <f aca="false">IF(AH468&lt;AH467,"FITS BITCH",IF(AH468&gt;AH467,"no"))</f>
        <v>FITS BITCH</v>
      </c>
      <c r="AQ467" s="17" t="str">
        <f aca="false">IF(AI468&lt;AI467,"FITS BITCH",IF(AI468&gt;AI467,"no"))</f>
        <v>FITS BITCH</v>
      </c>
      <c r="AR467" s="17" t="str">
        <f aca="false">IF(AJ467&lt;AH468,"FITS BITCH",IF(AJ467&gt;AH468,"no"))</f>
        <v>FITS BITCH</v>
      </c>
      <c r="AS467" s="17" t="str">
        <f aca="false">IF(AJ467&gt;AJ468,"FITS BITCH",IF(AJ467&lt;AJ468,"no"))</f>
        <v>no</v>
      </c>
      <c r="AT467" s="91" t="str">
        <f aca="false">IF(AND($AO467="FITS BITCH",$AP467="FITS BITCH",$AR467="FITS BITCH"),"BULLISH","")</f>
        <v/>
      </c>
      <c r="AU467" s="91" t="str">
        <f aca="false">IF(AND($AO467="FITS BITCH",$AQ467="FITS BITCH",$AS467="FITS BITCH"),"BEARISH","")</f>
        <v/>
      </c>
      <c r="AV467" s="86"/>
      <c r="AW467" s="86"/>
      <c r="AX467" s="86"/>
      <c r="CL467" s="99" t="n">
        <v>42475</v>
      </c>
      <c r="CM467" s="23" t="n">
        <f aca="false">$BA$68*CL467+$BA$70</f>
        <v>83.670541096667</v>
      </c>
    </row>
    <row r="468" customFormat="false" ht="15.75" hidden="false" customHeight="false" outlineLevel="0" collapsed="false">
      <c r="AE468" s="90" t="n">
        <f aca="false">Data!A463</f>
        <v>42297</v>
      </c>
      <c r="AF468" s="17" t="n">
        <f aca="false">Data!B463</f>
        <v>111.34</v>
      </c>
      <c r="AG468" s="17" t="n">
        <f aca="false">Data!F463</f>
        <v>48778770</v>
      </c>
      <c r="AH468" s="17" t="n">
        <f aca="false">Data!C463</f>
        <v>114.17</v>
      </c>
      <c r="AI468" s="17" t="n">
        <f aca="false">Data!D463</f>
        <v>110.82</v>
      </c>
      <c r="AJ468" s="17" t="n">
        <f aca="false">Data!E463</f>
        <v>113.77</v>
      </c>
      <c r="AK468" s="17" t="n">
        <f aca="false">Data!F463</f>
        <v>48778770</v>
      </c>
      <c r="AL468" s="17" t="n">
        <f aca="false">AJ468</f>
        <v>113.77</v>
      </c>
      <c r="AM468" s="17" t="n">
        <f aca="false">(AL468-AL467)/AL468*100</f>
        <v>0.00878966335588548</v>
      </c>
      <c r="AN468" s="17" t="n">
        <f aca="false">(AK468-AK467)/AK468*100</f>
        <v>14.3167447641669</v>
      </c>
      <c r="AO468" s="17" t="str">
        <f aca="false">IF(AN468&lt;-8,"FITS BITCH",IF(AN468&gt;-8,"no"))</f>
        <v>no</v>
      </c>
      <c r="AP468" s="17" t="str">
        <f aca="false">IF(AH469&lt;AH468,"FITS BITCH",IF(AH469&gt;AH468,"no"))</f>
        <v>FITS BITCH</v>
      </c>
      <c r="AQ468" s="17" t="str">
        <f aca="false">IF(AI469&lt;AI468,"FITS BITCH",IF(AI469&gt;AI468,"no"))</f>
        <v>FITS BITCH</v>
      </c>
      <c r="AR468" s="17" t="str">
        <f aca="false">IF(AJ468&lt;AH469,"FITS BITCH",IF(AJ468&gt;AH469,"no"))</f>
        <v>no</v>
      </c>
      <c r="AS468" s="17" t="str">
        <f aca="false">IF(AJ468&gt;AJ469,"FITS BITCH",IF(AJ468&lt;AJ469,"no"))</f>
        <v>FITS BITCH</v>
      </c>
      <c r="AT468" s="91" t="str">
        <f aca="false">IF(AND($AO468="FITS BITCH",$AP468="FITS BITCH",$AR468="FITS BITCH"),"BULLISH","")</f>
        <v/>
      </c>
      <c r="AU468" s="91" t="str">
        <f aca="false">IF(AND($AO468="FITS BITCH",$AQ468="FITS BITCH",$AS468="FITS BITCH"),"BEARISH","")</f>
        <v/>
      </c>
      <c r="AV468" s="86"/>
      <c r="AW468" s="86"/>
      <c r="AX468" s="86"/>
      <c r="CL468" s="99" t="n">
        <v>42474</v>
      </c>
      <c r="CM468" s="23" t="n">
        <f aca="false">$BA$68*CL468+$BA$70</f>
        <v>83.5164228664244</v>
      </c>
    </row>
    <row r="469" customFormat="false" ht="15.75" hidden="false" customHeight="false" outlineLevel="0" collapsed="false">
      <c r="AE469" s="90" t="n">
        <f aca="false">Data!A464</f>
        <v>42296</v>
      </c>
      <c r="AF469" s="17" t="n">
        <f aca="false">Data!B464</f>
        <v>110.8</v>
      </c>
      <c r="AG469" s="17" t="n">
        <f aca="false">Data!F464</f>
        <v>29606075</v>
      </c>
      <c r="AH469" s="17" t="n">
        <f aca="false">Data!C464</f>
        <v>111.75</v>
      </c>
      <c r="AI469" s="17" t="n">
        <f aca="false">Data!D464</f>
        <v>110.11</v>
      </c>
      <c r="AJ469" s="17" t="n">
        <f aca="false">Data!E464</f>
        <v>111.73</v>
      </c>
      <c r="AK469" s="17" t="n">
        <f aca="false">Data!F464</f>
        <v>29606075</v>
      </c>
      <c r="AL469" s="17" t="n">
        <f aca="false">AJ469</f>
        <v>111.73</v>
      </c>
      <c r="AM469" s="17" t="n">
        <f aca="false">(AL469-AL468)/AL469*100</f>
        <v>-1.82583012619708</v>
      </c>
      <c r="AN469" s="17" t="n">
        <f aca="false">(AK469-AK468)/AK469*100</f>
        <v>-64.7593272664479</v>
      </c>
      <c r="AO469" s="17" t="str">
        <f aca="false">IF(AN469&lt;-8,"FITS BITCH",IF(AN469&gt;-8,"no"))</f>
        <v>FITS BITCH</v>
      </c>
      <c r="AP469" s="17" t="str">
        <f aca="false">IF(AH470&lt;AH469,"FITS BITCH",IF(AH470&gt;AH469,"no"))</f>
        <v>no</v>
      </c>
      <c r="AQ469" s="17" t="str">
        <f aca="false">IF(AI470&lt;AI469,"FITS BITCH",IF(AI470&gt;AI469,"no"))</f>
        <v>no</v>
      </c>
      <c r="AR469" s="17" t="str">
        <f aca="false">IF(AJ469&lt;AH470,"FITS BITCH",IF(AJ469&gt;AH470,"no"))</f>
        <v>FITS BITCH</v>
      </c>
      <c r="AS469" s="17" t="str">
        <f aca="false">IF(AJ469&gt;AJ470,"FITS BITCH",IF(AJ469&lt;AJ470,"no"))</f>
        <v>FITS BITCH</v>
      </c>
      <c r="AT469" s="91" t="str">
        <f aca="false">IF(AND($AO469="FITS BITCH",$AP469="FITS BITCH",$AR469="FITS BITCH"),"BULLISH","")</f>
        <v/>
      </c>
      <c r="AU469" s="91" t="str">
        <f aca="false">IF(AND($AO469="FITS BITCH",$AQ469="FITS BITCH",$AS469="FITS BITCH"),"BEARISH","")</f>
        <v/>
      </c>
      <c r="AV469" s="86"/>
      <c r="AW469" s="86"/>
      <c r="AX469" s="86"/>
      <c r="CL469" s="99" t="n">
        <v>42473</v>
      </c>
      <c r="CM469" s="23" t="n">
        <f aca="false">$BA$68*CL469+$BA$70</f>
        <v>83.3623046361818</v>
      </c>
    </row>
    <row r="470" customFormat="false" ht="15.75" hidden="false" customHeight="false" outlineLevel="0" collapsed="false">
      <c r="AE470" s="90" t="n">
        <f aca="false">Data!A465</f>
        <v>42293</v>
      </c>
      <c r="AF470" s="17" t="n">
        <f aca="false">Data!B465</f>
        <v>111.78</v>
      </c>
      <c r="AG470" s="17" t="n">
        <f aca="false">Data!F465</f>
        <v>38236278</v>
      </c>
      <c r="AH470" s="17" t="n">
        <f aca="false">Data!C465</f>
        <v>112</v>
      </c>
      <c r="AI470" s="17" t="n">
        <f aca="false">Data!D465</f>
        <v>110.53</v>
      </c>
      <c r="AJ470" s="17" t="n">
        <f aca="false">Data!E465</f>
        <v>111.04</v>
      </c>
      <c r="AK470" s="17" t="n">
        <f aca="false">Data!F465</f>
        <v>38236278</v>
      </c>
      <c r="AL470" s="17" t="n">
        <f aca="false">AJ470</f>
        <v>111.04</v>
      </c>
      <c r="AM470" s="17" t="n">
        <f aca="false">(AL470-AL469)/AL470*100</f>
        <v>-0.621397694524494</v>
      </c>
      <c r="AN470" s="17" t="n">
        <f aca="false">(AK470-AK469)/AK470*100</f>
        <v>22.5707193571508</v>
      </c>
      <c r="AO470" s="17" t="str">
        <f aca="false">IF(AN470&lt;-8,"FITS BITCH",IF(AN470&gt;-8,"no"))</f>
        <v>no</v>
      </c>
      <c r="AP470" s="17" t="str">
        <f aca="false">IF(AH471&lt;AH470,"FITS BITCH",IF(AH471&gt;AH470,"no"))</f>
        <v>no</v>
      </c>
      <c r="AQ470" s="17" t="str">
        <f aca="false">IF(AI471&lt;AI470,"FITS BITCH",IF(AI471&gt;AI470,"no"))</f>
        <v>FITS BITCH</v>
      </c>
      <c r="AR470" s="17" t="str">
        <f aca="false">IF(AJ470&lt;AH471,"FITS BITCH",IF(AJ470&gt;AH471,"no"))</f>
        <v>FITS BITCH</v>
      </c>
      <c r="AS470" s="17" t="str">
        <f aca="false">IF(AJ470&gt;AJ471,"FITS BITCH",IF(AJ470&lt;AJ471,"no"))</f>
        <v>no</v>
      </c>
      <c r="AT470" s="91" t="str">
        <f aca="false">IF(AND($AO470="FITS BITCH",$AP470="FITS BITCH",$AR470="FITS BITCH"),"BULLISH","")</f>
        <v/>
      </c>
      <c r="AU470" s="91" t="str">
        <f aca="false">IF(AND($AO470="FITS BITCH",$AQ470="FITS BITCH",$AS470="FITS BITCH"),"BEARISH","")</f>
        <v/>
      </c>
      <c r="AV470" s="86"/>
      <c r="AW470" s="86"/>
      <c r="AX470" s="86"/>
      <c r="CL470" s="99" t="n">
        <v>42472</v>
      </c>
      <c r="CM470" s="23" t="n">
        <f aca="false">$BA$68*CL470+$BA$70</f>
        <v>83.2081864059392</v>
      </c>
    </row>
    <row r="471" customFormat="false" ht="15.75" hidden="false" customHeight="false" outlineLevel="0" collapsed="false">
      <c r="AE471" s="90" t="n">
        <f aca="false">Data!A466</f>
        <v>42292</v>
      </c>
      <c r="AF471" s="17" t="n">
        <f aca="false">Data!B466</f>
        <v>110.93</v>
      </c>
      <c r="AG471" s="17" t="n">
        <f aca="false">Data!F466</f>
        <v>37340996</v>
      </c>
      <c r="AH471" s="17" t="n">
        <f aca="false">Data!C466</f>
        <v>112.1</v>
      </c>
      <c r="AI471" s="17" t="n">
        <f aca="false">Data!D466</f>
        <v>110.49</v>
      </c>
      <c r="AJ471" s="17" t="n">
        <f aca="false">Data!E466</f>
        <v>111.86</v>
      </c>
      <c r="AK471" s="17" t="n">
        <f aca="false">Data!F466</f>
        <v>37340996</v>
      </c>
      <c r="AL471" s="17" t="n">
        <f aca="false">AJ471</f>
        <v>111.86</v>
      </c>
      <c r="AM471" s="17" t="n">
        <f aca="false">(AL471-AL470)/AL471*100</f>
        <v>0.73305918111925</v>
      </c>
      <c r="AN471" s="17" t="n">
        <f aca="false">(AK471-AK470)/AK471*100</f>
        <v>-2.39758468145842</v>
      </c>
      <c r="AO471" s="17" t="str">
        <f aca="false">IF(AN471&lt;-8,"FITS BITCH",IF(AN471&gt;-8,"no"))</f>
        <v>no</v>
      </c>
      <c r="AP471" s="17" t="str">
        <f aca="false">IF(AH472&lt;AH471,"FITS BITCH",IF(AH472&gt;AH471,"no"))</f>
        <v>FITS BITCH</v>
      </c>
      <c r="AQ471" s="17" t="str">
        <f aca="false">IF(AI472&lt;AI471,"FITS BITCH",IF(AI472&gt;AI471,"no"))</f>
        <v>FITS BITCH</v>
      </c>
      <c r="AR471" s="17" t="str">
        <f aca="false">IF(AJ471&lt;AH472,"FITS BITCH",IF(AJ471&gt;AH472,"no"))</f>
        <v>no</v>
      </c>
      <c r="AS471" s="17" t="str">
        <f aca="false">IF(AJ471&gt;AJ472,"FITS BITCH",IF(AJ471&lt;AJ472,"no"))</f>
        <v>FITS BITCH</v>
      </c>
      <c r="AT471" s="91" t="str">
        <f aca="false">IF(AND($AO471="FITS BITCH",$AP471="FITS BITCH",$AR471="FITS BITCH"),"BULLISH","")</f>
        <v/>
      </c>
      <c r="AU471" s="91" t="str">
        <f aca="false">IF(AND($AO471="FITS BITCH",$AQ471="FITS BITCH",$AS471="FITS BITCH"),"BEARISH","")</f>
        <v/>
      </c>
      <c r="AV471" s="86"/>
      <c r="AW471" s="86"/>
      <c r="AX471" s="86"/>
      <c r="CL471" s="99" t="n">
        <v>42471</v>
      </c>
      <c r="CM471" s="23" t="n">
        <f aca="false">$BA$68*CL471+$BA$70</f>
        <v>83.0540681756957</v>
      </c>
    </row>
    <row r="472" customFormat="false" ht="15.75" hidden="false" customHeight="false" outlineLevel="0" collapsed="false">
      <c r="AE472" s="90" t="n">
        <f aca="false">Data!A467</f>
        <v>42291</v>
      </c>
      <c r="AF472" s="17" t="n">
        <f aca="false">Data!B467</f>
        <v>111.29</v>
      </c>
      <c r="AG472" s="17" t="n">
        <f aca="false">Data!F467</f>
        <v>44325611</v>
      </c>
      <c r="AH472" s="17" t="n">
        <f aca="false">Data!C467</f>
        <v>111.52</v>
      </c>
      <c r="AI472" s="17" t="n">
        <f aca="false">Data!D467</f>
        <v>109.56</v>
      </c>
      <c r="AJ472" s="17" t="n">
        <f aca="false">Data!E467</f>
        <v>110.21</v>
      </c>
      <c r="AK472" s="17" t="n">
        <f aca="false">Data!F467</f>
        <v>44325611</v>
      </c>
      <c r="AL472" s="17" t="n">
        <f aca="false">AJ472</f>
        <v>110.21</v>
      </c>
      <c r="AM472" s="17" t="n">
        <f aca="false">(AL472-AL471)/AL472*100</f>
        <v>-1.49714182016152</v>
      </c>
      <c r="AN472" s="17" t="n">
        <f aca="false">(AK472-AK471)/AK472*100</f>
        <v>15.7575154463184</v>
      </c>
      <c r="AO472" s="17" t="str">
        <f aca="false">IF(AN472&lt;-8,"FITS BITCH",IF(AN472&gt;-8,"no"))</f>
        <v>no</v>
      </c>
      <c r="AP472" s="17" t="str">
        <f aca="false">IF(AH473&lt;AH472,"FITS BITCH",IF(AH473&gt;AH472,"no"))</f>
        <v>no</v>
      </c>
      <c r="AQ472" s="17" t="str">
        <f aca="false">IF(AI473&lt;AI472,"FITS BITCH",IF(AI473&gt;AI472,"no"))</f>
        <v>no</v>
      </c>
      <c r="AR472" s="17" t="str">
        <f aca="false">IF(AJ472&lt;AH473,"FITS BITCH",IF(AJ472&gt;AH473,"no"))</f>
        <v>FITS BITCH</v>
      </c>
      <c r="AS472" s="17" t="str">
        <f aca="false">IF(AJ472&gt;AJ473,"FITS BITCH",IF(AJ472&lt;AJ473,"no"))</f>
        <v>no</v>
      </c>
      <c r="AT472" s="91" t="str">
        <f aca="false">IF(AND($AO472="FITS BITCH",$AP472="FITS BITCH",$AR472="FITS BITCH"),"BULLISH","")</f>
        <v/>
      </c>
      <c r="AU472" s="91" t="str">
        <f aca="false">IF(AND($AO472="FITS BITCH",$AQ472="FITS BITCH",$AS472="FITS BITCH"),"BEARISH","")</f>
        <v/>
      </c>
      <c r="AV472" s="86"/>
      <c r="AW472" s="86"/>
      <c r="AX472" s="86"/>
      <c r="CL472" s="99" t="n">
        <v>42468</v>
      </c>
      <c r="CM472" s="23" t="n">
        <f aca="false">$BA$68*CL472+$BA$70</f>
        <v>82.5917134849678</v>
      </c>
    </row>
    <row r="473" customFormat="false" ht="15.75" hidden="false" customHeight="false" outlineLevel="0" collapsed="false">
      <c r="AE473" s="90" t="n">
        <f aca="false">Data!A468</f>
        <v>42290</v>
      </c>
      <c r="AF473" s="17" t="n">
        <f aca="false">Data!B468</f>
        <v>110.82</v>
      </c>
      <c r="AG473" s="17" t="n">
        <f aca="false">Data!F468</f>
        <v>32424018</v>
      </c>
      <c r="AH473" s="17" t="n">
        <f aca="false">Data!C468</f>
        <v>112.45</v>
      </c>
      <c r="AI473" s="17" t="n">
        <f aca="false">Data!D468</f>
        <v>110.68</v>
      </c>
      <c r="AJ473" s="17" t="n">
        <f aca="false">Data!E468</f>
        <v>111.79</v>
      </c>
      <c r="AK473" s="17" t="n">
        <f aca="false">Data!F468</f>
        <v>32424018</v>
      </c>
      <c r="AL473" s="17" t="n">
        <f aca="false">AJ473</f>
        <v>111.79</v>
      </c>
      <c r="AM473" s="17" t="n">
        <f aca="false">(AL473-AL472)/AL473*100</f>
        <v>1.41336434385903</v>
      </c>
      <c r="AN473" s="17" t="n">
        <f aca="false">(AK473-AK472)/AK473*100</f>
        <v>-36.7061016312044</v>
      </c>
      <c r="AO473" s="17" t="str">
        <f aca="false">IF(AN473&lt;-8,"FITS BITCH",IF(AN473&gt;-8,"no"))</f>
        <v>FITS BITCH</v>
      </c>
      <c r="AP473" s="17" t="str">
        <f aca="false">IF(AH474&lt;AH473,"FITS BITCH",IF(AH474&gt;AH473,"no"))</f>
        <v>no</v>
      </c>
      <c r="AQ473" s="17" t="str">
        <f aca="false">IF(AI474&lt;AI473,"FITS BITCH",IF(AI474&gt;AI473,"no"))</f>
        <v>no</v>
      </c>
      <c r="AR473" s="17" t="str">
        <f aca="false">IF(AJ473&lt;AH474,"FITS BITCH",IF(AJ473&gt;AH474,"no"))</f>
        <v>FITS BITCH</v>
      </c>
      <c r="AS473" s="17" t="str">
        <f aca="false">IF(AJ473&gt;AJ474,"FITS BITCH",IF(AJ473&lt;AJ474,"no"))</f>
        <v>FITS BITCH</v>
      </c>
      <c r="AT473" s="91" t="str">
        <f aca="false">IF(AND($AO473="FITS BITCH",$AP473="FITS BITCH",$AR473="FITS BITCH"),"BULLISH","")</f>
        <v/>
      </c>
      <c r="AU473" s="91" t="str">
        <f aca="false">IF(AND($AO473="FITS BITCH",$AQ473="FITS BITCH",$AS473="FITS BITCH"),"BEARISH","")</f>
        <v/>
      </c>
      <c r="AV473" s="86"/>
      <c r="AW473" s="86"/>
      <c r="AX473" s="86"/>
      <c r="CL473" s="99" t="n">
        <v>42467</v>
      </c>
      <c r="CM473" s="23" t="n">
        <f aca="false">$BA$68*CL473+$BA$70</f>
        <v>82.4375952547252</v>
      </c>
    </row>
    <row r="474" customFormat="false" ht="15.75" hidden="false" customHeight="false" outlineLevel="0" collapsed="false">
      <c r="AE474" s="90" t="n">
        <f aca="false">Data!A469</f>
        <v>42289</v>
      </c>
      <c r="AF474" s="17" t="n">
        <f aca="false">Data!B469</f>
        <v>112.73</v>
      </c>
      <c r="AG474" s="17" t="n">
        <f aca="false">Data!F469</f>
        <v>30114425</v>
      </c>
      <c r="AH474" s="17" t="n">
        <f aca="false">Data!C469</f>
        <v>112.75</v>
      </c>
      <c r="AI474" s="17" t="n">
        <f aca="false">Data!D469</f>
        <v>111.44</v>
      </c>
      <c r="AJ474" s="17" t="n">
        <f aca="false">Data!E469</f>
        <v>111.6</v>
      </c>
      <c r="AK474" s="17" t="n">
        <f aca="false">Data!F469</f>
        <v>30114425</v>
      </c>
      <c r="AL474" s="17" t="n">
        <f aca="false">AJ474</f>
        <v>111.6</v>
      </c>
      <c r="AM474" s="17" t="n">
        <f aca="false">(AL474-AL473)/AL474*100</f>
        <v>-0.170250896057358</v>
      </c>
      <c r="AN474" s="17" t="n">
        <f aca="false">(AK474-AK473)/AK474*100</f>
        <v>-7.66939099783576</v>
      </c>
      <c r="AO474" s="17" t="str">
        <f aca="false">IF(AN474&lt;-8,"FITS BITCH",IF(AN474&gt;-8,"no"))</f>
        <v>no</v>
      </c>
      <c r="AP474" s="17" t="str">
        <f aca="false">IF(AH475&lt;AH474,"FITS BITCH",IF(AH475&gt;AH474,"no"))</f>
        <v>FITS BITCH</v>
      </c>
      <c r="AQ474" s="17" t="str">
        <f aca="false">IF(AI475&lt;AI474,"FITS BITCH",IF(AI475&gt;AI474,"no"))</f>
        <v>FITS BITCH</v>
      </c>
      <c r="AR474" s="17" t="str">
        <f aca="false">IF(AJ474&lt;AH475,"FITS BITCH",IF(AJ474&gt;AH475,"no"))</f>
        <v>FITS BITCH</v>
      </c>
      <c r="AS474" s="17" t="str">
        <f aca="false">IF(AJ474&gt;AJ475,"FITS BITCH",IF(AJ474&lt;AJ475,"no"))</f>
        <v>no</v>
      </c>
      <c r="AT474" s="91" t="str">
        <f aca="false">IF(AND($AO474="FITS BITCH",$AP474="FITS BITCH",$AR474="FITS BITCH"),"BULLISH","")</f>
        <v/>
      </c>
      <c r="AU474" s="91" t="str">
        <f aca="false">IF(AND($AO474="FITS BITCH",$AQ474="FITS BITCH",$AS474="FITS BITCH"),"BEARISH","")</f>
        <v/>
      </c>
      <c r="AV474" s="86"/>
      <c r="AW474" s="86"/>
      <c r="AX474" s="86"/>
      <c r="CL474" s="99" t="n">
        <v>42466</v>
      </c>
      <c r="CM474" s="23" t="n">
        <f aca="false">$BA$68*CL474+$BA$70</f>
        <v>82.2834770244826</v>
      </c>
    </row>
    <row r="475" customFormat="false" ht="15.75" hidden="false" customHeight="false" outlineLevel="0" collapsed="false">
      <c r="AE475" s="90" t="n">
        <f aca="false">Data!A470</f>
        <v>42286</v>
      </c>
      <c r="AF475" s="17" t="n">
        <f aca="false">Data!B470</f>
        <v>111.64</v>
      </c>
      <c r="AG475" s="17" t="n">
        <f aca="false">Data!F470</f>
        <v>52533783</v>
      </c>
      <c r="AH475" s="17" t="n">
        <f aca="false">Data!C470</f>
        <v>112.28</v>
      </c>
      <c r="AI475" s="17" t="n">
        <f aca="false">Data!D470</f>
        <v>109.49</v>
      </c>
      <c r="AJ475" s="17" t="n">
        <f aca="false">Data!E470</f>
        <v>112.12</v>
      </c>
      <c r="AK475" s="17" t="n">
        <f aca="false">Data!F470</f>
        <v>52533783</v>
      </c>
      <c r="AL475" s="17" t="n">
        <f aca="false">AJ475</f>
        <v>112.12</v>
      </c>
      <c r="AM475" s="17" t="n">
        <f aca="false">(AL475-AL474)/AL475*100</f>
        <v>0.463788797716741</v>
      </c>
      <c r="AN475" s="17" t="n">
        <f aca="false">(AK475-AK474)/AK475*100</f>
        <v>42.6760776013408</v>
      </c>
      <c r="AO475" s="17" t="str">
        <f aca="false">IF(AN475&lt;-8,"FITS BITCH",IF(AN475&gt;-8,"no"))</f>
        <v>no</v>
      </c>
      <c r="AP475" s="17" t="str">
        <f aca="false">IF(AH476&lt;AH475,"FITS BITCH",IF(AH476&gt;AH475,"no"))</f>
        <v>FITS BITCH</v>
      </c>
      <c r="AQ475" s="17" t="str">
        <f aca="false">IF(AI476&lt;AI475,"FITS BITCH",IF(AI476&gt;AI475,"no"))</f>
        <v>FITS BITCH</v>
      </c>
      <c r="AR475" s="17" t="str">
        <f aca="false">IF(AJ475&lt;AH476,"FITS BITCH",IF(AJ475&gt;AH476,"no"))</f>
        <v>no</v>
      </c>
      <c r="AS475" s="17" t="str">
        <f aca="false">IF(AJ475&gt;AJ476,"FITS BITCH",IF(AJ475&lt;AJ476,"no"))</f>
        <v>FITS BITCH</v>
      </c>
      <c r="AT475" s="91" t="str">
        <f aca="false">IF(AND($AO475="FITS BITCH",$AP475="FITS BITCH",$AR475="FITS BITCH"),"BULLISH","")</f>
        <v/>
      </c>
      <c r="AU475" s="91" t="str">
        <f aca="false">IF(AND($AO475="FITS BITCH",$AQ475="FITS BITCH",$AS475="FITS BITCH"),"BEARISH","")</f>
        <v/>
      </c>
      <c r="AV475" s="86"/>
      <c r="AW475" s="86"/>
      <c r="AX475" s="86"/>
      <c r="CL475" s="99" t="n">
        <v>42465</v>
      </c>
      <c r="CM475" s="23" t="n">
        <f aca="false">$BA$68*CL475+$BA$70</f>
        <v>82.12935879424</v>
      </c>
    </row>
    <row r="476" customFormat="false" ht="15.75" hidden="false" customHeight="false" outlineLevel="0" collapsed="false">
      <c r="AE476" s="90" t="n">
        <f aca="false">Data!A471</f>
        <v>42285</v>
      </c>
      <c r="AF476" s="17" t="n">
        <f aca="false">Data!B471</f>
        <v>110.06</v>
      </c>
      <c r="AG476" s="17" t="n">
        <f aca="false">Data!F471</f>
        <v>61698450</v>
      </c>
      <c r="AH476" s="17" t="n">
        <f aca="false">Data!C471</f>
        <v>110.19</v>
      </c>
      <c r="AI476" s="17" t="n">
        <f aca="false">Data!D471</f>
        <v>108.21</v>
      </c>
      <c r="AJ476" s="17" t="n">
        <f aca="false">Data!E471</f>
        <v>109.5</v>
      </c>
      <c r="AK476" s="17" t="n">
        <f aca="false">Data!F471</f>
        <v>61698450</v>
      </c>
      <c r="AL476" s="17" t="n">
        <f aca="false">AJ476</f>
        <v>109.5</v>
      </c>
      <c r="AM476" s="17" t="n">
        <f aca="false">(AL476-AL475)/AL476*100</f>
        <v>-2.39269406392694</v>
      </c>
      <c r="AN476" s="17" t="n">
        <f aca="false">(AK476-AK475)/AK476*100</f>
        <v>14.8539663476149</v>
      </c>
      <c r="AO476" s="17" t="str">
        <f aca="false">IF(AN476&lt;-8,"FITS BITCH",IF(AN476&gt;-8,"no"))</f>
        <v>no</v>
      </c>
      <c r="AP476" s="17" t="str">
        <f aca="false">IF(AH477&lt;AH476,"FITS BITCH",IF(AH477&gt;AH476,"no"))</f>
        <v>no</v>
      </c>
      <c r="AQ476" s="17" t="str">
        <f aca="false">IF(AI477&lt;AI476,"FITS BITCH",IF(AI477&gt;AI476,"no"))</f>
        <v>no</v>
      </c>
      <c r="AR476" s="17" t="str">
        <f aca="false">IF(AJ476&lt;AH477,"FITS BITCH",IF(AJ476&gt;AH477,"no"))</f>
        <v>FITS BITCH</v>
      </c>
      <c r="AS476" s="17" t="str">
        <f aca="false">IF(AJ476&gt;AJ477,"FITS BITCH",IF(AJ476&lt;AJ477,"no"))</f>
        <v>no</v>
      </c>
      <c r="AT476" s="91" t="str">
        <f aca="false">IF(AND($AO476="FITS BITCH",$AP476="FITS BITCH",$AR476="FITS BITCH"),"BULLISH","")</f>
        <v/>
      </c>
      <c r="AU476" s="91" t="str">
        <f aca="false">IF(AND($AO476="FITS BITCH",$AQ476="FITS BITCH",$AS476="FITS BITCH"),"BEARISH","")</f>
        <v/>
      </c>
      <c r="AV476" s="86"/>
      <c r="AW476" s="86"/>
      <c r="AX476" s="86"/>
      <c r="CL476" s="99" t="n">
        <v>42464</v>
      </c>
      <c r="CM476" s="23" t="n">
        <f aca="false">$BA$68*CL476+$BA$70</f>
        <v>81.9752405639974</v>
      </c>
    </row>
    <row r="477" customFormat="false" ht="15.75" hidden="false" customHeight="false" outlineLevel="0" collapsed="false">
      <c r="AE477" s="90" t="n">
        <f aca="false">Data!A472</f>
        <v>42284</v>
      </c>
      <c r="AF477" s="17" t="n">
        <f aca="false">Data!B472</f>
        <v>110.47</v>
      </c>
      <c r="AG477" s="17" t="n">
        <f aca="false">Data!F472</f>
        <v>46602587</v>
      </c>
      <c r="AH477" s="17" t="n">
        <f aca="false">Data!C472</f>
        <v>111.77</v>
      </c>
      <c r="AI477" s="17" t="n">
        <f aca="false">Data!D472</f>
        <v>109.41</v>
      </c>
      <c r="AJ477" s="17" t="n">
        <f aca="false">Data!E472</f>
        <v>110.78</v>
      </c>
      <c r="AK477" s="17" t="n">
        <f aca="false">Data!F472</f>
        <v>46602587</v>
      </c>
      <c r="AL477" s="17" t="n">
        <f aca="false">AJ477</f>
        <v>110.78</v>
      </c>
      <c r="AM477" s="17" t="n">
        <f aca="false">(AL477-AL476)/AL477*100</f>
        <v>1.15544322079798</v>
      </c>
      <c r="AN477" s="17" t="n">
        <f aca="false">(AK477-AK476)/AK477*100</f>
        <v>-32.3927575093632</v>
      </c>
      <c r="AO477" s="17" t="str">
        <f aca="false">IF(AN477&lt;-8,"FITS BITCH",IF(AN477&gt;-8,"no"))</f>
        <v>FITS BITCH</v>
      </c>
      <c r="AP477" s="17" t="str">
        <f aca="false">IF(AH478&lt;AH477,"FITS BITCH",IF(AH478&gt;AH477,"no"))</f>
        <v>FITS BITCH</v>
      </c>
      <c r="AQ477" s="17" t="str">
        <f aca="false">IF(AI478&lt;AI477,"FITS BITCH",IF(AI478&gt;AI477,"no"))</f>
        <v>no</v>
      </c>
      <c r="AR477" s="17" t="str">
        <f aca="false">IF(AJ477&lt;AH478,"FITS BITCH",IF(AJ477&gt;AH478,"no"))</f>
        <v>FITS BITCH</v>
      </c>
      <c r="AS477" s="17" t="str">
        <f aca="false">IF(AJ477&gt;AJ478,"FITS BITCH",IF(AJ477&lt;AJ478,"no"))</f>
        <v>no</v>
      </c>
      <c r="AT477" s="91" t="str">
        <f aca="false">IF(AND($AO477="FITS BITCH",$AP477="FITS BITCH",$AR477="FITS BITCH"),"BULLISH","")</f>
        <v>BULLISH</v>
      </c>
      <c r="AU477" s="91" t="str">
        <f aca="false">IF(AND($AO477="FITS BITCH",$AQ477="FITS BITCH",$AS477="FITS BITCH"),"BEARISH","")</f>
        <v/>
      </c>
      <c r="AV477" s="86"/>
      <c r="AW477" s="86"/>
      <c r="AX477" s="86"/>
      <c r="CL477" s="99" t="n">
        <v>42461</v>
      </c>
      <c r="CM477" s="23" t="n">
        <f aca="false">$BA$68*CL477+$BA$70</f>
        <v>81.5128858732687</v>
      </c>
    </row>
    <row r="478" customFormat="false" ht="15.75" hidden="false" customHeight="false" outlineLevel="0" collapsed="false">
      <c r="AE478" s="90" t="n">
        <f aca="false">Data!A473</f>
        <v>42283</v>
      </c>
      <c r="AF478" s="17" t="n">
        <f aca="false">Data!B473</f>
        <v>110.63</v>
      </c>
      <c r="AG478" s="17" t="n">
        <f aca="false">Data!F473</f>
        <v>48196751</v>
      </c>
      <c r="AH478" s="17" t="n">
        <f aca="false">Data!C473</f>
        <v>111.74</v>
      </c>
      <c r="AI478" s="17" t="n">
        <f aca="false">Data!D473</f>
        <v>109.76</v>
      </c>
      <c r="AJ478" s="17" t="n">
        <f aca="false">Data!E473</f>
        <v>111.31</v>
      </c>
      <c r="AK478" s="17" t="n">
        <f aca="false">Data!F473</f>
        <v>48196751</v>
      </c>
      <c r="AL478" s="17" t="n">
        <f aca="false">AJ478</f>
        <v>111.31</v>
      </c>
      <c r="AM478" s="17" t="n">
        <f aca="false">(AL478-AL477)/AL478*100</f>
        <v>0.476147695624833</v>
      </c>
      <c r="AN478" s="17" t="n">
        <f aca="false">(AK478-AK477)/AK478*100</f>
        <v>3.30761714622631</v>
      </c>
      <c r="AO478" s="17" t="str">
        <f aca="false">IF(AN478&lt;-8,"FITS BITCH",IF(AN478&gt;-8,"no"))</f>
        <v>no</v>
      </c>
      <c r="AP478" s="17" t="str">
        <f aca="false">IF(AH479&lt;AH478,"FITS BITCH",IF(AH479&gt;AH478,"no"))</f>
        <v>FITS BITCH</v>
      </c>
      <c r="AQ478" s="17" t="str">
        <f aca="false">IF(AI479&lt;AI478,"FITS BITCH",IF(AI479&gt;AI478,"no"))</f>
        <v>FITS BITCH</v>
      </c>
      <c r="AR478" s="17" t="str">
        <f aca="false">IF(AJ478&lt;AH479,"FITS BITCH",IF(AJ478&gt;AH479,"no"))</f>
        <v>FITS BITCH</v>
      </c>
      <c r="AS478" s="17" t="str">
        <f aca="false">IF(AJ478&gt;AJ479,"FITS BITCH",IF(AJ478&lt;AJ479,"no"))</f>
        <v>FITS BITCH</v>
      </c>
      <c r="AT478" s="91" t="str">
        <f aca="false">IF(AND($AO478="FITS BITCH",$AP478="FITS BITCH",$AR478="FITS BITCH"),"BULLISH","")</f>
        <v/>
      </c>
      <c r="AU478" s="91" t="str">
        <f aca="false">IF(AND($AO478="FITS BITCH",$AQ478="FITS BITCH",$AS478="FITS BITCH"),"BEARISH","")</f>
        <v/>
      </c>
      <c r="AV478" s="86"/>
      <c r="AW478" s="86"/>
      <c r="AX478" s="86"/>
    </row>
    <row r="479" customFormat="false" ht="15.75" hidden="false" customHeight="false" outlineLevel="0" collapsed="false">
      <c r="AE479" s="90" t="n">
        <f aca="false">Data!A474</f>
        <v>42282</v>
      </c>
      <c r="AF479" s="17" t="n">
        <f aca="false">Data!B474</f>
        <v>110.08</v>
      </c>
      <c r="AG479" s="17" t="n">
        <f aca="false">Data!F474</f>
        <v>51723110</v>
      </c>
      <c r="AH479" s="17" t="n">
        <f aca="false">Data!C474</f>
        <v>111.37</v>
      </c>
      <c r="AI479" s="17" t="n">
        <f aca="false">Data!D474</f>
        <v>109.07</v>
      </c>
      <c r="AJ479" s="17" t="n">
        <f aca="false">Data!E474</f>
        <v>110.78</v>
      </c>
      <c r="AK479" s="17" t="n">
        <f aca="false">Data!F474</f>
        <v>51723110</v>
      </c>
      <c r="AL479" s="17" t="n">
        <f aca="false">AJ479</f>
        <v>110.78</v>
      </c>
      <c r="AM479" s="17" t="n">
        <f aca="false">(AL479-AL478)/AL479*100</f>
        <v>-0.478425708611664</v>
      </c>
      <c r="AN479" s="17" t="n">
        <f aca="false">(AK479-AK478)/AK479*100</f>
        <v>6.81776289167453</v>
      </c>
      <c r="AO479" s="17" t="str">
        <f aca="false">IF(AN479&lt;-8,"FITS BITCH",IF(AN479&gt;-8,"no"))</f>
        <v>no</v>
      </c>
      <c r="AP479" s="17" t="str">
        <f aca="false">IF(AH480&lt;AH479,"FITS BITCH",IF(AH480&gt;AH479,"no"))</f>
        <v>FITS BITCH</v>
      </c>
      <c r="AQ479" s="17" t="str">
        <f aca="false">IF(AI480&lt;AI479,"FITS BITCH",IF(AI480&gt;AI479,"no"))</f>
        <v>FITS BITCH</v>
      </c>
      <c r="AR479" s="17" t="str">
        <f aca="false">IF(AJ479&lt;AH480,"FITS BITCH",IF(AJ479&gt;AH480,"no"))</f>
        <v>FITS BITCH</v>
      </c>
      <c r="AS479" s="17" t="str">
        <f aca="false">IF(AJ479&gt;AJ480,"FITS BITCH",IF(AJ479&lt;AJ480,"no"))</f>
        <v>FITS BITCH</v>
      </c>
      <c r="AT479" s="91" t="str">
        <f aca="false">IF(AND($AO479="FITS BITCH",$AP479="FITS BITCH",$AR479="FITS BITCH"),"BULLISH","")</f>
        <v/>
      </c>
      <c r="AU479" s="91" t="str">
        <f aca="false">IF(AND($AO479="FITS BITCH",$AQ479="FITS BITCH",$AS479="FITS BITCH"),"BEARISH","")</f>
        <v/>
      </c>
      <c r="AV479" s="86"/>
      <c r="AW479" s="86"/>
      <c r="AX479" s="86"/>
    </row>
    <row r="480" customFormat="false" ht="15.75" hidden="false" customHeight="false" outlineLevel="0" collapsed="false">
      <c r="AE480" s="90" t="n">
        <f aca="false">Data!A475</f>
        <v>42279</v>
      </c>
      <c r="AF480" s="17" t="n">
        <f aca="false">Data!B475</f>
        <v>108.01</v>
      </c>
      <c r="AG480" s="17" t="n">
        <f aca="false">Data!F475</f>
        <v>57560431</v>
      </c>
      <c r="AH480" s="17" t="n">
        <f aca="false">Data!C475</f>
        <v>111.01</v>
      </c>
      <c r="AI480" s="17" t="n">
        <f aca="false">Data!D475</f>
        <v>107.55</v>
      </c>
      <c r="AJ480" s="17" t="n">
        <f aca="false">Data!E475</f>
        <v>110.38</v>
      </c>
      <c r="AK480" s="17" t="n">
        <f aca="false">Data!F475</f>
        <v>57560431</v>
      </c>
      <c r="AL480" s="17" t="n">
        <f aca="false">AJ480</f>
        <v>110.38</v>
      </c>
      <c r="AM480" s="17" t="n">
        <f aca="false">(AL480-AL479)/AL480*100</f>
        <v>-0.362384489943836</v>
      </c>
      <c r="AN480" s="17" t="n">
        <f aca="false">(AK480-AK479)/AK480*100</f>
        <v>10.1412044673536</v>
      </c>
      <c r="AO480" s="17" t="str">
        <f aca="false">IF(AN480&lt;-8,"FITS BITCH",IF(AN480&gt;-8,"no"))</f>
        <v>no</v>
      </c>
      <c r="AP480" s="17" t="str">
        <f aca="false">IF(AH481&lt;AH480,"FITS BITCH",IF(AH481&gt;AH480,"no"))</f>
        <v>FITS BITCH</v>
      </c>
      <c r="AQ480" s="17" t="str">
        <f aca="false">IF(AI481&lt;AI480,"FITS BITCH",IF(AI481&gt;AI480,"no"))</f>
        <v>FITS BITCH</v>
      </c>
      <c r="AR480" s="17" t="str">
        <f aca="false">IF(AJ480&lt;AH481,"FITS BITCH",IF(AJ480&gt;AH481,"no"))</f>
        <v>no</v>
      </c>
      <c r="AS480" s="17" t="str">
        <f aca="false">IF(AJ480&gt;AJ481,"FITS BITCH",IF(AJ480&lt;AJ481,"no"))</f>
        <v>FITS BITCH</v>
      </c>
      <c r="AT480" s="91" t="str">
        <f aca="false">IF(AND($AO480="FITS BITCH",$AP480="FITS BITCH",$AR480="FITS BITCH"),"BULLISH","")</f>
        <v/>
      </c>
      <c r="AU480" s="91" t="str">
        <f aca="false">IF(AND($AO480="FITS BITCH",$AQ480="FITS BITCH",$AS480="FITS BITCH"),"BEARISH","")</f>
        <v/>
      </c>
      <c r="AV480" s="86"/>
      <c r="AW480" s="86"/>
      <c r="AX480" s="86"/>
    </row>
    <row r="481" customFormat="false" ht="15.75" hidden="false" customHeight="false" outlineLevel="0" collapsed="false">
      <c r="AE481" s="90" t="n">
        <f aca="false">Data!A476</f>
        <v>42278</v>
      </c>
      <c r="AF481" s="17" t="n">
        <f aca="false">Data!B476</f>
        <v>109.07</v>
      </c>
      <c r="AG481" s="17" t="n">
        <f aca="false">Data!F476</f>
        <v>63747954</v>
      </c>
      <c r="AH481" s="17" t="n">
        <f aca="false">Data!C476</f>
        <v>109.62</v>
      </c>
      <c r="AI481" s="17" t="n">
        <f aca="false">Data!D476</f>
        <v>107.31</v>
      </c>
      <c r="AJ481" s="17" t="n">
        <f aca="false">Data!E476</f>
        <v>109.58</v>
      </c>
      <c r="AK481" s="17" t="n">
        <f aca="false">Data!F476</f>
        <v>63747954</v>
      </c>
      <c r="AL481" s="17" t="n">
        <f aca="false">AJ481</f>
        <v>109.58</v>
      </c>
      <c r="AM481" s="17" t="n">
        <f aca="false">(AL481-AL480)/AL481*100</f>
        <v>-0.73006022996897</v>
      </c>
      <c r="AN481" s="17" t="n">
        <f aca="false">(AK481-AK480)/AK481*100</f>
        <v>9.70622994425829</v>
      </c>
      <c r="AO481" s="17" t="str">
        <f aca="false">IF(AN481&lt;-8,"FITS BITCH",IF(AN481&gt;-8,"no"))</f>
        <v>no</v>
      </c>
      <c r="AP481" s="17" t="str">
        <f aca="false">IF(AH482&lt;AH481,"FITS BITCH",IF(AH482&gt;AH481,"no"))</f>
        <v>no</v>
      </c>
      <c r="AQ481" s="17" t="str">
        <f aca="false">IF(AI482&lt;AI481,"FITS BITCH",IF(AI482&gt;AI481,"no"))</f>
        <v>no</v>
      </c>
      <c r="AR481" s="17" t="str">
        <f aca="false">IF(AJ481&lt;AH482,"FITS BITCH",IF(AJ481&gt;AH482,"no"))</f>
        <v>FITS BITCH</v>
      </c>
      <c r="AS481" s="17" t="str">
        <f aca="false">IF(AJ481&gt;AJ482,"FITS BITCH",IF(AJ481&lt;AJ482,"no"))</f>
        <v>no</v>
      </c>
      <c r="AT481" s="91" t="str">
        <f aca="false">IF(AND($AO481="FITS BITCH",$AP481="FITS BITCH",$AR481="FITS BITCH"),"BULLISH","")</f>
        <v/>
      </c>
      <c r="AU481" s="91" t="str">
        <f aca="false">IF(AND($AO481="FITS BITCH",$AQ481="FITS BITCH",$AS481="FITS BITCH"),"BEARISH","")</f>
        <v/>
      </c>
      <c r="AV481" s="86"/>
      <c r="AW481" s="86"/>
      <c r="AX481" s="86"/>
    </row>
    <row r="482" customFormat="false" ht="15.75" hidden="false" customHeight="false" outlineLevel="0" collapsed="false">
      <c r="AE482" s="90" t="n">
        <f aca="false">Data!A477</f>
        <v>42277</v>
      </c>
      <c r="AF482" s="17" t="n">
        <f aca="false">Data!B477</f>
        <v>110.17</v>
      </c>
      <c r="AG482" s="17" t="n">
        <f aca="false">Data!F477</f>
        <v>66105030</v>
      </c>
      <c r="AH482" s="17" t="n">
        <f aca="false">Data!C477</f>
        <v>111.54</v>
      </c>
      <c r="AI482" s="17" t="n">
        <f aca="false">Data!D477</f>
        <v>108.73</v>
      </c>
      <c r="AJ482" s="17" t="n">
        <f aca="false">Data!E477</f>
        <v>110.3</v>
      </c>
      <c r="AK482" s="17" t="n">
        <f aca="false">Data!F477</f>
        <v>66105030</v>
      </c>
      <c r="AL482" s="17" t="n">
        <f aca="false">AJ482</f>
        <v>110.3</v>
      </c>
      <c r="AM482" s="17" t="n">
        <f aca="false">(AL482-AL481)/AL482*100</f>
        <v>0.652765185856753</v>
      </c>
      <c r="AN482" s="17" t="n">
        <f aca="false">(AK482-AK481)/AK482*100</f>
        <v>3.5656530221679</v>
      </c>
      <c r="AO482" s="17" t="str">
        <f aca="false">IF(AN482&lt;-8,"FITS BITCH",IF(AN482&gt;-8,"no"))</f>
        <v>no</v>
      </c>
      <c r="AP482" s="17" t="str">
        <f aca="false">IF(AH483&lt;AH482,"FITS BITCH",IF(AH483&gt;AH482,"no"))</f>
        <v>no</v>
      </c>
      <c r="AQ482" s="17" t="str">
        <f aca="false">IF(AI483&lt;AI482,"FITS BITCH",IF(AI483&gt;AI482,"no"))</f>
        <v>FITS BITCH</v>
      </c>
      <c r="AR482" s="17" t="str">
        <f aca="false">IF(AJ482&lt;AH483,"FITS BITCH",IF(AJ482&gt;AH483,"no"))</f>
        <v>FITS BITCH</v>
      </c>
      <c r="AS482" s="17" t="str">
        <f aca="false">IF(AJ482&gt;AJ483,"FITS BITCH",IF(AJ482&lt;AJ483,"no"))</f>
        <v>FITS BITCH</v>
      </c>
      <c r="AT482" s="91" t="str">
        <f aca="false">IF(AND($AO482="FITS BITCH",$AP482="FITS BITCH",$AR482="FITS BITCH"),"BULLISH","")</f>
        <v/>
      </c>
      <c r="AU482" s="91" t="str">
        <f aca="false">IF(AND($AO482="FITS BITCH",$AQ482="FITS BITCH",$AS482="FITS BITCH"),"BEARISH","")</f>
        <v/>
      </c>
      <c r="AV482" s="86"/>
      <c r="AW482" s="86"/>
      <c r="AX482" s="86"/>
    </row>
    <row r="483" customFormat="false" ht="15.75" hidden="false" customHeight="false" outlineLevel="0" collapsed="false">
      <c r="AE483" s="90" t="n">
        <f aca="false">Data!A478</f>
        <v>42276</v>
      </c>
      <c r="AF483" s="17" t="n">
        <f aca="false">Data!B478</f>
        <v>112.83</v>
      </c>
      <c r="AG483" s="17" t="n">
        <f aca="false">Data!F478</f>
        <v>73135853</v>
      </c>
      <c r="AH483" s="17" t="n">
        <f aca="false">Data!C478</f>
        <v>113.51</v>
      </c>
      <c r="AI483" s="17" t="n">
        <f aca="false">Data!D478</f>
        <v>107.86</v>
      </c>
      <c r="AJ483" s="17" t="n">
        <f aca="false">Data!E478</f>
        <v>109.06</v>
      </c>
      <c r="AK483" s="17" t="n">
        <f aca="false">Data!F478</f>
        <v>73135853</v>
      </c>
      <c r="AL483" s="17" t="n">
        <f aca="false">AJ483</f>
        <v>109.06</v>
      </c>
      <c r="AM483" s="17" t="n">
        <f aca="false">(AL483-AL482)/AL483*100</f>
        <v>-1.13698881349715</v>
      </c>
      <c r="AN483" s="17" t="n">
        <f aca="false">(AK483-AK482)/AK483*100</f>
        <v>9.61337389474353</v>
      </c>
      <c r="AO483" s="17" t="str">
        <f aca="false">IF(AN483&lt;-8,"FITS BITCH",IF(AN483&gt;-8,"no"))</f>
        <v>no</v>
      </c>
      <c r="AP483" s="17" t="str">
        <f aca="false">IF(AH484&lt;AH483,"FITS BITCH",IF(AH484&gt;AH483,"no"))</f>
        <v>no</v>
      </c>
      <c r="AQ483" s="17" t="str">
        <f aca="false">IF(AI484&lt;AI483,"FITS BITCH",IF(AI484&gt;AI483,"no"))</f>
        <v>no</v>
      </c>
      <c r="AR483" s="17" t="str">
        <f aca="false">IF(AJ483&lt;AH484,"FITS BITCH",IF(AJ483&gt;AH484,"no"))</f>
        <v>FITS BITCH</v>
      </c>
      <c r="AS483" s="17" t="str">
        <f aca="false">IF(AJ483&gt;AJ484,"FITS BITCH",IF(AJ483&lt;AJ484,"no"))</f>
        <v>no</v>
      </c>
      <c r="AT483" s="91" t="str">
        <f aca="false">IF(AND($AO483="FITS BITCH",$AP483="FITS BITCH",$AR483="FITS BITCH"),"BULLISH","")</f>
        <v/>
      </c>
      <c r="AU483" s="91" t="str">
        <f aca="false">IF(AND($AO483="FITS BITCH",$AQ483="FITS BITCH",$AS483="FITS BITCH"),"BEARISH","")</f>
        <v/>
      </c>
      <c r="AV483" s="86"/>
      <c r="AW483" s="86"/>
      <c r="AX483" s="86"/>
    </row>
    <row r="484" customFormat="false" ht="15.75" hidden="false" customHeight="false" outlineLevel="0" collapsed="false">
      <c r="AE484" s="90" t="n">
        <f aca="false">Data!A479</f>
        <v>42275</v>
      </c>
      <c r="AF484" s="17" t="n">
        <f aca="false">Data!B479</f>
        <v>113.85</v>
      </c>
      <c r="AG484" s="17" t="n">
        <f aca="false">Data!F479</f>
        <v>51723929</v>
      </c>
      <c r="AH484" s="17" t="n">
        <f aca="false">Data!C479</f>
        <v>114.57</v>
      </c>
      <c r="AI484" s="17" t="n">
        <f aca="false">Data!D479</f>
        <v>112.44</v>
      </c>
      <c r="AJ484" s="17" t="n">
        <f aca="false">Data!E479</f>
        <v>112.44</v>
      </c>
      <c r="AK484" s="17" t="n">
        <f aca="false">Data!F479</f>
        <v>51723929</v>
      </c>
      <c r="AL484" s="17" t="n">
        <f aca="false">AJ484</f>
        <v>112.44</v>
      </c>
      <c r="AM484" s="17" t="n">
        <f aca="false">(AL484-AL483)/AL484*100</f>
        <v>3.00604766986837</v>
      </c>
      <c r="AN484" s="17" t="n">
        <f aca="false">(AK484-AK483)/AK484*100</f>
        <v>-41.3965536144789</v>
      </c>
      <c r="AO484" s="17" t="str">
        <f aca="false">IF(AN484&lt;-8,"FITS BITCH",IF(AN484&gt;-8,"no"))</f>
        <v>FITS BITCH</v>
      </c>
      <c r="AP484" s="17" t="str">
        <f aca="false">IF(AH485&lt;AH484,"FITS BITCH",IF(AH485&gt;AH484,"no"))</f>
        <v>no</v>
      </c>
      <c r="AQ484" s="17" t="str">
        <f aca="false">IF(AI485&lt;AI484,"FITS BITCH",IF(AI485&gt;AI484,"no"))</f>
        <v>no</v>
      </c>
      <c r="AR484" s="17" t="str">
        <f aca="false">IF(AJ484&lt;AH485,"FITS BITCH",IF(AJ484&gt;AH485,"no"))</f>
        <v>FITS BITCH</v>
      </c>
      <c r="AS484" s="17" t="str">
        <f aca="false">IF(AJ484&gt;AJ485,"FITS BITCH",IF(AJ484&lt;AJ485,"no"))</f>
        <v>no</v>
      </c>
      <c r="AT484" s="91" t="str">
        <f aca="false">IF(AND($AO484="FITS BITCH",$AP484="FITS BITCH",$AR484="FITS BITCH"),"BULLISH","")</f>
        <v/>
      </c>
      <c r="AU484" s="91" t="str">
        <f aca="false">IF(AND($AO484="FITS BITCH",$AQ484="FITS BITCH",$AS484="FITS BITCH"),"BEARISH","")</f>
        <v/>
      </c>
      <c r="AV484" s="86"/>
      <c r="AW484" s="86"/>
      <c r="AX484" s="86"/>
    </row>
    <row r="485" customFormat="false" ht="15.75" hidden="false" customHeight="false" outlineLevel="0" collapsed="false">
      <c r="AE485" s="90" t="n">
        <f aca="false">Data!A480</f>
        <v>42272</v>
      </c>
      <c r="AF485" s="17" t="n">
        <f aca="false">Data!B480</f>
        <v>116.44</v>
      </c>
      <c r="AG485" s="17" t="n">
        <f aca="false">Data!F480</f>
        <v>55842210</v>
      </c>
      <c r="AH485" s="17" t="n">
        <f aca="false">Data!C480</f>
        <v>116.69</v>
      </c>
      <c r="AI485" s="17" t="n">
        <f aca="false">Data!D480</f>
        <v>114.02</v>
      </c>
      <c r="AJ485" s="17" t="n">
        <f aca="false">Data!E480</f>
        <v>114.71</v>
      </c>
      <c r="AK485" s="17" t="n">
        <f aca="false">Data!F480</f>
        <v>55842210</v>
      </c>
      <c r="AL485" s="17" t="n">
        <f aca="false">AJ485</f>
        <v>114.71</v>
      </c>
      <c r="AM485" s="17" t="n">
        <f aca="false">(AL485-AL484)/AL485*100</f>
        <v>1.97890332141923</v>
      </c>
      <c r="AN485" s="17" t="n">
        <f aca="false">(AK485-AK484)/AK485*100</f>
        <v>7.3748531800586</v>
      </c>
      <c r="AO485" s="17" t="str">
        <f aca="false">IF(AN485&lt;-8,"FITS BITCH",IF(AN485&gt;-8,"no"))</f>
        <v>no</v>
      </c>
      <c r="AP485" s="17" t="str">
        <f aca="false">IF(AH486&lt;AH485,"FITS BITCH",IF(AH486&gt;AH485,"no"))</f>
        <v>FITS BITCH</v>
      </c>
      <c r="AQ485" s="17" t="str">
        <f aca="false">IF(AI486&lt;AI485,"FITS BITCH",IF(AI486&gt;AI485,"no"))</f>
        <v>FITS BITCH</v>
      </c>
      <c r="AR485" s="17" t="str">
        <f aca="false">IF(AJ485&lt;AH486,"FITS BITCH",IF(AJ485&gt;AH486,"no"))</f>
        <v>FITS BITCH</v>
      </c>
      <c r="AS485" s="17" t="str">
        <f aca="false">IF(AJ485&gt;AJ486,"FITS BITCH",IF(AJ485&lt;AJ486,"no"))</f>
        <v>no</v>
      </c>
      <c r="AT485" s="91" t="str">
        <f aca="false">IF(AND($AO485="FITS BITCH",$AP485="FITS BITCH",$AR485="FITS BITCH"),"BULLISH","")</f>
        <v/>
      </c>
      <c r="AU485" s="91" t="str">
        <f aca="false">IF(AND($AO485="FITS BITCH",$AQ485="FITS BITCH",$AS485="FITS BITCH"),"BEARISH","")</f>
        <v/>
      </c>
      <c r="AV485" s="86"/>
      <c r="AW485" s="86"/>
      <c r="AX485" s="86"/>
    </row>
    <row r="486" customFormat="false" ht="15.75" hidden="false" customHeight="false" outlineLevel="0" collapsed="false">
      <c r="AE486" s="90" t="n">
        <f aca="false">Data!A481</f>
        <v>42271</v>
      </c>
      <c r="AF486" s="17" t="n">
        <f aca="false">Data!B481</f>
        <v>113.25</v>
      </c>
      <c r="AG486" s="17" t="n">
        <f aca="false">Data!F481</f>
        <v>49810647</v>
      </c>
      <c r="AH486" s="17" t="n">
        <f aca="false">Data!C481</f>
        <v>115.5</v>
      </c>
      <c r="AI486" s="17" t="n">
        <f aca="false">Data!D481</f>
        <v>112.37</v>
      </c>
      <c r="AJ486" s="17" t="n">
        <f aca="false">Data!E481</f>
        <v>115</v>
      </c>
      <c r="AK486" s="17" t="n">
        <f aca="false">Data!F481</f>
        <v>49810647</v>
      </c>
      <c r="AL486" s="17" t="n">
        <f aca="false">AJ486</f>
        <v>115</v>
      </c>
      <c r="AM486" s="17" t="n">
        <f aca="false">(AL486-AL485)/AL486*100</f>
        <v>0.252173913043484</v>
      </c>
      <c r="AN486" s="17" t="n">
        <f aca="false">(AK486-AK485)/AK486*100</f>
        <v>-12.1089834468522</v>
      </c>
      <c r="AO486" s="17" t="str">
        <f aca="false">IF(AN486&lt;-8,"FITS BITCH",IF(AN486&gt;-8,"no"))</f>
        <v>FITS BITCH</v>
      </c>
      <c r="AP486" s="17" t="str">
        <f aca="false">IF(AH487&lt;AH486,"FITS BITCH",IF(AH487&gt;AH486,"no"))</f>
        <v>FITS BITCH</v>
      </c>
      <c r="AQ486" s="17" t="str">
        <f aca="false">IF(AI487&lt;AI486,"FITS BITCH",IF(AI487&gt;AI486,"no"))</f>
        <v>no</v>
      </c>
      <c r="AR486" s="17" t="str">
        <f aca="false">IF(AJ486&lt;AH487,"FITS BITCH",IF(AJ486&gt;AH487,"no"))</f>
        <v>no</v>
      </c>
      <c r="AS486" s="17" t="str">
        <f aca="false">IF(AJ486&gt;AJ487,"FITS BITCH",IF(AJ486&lt;AJ487,"no"))</f>
        <v>FITS BITCH</v>
      </c>
      <c r="AT486" s="91" t="str">
        <f aca="false">IF(AND($AO486="FITS BITCH",$AP486="FITS BITCH",$AR486="FITS BITCH"),"BULLISH","")</f>
        <v/>
      </c>
      <c r="AU486" s="91" t="str">
        <f aca="false">IF(AND($AO486="FITS BITCH",$AQ486="FITS BITCH",$AS486="FITS BITCH"),"BEARISH","")</f>
        <v/>
      </c>
      <c r="AV486" s="86"/>
      <c r="AW486" s="86"/>
      <c r="AX486" s="86"/>
    </row>
    <row r="487" customFormat="false" ht="15.75" hidden="false" customHeight="false" outlineLevel="0" collapsed="false">
      <c r="AE487" s="90" t="n">
        <f aca="false">Data!A482</f>
        <v>42270</v>
      </c>
      <c r="AF487" s="17" t="n">
        <f aca="false">Data!B482</f>
        <v>113.63</v>
      </c>
      <c r="AG487" s="17" t="n">
        <f aca="false">Data!F482</f>
        <v>35645658</v>
      </c>
      <c r="AH487" s="17" t="n">
        <f aca="false">Data!C482</f>
        <v>114.72</v>
      </c>
      <c r="AI487" s="17" t="n">
        <f aca="false">Data!D482</f>
        <v>113.3</v>
      </c>
      <c r="AJ487" s="17" t="n">
        <f aca="false">Data!E482</f>
        <v>114.32</v>
      </c>
      <c r="AK487" s="17" t="n">
        <f aca="false">Data!F482</f>
        <v>35645658</v>
      </c>
      <c r="AL487" s="17" t="n">
        <f aca="false">AJ487</f>
        <v>114.32</v>
      </c>
      <c r="AM487" s="17" t="n">
        <f aca="false">(AL487-AL486)/AL487*100</f>
        <v>-0.594821553533946</v>
      </c>
      <c r="AN487" s="17" t="n">
        <f aca="false">(AK487-AK486)/AK487*100</f>
        <v>-39.7383294200937</v>
      </c>
      <c r="AO487" s="17" t="str">
        <f aca="false">IF(AN487&lt;-8,"FITS BITCH",IF(AN487&gt;-8,"no"))</f>
        <v>FITS BITCH</v>
      </c>
      <c r="AP487" s="17" t="str">
        <f aca="false">IF(AH488&lt;AH487,"FITS BITCH",IF(AH488&gt;AH487,"no"))</f>
        <v>FITS BITCH</v>
      </c>
      <c r="AQ487" s="17" t="str">
        <f aca="false">IF(AI488&lt;AI487,"FITS BITCH",IF(AI488&gt;AI487,"no"))</f>
        <v>FITS BITCH</v>
      </c>
      <c r="AR487" s="17" t="str">
        <f aca="false">IF(AJ487&lt;AH488,"FITS BITCH",IF(AJ487&gt;AH488,"no"))</f>
        <v>no</v>
      </c>
      <c r="AS487" s="17" t="str">
        <f aca="false">IF(AJ487&gt;AJ488,"FITS BITCH",IF(AJ487&lt;AJ488,"no"))</f>
        <v>FITS BITCH</v>
      </c>
      <c r="AT487" s="91" t="str">
        <f aca="false">IF(AND($AO487="FITS BITCH",$AP487="FITS BITCH",$AR487="FITS BITCH"),"BULLISH","")</f>
        <v/>
      </c>
      <c r="AU487" s="91" t="str">
        <f aca="false">IF(AND($AO487="FITS BITCH",$AQ487="FITS BITCH",$AS487="FITS BITCH"),"BEARISH","")</f>
        <v>BEARISH</v>
      </c>
      <c r="AV487" s="86"/>
      <c r="AW487" s="86"/>
      <c r="AX487" s="86"/>
    </row>
    <row r="488" customFormat="false" ht="15.75" hidden="false" customHeight="false" outlineLevel="0" collapsed="false">
      <c r="AE488" s="90" t="n">
        <f aca="false">Data!A483</f>
        <v>42269</v>
      </c>
      <c r="AF488" s="17" t="n">
        <f aca="false">Data!B483</f>
        <v>113.38</v>
      </c>
      <c r="AG488" s="17" t="n">
        <f aca="false">Data!F483</f>
        <v>49809010</v>
      </c>
      <c r="AH488" s="17" t="n">
        <f aca="false">Data!C483</f>
        <v>114.18</v>
      </c>
      <c r="AI488" s="17" t="n">
        <f aca="false">Data!D483</f>
        <v>112.52</v>
      </c>
      <c r="AJ488" s="17" t="n">
        <f aca="false">Data!E483</f>
        <v>113.4</v>
      </c>
      <c r="AK488" s="17" t="n">
        <f aca="false">Data!F483</f>
        <v>49809010</v>
      </c>
      <c r="AL488" s="17" t="n">
        <f aca="false">AJ488</f>
        <v>113.4</v>
      </c>
      <c r="AM488" s="17" t="n">
        <f aca="false">(AL488-AL487)/AL488*100</f>
        <v>-0.811287477954133</v>
      </c>
      <c r="AN488" s="17" t="n">
        <f aca="false">(AK488-AK487)/AK488*100</f>
        <v>28.4353212400728</v>
      </c>
      <c r="AO488" s="17" t="str">
        <f aca="false">IF(AN488&lt;-8,"FITS BITCH",IF(AN488&gt;-8,"no"))</f>
        <v>no</v>
      </c>
      <c r="AP488" s="17" t="str">
        <f aca="false">IF(AH489&lt;AH488,"FITS BITCH",IF(AH489&gt;AH488,"no"))</f>
        <v>no</v>
      </c>
      <c r="AQ488" s="17" t="str">
        <f aca="false">IF(AI489&lt;AI488,"FITS BITCH",IF(AI489&gt;AI488,"no"))</f>
        <v>no</v>
      </c>
      <c r="AR488" s="17" t="str">
        <f aca="false">IF(AJ488&lt;AH489,"FITS BITCH",IF(AJ488&gt;AH489,"no"))</f>
        <v>FITS BITCH</v>
      </c>
      <c r="AS488" s="17" t="str">
        <f aca="false">IF(AJ488&gt;AJ489,"FITS BITCH",IF(AJ488&lt;AJ489,"no"))</f>
        <v>no</v>
      </c>
      <c r="AT488" s="91" t="str">
        <f aca="false">IF(AND($AO488="FITS BITCH",$AP488="FITS BITCH",$AR488="FITS BITCH"),"BULLISH","")</f>
        <v/>
      </c>
      <c r="AU488" s="91" t="str">
        <f aca="false">IF(AND($AO488="FITS BITCH",$AQ488="FITS BITCH",$AS488="FITS BITCH"),"BEARISH","")</f>
        <v/>
      </c>
      <c r="AV488" s="86"/>
      <c r="AW488" s="86"/>
      <c r="AX488" s="86"/>
    </row>
    <row r="489" customFormat="false" ht="15.75" hidden="false" customHeight="false" outlineLevel="0" collapsed="false">
      <c r="AE489" s="90" t="n">
        <f aca="false">Data!A484</f>
        <v>42268</v>
      </c>
      <c r="AF489" s="17" t="n">
        <f aca="false">Data!B484</f>
        <v>113.67</v>
      </c>
      <c r="AG489" s="17" t="n">
        <f aca="false">Data!F484</f>
        <v>46554289</v>
      </c>
      <c r="AH489" s="17" t="n">
        <f aca="false">Data!C484</f>
        <v>115.37</v>
      </c>
      <c r="AI489" s="17" t="n">
        <f aca="false">Data!D484</f>
        <v>113.66</v>
      </c>
      <c r="AJ489" s="17" t="n">
        <f aca="false">Data!E484</f>
        <v>115.21</v>
      </c>
      <c r="AK489" s="17" t="n">
        <f aca="false">Data!F484</f>
        <v>46554289</v>
      </c>
      <c r="AL489" s="17" t="n">
        <f aca="false">AJ489</f>
        <v>115.21</v>
      </c>
      <c r="AM489" s="17" t="n">
        <f aca="false">(AL489-AL488)/AL489*100</f>
        <v>1.57104418019268</v>
      </c>
      <c r="AN489" s="17" t="n">
        <f aca="false">(AK489-AK488)/AK489*100</f>
        <v>-6.99123769240682</v>
      </c>
      <c r="AO489" s="17" t="str">
        <f aca="false">IF(AN489&lt;-8,"FITS BITCH",IF(AN489&gt;-8,"no"))</f>
        <v>no</v>
      </c>
      <c r="AP489" s="17" t="str">
        <f aca="false">IF(AH490&lt;AH489,"FITS BITCH",IF(AH490&gt;AH489,"no"))</f>
        <v>FITS BITCH</v>
      </c>
      <c r="AQ489" s="17" t="str">
        <f aca="false">IF(AI490&lt;AI489,"FITS BITCH",IF(AI490&gt;AI489,"no"))</f>
        <v>FITS BITCH</v>
      </c>
      <c r="AR489" s="17" t="str">
        <f aca="false">IF(AJ489&lt;AH490,"FITS BITCH",IF(AJ489&gt;AH490,"no"))</f>
        <v>no</v>
      </c>
      <c r="AS489" s="17" t="str">
        <f aca="false">IF(AJ489&gt;AJ490,"FITS BITCH",IF(AJ489&lt;AJ490,"no"))</f>
        <v>FITS BITCH</v>
      </c>
      <c r="AT489" s="91" t="str">
        <f aca="false">IF(AND($AO489="FITS BITCH",$AP489="FITS BITCH",$AR489="FITS BITCH"),"BULLISH","")</f>
        <v/>
      </c>
      <c r="AU489" s="91" t="str">
        <f aca="false">IF(AND($AO489="FITS BITCH",$AQ489="FITS BITCH",$AS489="FITS BITCH"),"BEARISH","")</f>
        <v/>
      </c>
      <c r="AV489" s="86"/>
      <c r="AW489" s="86"/>
      <c r="AX489" s="86"/>
    </row>
    <row r="490" customFormat="false" ht="15.75" hidden="false" customHeight="false" outlineLevel="0" collapsed="false">
      <c r="AE490" s="90" t="n">
        <f aca="false">Data!A485</f>
        <v>42265</v>
      </c>
      <c r="AF490" s="17" t="n">
        <f aca="false">Data!B485</f>
        <v>112.21</v>
      </c>
      <c r="AG490" s="17" t="n">
        <f aca="false">Data!F485</f>
        <v>73418992</v>
      </c>
      <c r="AH490" s="17" t="n">
        <f aca="false">Data!C485</f>
        <v>114.3</v>
      </c>
      <c r="AI490" s="17" t="n">
        <f aca="false">Data!D485</f>
        <v>111.87</v>
      </c>
      <c r="AJ490" s="17" t="n">
        <f aca="false">Data!E485</f>
        <v>113.45</v>
      </c>
      <c r="AK490" s="17" t="n">
        <f aca="false">Data!F485</f>
        <v>73418992</v>
      </c>
      <c r="AL490" s="17" t="n">
        <f aca="false">AJ490</f>
        <v>113.45</v>
      </c>
      <c r="AM490" s="17" t="n">
        <f aca="false">(AL490-AL489)/AL490*100</f>
        <v>-1.55134420449536</v>
      </c>
      <c r="AN490" s="17" t="n">
        <f aca="false">(AK490-AK489)/AK490*100</f>
        <v>36.5909450241431</v>
      </c>
      <c r="AO490" s="17" t="str">
        <f aca="false">IF(AN490&lt;-8,"FITS BITCH",IF(AN490&gt;-8,"no"))</f>
        <v>no</v>
      </c>
      <c r="AP490" s="17" t="str">
        <f aca="false">IF(AH491&lt;AH490,"FITS BITCH",IF(AH491&gt;AH490,"no"))</f>
        <v>no</v>
      </c>
      <c r="AQ490" s="17" t="str">
        <f aca="false">IF(AI491&lt;AI490,"FITS BITCH",IF(AI491&gt;AI490,"no"))</f>
        <v>no</v>
      </c>
      <c r="AR490" s="17" t="str">
        <f aca="false">IF(AJ490&lt;AH491,"FITS BITCH",IF(AJ490&gt;AH491,"no"))</f>
        <v>FITS BITCH</v>
      </c>
      <c r="AS490" s="17" t="str">
        <f aca="false">IF(AJ490&gt;AJ491,"FITS BITCH",IF(AJ490&lt;AJ491,"no"))</f>
        <v>no</v>
      </c>
      <c r="AT490" s="91" t="str">
        <f aca="false">IF(AND($AO490="FITS BITCH",$AP490="FITS BITCH",$AR490="FITS BITCH"),"BULLISH","")</f>
        <v/>
      </c>
      <c r="AU490" s="91" t="str">
        <f aca="false">IF(AND($AO490="FITS BITCH",$AQ490="FITS BITCH",$AS490="FITS BITCH"),"BEARISH","")</f>
        <v/>
      </c>
      <c r="AV490" s="86"/>
      <c r="AW490" s="86"/>
      <c r="AX490" s="86"/>
    </row>
    <row r="491" customFormat="false" ht="15.75" hidden="false" customHeight="false" outlineLevel="0" collapsed="false">
      <c r="AE491" s="90" t="n">
        <f aca="false">Data!A486</f>
        <v>42264</v>
      </c>
      <c r="AF491" s="17" t="n">
        <f aca="false">Data!B486</f>
        <v>115.66</v>
      </c>
      <c r="AG491" s="17" t="n">
        <f aca="false">Data!F486</f>
        <v>63462713</v>
      </c>
      <c r="AH491" s="17" t="n">
        <f aca="false">Data!C486</f>
        <v>116.49</v>
      </c>
      <c r="AI491" s="17" t="n">
        <f aca="false">Data!D486</f>
        <v>113.72</v>
      </c>
      <c r="AJ491" s="17" t="n">
        <f aca="false">Data!E486</f>
        <v>113.92</v>
      </c>
      <c r="AK491" s="17" t="n">
        <f aca="false">Data!F486</f>
        <v>63462713</v>
      </c>
      <c r="AL491" s="17" t="n">
        <f aca="false">AJ491</f>
        <v>113.92</v>
      </c>
      <c r="AM491" s="17" t="n">
        <f aca="false">(AL491-AL490)/AL491*100</f>
        <v>0.4125702247191</v>
      </c>
      <c r="AN491" s="17" t="n">
        <f aca="false">(AK491-AK490)/AK491*100</f>
        <v>-15.6883917017541</v>
      </c>
      <c r="AO491" s="17" t="str">
        <f aca="false">IF(AN491&lt;-8,"FITS BITCH",IF(AN491&gt;-8,"no"))</f>
        <v>FITS BITCH</v>
      </c>
      <c r="AP491" s="17" t="str">
        <f aca="false">IF(AH492&lt;AH491,"FITS BITCH",IF(AH492&gt;AH491,"no"))</f>
        <v>no</v>
      </c>
      <c r="AQ491" s="17" t="str">
        <f aca="false">IF(AI492&lt;AI491,"FITS BITCH",IF(AI492&gt;AI491,"no"))</f>
        <v>no</v>
      </c>
      <c r="AR491" s="17" t="str">
        <f aca="false">IF(AJ491&lt;AH492,"FITS BITCH",IF(AJ491&gt;AH492,"no"))</f>
        <v>FITS BITCH</v>
      </c>
      <c r="AS491" s="17" t="str">
        <f aca="false">IF(AJ491&gt;AJ492,"FITS BITCH",IF(AJ491&lt;AJ492,"no"))</f>
        <v>no</v>
      </c>
      <c r="AT491" s="91" t="str">
        <f aca="false">IF(AND($AO491="FITS BITCH",$AP491="FITS BITCH",$AR491="FITS BITCH"),"BULLISH","")</f>
        <v/>
      </c>
      <c r="AU491" s="91" t="str">
        <f aca="false">IF(AND($AO491="FITS BITCH",$AQ491="FITS BITCH",$AS491="FITS BITCH"),"BEARISH","")</f>
        <v/>
      </c>
      <c r="AV491" s="86"/>
      <c r="AW491" s="86"/>
      <c r="AX491" s="86"/>
    </row>
    <row r="492" customFormat="false" ht="15.75" hidden="false" customHeight="false" outlineLevel="0" collapsed="false">
      <c r="AE492" s="90" t="n">
        <f aca="false">Data!A487</f>
        <v>42263</v>
      </c>
      <c r="AF492" s="17" t="n">
        <f aca="false">Data!B487</f>
        <v>116.25</v>
      </c>
      <c r="AG492" s="17" t="n">
        <f aca="false">Data!F487</f>
        <v>36909956</v>
      </c>
      <c r="AH492" s="17" t="n">
        <f aca="false">Data!C487</f>
        <v>116.54</v>
      </c>
      <c r="AI492" s="17" t="n">
        <f aca="false">Data!D487</f>
        <v>115.44</v>
      </c>
      <c r="AJ492" s="17" t="n">
        <f aca="false">Data!E487</f>
        <v>116.41</v>
      </c>
      <c r="AK492" s="17" t="n">
        <f aca="false">Data!F487</f>
        <v>36909956</v>
      </c>
      <c r="AL492" s="17" t="n">
        <f aca="false">AJ492</f>
        <v>116.41</v>
      </c>
      <c r="AM492" s="17" t="n">
        <f aca="false">(AL492-AL491)/AL492*100</f>
        <v>2.13899149557598</v>
      </c>
      <c r="AN492" s="17" t="n">
        <f aca="false">(AK492-AK491)/AK492*100</f>
        <v>-71.9392810980322</v>
      </c>
      <c r="AO492" s="17" t="str">
        <f aca="false">IF(AN492&lt;-8,"FITS BITCH",IF(AN492&gt;-8,"no"))</f>
        <v>FITS BITCH</v>
      </c>
      <c r="AP492" s="17" t="str">
        <f aca="false">IF(AH493&lt;AH492,"FITS BITCH",IF(AH493&gt;AH492,"no"))</f>
        <v>FITS BITCH</v>
      </c>
      <c r="AQ492" s="17" t="str">
        <f aca="false">IF(AI493&lt;AI492,"FITS BITCH",IF(AI493&gt;AI492,"no"))</f>
        <v>FITS BITCH</v>
      </c>
      <c r="AR492" s="17" t="str">
        <f aca="false">IF(AJ492&lt;AH493,"FITS BITCH",IF(AJ492&gt;AH493,"no"))</f>
        <v>FITS BITCH</v>
      </c>
      <c r="AS492" s="17" t="str">
        <f aca="false">IF(AJ492&gt;AJ493,"FITS BITCH",IF(AJ492&lt;AJ493,"no"))</f>
        <v>FITS BITCH</v>
      </c>
      <c r="AT492" s="91" t="str">
        <f aca="false">IF(AND($AO492="FITS BITCH",$AP492="FITS BITCH",$AR492="FITS BITCH"),"BULLISH","")</f>
        <v>BULLISH</v>
      </c>
      <c r="AU492" s="91" t="str">
        <f aca="false">IF(AND($AO492="FITS BITCH",$AQ492="FITS BITCH",$AS492="FITS BITCH"),"BEARISH","")</f>
        <v>BEARISH</v>
      </c>
      <c r="AV492" s="86"/>
      <c r="AW492" s="86"/>
      <c r="AX492" s="86"/>
    </row>
    <row r="493" customFormat="false" ht="15.75" hidden="false" customHeight="false" outlineLevel="0" collapsed="false">
      <c r="AE493" s="90" t="n">
        <f aca="false">Data!A488</f>
        <v>42262</v>
      </c>
      <c r="AF493" s="17" t="n">
        <f aca="false">Data!B488</f>
        <v>115.93</v>
      </c>
      <c r="AG493" s="17" t="n">
        <f aca="false">Data!F488</f>
        <v>43004052</v>
      </c>
      <c r="AH493" s="17" t="n">
        <f aca="false">Data!C488</f>
        <v>116.53</v>
      </c>
      <c r="AI493" s="17" t="n">
        <f aca="false">Data!D488</f>
        <v>114.42</v>
      </c>
      <c r="AJ493" s="17" t="n">
        <f aca="false">Data!E488</f>
        <v>116.28</v>
      </c>
      <c r="AK493" s="17" t="n">
        <f aca="false">Data!F488</f>
        <v>43004052</v>
      </c>
      <c r="AL493" s="17" t="n">
        <f aca="false">AJ493</f>
        <v>116.28</v>
      </c>
      <c r="AM493" s="17" t="n">
        <f aca="false">(AL493-AL492)/AL493*100</f>
        <v>-0.111799105607151</v>
      </c>
      <c r="AN493" s="17" t="n">
        <f aca="false">(AK493-AK492)/AK493*100</f>
        <v>14.1709809112872</v>
      </c>
      <c r="AO493" s="17" t="str">
        <f aca="false">IF(AN493&lt;-8,"FITS BITCH",IF(AN493&gt;-8,"no"))</f>
        <v>no</v>
      </c>
      <c r="AP493" s="17" t="str">
        <f aca="false">IF(AH494&lt;AH493,"FITS BITCH",IF(AH494&gt;AH493,"no"))</f>
        <v>no</v>
      </c>
      <c r="AQ493" s="17" t="str">
        <f aca="false">IF(AI494&lt;AI493,"FITS BITCH",IF(AI494&gt;AI493,"no"))</f>
        <v>no</v>
      </c>
      <c r="AR493" s="17" t="str">
        <f aca="false">IF(AJ493&lt;AH494,"FITS BITCH",IF(AJ493&gt;AH494,"no"))</f>
        <v>FITS BITCH</v>
      </c>
      <c r="AS493" s="17" t="str">
        <f aca="false">IF(AJ493&gt;AJ494,"FITS BITCH",IF(AJ493&lt;AJ494,"no"))</f>
        <v>FITS BITCH</v>
      </c>
      <c r="AT493" s="91" t="str">
        <f aca="false">IF(AND($AO493="FITS BITCH",$AP493="FITS BITCH",$AR493="FITS BITCH"),"BULLISH","")</f>
        <v/>
      </c>
      <c r="AU493" s="91" t="str">
        <f aca="false">IF(AND($AO493="FITS BITCH",$AQ493="FITS BITCH",$AS493="FITS BITCH"),"BEARISH","")</f>
        <v/>
      </c>
      <c r="AV493" s="86"/>
      <c r="AW493" s="86"/>
      <c r="AX493" s="86"/>
    </row>
    <row r="494" customFormat="false" ht="15.75" hidden="false" customHeight="false" outlineLevel="0" collapsed="false">
      <c r="AE494" s="90" t="n">
        <f aca="false">Data!A489</f>
        <v>42261</v>
      </c>
      <c r="AF494" s="17" t="n">
        <f aca="false">Data!B489</f>
        <v>116.58</v>
      </c>
      <c r="AG494" s="17" t="n">
        <f aca="false">Data!F489</f>
        <v>58201862</v>
      </c>
      <c r="AH494" s="17" t="n">
        <f aca="false">Data!C489</f>
        <v>116.89</v>
      </c>
      <c r="AI494" s="17" t="n">
        <f aca="false">Data!D489</f>
        <v>114.86</v>
      </c>
      <c r="AJ494" s="17" t="n">
        <f aca="false">Data!E489</f>
        <v>115.31</v>
      </c>
      <c r="AK494" s="17" t="n">
        <f aca="false">Data!F489</f>
        <v>58201862</v>
      </c>
      <c r="AL494" s="17" t="n">
        <f aca="false">AJ494</f>
        <v>115.31</v>
      </c>
      <c r="AM494" s="17" t="n">
        <f aca="false">(AL494-AL493)/AL494*100</f>
        <v>-0.841210649553377</v>
      </c>
      <c r="AN494" s="17" t="n">
        <f aca="false">(AK494-AK493)/AK494*100</f>
        <v>26.1122401891541</v>
      </c>
      <c r="AO494" s="17" t="str">
        <f aca="false">IF(AN494&lt;-8,"FITS BITCH",IF(AN494&gt;-8,"no"))</f>
        <v>no</v>
      </c>
      <c r="AP494" s="17" t="str">
        <f aca="false">IF(AH495&lt;AH494,"FITS BITCH",IF(AH495&gt;AH494,"no"))</f>
        <v>FITS BITCH</v>
      </c>
      <c r="AQ494" s="17" t="str">
        <f aca="false">IF(AI495&lt;AI494,"FITS BITCH",IF(AI495&gt;AI494,"no"))</f>
        <v>FITS BITCH</v>
      </c>
      <c r="AR494" s="17" t="str">
        <f aca="false">IF(AJ494&lt;AH495,"FITS BITCH",IF(AJ494&gt;AH495,"no"))</f>
        <v>no</v>
      </c>
      <c r="AS494" s="17" t="str">
        <f aca="false">IF(AJ494&gt;AJ495,"FITS BITCH",IF(AJ494&lt;AJ495,"no"))</f>
        <v>FITS BITCH</v>
      </c>
      <c r="AT494" s="91" t="str">
        <f aca="false">IF(AND($AO494="FITS BITCH",$AP494="FITS BITCH",$AR494="FITS BITCH"),"BULLISH","")</f>
        <v/>
      </c>
      <c r="AU494" s="91" t="str">
        <f aca="false">IF(AND($AO494="FITS BITCH",$AQ494="FITS BITCH",$AS494="FITS BITCH"),"BEARISH","")</f>
        <v/>
      </c>
      <c r="AV494" s="86"/>
      <c r="AW494" s="86"/>
      <c r="AX494" s="86"/>
    </row>
    <row r="495" customFormat="false" ht="15.75" hidden="false" customHeight="false" outlineLevel="0" collapsed="false">
      <c r="AE495" s="90" t="n">
        <f aca="false">Data!A490</f>
        <v>42258</v>
      </c>
      <c r="AF495" s="17" t="n">
        <f aca="false">Data!B490</f>
        <v>111.79</v>
      </c>
      <c r="AG495" s="17" t="n">
        <f aca="false">Data!F490</f>
        <v>49441846</v>
      </c>
      <c r="AH495" s="17" t="n">
        <f aca="false">Data!C490</f>
        <v>114.21</v>
      </c>
      <c r="AI495" s="17" t="n">
        <f aca="false">Data!D490</f>
        <v>111.76</v>
      </c>
      <c r="AJ495" s="17" t="n">
        <f aca="false">Data!E490</f>
        <v>114.21</v>
      </c>
      <c r="AK495" s="17" t="n">
        <f aca="false">Data!F490</f>
        <v>49441846</v>
      </c>
      <c r="AL495" s="17" t="n">
        <f aca="false">AJ495</f>
        <v>114.21</v>
      </c>
      <c r="AM495" s="17" t="n">
        <f aca="false">(AL495-AL494)/AL495*100</f>
        <v>-0.96313807897733</v>
      </c>
      <c r="AN495" s="17" t="n">
        <f aca="false">(AK495-AK494)/AK495*100</f>
        <v>-17.717817413209</v>
      </c>
      <c r="AO495" s="17" t="str">
        <f aca="false">IF(AN495&lt;-8,"FITS BITCH",IF(AN495&gt;-8,"no"))</f>
        <v>FITS BITCH</v>
      </c>
      <c r="AP495" s="17" t="str">
        <f aca="false">IF(AH496&lt;AH495,"FITS BITCH",IF(AH496&gt;AH495,"no"))</f>
        <v>FITS BITCH</v>
      </c>
      <c r="AQ495" s="17" t="str">
        <f aca="false">IF(AI496&lt;AI495,"FITS BITCH",IF(AI496&gt;AI495,"no"))</f>
        <v>FITS BITCH</v>
      </c>
      <c r="AR495" s="17" t="str">
        <f aca="false">IF(AJ495&lt;AH496,"FITS BITCH",IF(AJ495&gt;AH496,"no"))</f>
        <v>no</v>
      </c>
      <c r="AS495" s="17" t="str">
        <f aca="false">IF(AJ495&gt;AJ496,"FITS BITCH",IF(AJ495&lt;AJ496,"no"))</f>
        <v>FITS BITCH</v>
      </c>
      <c r="AT495" s="91" t="str">
        <f aca="false">IF(AND($AO495="FITS BITCH",$AP495="FITS BITCH",$AR495="FITS BITCH"),"BULLISH","")</f>
        <v/>
      </c>
      <c r="AU495" s="91" t="str">
        <f aca="false">IF(AND($AO495="FITS BITCH",$AQ495="FITS BITCH",$AS495="FITS BITCH"),"BEARISH","")</f>
        <v>BEARISH</v>
      </c>
      <c r="AV495" s="86"/>
      <c r="AW495" s="86"/>
      <c r="AX495" s="86"/>
    </row>
    <row r="496" customFormat="false" ht="15.75" hidden="false" customHeight="false" outlineLevel="0" collapsed="false">
      <c r="AE496" s="90" t="n">
        <f aca="false">Data!A491</f>
        <v>42257</v>
      </c>
      <c r="AF496" s="17" t="n">
        <f aca="false">Data!B491</f>
        <v>110.27</v>
      </c>
      <c r="AG496" s="17" t="n">
        <f aca="false">Data!F491</f>
        <v>62675234</v>
      </c>
      <c r="AH496" s="17" t="n">
        <f aca="false">Data!C491</f>
        <v>113.28</v>
      </c>
      <c r="AI496" s="17" t="n">
        <f aca="false">Data!D491</f>
        <v>109.9</v>
      </c>
      <c r="AJ496" s="17" t="n">
        <f aca="false">Data!E491</f>
        <v>112.57</v>
      </c>
      <c r="AK496" s="17" t="n">
        <f aca="false">Data!F491</f>
        <v>62675234</v>
      </c>
      <c r="AL496" s="17" t="n">
        <f aca="false">AJ496</f>
        <v>112.57</v>
      </c>
      <c r="AM496" s="17" t="n">
        <f aca="false">(AL496-AL495)/AL496*100</f>
        <v>-1.45687128009239</v>
      </c>
      <c r="AN496" s="17" t="n">
        <f aca="false">(AK496-AK495)/AK496*100</f>
        <v>21.1142219269576</v>
      </c>
      <c r="AO496" s="17" t="str">
        <f aca="false">IF(AN496&lt;-8,"FITS BITCH",IF(AN496&gt;-8,"no"))</f>
        <v>no</v>
      </c>
      <c r="AP496" s="17" t="str">
        <f aca="false">IF(AH497&lt;AH496,"FITS BITCH",IF(AH497&gt;AH496,"no"))</f>
        <v>no</v>
      </c>
      <c r="AQ496" s="17" t="str">
        <f aca="false">IF(AI497&lt;AI496,"FITS BITCH",IF(AI497&gt;AI496,"no"))</f>
        <v>FITS BITCH</v>
      </c>
      <c r="AR496" s="17" t="str">
        <f aca="false">IF(AJ496&lt;AH497,"FITS BITCH",IF(AJ496&gt;AH497,"no"))</f>
        <v>FITS BITCH</v>
      </c>
      <c r="AS496" s="17" t="str">
        <f aca="false">IF(AJ496&gt;AJ497,"FITS BITCH",IF(AJ496&lt;AJ497,"no"))</f>
        <v>FITS BITCH</v>
      </c>
      <c r="AT496" s="91" t="str">
        <f aca="false">IF(AND($AO496="FITS BITCH",$AP496="FITS BITCH",$AR496="FITS BITCH"),"BULLISH","")</f>
        <v/>
      </c>
      <c r="AU496" s="91" t="str">
        <f aca="false">IF(AND($AO496="FITS BITCH",$AQ496="FITS BITCH",$AS496="FITS BITCH"),"BEARISH","")</f>
        <v/>
      </c>
      <c r="AV496" s="86"/>
      <c r="AW496" s="86"/>
      <c r="AX496" s="86"/>
    </row>
    <row r="497" customFormat="false" ht="15.75" hidden="false" customHeight="false" outlineLevel="0" collapsed="false">
      <c r="AE497" s="90" t="n">
        <f aca="false">Data!A492</f>
        <v>42256</v>
      </c>
      <c r="AF497" s="17" t="n">
        <f aca="false">Data!B492</f>
        <v>113.76</v>
      </c>
      <c r="AG497" s="17" t="n">
        <f aca="false">Data!F492</f>
        <v>84344438</v>
      </c>
      <c r="AH497" s="17" t="n">
        <f aca="false">Data!C492</f>
        <v>114.02</v>
      </c>
      <c r="AI497" s="17" t="n">
        <f aca="false">Data!D492</f>
        <v>109.77</v>
      </c>
      <c r="AJ497" s="17" t="n">
        <f aca="false">Data!E492</f>
        <v>110.15</v>
      </c>
      <c r="AK497" s="17" t="n">
        <f aca="false">Data!F492</f>
        <v>84344438</v>
      </c>
      <c r="AL497" s="17" t="n">
        <f aca="false">AJ497</f>
        <v>110.15</v>
      </c>
      <c r="AM497" s="17" t="n">
        <f aca="false">(AL497-AL496)/AL497*100</f>
        <v>-2.19700408533816</v>
      </c>
      <c r="AN497" s="17" t="n">
        <f aca="false">(AK497-AK496)/AK497*100</f>
        <v>25.6913253722788</v>
      </c>
      <c r="AO497" s="17" t="str">
        <f aca="false">IF(AN497&lt;-8,"FITS BITCH",IF(AN497&gt;-8,"no"))</f>
        <v>no</v>
      </c>
      <c r="AP497" s="17" t="str">
        <f aca="false">IF(AH498&lt;AH497,"FITS BITCH",IF(AH498&gt;AH497,"no"))</f>
        <v>FITS BITCH</v>
      </c>
      <c r="AQ497" s="17" t="str">
        <f aca="false">IF(AI498&lt;AI497,"FITS BITCH",IF(AI498&gt;AI497,"no"))</f>
        <v>no</v>
      </c>
      <c r="AR497" s="17" t="str">
        <f aca="false">IF(AJ497&lt;AH498,"FITS BITCH",IF(AJ497&gt;AH498,"no"))</f>
        <v>FITS BITCH</v>
      </c>
      <c r="AS497" s="17" t="str">
        <f aca="false">IF(AJ497&gt;AJ498,"FITS BITCH",IF(AJ497&lt;AJ498,"no"))</f>
        <v>no</v>
      </c>
      <c r="AT497" s="91" t="str">
        <f aca="false">IF(AND($AO497="FITS BITCH",$AP497="FITS BITCH",$AR497="FITS BITCH"),"BULLISH","")</f>
        <v/>
      </c>
      <c r="AU497" s="91" t="str">
        <f aca="false">IF(AND($AO497="FITS BITCH",$AQ497="FITS BITCH",$AS497="FITS BITCH"),"BEARISH","")</f>
        <v/>
      </c>
      <c r="AV497" s="86"/>
      <c r="AW497" s="86"/>
      <c r="AX497" s="86"/>
    </row>
    <row r="498" customFormat="false" ht="15.75" hidden="false" customHeight="false" outlineLevel="0" collapsed="false">
      <c r="AE498" s="90" t="n">
        <f aca="false">Data!A493</f>
        <v>42255</v>
      </c>
      <c r="AF498" s="17" t="n">
        <f aca="false">Data!B493</f>
        <v>111.75</v>
      </c>
      <c r="AG498" s="17" t="n">
        <f aca="false">Data!F493</f>
        <v>54114204</v>
      </c>
      <c r="AH498" s="17" t="n">
        <f aca="false">Data!C493</f>
        <v>112.56</v>
      </c>
      <c r="AI498" s="17" t="n">
        <f aca="false">Data!D493</f>
        <v>110.32</v>
      </c>
      <c r="AJ498" s="17" t="n">
        <f aca="false">Data!E493</f>
        <v>112.31</v>
      </c>
      <c r="AK498" s="17" t="n">
        <f aca="false">Data!F493</f>
        <v>54114204</v>
      </c>
      <c r="AL498" s="17" t="n">
        <f aca="false">AJ498</f>
        <v>112.31</v>
      </c>
      <c r="AM498" s="17" t="n">
        <f aca="false">(AL498-AL497)/AL498*100</f>
        <v>1.92324815243522</v>
      </c>
      <c r="AN498" s="17" t="n">
        <f aca="false">(AK498-AK497)/AK498*100</f>
        <v>-55.8637691501477</v>
      </c>
      <c r="AO498" s="17" t="str">
        <f aca="false">IF(AN498&lt;-8,"FITS BITCH",IF(AN498&gt;-8,"no"))</f>
        <v>FITS BITCH</v>
      </c>
      <c r="AP498" s="17" t="str">
        <f aca="false">IF(AH499&lt;AH498,"FITS BITCH",IF(AH499&gt;AH498,"no"))</f>
        <v>FITS BITCH</v>
      </c>
      <c r="AQ498" s="17" t="str">
        <f aca="false">IF(AI499&lt;AI498,"FITS BITCH",IF(AI499&gt;AI498,"no"))</f>
        <v>FITS BITCH</v>
      </c>
      <c r="AR498" s="17" t="str">
        <f aca="false">IF(AJ498&lt;AH499,"FITS BITCH",IF(AJ498&gt;AH499,"no"))</f>
        <v>no</v>
      </c>
      <c r="AS498" s="17" t="str">
        <f aca="false">IF(AJ498&gt;AJ499,"FITS BITCH",IF(AJ498&lt;AJ499,"no"))</f>
        <v>FITS BITCH</v>
      </c>
      <c r="AT498" s="91" t="str">
        <f aca="false">IF(AND($AO498="FITS BITCH",$AP498="FITS BITCH",$AR498="FITS BITCH"),"BULLISH","")</f>
        <v/>
      </c>
      <c r="AU498" s="91" t="str">
        <f aca="false">IF(AND($AO498="FITS BITCH",$AQ498="FITS BITCH",$AS498="FITS BITCH"),"BEARISH","")</f>
        <v>BEARISH</v>
      </c>
      <c r="AV498" s="86"/>
      <c r="AW498" s="86"/>
      <c r="AX498" s="86"/>
    </row>
    <row r="499" customFormat="false" ht="15.75" hidden="false" customHeight="false" outlineLevel="0" collapsed="false">
      <c r="AE499" s="90" t="n">
        <f aca="false">Data!A494</f>
        <v>42251</v>
      </c>
      <c r="AF499" s="17" t="n">
        <f aca="false">Data!B494</f>
        <v>108.97</v>
      </c>
      <c r="AG499" s="17" t="n">
        <f aca="false">Data!F494</f>
        <v>49628615</v>
      </c>
      <c r="AH499" s="17" t="n">
        <f aca="false">Data!C494</f>
        <v>110.45</v>
      </c>
      <c r="AI499" s="17" t="n">
        <f aca="false">Data!D494</f>
        <v>108.51</v>
      </c>
      <c r="AJ499" s="17" t="n">
        <f aca="false">Data!E494</f>
        <v>109.27</v>
      </c>
      <c r="AK499" s="17" t="n">
        <f aca="false">Data!F494</f>
        <v>49628615</v>
      </c>
      <c r="AL499" s="17" t="n">
        <f aca="false">AJ499</f>
        <v>109.27</v>
      </c>
      <c r="AM499" s="17" t="n">
        <f aca="false">(AL499-AL498)/AL499*100</f>
        <v>-2.78209938683994</v>
      </c>
      <c r="AN499" s="17" t="n">
        <f aca="false">(AK499-AK498)/AK499*100</f>
        <v>-9.03831186906989</v>
      </c>
      <c r="AO499" s="17" t="str">
        <f aca="false">IF(AN499&lt;-8,"FITS BITCH",IF(AN499&gt;-8,"no"))</f>
        <v>FITS BITCH</v>
      </c>
      <c r="AP499" s="17" t="str">
        <f aca="false">IF(AH500&lt;AH499,"FITS BITCH",IF(AH500&gt;AH499,"no"))</f>
        <v>no</v>
      </c>
      <c r="AQ499" s="17" t="str">
        <f aca="false">IF(AI500&lt;AI499,"FITS BITCH",IF(AI500&gt;AI499,"no"))</f>
        <v>no</v>
      </c>
      <c r="AR499" s="17" t="str">
        <f aca="false">IF(AJ499&lt;AH500,"FITS BITCH",IF(AJ499&gt;AH500,"no"))</f>
        <v>FITS BITCH</v>
      </c>
      <c r="AS499" s="17" t="str">
        <f aca="false">IF(AJ499&gt;AJ500,"FITS BITCH",IF(AJ499&lt;AJ500,"no"))</f>
        <v>no</v>
      </c>
      <c r="AT499" s="91" t="str">
        <f aca="false">IF(AND($AO499="FITS BITCH",$AP499="FITS BITCH",$AR499="FITS BITCH"),"BULLISH","")</f>
        <v/>
      </c>
      <c r="AU499" s="91" t="str">
        <f aca="false">IF(AND($AO499="FITS BITCH",$AQ499="FITS BITCH",$AS499="FITS BITCH"),"BEARISH","")</f>
        <v/>
      </c>
      <c r="AV499" s="86"/>
      <c r="AW499" s="86"/>
      <c r="AX499" s="86"/>
    </row>
    <row r="500" customFormat="false" ht="15.75" hidden="false" customHeight="false" outlineLevel="0" collapsed="false">
      <c r="AE500" s="90" t="n">
        <f aca="false">Data!A495</f>
        <v>42250</v>
      </c>
      <c r="AF500" s="17" t="n">
        <f aca="false">Data!B495</f>
        <v>112.49</v>
      </c>
      <c r="AG500" s="17" t="n">
        <f aca="false">Data!F495</f>
        <v>52906410</v>
      </c>
      <c r="AH500" s="17" t="n">
        <f aca="false">Data!C495</f>
        <v>112.78</v>
      </c>
      <c r="AI500" s="17" t="n">
        <f aca="false">Data!D495</f>
        <v>110.04</v>
      </c>
      <c r="AJ500" s="17" t="n">
        <f aca="false">Data!E495</f>
        <v>110.37</v>
      </c>
      <c r="AK500" s="17" t="n">
        <f aca="false">Data!F495</f>
        <v>52906410</v>
      </c>
      <c r="AL500" s="17" t="n">
        <f aca="false">AJ500</f>
        <v>110.37</v>
      </c>
      <c r="AM500" s="17" t="n">
        <f aca="false">(AL500-AL499)/AL500*100</f>
        <v>0.996647639757188</v>
      </c>
      <c r="AN500" s="17" t="n">
        <f aca="false">(AK500-AK499)/AK500*100</f>
        <v>6.19545911355543</v>
      </c>
      <c r="AO500" s="17" t="str">
        <f aca="false">IF(AN500&lt;-8,"FITS BITCH",IF(AN500&gt;-8,"no"))</f>
        <v>no</v>
      </c>
      <c r="AP500" s="17" t="str">
        <f aca="false">IF(AH501&lt;AH500,"FITS BITCH",IF(AH501&gt;AH500,"no"))</f>
        <v>FITS BITCH</v>
      </c>
      <c r="AQ500" s="17" t="str">
        <f aca="false">IF(AI501&lt;AI500,"FITS BITCH",IF(AI501&gt;AI500,"no"))</f>
        <v>FITS BITCH</v>
      </c>
      <c r="AR500" s="17" t="str">
        <f aca="false">IF(AJ500&lt;AH501,"FITS BITCH",IF(AJ500&gt;AH501,"no"))</f>
        <v>FITS BITCH</v>
      </c>
      <c r="AS500" s="17" t="str">
        <f aca="false">IF(AJ500&gt;AJ501,"FITS BITCH",IF(AJ500&lt;AJ501,"no"))</f>
        <v>no</v>
      </c>
      <c r="AT500" s="91" t="str">
        <f aca="false">IF(AND($AO500="FITS BITCH",$AP500="FITS BITCH",$AR500="FITS BITCH"),"BULLISH","")</f>
        <v/>
      </c>
      <c r="AU500" s="91" t="str">
        <f aca="false">IF(AND($AO500="FITS BITCH",$AQ500="FITS BITCH",$AS500="FITS BITCH"),"BEARISH","")</f>
        <v/>
      </c>
      <c r="AV500" s="86"/>
      <c r="AW500" s="86"/>
      <c r="AX500" s="86"/>
    </row>
    <row r="501" customFormat="false" ht="15.75" hidden="false" customHeight="false" outlineLevel="0" collapsed="false">
      <c r="AE501" s="90" t="n">
        <f aca="false">Data!A496</f>
        <v>42249</v>
      </c>
      <c r="AF501" s="17" t="n">
        <f aca="false">Data!B496</f>
        <v>110.23</v>
      </c>
      <c r="AG501" s="17" t="n">
        <f aca="false">Data!F496</f>
        <v>61520170</v>
      </c>
      <c r="AH501" s="17" t="n">
        <f aca="false">Data!C496</f>
        <v>112.34</v>
      </c>
      <c r="AI501" s="17" t="n">
        <f aca="false">Data!D496</f>
        <v>109.13</v>
      </c>
      <c r="AJ501" s="17" t="n">
        <f aca="false">Data!E496</f>
        <v>112.34</v>
      </c>
      <c r="AK501" s="17" t="n">
        <f aca="false">Data!F496</f>
        <v>61520170</v>
      </c>
      <c r="AL501" s="17" t="n">
        <f aca="false">AJ501</f>
        <v>112.34</v>
      </c>
      <c r="AM501" s="17" t="n">
        <f aca="false">(AL501-AL500)/AL501*100</f>
        <v>1.75360512729215</v>
      </c>
      <c r="AN501" s="17" t="n">
        <f aca="false">(AK501-AK500)/AK501*100</f>
        <v>14.0015217773293</v>
      </c>
      <c r="AO501" s="17" t="str">
        <f aca="false">IF(AN501&lt;-8,"FITS BITCH",IF(AN501&gt;-8,"no"))</f>
        <v>no</v>
      </c>
      <c r="AP501" s="17" t="str">
        <f aca="false">IF(AH502&lt;AH501,"FITS BITCH",IF(AH502&gt;AH501,"no"))</f>
        <v>FITS BITCH</v>
      </c>
      <c r="AQ501" s="17" t="str">
        <f aca="false">IF(AI502&lt;AI501,"FITS BITCH",IF(AI502&gt;AI501,"no"))</f>
        <v>FITS BITCH</v>
      </c>
      <c r="AR501" s="17" t="str">
        <f aca="false">IF(AJ501&lt;AH502,"FITS BITCH",IF(AJ501&gt;AH502,"no"))</f>
        <v>no</v>
      </c>
      <c r="AS501" s="17" t="str">
        <f aca="false">IF(AJ501&gt;AJ502,"FITS BITCH",IF(AJ501&lt;AJ502,"no"))</f>
        <v>FITS BITCH</v>
      </c>
      <c r="AT501" s="91" t="str">
        <f aca="false">IF(AND($AO501="FITS BITCH",$AP501="FITS BITCH",$AR501="FITS BITCH"),"BULLISH","")</f>
        <v/>
      </c>
      <c r="AU501" s="91" t="str">
        <f aca="false">IF(AND($AO501="FITS BITCH",$AQ501="FITS BITCH",$AS501="FITS BITCH"),"BEARISH","")</f>
        <v/>
      </c>
      <c r="AV501" s="86"/>
      <c r="AW501" s="86"/>
      <c r="AX501" s="86"/>
    </row>
    <row r="502" customFormat="false" ht="15.75" hidden="false" customHeight="false" outlineLevel="0" collapsed="false">
      <c r="AE502" s="90" t="n">
        <f aca="false">Data!A497</f>
        <v>42248</v>
      </c>
      <c r="AF502" s="17" t="n">
        <f aca="false">Data!B497</f>
        <v>110.15</v>
      </c>
      <c r="AG502" s="17" t="n">
        <f aca="false">Data!F497</f>
        <v>75988194</v>
      </c>
      <c r="AH502" s="17" t="n">
        <f aca="false">Data!C497</f>
        <v>111.88</v>
      </c>
      <c r="AI502" s="17" t="n">
        <f aca="false">Data!D497</f>
        <v>107.36</v>
      </c>
      <c r="AJ502" s="17" t="n">
        <f aca="false">Data!E497</f>
        <v>107.72</v>
      </c>
      <c r="AK502" s="17" t="n">
        <f aca="false">Data!F497</f>
        <v>75988194</v>
      </c>
      <c r="AL502" s="17" t="n">
        <f aca="false">AJ502</f>
        <v>107.72</v>
      </c>
      <c r="AM502" s="17" t="n">
        <f aca="false">(AL502-AL501)/AL502*100</f>
        <v>-4.28889714073524</v>
      </c>
      <c r="AN502" s="17" t="n">
        <f aca="false">(AK502-AK501)/AK502*100</f>
        <v>19.0398313716997</v>
      </c>
      <c r="AO502" s="17" t="str">
        <f aca="false">IF(AN502&lt;-8,"FITS BITCH",IF(AN502&gt;-8,"no"))</f>
        <v>no</v>
      </c>
      <c r="AP502" s="17" t="str">
        <f aca="false">IF(AH503&lt;AH502,"FITS BITCH",IF(AH503&gt;AH502,"no"))</f>
        <v>no</v>
      </c>
      <c r="AQ502" s="17" t="str">
        <f aca="false">IF(AI503&lt;AI502,"FITS BITCH",IF(AI503&gt;AI502,"no"))</f>
        <v>no</v>
      </c>
      <c r="AR502" s="17" t="str">
        <f aca="false">IF(AJ502&lt;AH503,"FITS BITCH",IF(AJ502&gt;AH503,"no"))</f>
        <v>FITS BITCH</v>
      </c>
      <c r="AS502" s="17" t="str">
        <f aca="false">IF(AJ502&gt;AJ503,"FITS BITCH",IF(AJ502&lt;AJ503,"no"))</f>
        <v>no</v>
      </c>
      <c r="AT502" s="91" t="str">
        <f aca="false">IF(AND($AO502="FITS BITCH",$AP502="FITS BITCH",$AR502="FITS BITCH"),"BULLISH","")</f>
        <v/>
      </c>
      <c r="AU502" s="91" t="str">
        <f aca="false">IF(AND($AO502="FITS BITCH",$AQ502="FITS BITCH",$AS502="FITS BITCH"),"BEARISH","")</f>
        <v/>
      </c>
      <c r="AV502" s="86"/>
      <c r="AW502" s="86"/>
      <c r="AX502" s="86"/>
    </row>
    <row r="503" customFormat="false" ht="15.75" hidden="false" customHeight="false" outlineLevel="0" collapsed="false">
      <c r="AE503" s="90" t="n">
        <f aca="false">Data!A498</f>
        <v>42247</v>
      </c>
      <c r="AF503" s="17" t="n">
        <f aca="false">Data!B498</f>
        <v>112.03</v>
      </c>
      <c r="AG503" s="17" t="n">
        <f aca="false">Data!F498</f>
        <v>55962842</v>
      </c>
      <c r="AH503" s="17" t="n">
        <f aca="false">Data!C498</f>
        <v>114.53</v>
      </c>
      <c r="AI503" s="17" t="n">
        <f aca="false">Data!D498</f>
        <v>112</v>
      </c>
      <c r="AJ503" s="17" t="n">
        <f aca="false">Data!E498</f>
        <v>112.76</v>
      </c>
      <c r="AK503" s="17" t="n">
        <f aca="false">Data!F498</f>
        <v>55962842</v>
      </c>
      <c r="AL503" s="17" t="n">
        <f aca="false">AJ503</f>
        <v>112.76</v>
      </c>
      <c r="AM503" s="17" t="n">
        <f aca="false">(AL503-AL502)/AL503*100</f>
        <v>4.46967009577865</v>
      </c>
      <c r="AN503" s="17" t="n">
        <f aca="false">(AK503-AK502)/AK503*100</f>
        <v>-35.7833006408073</v>
      </c>
      <c r="AO503" s="17" t="str">
        <f aca="false">IF(AN503&lt;-8,"FITS BITCH",IF(AN503&gt;-8,"no"))</f>
        <v>FITS BITCH</v>
      </c>
      <c r="AP503" s="17" t="str">
        <f aca="false">IF(AH504&lt;AH503,"FITS BITCH",IF(AH504&gt;AH503,"no"))</f>
        <v>FITS BITCH</v>
      </c>
      <c r="AQ503" s="17" t="str">
        <f aca="false">IF(AI504&lt;AI503,"FITS BITCH",IF(AI504&gt;AI503,"no"))</f>
        <v>FITS BITCH</v>
      </c>
      <c r="AR503" s="17" t="str">
        <f aca="false">IF(AJ503&lt;AH504,"FITS BITCH",IF(AJ503&gt;AH504,"no"))</f>
        <v>FITS BITCH</v>
      </c>
      <c r="AS503" s="17" t="str">
        <f aca="false">IF(AJ503&gt;AJ504,"FITS BITCH",IF(AJ503&lt;AJ504,"no"))</f>
        <v>no</v>
      </c>
      <c r="AT503" s="91" t="str">
        <f aca="false">IF(AND($AO503="FITS BITCH",$AP503="FITS BITCH",$AR503="FITS BITCH"),"BULLISH","")</f>
        <v>BULLISH</v>
      </c>
      <c r="AU503" s="91" t="str">
        <f aca="false">IF(AND($AO503="FITS BITCH",$AQ503="FITS BITCH",$AS503="FITS BITCH"),"BEARISH","")</f>
        <v/>
      </c>
      <c r="AV503" s="86"/>
      <c r="AW503" s="86"/>
      <c r="AX503" s="86"/>
    </row>
    <row r="504" customFormat="false" ht="15.75" hidden="false" customHeight="false" outlineLevel="0" collapsed="false">
      <c r="AE504" s="90" t="n">
        <f aca="false">Data!A499</f>
        <v>42244</v>
      </c>
      <c r="AF504" s="17" t="n">
        <f aca="false">Data!B499</f>
        <v>112.17</v>
      </c>
      <c r="AG504" s="17" t="n">
        <f aca="false">Data!F499</f>
        <v>52896384</v>
      </c>
      <c r="AH504" s="17" t="n">
        <f aca="false">Data!C499</f>
        <v>113.31</v>
      </c>
      <c r="AI504" s="17" t="n">
        <f aca="false">Data!D499</f>
        <v>111.54</v>
      </c>
      <c r="AJ504" s="17" t="n">
        <f aca="false">Data!E499</f>
        <v>113.29</v>
      </c>
      <c r="AK504" s="17" t="n">
        <f aca="false">Data!F499</f>
        <v>52896384</v>
      </c>
      <c r="AL504" s="17" t="n">
        <f aca="false">AJ504</f>
        <v>113.29</v>
      </c>
      <c r="AM504" s="17" t="n">
        <f aca="false">(AL504-AL503)/AL504*100</f>
        <v>0.467825933445142</v>
      </c>
      <c r="AN504" s="17" t="n">
        <f aca="false">(AK504-AK503)/AK504*100</f>
        <v>-5.79710325756861</v>
      </c>
      <c r="AO504" s="17" t="str">
        <f aca="false">IF(AN504&lt;-8,"FITS BITCH",IF(AN504&gt;-8,"no"))</f>
        <v>no</v>
      </c>
      <c r="AP504" s="17" t="str">
        <f aca="false">IF(AH505&lt;AH504,"FITS BITCH",IF(AH505&gt;AH504,"no"))</f>
        <v>FITS BITCH</v>
      </c>
      <c r="AQ504" s="17" t="str">
        <f aca="false">IF(AI505&lt;AI504,"FITS BITCH",IF(AI505&gt;AI504,"no"))</f>
        <v>FITS BITCH</v>
      </c>
      <c r="AR504" s="17" t="str">
        <f aca="false">IF(AJ504&lt;AH505,"FITS BITCH",IF(AJ504&gt;AH505,"no"))</f>
        <v>no</v>
      </c>
      <c r="AS504" s="17" t="str">
        <f aca="false">IF(AJ504&gt;AJ505,"FITS BITCH",IF(AJ504&lt;AJ505,"no"))</f>
        <v>FITS BITCH</v>
      </c>
      <c r="AT504" s="91" t="str">
        <f aca="false">IF(AND($AO504="FITS BITCH",$AP504="FITS BITCH",$AR504="FITS BITCH"),"BULLISH","")</f>
        <v/>
      </c>
      <c r="AU504" s="91" t="str">
        <f aca="false">IF(AND($AO504="FITS BITCH",$AQ504="FITS BITCH",$AS504="FITS BITCH"),"BEARISH","")</f>
        <v/>
      </c>
      <c r="AV504" s="86"/>
      <c r="AW504" s="86"/>
      <c r="AX504" s="86"/>
    </row>
    <row r="505" customFormat="false" ht="15.75" hidden="false" customHeight="false" outlineLevel="0" collapsed="false">
      <c r="AE505" s="90" t="n">
        <f aca="false">Data!A500</f>
        <v>42243</v>
      </c>
      <c r="AF505" s="17" t="n">
        <f aca="false">Data!B500</f>
        <v>112.23</v>
      </c>
      <c r="AG505" s="17" t="n">
        <f aca="false">Data!F500</f>
        <v>83265146</v>
      </c>
      <c r="AH505" s="17" t="n">
        <f aca="false">Data!C500</f>
        <v>113.24</v>
      </c>
      <c r="AI505" s="17" t="n">
        <f aca="false">Data!D500</f>
        <v>110.02</v>
      </c>
      <c r="AJ505" s="17" t="n">
        <f aca="false">Data!E500</f>
        <v>112.92</v>
      </c>
      <c r="AK505" s="17" t="n">
        <f aca="false">Data!F500</f>
        <v>83265146</v>
      </c>
      <c r="AL505" s="17" t="n">
        <f aca="false">AJ505</f>
        <v>112.92</v>
      </c>
      <c r="AM505" s="17" t="n">
        <f aca="false">(AL505-AL504)/AL505*100</f>
        <v>-0.327665603967415</v>
      </c>
      <c r="AN505" s="17" t="n">
        <f aca="false">(AK505-AK504)/AK505*100</f>
        <v>36.4723578338528</v>
      </c>
      <c r="AO505" s="17" t="str">
        <f aca="false">IF(AN505&lt;-8,"FITS BITCH",IF(AN505&gt;-8,"no"))</f>
        <v>no</v>
      </c>
      <c r="AP505" s="17" t="str">
        <f aca="false">IF(AH506&lt;AH505,"FITS BITCH",IF(AH506&gt;AH505,"no"))</f>
        <v>FITS BITCH</v>
      </c>
      <c r="AQ505" s="17" t="str">
        <f aca="false">IF(AI506&lt;AI505,"FITS BITCH",IF(AI506&gt;AI505,"no"))</f>
        <v>FITS BITCH</v>
      </c>
      <c r="AR505" s="17" t="str">
        <f aca="false">IF(AJ505&lt;AH506,"FITS BITCH",IF(AJ505&gt;AH506,"no"))</f>
        <v>no</v>
      </c>
      <c r="AS505" s="17" t="str">
        <f aca="false">IF(AJ505&gt;AJ506,"FITS BITCH",IF(AJ505&lt;AJ506,"no"))</f>
        <v>FITS BITCH</v>
      </c>
      <c r="AT505" s="91" t="str">
        <f aca="false">IF(AND($AO505="FITS BITCH",$AP505="FITS BITCH",$AR505="FITS BITCH"),"BULLISH","")</f>
        <v/>
      </c>
      <c r="AU505" s="91" t="str">
        <f aca="false">IF(AND($AO505="FITS BITCH",$AQ505="FITS BITCH",$AS505="FITS BITCH"),"BEARISH","")</f>
        <v/>
      </c>
      <c r="AV505" s="86"/>
      <c r="AW505" s="86"/>
      <c r="AX505" s="86"/>
    </row>
    <row r="506" customFormat="false" ht="15.75" hidden="false" customHeight="false" outlineLevel="0" collapsed="false">
      <c r="AE506" s="90" t="n">
        <f aca="false">Data!A501</f>
        <v>42242</v>
      </c>
      <c r="AF506" s="17" t="n">
        <f aca="false">Data!B501</f>
        <v>107.08</v>
      </c>
      <c r="AG506" s="17" t="n">
        <f aca="false">Data!F501</f>
        <v>96226269</v>
      </c>
      <c r="AH506" s="17" t="n">
        <f aca="false">Data!C501</f>
        <v>109.89</v>
      </c>
      <c r="AI506" s="17" t="n">
        <f aca="false">Data!D501</f>
        <v>105.05</v>
      </c>
      <c r="AJ506" s="17" t="n">
        <f aca="false">Data!E501</f>
        <v>109.69</v>
      </c>
      <c r="AK506" s="17" t="n">
        <f aca="false">Data!F501</f>
        <v>96226269</v>
      </c>
      <c r="AL506" s="17" t="n">
        <f aca="false">AJ506</f>
        <v>109.69</v>
      </c>
      <c r="AM506" s="17" t="n">
        <f aca="false">(AL506-AL505)/AL506*100</f>
        <v>-2.94466222992069</v>
      </c>
      <c r="AN506" s="17" t="n">
        <f aca="false">(AK506-AK505)/AK506*100</f>
        <v>13.4694227830864</v>
      </c>
      <c r="AO506" s="17" t="str">
        <f aca="false">IF(AN506&lt;-8,"FITS BITCH",IF(AN506&gt;-8,"no"))</f>
        <v>no</v>
      </c>
      <c r="AP506" s="17" t="str">
        <f aca="false">IF(AH507&lt;AH506,"FITS BITCH",IF(AH507&gt;AH506,"no"))</f>
        <v>no</v>
      </c>
      <c r="AQ506" s="17" t="str">
        <f aca="false">IF(AI507&lt;AI506,"FITS BITCH",IF(AI507&gt;AI506,"no"))</f>
        <v>FITS BITCH</v>
      </c>
      <c r="AR506" s="17" t="str">
        <f aca="false">IF(AJ506&lt;AH507,"FITS BITCH",IF(AJ506&gt;AH507,"no"))</f>
        <v>FITS BITCH</v>
      </c>
      <c r="AS506" s="17" t="str">
        <f aca="false">IF(AJ506&gt;AJ507,"FITS BITCH",IF(AJ506&lt;AJ507,"no"))</f>
        <v>FITS BITCH</v>
      </c>
      <c r="AT506" s="91" t="str">
        <f aca="false">IF(AND($AO506="FITS BITCH",$AP506="FITS BITCH",$AR506="FITS BITCH"),"BULLISH","")</f>
        <v/>
      </c>
      <c r="AU506" s="91" t="str">
        <f aca="false">IF(AND($AO506="FITS BITCH",$AQ506="FITS BITCH",$AS506="FITS BITCH"),"BEARISH","")</f>
        <v/>
      </c>
      <c r="AV506" s="86"/>
      <c r="AW506" s="86"/>
      <c r="AX506" s="86"/>
    </row>
    <row r="507" customFormat="false" ht="15.75" hidden="false" customHeight="false" outlineLevel="0" collapsed="false">
      <c r="AE507" s="90" t="n">
        <f aca="false">Data!A502</f>
        <v>42241</v>
      </c>
      <c r="AF507" s="17" t="n">
        <f aca="false">Data!B502</f>
        <v>111.11</v>
      </c>
      <c r="AG507" s="17" t="n">
        <f aca="false">Data!F502</f>
        <v>102240208</v>
      </c>
      <c r="AH507" s="17" t="n">
        <f aca="false">Data!C502</f>
        <v>111.11</v>
      </c>
      <c r="AI507" s="17" t="n">
        <f aca="false">Data!D502</f>
        <v>103.5</v>
      </c>
      <c r="AJ507" s="17" t="n">
        <f aca="false">Data!E502</f>
        <v>103.74</v>
      </c>
      <c r="AK507" s="17" t="n">
        <f aca="false">Data!F502</f>
        <v>102240208</v>
      </c>
      <c r="AL507" s="17" t="n">
        <f aca="false">AJ507</f>
        <v>103.74</v>
      </c>
      <c r="AM507" s="17" t="n">
        <f aca="false">(AL507-AL506)/AL507*100</f>
        <v>-5.73549257759784</v>
      </c>
      <c r="AN507" s="17" t="n">
        <f aca="false">(AK507-AK506)/AK507*100</f>
        <v>5.88216624128934</v>
      </c>
      <c r="AO507" s="17" t="str">
        <f aca="false">IF(AN507&lt;-8,"FITS BITCH",IF(AN507&gt;-8,"no"))</f>
        <v>no</v>
      </c>
      <c r="AP507" s="17" t="str">
        <f aca="false">IF(AH508&lt;AH507,"FITS BITCH",IF(AH508&gt;AH507,"no"))</f>
        <v>FITS BITCH</v>
      </c>
      <c r="AQ507" s="17" t="str">
        <f aca="false">IF(AI508&lt;AI507,"FITS BITCH",IF(AI508&gt;AI507,"no"))</f>
        <v>FITS BITCH</v>
      </c>
      <c r="AR507" s="17" t="str">
        <f aca="false">IF(AJ507&lt;AH508,"FITS BITCH",IF(AJ507&gt;AH508,"no"))</f>
        <v>FITS BITCH</v>
      </c>
      <c r="AS507" s="17" t="str">
        <f aca="false">IF(AJ507&gt;AJ508,"FITS BITCH",IF(AJ507&lt;AJ508,"no"))</f>
        <v>FITS BITCH</v>
      </c>
      <c r="AT507" s="91" t="str">
        <f aca="false">IF(AND($AO507="FITS BITCH",$AP507="FITS BITCH",$AR507="FITS BITCH"),"BULLISH","")</f>
        <v/>
      </c>
      <c r="AU507" s="91" t="str">
        <f aca="false">IF(AND($AO507="FITS BITCH",$AQ507="FITS BITCH",$AS507="FITS BITCH"),"BEARISH","")</f>
        <v/>
      </c>
      <c r="AV507" s="86"/>
      <c r="AW507" s="86"/>
      <c r="AX507" s="86"/>
    </row>
    <row r="508" customFormat="false" ht="15.75" hidden="false" customHeight="false" outlineLevel="0" collapsed="false">
      <c r="AE508" s="90" t="n">
        <f aca="false">Data!A503</f>
        <v>42240</v>
      </c>
      <c r="AF508" s="17" t="n">
        <f aca="false">Data!B503</f>
        <v>94.87</v>
      </c>
      <c r="AG508" s="17" t="n">
        <f aca="false">Data!F503</f>
        <v>161454199</v>
      </c>
      <c r="AH508" s="17" t="n">
        <f aca="false">Data!C503</f>
        <v>108.8</v>
      </c>
      <c r="AI508" s="17" t="n">
        <f aca="false">Data!D503</f>
        <v>92</v>
      </c>
      <c r="AJ508" s="17" t="n">
        <f aca="false">Data!E503</f>
        <v>103.12</v>
      </c>
      <c r="AK508" s="17" t="n">
        <f aca="false">Data!F503</f>
        <v>161454199</v>
      </c>
      <c r="AL508" s="17" t="n">
        <f aca="false">AJ508</f>
        <v>103.12</v>
      </c>
      <c r="AM508" s="17" t="n">
        <f aca="false">(AL508-AL507)/AL508*100</f>
        <v>-0.601241272304102</v>
      </c>
      <c r="AN508" s="17" t="n">
        <f aca="false">(AK508-AK507)/AK508*100</f>
        <v>36.6754109628329</v>
      </c>
      <c r="AO508" s="17" t="str">
        <f aca="false">IF(AN508&lt;-8,"FITS BITCH",IF(AN508&gt;-8,"no"))</f>
        <v>no</v>
      </c>
      <c r="AP508" s="17" t="str">
        <f aca="false">IF(AH509&lt;AH508,"FITS BITCH",IF(AH509&gt;AH508,"no"))</f>
        <v>no</v>
      </c>
      <c r="AQ508" s="17" t="str">
        <f aca="false">IF(AI509&lt;AI508,"FITS BITCH",IF(AI509&gt;AI508,"no"))</f>
        <v>no</v>
      </c>
      <c r="AR508" s="17" t="str">
        <f aca="false">IF(AJ508&lt;AH509,"FITS BITCH",IF(AJ508&gt;AH509,"no"))</f>
        <v>FITS BITCH</v>
      </c>
      <c r="AS508" s="17" t="str">
        <f aca="false">IF(AJ508&gt;AJ509,"FITS BITCH",IF(AJ508&lt;AJ509,"no"))</f>
        <v>no</v>
      </c>
      <c r="AT508" s="91" t="str">
        <f aca="false">IF(AND($AO508="FITS BITCH",$AP508="FITS BITCH",$AR508="FITS BITCH"),"BULLISH","")</f>
        <v/>
      </c>
      <c r="AU508" s="91" t="str">
        <f aca="false">IF(AND($AO508="FITS BITCH",$AQ508="FITS BITCH",$AS508="FITS BITCH"),"BEARISH","")</f>
        <v/>
      </c>
      <c r="AV508" s="86"/>
      <c r="AW508" s="86"/>
      <c r="AX508" s="86"/>
    </row>
    <row r="509" customFormat="false" ht="15.75" hidden="false" customHeight="false" outlineLevel="0" collapsed="false">
      <c r="AE509" s="90" t="n">
        <f aca="false">Data!A504</f>
        <v>42237</v>
      </c>
      <c r="AF509" s="17" t="n">
        <f aca="false">Data!B504</f>
        <v>110.43</v>
      </c>
      <c r="AG509" s="17" t="n">
        <f aca="false">Data!F504</f>
        <v>126289223</v>
      </c>
      <c r="AH509" s="17" t="n">
        <f aca="false">Data!C504</f>
        <v>111.9</v>
      </c>
      <c r="AI509" s="17" t="n">
        <f aca="false">Data!D504</f>
        <v>105.64</v>
      </c>
      <c r="AJ509" s="17" t="n">
        <f aca="false">Data!E504</f>
        <v>105.76</v>
      </c>
      <c r="AK509" s="17" t="n">
        <f aca="false">Data!F504</f>
        <v>126289223</v>
      </c>
      <c r="AL509" s="17" t="n">
        <f aca="false">AJ509</f>
        <v>105.76</v>
      </c>
      <c r="AM509" s="17" t="n">
        <f aca="false">(AL509-AL508)/AL509*100</f>
        <v>2.49621785173979</v>
      </c>
      <c r="AN509" s="17" t="n">
        <f aca="false">(AK509-AK508)/AK509*100</f>
        <v>-27.8447955927324</v>
      </c>
      <c r="AO509" s="17" t="str">
        <f aca="false">IF(AN509&lt;-8,"FITS BITCH",IF(AN509&gt;-8,"no"))</f>
        <v>FITS BITCH</v>
      </c>
      <c r="AP509" s="17" t="str">
        <f aca="false">IF(AH510&lt;AH509,"FITS BITCH",IF(AH510&gt;AH509,"no"))</f>
        <v>no</v>
      </c>
      <c r="AQ509" s="17" t="str">
        <f aca="false">IF(AI510&lt;AI509,"FITS BITCH",IF(AI510&gt;AI509,"no"))</f>
        <v>no</v>
      </c>
      <c r="AR509" s="17" t="str">
        <f aca="false">IF(AJ509&lt;AH510,"FITS BITCH",IF(AJ509&gt;AH510,"no"))</f>
        <v>FITS BITCH</v>
      </c>
      <c r="AS509" s="17" t="str">
        <f aca="false">IF(AJ509&gt;AJ510,"FITS BITCH",IF(AJ509&lt;AJ510,"no"))</f>
        <v>no</v>
      </c>
      <c r="AT509" s="91" t="str">
        <f aca="false">IF(AND($AO509="FITS BITCH",$AP509="FITS BITCH",$AR509="FITS BITCH"),"BULLISH","")</f>
        <v/>
      </c>
      <c r="AU509" s="91" t="str">
        <f aca="false">IF(AND($AO509="FITS BITCH",$AQ509="FITS BITCH",$AS509="FITS BITCH"),"BEARISH","")</f>
        <v/>
      </c>
      <c r="AV509" s="86"/>
      <c r="AW509" s="86"/>
      <c r="AX509" s="86"/>
    </row>
    <row r="510" customFormat="false" ht="15.75" hidden="false" customHeight="false" outlineLevel="0" collapsed="false">
      <c r="AE510" s="90" t="n">
        <f aca="false">Data!A505</f>
        <v>42236</v>
      </c>
      <c r="AF510" s="17" t="n">
        <f aca="false">Data!B505</f>
        <v>114.08</v>
      </c>
      <c r="AG510" s="17" t="n">
        <f aca="false">Data!F505</f>
        <v>67765523</v>
      </c>
      <c r="AH510" s="17" t="n">
        <f aca="false">Data!C505</f>
        <v>114.35</v>
      </c>
      <c r="AI510" s="17" t="n">
        <f aca="false">Data!D505</f>
        <v>111.63</v>
      </c>
      <c r="AJ510" s="17" t="n">
        <f aca="false">Data!E505</f>
        <v>112.65</v>
      </c>
      <c r="AK510" s="17" t="n">
        <f aca="false">Data!F505</f>
        <v>67765523</v>
      </c>
      <c r="AL510" s="17" t="n">
        <f aca="false">AJ510</f>
        <v>112.65</v>
      </c>
      <c r="AM510" s="17" t="n">
        <f aca="false">(AL510-AL509)/AL510*100</f>
        <v>6.11628939192188</v>
      </c>
      <c r="AN510" s="17" t="n">
        <f aca="false">(AK510-AK509)/AK510*100</f>
        <v>-86.362057590849</v>
      </c>
      <c r="AO510" s="17" t="str">
        <f aca="false">IF(AN510&lt;-8,"FITS BITCH",IF(AN510&gt;-8,"no"))</f>
        <v>FITS BITCH</v>
      </c>
      <c r="AP510" s="17" t="str">
        <f aca="false">IF(AH511&lt;AH510,"FITS BITCH",IF(AH511&gt;AH510,"no"))</f>
        <v>no</v>
      </c>
      <c r="AQ510" s="17" t="str">
        <f aca="false">IF(AI511&lt;AI510,"FITS BITCH",IF(AI511&gt;AI510,"no"))</f>
        <v>no</v>
      </c>
      <c r="AR510" s="17" t="str">
        <f aca="false">IF(AJ510&lt;AH511,"FITS BITCH",IF(AJ510&gt;AH511,"no"))</f>
        <v>FITS BITCH</v>
      </c>
      <c r="AS510" s="17" t="str">
        <f aca="false">IF(AJ510&gt;AJ511,"FITS BITCH",IF(AJ510&lt;AJ511,"no"))</f>
        <v>no</v>
      </c>
      <c r="AT510" s="91" t="str">
        <f aca="false">IF(AND($AO510="FITS BITCH",$AP510="FITS BITCH",$AR510="FITS BITCH"),"BULLISH","")</f>
        <v/>
      </c>
      <c r="AU510" s="91" t="str">
        <f aca="false">IF(AND($AO510="FITS BITCH",$AQ510="FITS BITCH",$AS510="FITS BITCH"),"BEARISH","")</f>
        <v/>
      </c>
      <c r="AV510" s="86"/>
      <c r="AW510" s="86"/>
      <c r="AX510" s="86"/>
    </row>
    <row r="511" customFormat="false" ht="15.75" hidden="false" customHeight="false" outlineLevel="0" collapsed="false">
      <c r="AE511" s="90" t="n">
        <f aca="false">Data!A506</f>
        <v>42235</v>
      </c>
      <c r="AF511" s="17" t="n">
        <f aca="false">Data!B506</f>
        <v>116.1</v>
      </c>
      <c r="AG511" s="17" t="n">
        <f aca="false">Data!F506</f>
        <v>48286510</v>
      </c>
      <c r="AH511" s="17" t="n">
        <f aca="false">Data!C506</f>
        <v>116.52</v>
      </c>
      <c r="AI511" s="17" t="n">
        <f aca="false">Data!D506</f>
        <v>114.68</v>
      </c>
      <c r="AJ511" s="17" t="n">
        <f aca="false">Data!E506</f>
        <v>115.01</v>
      </c>
      <c r="AK511" s="17" t="n">
        <f aca="false">Data!F506</f>
        <v>48286510</v>
      </c>
      <c r="AL511" s="17" t="n">
        <f aca="false">AJ511</f>
        <v>115.01</v>
      </c>
      <c r="AM511" s="17" t="n">
        <f aca="false">(AL511-AL510)/AL511*100</f>
        <v>2.05199547865403</v>
      </c>
      <c r="AN511" s="17" t="n">
        <f aca="false">(AK511-AK510)/AK511*100</f>
        <v>-40.3404864008602</v>
      </c>
      <c r="AO511" s="17" t="str">
        <f aca="false">IF(AN511&lt;-8,"FITS BITCH",IF(AN511&gt;-8,"no"))</f>
        <v>FITS BITCH</v>
      </c>
      <c r="AP511" s="17" t="str">
        <f aca="false">IF(AH512&lt;AH511,"FITS BITCH",IF(AH512&gt;AH511,"no"))</f>
        <v>no</v>
      </c>
      <c r="AQ511" s="17" t="str">
        <f aca="false">IF(AI512&lt;AI511,"FITS BITCH",IF(AI512&gt;AI511,"no"))</f>
        <v>no</v>
      </c>
      <c r="AR511" s="17" t="str">
        <f aca="false">IF(AJ511&lt;AH512,"FITS BITCH",IF(AJ511&gt;AH512,"no"))</f>
        <v>FITS BITCH</v>
      </c>
      <c r="AS511" s="17" t="str">
        <f aca="false">IF(AJ511&gt;AJ512,"FITS BITCH",IF(AJ511&lt;AJ512,"no"))</f>
        <v>no</v>
      </c>
      <c r="AT511" s="91" t="str">
        <f aca="false">IF(AND($AO511="FITS BITCH",$AP511="FITS BITCH",$AR511="FITS BITCH"),"BULLISH","")</f>
        <v/>
      </c>
      <c r="AU511" s="91" t="str">
        <f aca="false">IF(AND($AO511="FITS BITCH",$AQ511="FITS BITCH",$AS511="FITS BITCH"),"BEARISH","")</f>
        <v/>
      </c>
      <c r="AV511" s="86"/>
      <c r="AW511" s="86"/>
      <c r="AX511" s="86"/>
    </row>
    <row r="512" customFormat="false" ht="15.75" hidden="false" customHeight="false" outlineLevel="0" collapsed="false">
      <c r="AE512" s="90" t="n">
        <f aca="false">Data!A507</f>
        <v>42234</v>
      </c>
      <c r="AF512" s="17" t="n">
        <f aca="false">Data!B507</f>
        <v>116.43</v>
      </c>
      <c r="AG512" s="17" t="n">
        <f aca="false">Data!F507</f>
        <v>34560708</v>
      </c>
      <c r="AH512" s="17" t="n">
        <f aca="false">Data!C507</f>
        <v>117.44</v>
      </c>
      <c r="AI512" s="17" t="n">
        <f aca="false">Data!D507</f>
        <v>116.01</v>
      </c>
      <c r="AJ512" s="17" t="n">
        <f aca="false">Data!E507</f>
        <v>116.5</v>
      </c>
      <c r="AK512" s="17" t="n">
        <f aca="false">Data!F507</f>
        <v>34560708</v>
      </c>
      <c r="AL512" s="17" t="n">
        <f aca="false">AJ512</f>
        <v>116.5</v>
      </c>
      <c r="AM512" s="17" t="n">
        <f aca="false">(AL512-AL511)/AL512*100</f>
        <v>1.27896995708154</v>
      </c>
      <c r="AN512" s="17" t="n">
        <f aca="false">(AK512-AK511)/AK512*100</f>
        <v>-39.7150486616189</v>
      </c>
      <c r="AO512" s="17" t="str">
        <f aca="false">IF(AN512&lt;-8,"FITS BITCH",IF(AN512&gt;-8,"no"))</f>
        <v>FITS BITCH</v>
      </c>
      <c r="AP512" s="17" t="str">
        <f aca="false">IF(AH513&lt;AH512,"FITS BITCH",IF(AH513&gt;AH512,"no"))</f>
        <v>no</v>
      </c>
      <c r="AQ512" s="17" t="str">
        <f aca="false">IF(AI513&lt;AI512,"FITS BITCH",IF(AI513&gt;AI512,"no"))</f>
        <v>FITS BITCH</v>
      </c>
      <c r="AR512" s="17" t="str">
        <f aca="false">IF(AJ512&lt;AH513,"FITS BITCH",IF(AJ512&gt;AH513,"no"))</f>
        <v>FITS BITCH</v>
      </c>
      <c r="AS512" s="17" t="str">
        <f aca="false">IF(AJ512&gt;AJ513,"FITS BITCH",IF(AJ512&lt;AJ513,"no"))</f>
        <v>no</v>
      </c>
      <c r="AT512" s="91" t="str">
        <f aca="false">IF(AND($AO512="FITS BITCH",$AP512="FITS BITCH",$AR512="FITS BITCH"),"BULLISH","")</f>
        <v/>
      </c>
      <c r="AU512" s="91" t="str">
        <f aca="false">IF(AND($AO512="FITS BITCH",$AQ512="FITS BITCH",$AS512="FITS BITCH"),"BEARISH","")</f>
        <v/>
      </c>
      <c r="AV512" s="86"/>
      <c r="AW512" s="86"/>
      <c r="AX512" s="86"/>
    </row>
    <row r="513" customFormat="false" ht="15.75" hidden="false" customHeight="false" outlineLevel="0" collapsed="false">
      <c r="AE513" s="90" t="n">
        <f aca="false">Data!A508</f>
        <v>42233</v>
      </c>
      <c r="AF513" s="17" t="n">
        <f aca="false">Data!B508</f>
        <v>116.04</v>
      </c>
      <c r="AG513" s="17" t="n">
        <f aca="false">Data!F508</f>
        <v>40884745</v>
      </c>
      <c r="AH513" s="17" t="n">
        <f aca="false">Data!C508</f>
        <v>117.65</v>
      </c>
      <c r="AI513" s="17" t="n">
        <f aca="false">Data!D508</f>
        <v>115.5</v>
      </c>
      <c r="AJ513" s="17" t="n">
        <f aca="false">Data!E508</f>
        <v>117.16</v>
      </c>
      <c r="AK513" s="17" t="n">
        <f aca="false">Data!F508</f>
        <v>40884745</v>
      </c>
      <c r="AL513" s="17" t="n">
        <f aca="false">AJ513</f>
        <v>117.16</v>
      </c>
      <c r="AM513" s="17" t="n">
        <f aca="false">(AL513-AL512)/AL513*100</f>
        <v>0.563332195288491</v>
      </c>
      <c r="AN513" s="17" t="n">
        <f aca="false">(AK513-AK512)/AK513*100</f>
        <v>15.4679624392912</v>
      </c>
      <c r="AO513" s="17" t="str">
        <f aca="false">IF(AN513&lt;-8,"FITS BITCH",IF(AN513&gt;-8,"no"))</f>
        <v>no</v>
      </c>
      <c r="AP513" s="17" t="str">
        <f aca="false">IF(AH514&lt;AH513,"FITS BITCH",IF(AH514&gt;AH513,"no"))</f>
        <v>FITS BITCH</v>
      </c>
      <c r="AQ513" s="17" t="str">
        <f aca="false">IF(AI514&lt;AI513,"FITS BITCH",IF(AI514&gt;AI513,"no"))</f>
        <v>FITS BITCH</v>
      </c>
      <c r="AR513" s="17" t="str">
        <f aca="false">IF(AJ513&lt;AH514,"FITS BITCH",IF(AJ513&gt;AH514,"no"))</f>
        <v>no</v>
      </c>
      <c r="AS513" s="17" t="str">
        <f aca="false">IF(AJ513&gt;AJ514,"FITS BITCH",IF(AJ513&lt;AJ514,"no"))</f>
        <v>FITS BITCH</v>
      </c>
      <c r="AT513" s="91" t="str">
        <f aca="false">IF(AND($AO513="FITS BITCH",$AP513="FITS BITCH",$AR513="FITS BITCH"),"BULLISH","")</f>
        <v/>
      </c>
      <c r="AU513" s="91" t="str">
        <f aca="false">IF(AND($AO513="FITS BITCH",$AQ513="FITS BITCH",$AS513="FITS BITCH"),"BEARISH","")</f>
        <v/>
      </c>
      <c r="AV513" s="86"/>
      <c r="AW513" s="86"/>
      <c r="AX513" s="86"/>
    </row>
    <row r="514" customFormat="false" ht="15.75" hidden="false" customHeight="false" outlineLevel="0" collapsed="false">
      <c r="AE514" s="90" t="n">
        <f aca="false">Data!A509</f>
        <v>42230</v>
      </c>
      <c r="AF514" s="17" t="n">
        <f aca="false">Data!B509</f>
        <v>114.32</v>
      </c>
      <c r="AG514" s="17" t="n">
        <f aca="false">Data!F509</f>
        <v>42929516</v>
      </c>
      <c r="AH514" s="17" t="n">
        <f aca="false">Data!C509</f>
        <v>116.31</v>
      </c>
      <c r="AI514" s="17" t="n">
        <f aca="false">Data!D509</f>
        <v>114.01</v>
      </c>
      <c r="AJ514" s="17" t="n">
        <f aca="false">Data!E509</f>
        <v>115.96</v>
      </c>
      <c r="AK514" s="17" t="n">
        <f aca="false">Data!F509</f>
        <v>42929516</v>
      </c>
      <c r="AL514" s="17" t="n">
        <f aca="false">AJ514</f>
        <v>115.96</v>
      </c>
      <c r="AM514" s="17" t="n">
        <f aca="false">(AL514-AL513)/AL514*100</f>
        <v>-1.03483959986202</v>
      </c>
      <c r="AN514" s="17" t="n">
        <f aca="false">(AK514-AK513)/AK514*100</f>
        <v>4.7630888733989</v>
      </c>
      <c r="AO514" s="17" t="str">
        <f aca="false">IF(AN514&lt;-8,"FITS BITCH",IF(AN514&gt;-8,"no"))</f>
        <v>no</v>
      </c>
      <c r="AP514" s="17" t="str">
        <f aca="false">IF(AH515&lt;AH514,"FITS BITCH",IF(AH515&gt;AH514,"no"))</f>
        <v>no</v>
      </c>
      <c r="AQ514" s="17" t="str">
        <f aca="false">IF(AI515&lt;AI514,"FITS BITCH",IF(AI515&gt;AI514,"no"))</f>
        <v>no</v>
      </c>
      <c r="AR514" s="17" t="str">
        <f aca="false">IF(AJ514&lt;AH515,"FITS BITCH",IF(AJ514&gt;AH515,"no"))</f>
        <v>FITS BITCH</v>
      </c>
      <c r="AS514" s="17" t="str">
        <f aca="false">IF(AJ514&gt;AJ515,"FITS BITCH",IF(AJ514&lt;AJ515,"no"))</f>
        <v>FITS BITCH</v>
      </c>
      <c r="AT514" s="91" t="str">
        <f aca="false">IF(AND($AO514="FITS BITCH",$AP514="FITS BITCH",$AR514="FITS BITCH"),"BULLISH","")</f>
        <v/>
      </c>
      <c r="AU514" s="91" t="str">
        <f aca="false">IF(AND($AO514="FITS BITCH",$AQ514="FITS BITCH",$AS514="FITS BITCH"),"BEARISH","")</f>
        <v/>
      </c>
      <c r="AV514" s="86"/>
      <c r="AW514" s="86"/>
      <c r="AX514" s="86"/>
    </row>
    <row r="515" customFormat="false" ht="15.75" hidden="false" customHeight="false" outlineLevel="0" collapsed="false">
      <c r="AE515" s="90" t="n">
        <f aca="false">Data!A510</f>
        <v>42229</v>
      </c>
      <c r="AF515" s="17" t="n">
        <f aca="false">Data!B510</f>
        <v>116.04</v>
      </c>
      <c r="AG515" s="17" t="n">
        <f aca="false">Data!F510</f>
        <v>48535789</v>
      </c>
      <c r="AH515" s="17" t="n">
        <f aca="false">Data!C510</f>
        <v>116.4</v>
      </c>
      <c r="AI515" s="17" t="n">
        <f aca="false">Data!D510</f>
        <v>114.54</v>
      </c>
      <c r="AJ515" s="17" t="n">
        <f aca="false">Data!E510</f>
        <v>115.15</v>
      </c>
      <c r="AK515" s="17" t="n">
        <f aca="false">Data!F510</f>
        <v>48535789</v>
      </c>
      <c r="AL515" s="17" t="n">
        <f aca="false">AJ515</f>
        <v>115.15</v>
      </c>
      <c r="AM515" s="17" t="n">
        <f aca="false">(AL515-AL514)/AL515*100</f>
        <v>-0.70343030829352</v>
      </c>
      <c r="AN515" s="17" t="n">
        <f aca="false">(AK515-AK514)/AK515*100</f>
        <v>11.5508022337908</v>
      </c>
      <c r="AO515" s="17" t="str">
        <f aca="false">IF(AN515&lt;-8,"FITS BITCH",IF(AN515&gt;-8,"no"))</f>
        <v>no</v>
      </c>
      <c r="AP515" s="17" t="str">
        <f aca="false">IF(AH516&lt;AH515,"FITS BITCH",IF(AH516&gt;AH515,"no"))</f>
        <v>FITS BITCH</v>
      </c>
      <c r="AQ515" s="17" t="str">
        <f aca="false">IF(AI516&lt;AI515,"FITS BITCH",IF(AI516&gt;AI515,"no"))</f>
        <v>FITS BITCH</v>
      </c>
      <c r="AR515" s="17" t="str">
        <f aca="false">IF(AJ515&lt;AH516,"FITS BITCH",IF(AJ515&gt;AH516,"no"))</f>
        <v>FITS BITCH</v>
      </c>
      <c r="AS515" s="17" t="str">
        <f aca="false">IF(AJ515&gt;AJ516,"FITS BITCH",IF(AJ515&lt;AJ516,"no"))</f>
        <v>no</v>
      </c>
      <c r="AT515" s="91" t="str">
        <f aca="false">IF(AND($AO515="FITS BITCH",$AP515="FITS BITCH",$AR515="FITS BITCH"),"BULLISH","")</f>
        <v/>
      </c>
      <c r="AU515" s="91" t="str">
        <f aca="false">IF(AND($AO515="FITS BITCH",$AQ515="FITS BITCH",$AS515="FITS BITCH"),"BEARISH","")</f>
        <v/>
      </c>
      <c r="AV515" s="86"/>
      <c r="AW515" s="86"/>
      <c r="AX515" s="86"/>
    </row>
    <row r="516" customFormat="false" ht="15.75" hidden="false" customHeight="false" outlineLevel="0" collapsed="false">
      <c r="AE516" s="90" t="n">
        <f aca="false">Data!A511</f>
        <v>42228</v>
      </c>
      <c r="AF516" s="17" t="n">
        <f aca="false">Data!B511</f>
        <v>112.53</v>
      </c>
      <c r="AG516" s="17" t="n">
        <f aca="false">Data!F511</f>
        <v>101685610</v>
      </c>
      <c r="AH516" s="17" t="n">
        <f aca="false">Data!C511</f>
        <v>115.42</v>
      </c>
      <c r="AI516" s="17" t="n">
        <f aca="false">Data!D511</f>
        <v>109.63</v>
      </c>
      <c r="AJ516" s="17" t="n">
        <f aca="false">Data!E511</f>
        <v>115.24</v>
      </c>
      <c r="AK516" s="17" t="n">
        <f aca="false">Data!F511</f>
        <v>101685610</v>
      </c>
      <c r="AL516" s="17" t="n">
        <f aca="false">AJ516</f>
        <v>115.24</v>
      </c>
      <c r="AM516" s="17" t="n">
        <f aca="false">(AL516-AL515)/AL516*100</f>
        <v>0.0780978826796158</v>
      </c>
      <c r="AN516" s="17" t="n">
        <f aca="false">(AK516-AK515)/AK516*100</f>
        <v>52.2687733298743</v>
      </c>
      <c r="AO516" s="17" t="str">
        <f aca="false">IF(AN516&lt;-8,"FITS BITCH",IF(AN516&gt;-8,"no"))</f>
        <v>no</v>
      </c>
      <c r="AP516" s="17" t="str">
        <f aca="false">IF(AH517&lt;AH516,"FITS BITCH",IF(AH517&gt;AH516,"no"))</f>
        <v>no</v>
      </c>
      <c r="AQ516" s="17" t="str">
        <f aca="false">IF(AI517&lt;AI516,"FITS BITCH",IF(AI517&gt;AI516,"no"))</f>
        <v>no</v>
      </c>
      <c r="AR516" s="17" t="str">
        <f aca="false">IF(AJ516&lt;AH517,"FITS BITCH",IF(AJ516&gt;AH517,"no"))</f>
        <v>FITS BITCH</v>
      </c>
      <c r="AS516" s="17" t="str">
        <f aca="false">IF(AJ516&gt;AJ517,"FITS BITCH",IF(AJ516&lt;AJ517,"no"))</f>
        <v>FITS BITCH</v>
      </c>
      <c r="AT516" s="91" t="str">
        <f aca="false">IF(AND($AO516="FITS BITCH",$AP516="FITS BITCH",$AR516="FITS BITCH"),"BULLISH","")</f>
        <v/>
      </c>
      <c r="AU516" s="91" t="str">
        <f aca="false">IF(AND($AO516="FITS BITCH",$AQ516="FITS BITCH",$AS516="FITS BITCH"),"BEARISH","")</f>
        <v/>
      </c>
      <c r="AV516" s="86"/>
      <c r="AW516" s="86"/>
      <c r="AX516" s="86"/>
    </row>
    <row r="517" customFormat="false" ht="15.75" hidden="false" customHeight="false" outlineLevel="0" collapsed="false">
      <c r="AE517" s="90" t="n">
        <f aca="false">Data!A512</f>
        <v>42227</v>
      </c>
      <c r="AF517" s="17" t="n">
        <f aca="false">Data!B512</f>
        <v>117.81</v>
      </c>
      <c r="AG517" s="17" t="n">
        <f aca="false">Data!F512</f>
        <v>97082814</v>
      </c>
      <c r="AH517" s="17" t="n">
        <f aca="false">Data!C512</f>
        <v>118.18</v>
      </c>
      <c r="AI517" s="17" t="n">
        <f aca="false">Data!D512</f>
        <v>113.33</v>
      </c>
      <c r="AJ517" s="17" t="n">
        <f aca="false">Data!E512</f>
        <v>113.49</v>
      </c>
      <c r="AK517" s="17" t="n">
        <f aca="false">Data!F512</f>
        <v>97082814</v>
      </c>
      <c r="AL517" s="17" t="n">
        <f aca="false">AJ517</f>
        <v>113.49</v>
      </c>
      <c r="AM517" s="17" t="n">
        <f aca="false">(AL517-AL516)/AL517*100</f>
        <v>-1.54198607806855</v>
      </c>
      <c r="AN517" s="17" t="n">
        <f aca="false">(AK517-AK516)/AK517*100</f>
        <v>-4.7411027867404</v>
      </c>
      <c r="AO517" s="17" t="str">
        <f aca="false">IF(AN517&lt;-8,"FITS BITCH",IF(AN517&gt;-8,"no"))</f>
        <v>no</v>
      </c>
      <c r="AP517" s="17" t="str">
        <f aca="false">IF(AH518&lt;AH517,"FITS BITCH",IF(AH518&gt;AH517,"no"))</f>
        <v>no</v>
      </c>
      <c r="AQ517" s="17" t="str">
        <f aca="false">IF(AI518&lt;AI517,"FITS BITCH",IF(AI518&gt;AI517,"no"))</f>
        <v>no</v>
      </c>
      <c r="AR517" s="17" t="str">
        <f aca="false">IF(AJ517&lt;AH518,"FITS BITCH",IF(AJ517&gt;AH518,"no"))</f>
        <v>FITS BITCH</v>
      </c>
      <c r="AS517" s="17" t="str">
        <f aca="false">IF(AJ517&gt;AJ518,"FITS BITCH",IF(AJ517&lt;AJ518,"no"))</f>
        <v>no</v>
      </c>
      <c r="AT517" s="91" t="str">
        <f aca="false">IF(AND($AO517="FITS BITCH",$AP517="FITS BITCH",$AR517="FITS BITCH"),"BULLISH","")</f>
        <v/>
      </c>
      <c r="AU517" s="91" t="str">
        <f aca="false">IF(AND($AO517="FITS BITCH",$AQ517="FITS BITCH",$AS517="FITS BITCH"),"BEARISH","")</f>
        <v/>
      </c>
      <c r="AV517" s="86"/>
      <c r="AW517" s="86"/>
      <c r="AX517" s="86"/>
    </row>
    <row r="518" customFormat="false" ht="15.75" hidden="false" customHeight="false" outlineLevel="0" collapsed="false">
      <c r="AE518" s="90" t="n">
        <f aca="false">Data!A513</f>
        <v>42226</v>
      </c>
      <c r="AF518" s="17" t="n">
        <f aca="false">Data!B513</f>
        <v>116.53</v>
      </c>
      <c r="AG518" s="17" t="n">
        <f aca="false">Data!F513</f>
        <v>54951597</v>
      </c>
      <c r="AH518" s="17" t="n">
        <f aca="false">Data!C513</f>
        <v>119.99</v>
      </c>
      <c r="AI518" s="17" t="n">
        <f aca="false">Data!D513</f>
        <v>116.53</v>
      </c>
      <c r="AJ518" s="17" t="n">
        <f aca="false">Data!E513</f>
        <v>119.72</v>
      </c>
      <c r="AK518" s="17" t="n">
        <f aca="false">Data!F513</f>
        <v>54951597</v>
      </c>
      <c r="AL518" s="17" t="n">
        <f aca="false">AJ518</f>
        <v>119.72</v>
      </c>
      <c r="AM518" s="17" t="n">
        <f aca="false">(AL518-AL517)/AL518*100</f>
        <v>5.20380888740395</v>
      </c>
      <c r="AN518" s="17" t="n">
        <f aca="false">(AK518-AK517)/AK518*100</f>
        <v>-76.6696862331408</v>
      </c>
      <c r="AO518" s="17" t="str">
        <f aca="false">IF(AN518&lt;-8,"FITS BITCH",IF(AN518&gt;-8,"no"))</f>
        <v>FITS BITCH</v>
      </c>
      <c r="AP518" s="17" t="str">
        <f aca="false">IF(AH519&lt;AH518,"FITS BITCH",IF(AH519&gt;AH518,"no"))</f>
        <v>FITS BITCH</v>
      </c>
      <c r="AQ518" s="17" t="str">
        <f aca="false">IF(AI519&lt;AI518,"FITS BITCH",IF(AI519&gt;AI518,"no"))</f>
        <v>FITS BITCH</v>
      </c>
      <c r="AR518" s="17" t="str">
        <f aca="false">IF(AJ518&lt;AH519,"FITS BITCH",IF(AJ518&gt;AH519,"no"))</f>
        <v>no</v>
      </c>
      <c r="AS518" s="17" t="str">
        <f aca="false">IF(AJ518&gt;AJ519,"FITS BITCH",IF(AJ518&lt;AJ519,"no"))</f>
        <v>FITS BITCH</v>
      </c>
      <c r="AT518" s="91" t="str">
        <f aca="false">IF(AND($AO518="FITS BITCH",$AP518="FITS BITCH",$AR518="FITS BITCH"),"BULLISH","")</f>
        <v/>
      </c>
      <c r="AU518" s="91" t="str">
        <f aca="false">IF(AND($AO518="FITS BITCH",$AQ518="FITS BITCH",$AS518="FITS BITCH"),"BEARISH","")</f>
        <v>BEARISH</v>
      </c>
      <c r="AV518" s="86"/>
      <c r="AW518" s="86"/>
      <c r="AX518" s="86"/>
    </row>
    <row r="519" customFormat="false" ht="15.75" hidden="false" customHeight="false" outlineLevel="0" collapsed="false">
      <c r="AE519" s="90" t="n">
        <f aca="false">Data!A514</f>
        <v>42223</v>
      </c>
      <c r="AF519" s="17" t="n">
        <f aca="false">Data!B514</f>
        <v>114.58</v>
      </c>
      <c r="AG519" s="17" t="n">
        <f aca="false">Data!F514</f>
        <v>38670405</v>
      </c>
      <c r="AH519" s="17" t="n">
        <f aca="false">Data!C514</f>
        <v>116.25</v>
      </c>
      <c r="AI519" s="17" t="n">
        <f aca="false">Data!D514</f>
        <v>114.5</v>
      </c>
      <c r="AJ519" s="17" t="n">
        <f aca="false">Data!E514</f>
        <v>115.52</v>
      </c>
      <c r="AK519" s="17" t="n">
        <f aca="false">Data!F514</f>
        <v>38670405</v>
      </c>
      <c r="AL519" s="17" t="n">
        <f aca="false">AJ519</f>
        <v>115.52</v>
      </c>
      <c r="AM519" s="17" t="n">
        <f aca="false">(AL519-AL518)/AL519*100</f>
        <v>-3.63573407202216</v>
      </c>
      <c r="AN519" s="17" t="n">
        <f aca="false">(AK519-AK518)/AK519*100</f>
        <v>-42.1024605250449</v>
      </c>
      <c r="AO519" s="17" t="str">
        <f aca="false">IF(AN519&lt;-8,"FITS BITCH",IF(AN519&gt;-8,"no"))</f>
        <v>FITS BITCH</v>
      </c>
      <c r="AP519" s="17" t="str">
        <f aca="false">IF(AH520&lt;AH519,"FITS BITCH",IF(AH520&gt;AH519,"no"))</f>
        <v>no</v>
      </c>
      <c r="AQ519" s="17" t="str">
        <f aca="false">IF(AI520&lt;AI519,"FITS BITCH",IF(AI520&gt;AI519,"no"))</f>
        <v>FITS BITCH</v>
      </c>
      <c r="AR519" s="17" t="str">
        <f aca="false">IF(AJ519&lt;AH520,"FITS BITCH",IF(AJ519&gt;AH520,"no"))</f>
        <v>FITS BITCH</v>
      </c>
      <c r="AS519" s="17" t="str">
        <f aca="false">IF(AJ519&gt;AJ520,"FITS BITCH",IF(AJ519&lt;AJ520,"no"))</f>
        <v>FITS BITCH</v>
      </c>
      <c r="AT519" s="91" t="str">
        <f aca="false">IF(AND($AO519="FITS BITCH",$AP519="FITS BITCH",$AR519="FITS BITCH"),"BULLISH","")</f>
        <v/>
      </c>
      <c r="AU519" s="91" t="str">
        <f aca="false">IF(AND($AO519="FITS BITCH",$AQ519="FITS BITCH",$AS519="FITS BITCH"),"BEARISH","")</f>
        <v>BEARISH</v>
      </c>
      <c r="AV519" s="86"/>
      <c r="AW519" s="86"/>
      <c r="AX519" s="86"/>
    </row>
    <row r="520" customFormat="false" ht="15.75" hidden="false" customHeight="false" outlineLevel="0" collapsed="false">
      <c r="AE520" s="90" t="n">
        <f aca="false">Data!A515</f>
        <v>42222</v>
      </c>
      <c r="AF520" s="17" t="n">
        <f aca="false">Data!B515</f>
        <v>115.97</v>
      </c>
      <c r="AG520" s="17" t="n">
        <f aca="false">Data!F515</f>
        <v>52903040</v>
      </c>
      <c r="AH520" s="17" t="n">
        <f aca="false">Data!C515</f>
        <v>116.5</v>
      </c>
      <c r="AI520" s="17" t="n">
        <f aca="false">Data!D515</f>
        <v>114.12</v>
      </c>
      <c r="AJ520" s="17" t="n">
        <f aca="false">Data!E515</f>
        <v>115.13</v>
      </c>
      <c r="AK520" s="17" t="n">
        <f aca="false">Data!F515</f>
        <v>52903040</v>
      </c>
      <c r="AL520" s="17" t="n">
        <f aca="false">AJ520</f>
        <v>115.13</v>
      </c>
      <c r="AM520" s="17" t="n">
        <f aca="false">(AL520-AL519)/AL520*100</f>
        <v>-0.338747502822896</v>
      </c>
      <c r="AN520" s="17" t="n">
        <f aca="false">(AK520-AK519)/AK520*100</f>
        <v>26.9032460138397</v>
      </c>
      <c r="AO520" s="17" t="str">
        <f aca="false">IF(AN520&lt;-8,"FITS BITCH",IF(AN520&gt;-8,"no"))</f>
        <v>no</v>
      </c>
      <c r="AP520" s="17" t="str">
        <f aca="false">IF(AH521&lt;AH520,"FITS BITCH",IF(AH521&gt;AH520,"no"))</f>
        <v>no</v>
      </c>
      <c r="AQ520" s="17" t="str">
        <f aca="false">IF(AI521&lt;AI520,"FITS BITCH",IF(AI521&gt;AI520,"no"))</f>
        <v>FITS BITCH</v>
      </c>
      <c r="AR520" s="17" t="str">
        <f aca="false">IF(AJ520&lt;AH521,"FITS BITCH",IF(AJ520&gt;AH521,"no"))</f>
        <v>FITS BITCH</v>
      </c>
      <c r="AS520" s="17" t="str">
        <f aca="false">IF(AJ520&gt;AJ521,"FITS BITCH",IF(AJ520&lt;AJ521,"no"))</f>
        <v>no</v>
      </c>
      <c r="AT520" s="91" t="str">
        <f aca="false">IF(AND($AO520="FITS BITCH",$AP520="FITS BITCH",$AR520="FITS BITCH"),"BULLISH","")</f>
        <v/>
      </c>
      <c r="AU520" s="91" t="str">
        <f aca="false">IF(AND($AO520="FITS BITCH",$AQ520="FITS BITCH",$AS520="FITS BITCH"),"BEARISH","")</f>
        <v/>
      </c>
      <c r="AV520" s="86"/>
      <c r="AW520" s="86"/>
      <c r="AX520" s="86"/>
    </row>
    <row r="521" customFormat="false" ht="15.75" hidden="false" customHeight="false" outlineLevel="0" collapsed="false">
      <c r="AE521" s="90" t="n">
        <f aca="false">Data!A516</f>
        <v>42221</v>
      </c>
      <c r="AF521" s="17" t="n">
        <f aca="false">Data!B516</f>
        <v>112.95</v>
      </c>
      <c r="AG521" s="17" t="n">
        <f aca="false">Data!F516</f>
        <v>99312613</v>
      </c>
      <c r="AH521" s="17" t="n">
        <f aca="false">Data!C516</f>
        <v>117.44</v>
      </c>
      <c r="AI521" s="17" t="n">
        <f aca="false">Data!D516</f>
        <v>112.1</v>
      </c>
      <c r="AJ521" s="17" t="n">
        <f aca="false">Data!E516</f>
        <v>115.4</v>
      </c>
      <c r="AK521" s="17" t="n">
        <f aca="false">Data!F516</f>
        <v>99312613</v>
      </c>
      <c r="AL521" s="17" t="n">
        <f aca="false">AJ521</f>
        <v>115.4</v>
      </c>
      <c r="AM521" s="17" t="n">
        <f aca="false">(AL521-AL520)/AL521*100</f>
        <v>0.233968804159454</v>
      </c>
      <c r="AN521" s="17" t="n">
        <f aca="false">(AK521-AK520)/AK521*100</f>
        <v>46.7307944057418</v>
      </c>
      <c r="AO521" s="17" t="str">
        <f aca="false">IF(AN521&lt;-8,"FITS BITCH",IF(AN521&gt;-8,"no"))</f>
        <v>no</v>
      </c>
      <c r="AP521" s="17" t="str">
        <f aca="false">IF(AH522&lt;AH521,"FITS BITCH",IF(AH522&gt;AH521,"no"))</f>
        <v>no</v>
      </c>
      <c r="AQ521" s="17" t="str">
        <f aca="false">IF(AI522&lt;AI521,"FITS BITCH",IF(AI522&gt;AI521,"no"))</f>
        <v>no</v>
      </c>
      <c r="AR521" s="17" t="str">
        <f aca="false">IF(AJ521&lt;AH522,"FITS BITCH",IF(AJ521&gt;AH522,"no"))</f>
        <v>FITS BITCH</v>
      </c>
      <c r="AS521" s="17" t="str">
        <f aca="false">IF(AJ521&gt;AJ522,"FITS BITCH",IF(AJ521&lt;AJ522,"no"))</f>
        <v>FITS BITCH</v>
      </c>
      <c r="AT521" s="91" t="str">
        <f aca="false">IF(AND($AO521="FITS BITCH",$AP521="FITS BITCH",$AR521="FITS BITCH"),"BULLISH","")</f>
        <v/>
      </c>
      <c r="AU521" s="91" t="str">
        <f aca="false">IF(AND($AO521="FITS BITCH",$AQ521="FITS BITCH",$AS521="FITS BITCH"),"BEARISH","")</f>
        <v/>
      </c>
      <c r="AV521" s="86"/>
      <c r="AW521" s="86"/>
      <c r="AX521" s="86"/>
    </row>
    <row r="522" customFormat="false" ht="15.75" hidden="false" customHeight="false" outlineLevel="0" collapsed="false">
      <c r="AE522" s="90" t="n">
        <f aca="false">Data!A517</f>
        <v>42220</v>
      </c>
      <c r="AF522" s="17" t="n">
        <f aca="false">Data!B517</f>
        <v>117.42</v>
      </c>
      <c r="AG522" s="17" t="n">
        <f aca="false">Data!F517</f>
        <v>124138623</v>
      </c>
      <c r="AH522" s="17" t="n">
        <f aca="false">Data!C517</f>
        <v>117.7</v>
      </c>
      <c r="AI522" s="17" t="n">
        <f aca="false">Data!D517</f>
        <v>113.25</v>
      </c>
      <c r="AJ522" s="17" t="n">
        <f aca="false">Data!E517</f>
        <v>114.64</v>
      </c>
      <c r="AK522" s="17" t="n">
        <f aca="false">Data!F517</f>
        <v>124138623</v>
      </c>
      <c r="AL522" s="17" t="n">
        <f aca="false">AJ522</f>
        <v>114.64</v>
      </c>
      <c r="AM522" s="17" t="n">
        <f aca="false">(AL522-AL521)/AL522*100</f>
        <v>-0.662944870900214</v>
      </c>
      <c r="AN522" s="17" t="n">
        <f aca="false">(AK522-AK521)/AK522*100</f>
        <v>19.9986188021435</v>
      </c>
      <c r="AO522" s="17" t="str">
        <f aca="false">IF(AN522&lt;-8,"FITS BITCH",IF(AN522&gt;-8,"no"))</f>
        <v>no</v>
      </c>
      <c r="AP522" s="17" t="str">
        <f aca="false">IF(AH523&lt;AH522,"FITS BITCH",IF(AH523&gt;AH522,"no"))</f>
        <v>no</v>
      </c>
      <c r="AQ522" s="17" t="str">
        <f aca="false">IF(AI523&lt;AI522,"FITS BITCH",IF(AI523&gt;AI522,"no"))</f>
        <v>no</v>
      </c>
      <c r="AR522" s="17" t="str">
        <f aca="false">IF(AJ522&lt;AH523,"FITS BITCH",IF(AJ522&gt;AH523,"no"))</f>
        <v>FITS BITCH</v>
      </c>
      <c r="AS522" s="17" t="str">
        <f aca="false">IF(AJ522&gt;AJ523,"FITS BITCH",IF(AJ522&lt;AJ523,"no"))</f>
        <v>no</v>
      </c>
      <c r="AT522" s="91" t="str">
        <f aca="false">IF(AND($AO522="FITS BITCH",$AP522="FITS BITCH",$AR522="FITS BITCH"),"BULLISH","")</f>
        <v/>
      </c>
      <c r="AU522" s="91" t="str">
        <f aca="false">IF(AND($AO522="FITS BITCH",$AQ522="FITS BITCH",$AS522="FITS BITCH"),"BEARISH","")</f>
        <v/>
      </c>
      <c r="AV522" s="86"/>
      <c r="AW522" s="86"/>
      <c r="AX522" s="86"/>
    </row>
    <row r="523" customFormat="false" ht="15.75" hidden="false" customHeight="false" outlineLevel="0" collapsed="false">
      <c r="AE523" s="90" t="n">
        <f aca="false">Data!A518</f>
        <v>42219</v>
      </c>
      <c r="AF523" s="17" t="n">
        <f aca="false">Data!B518</f>
        <v>121.5</v>
      </c>
      <c r="AG523" s="17" t="n">
        <f aca="false">Data!F518</f>
        <v>69975968</v>
      </c>
      <c r="AH523" s="17" t="n">
        <f aca="false">Data!C518</f>
        <v>122.57</v>
      </c>
      <c r="AI523" s="17" t="n">
        <f aca="false">Data!D518</f>
        <v>117.52</v>
      </c>
      <c r="AJ523" s="17" t="n">
        <f aca="false">Data!E518</f>
        <v>118.44</v>
      </c>
      <c r="AK523" s="17" t="n">
        <f aca="false">Data!F518</f>
        <v>69975968</v>
      </c>
      <c r="AL523" s="17" t="n">
        <f aca="false">AJ523</f>
        <v>118.44</v>
      </c>
      <c r="AM523" s="17" t="n">
        <f aca="false">(AL523-AL522)/AL523*100</f>
        <v>3.20837554880108</v>
      </c>
      <c r="AN523" s="17" t="n">
        <f aca="false">(AK523-AK522)/AK523*100</f>
        <v>-77.4017945703874</v>
      </c>
      <c r="AO523" s="17" t="str">
        <f aca="false">IF(AN523&lt;-8,"FITS BITCH",IF(AN523&gt;-8,"no"))</f>
        <v>FITS BITCH</v>
      </c>
      <c r="AP523" s="17" t="str">
        <f aca="false">IF(AH524&lt;AH523,"FITS BITCH",IF(AH524&gt;AH523,"no"))</f>
        <v>no</v>
      </c>
      <c r="AQ523" s="17" t="str">
        <f aca="false">IF(AI524&lt;AI523,"FITS BITCH",IF(AI524&gt;AI523,"no"))</f>
        <v>no</v>
      </c>
      <c r="AR523" s="17" t="str">
        <f aca="false">IF(AJ523&lt;AH524,"FITS BITCH",IF(AJ523&gt;AH524,"no"))</f>
        <v>FITS BITCH</v>
      </c>
      <c r="AS523" s="17" t="str">
        <f aca="false">IF(AJ523&gt;AJ524,"FITS BITCH",IF(AJ523&lt;AJ524,"no"))</f>
        <v>no</v>
      </c>
      <c r="AT523" s="91" t="str">
        <f aca="false">IF(AND($AO523="FITS BITCH",$AP523="FITS BITCH",$AR523="FITS BITCH"),"BULLISH","")</f>
        <v/>
      </c>
      <c r="AU523" s="91" t="str">
        <f aca="false">IF(AND($AO523="FITS BITCH",$AQ523="FITS BITCH",$AS523="FITS BITCH"),"BEARISH","")</f>
        <v/>
      </c>
      <c r="AV523" s="86"/>
      <c r="AW523" s="86"/>
      <c r="AX523" s="86"/>
    </row>
    <row r="524" customFormat="false" ht="15.75" hidden="false" customHeight="false" outlineLevel="0" collapsed="false">
      <c r="AE524" s="90" t="n">
        <f aca="false">Data!A519</f>
        <v>42216</v>
      </c>
      <c r="AF524" s="17" t="n">
        <f aca="false">Data!B519</f>
        <v>122.6</v>
      </c>
      <c r="AG524" s="17" t="n">
        <f aca="false">Data!F519</f>
        <v>42884953</v>
      </c>
      <c r="AH524" s="17" t="n">
        <f aca="false">Data!C519</f>
        <v>122.64</v>
      </c>
      <c r="AI524" s="17" t="n">
        <f aca="false">Data!D519</f>
        <v>120.91</v>
      </c>
      <c r="AJ524" s="17" t="n">
        <f aca="false">Data!E519</f>
        <v>121.3</v>
      </c>
      <c r="AK524" s="17" t="n">
        <f aca="false">Data!F519</f>
        <v>42884953</v>
      </c>
      <c r="AL524" s="17" t="n">
        <f aca="false">AJ524</f>
        <v>121.3</v>
      </c>
      <c r="AM524" s="17" t="n">
        <f aca="false">(AL524-AL523)/AL524*100</f>
        <v>2.35779060181368</v>
      </c>
      <c r="AN524" s="17" t="n">
        <f aca="false">(AK524-AK523)/AK524*100</f>
        <v>-63.171376216735</v>
      </c>
      <c r="AO524" s="17" t="str">
        <f aca="false">IF(AN524&lt;-8,"FITS BITCH",IF(AN524&gt;-8,"no"))</f>
        <v>FITS BITCH</v>
      </c>
      <c r="AP524" s="17" t="str">
        <f aca="false">IF(AH525&lt;AH524,"FITS BITCH",IF(AH525&gt;AH524,"no"))</f>
        <v>FITS BITCH</v>
      </c>
      <c r="AQ524" s="17" t="str">
        <f aca="false">IF(AI525&lt;AI524,"FITS BITCH",IF(AI525&gt;AI524,"no"))</f>
        <v>no</v>
      </c>
      <c r="AR524" s="17" t="str">
        <f aca="false">IF(AJ524&lt;AH525,"FITS BITCH",IF(AJ524&gt;AH525,"no"))</f>
        <v>FITS BITCH</v>
      </c>
      <c r="AS524" s="17" t="str">
        <f aca="false">IF(AJ524&gt;AJ525,"FITS BITCH",IF(AJ524&lt;AJ525,"no"))</f>
        <v>no</v>
      </c>
      <c r="AT524" s="91" t="str">
        <f aca="false">IF(AND($AO524="FITS BITCH",$AP524="FITS BITCH",$AR524="FITS BITCH"),"BULLISH","")</f>
        <v>BULLISH</v>
      </c>
      <c r="AU524" s="91" t="str">
        <f aca="false">IF(AND($AO524="FITS BITCH",$AQ524="FITS BITCH",$AS524="FITS BITCH"),"BEARISH","")</f>
        <v/>
      </c>
      <c r="AV524" s="86"/>
      <c r="AW524" s="86"/>
      <c r="AX524" s="86"/>
    </row>
    <row r="525" customFormat="false" ht="15.75" hidden="false" customHeight="false" outlineLevel="0" collapsed="false">
      <c r="AE525" s="90" t="n">
        <f aca="false">Data!A520</f>
        <v>42215</v>
      </c>
      <c r="AF525" s="17" t="n">
        <f aca="false">Data!B520</f>
        <v>122.32</v>
      </c>
      <c r="AG525" s="17" t="n">
        <f aca="false">Data!F520</f>
        <v>33628268</v>
      </c>
      <c r="AH525" s="17" t="n">
        <f aca="false">Data!C520</f>
        <v>122.57</v>
      </c>
      <c r="AI525" s="17" t="n">
        <f aca="false">Data!D520</f>
        <v>121.71</v>
      </c>
      <c r="AJ525" s="17" t="n">
        <f aca="false">Data!E520</f>
        <v>122.37</v>
      </c>
      <c r="AK525" s="17" t="n">
        <f aca="false">Data!F520</f>
        <v>33628268</v>
      </c>
      <c r="AL525" s="17" t="n">
        <f aca="false">AJ525</f>
        <v>122.37</v>
      </c>
      <c r="AM525" s="17" t="n">
        <f aca="false">(AL525-AL524)/AL525*100</f>
        <v>0.874397319604484</v>
      </c>
      <c r="AN525" s="17" t="n">
        <f aca="false">(AK525-AK524)/AK525*100</f>
        <v>-27.526499431966</v>
      </c>
      <c r="AO525" s="17" t="str">
        <f aca="false">IF(AN525&lt;-8,"FITS BITCH",IF(AN525&gt;-8,"no"))</f>
        <v>FITS BITCH</v>
      </c>
      <c r="AP525" s="17" t="str">
        <f aca="false">IF(AH526&lt;AH525,"FITS BITCH",IF(AH526&gt;AH525,"no"))</f>
        <v>no</v>
      </c>
      <c r="AQ525" s="17" t="str">
        <f aca="false">IF(AI526&lt;AI525,"FITS BITCH",IF(AI526&gt;AI525,"no"))</f>
        <v>no</v>
      </c>
      <c r="AR525" s="17" t="str">
        <f aca="false">IF(AJ525&lt;AH526,"FITS BITCH",IF(AJ525&gt;AH526,"no"))</f>
        <v>FITS BITCH</v>
      </c>
      <c r="AS525" s="17" t="str">
        <f aca="false">IF(AJ525&gt;AJ526,"FITS BITCH",IF(AJ525&lt;AJ526,"no"))</f>
        <v>no</v>
      </c>
      <c r="AT525" s="91" t="str">
        <f aca="false">IF(AND($AO525="FITS BITCH",$AP525="FITS BITCH",$AR525="FITS BITCH"),"BULLISH","")</f>
        <v/>
      </c>
      <c r="AU525" s="91" t="str">
        <f aca="false">IF(AND($AO525="FITS BITCH",$AQ525="FITS BITCH",$AS525="FITS BITCH"),"BEARISH","")</f>
        <v/>
      </c>
      <c r="AV525" s="86"/>
      <c r="AW525" s="86"/>
      <c r="AX525" s="86"/>
    </row>
    <row r="526" customFormat="false" ht="15.75" hidden="false" customHeight="false" outlineLevel="0" collapsed="false">
      <c r="AE526" s="90" t="n">
        <f aca="false">Data!A521</f>
        <v>42214</v>
      </c>
      <c r="AF526" s="17" t="n">
        <f aca="false">Data!B521</f>
        <v>123.15</v>
      </c>
      <c r="AG526" s="17" t="n">
        <f aca="false">Data!F521</f>
        <v>37011653</v>
      </c>
      <c r="AH526" s="17" t="n">
        <f aca="false">Data!C521</f>
        <v>123.5</v>
      </c>
      <c r="AI526" s="17" t="n">
        <f aca="false">Data!D521</f>
        <v>122.27</v>
      </c>
      <c r="AJ526" s="17" t="n">
        <f aca="false">Data!E521</f>
        <v>122.99</v>
      </c>
      <c r="AK526" s="17" t="n">
        <f aca="false">Data!F521</f>
        <v>37011653</v>
      </c>
      <c r="AL526" s="17" t="n">
        <f aca="false">AJ526</f>
        <v>122.99</v>
      </c>
      <c r="AM526" s="17" t="n">
        <f aca="false">(AL526-AL525)/AL526*100</f>
        <v>0.504106024880064</v>
      </c>
      <c r="AN526" s="17" t="n">
        <f aca="false">(AK526-AK525)/AK526*100</f>
        <v>9.14140473542211</v>
      </c>
      <c r="AO526" s="17" t="str">
        <f aca="false">IF(AN526&lt;-8,"FITS BITCH",IF(AN526&gt;-8,"no"))</f>
        <v>no</v>
      </c>
      <c r="AP526" s="17" t="str">
        <f aca="false">IF(AH527&lt;AH526,"FITS BITCH",IF(AH527&gt;AH526,"no"))</f>
        <v>no</v>
      </c>
      <c r="AQ526" s="17" t="str">
        <f aca="false">IF(AI527&lt;AI526,"FITS BITCH",IF(AI527&gt;AI526,"no"))</f>
        <v>no</v>
      </c>
      <c r="AR526" s="17" t="str">
        <f aca="false">IF(AJ526&lt;AH527,"FITS BITCH",IF(AJ526&gt;AH527,"no"))</f>
        <v>FITS BITCH</v>
      </c>
      <c r="AS526" s="17" t="str">
        <f aca="false">IF(AJ526&gt;AJ527,"FITS BITCH",IF(AJ526&lt;AJ527,"no"))</f>
        <v>no</v>
      </c>
      <c r="AT526" s="91" t="str">
        <f aca="false">IF(AND($AO526="FITS BITCH",$AP526="FITS BITCH",$AR526="FITS BITCH"),"BULLISH","")</f>
        <v/>
      </c>
      <c r="AU526" s="91" t="str">
        <f aca="false">IF(AND($AO526="FITS BITCH",$AQ526="FITS BITCH",$AS526="FITS BITCH"),"BEARISH","")</f>
        <v/>
      </c>
      <c r="AV526" s="86"/>
      <c r="AW526" s="86"/>
      <c r="AX526" s="86"/>
    </row>
    <row r="527" customFormat="false" ht="15.75" hidden="false" customHeight="false" outlineLevel="0" collapsed="false">
      <c r="AE527" s="90" t="n">
        <f aca="false">Data!A522</f>
        <v>42213</v>
      </c>
      <c r="AF527" s="17" t="n">
        <f aca="false">Data!B522</f>
        <v>123.38</v>
      </c>
      <c r="AG527" s="17" t="n">
        <f aca="false">Data!F522</f>
        <v>33618097</v>
      </c>
      <c r="AH527" s="17" t="n">
        <f aca="false">Data!C522</f>
        <v>123.91</v>
      </c>
      <c r="AI527" s="17" t="n">
        <f aca="false">Data!D522</f>
        <v>122.55</v>
      </c>
      <c r="AJ527" s="17" t="n">
        <f aca="false">Data!E522</f>
        <v>123.38</v>
      </c>
      <c r="AK527" s="17" t="n">
        <f aca="false">Data!F522</f>
        <v>33618097</v>
      </c>
      <c r="AL527" s="17" t="n">
        <f aca="false">AJ527</f>
        <v>123.38</v>
      </c>
      <c r="AM527" s="17" t="n">
        <f aca="false">(AL527-AL526)/AL527*100</f>
        <v>0.316096612092722</v>
      </c>
      <c r="AN527" s="17" t="n">
        <f aca="false">(AK527-AK526)/AK527*100</f>
        <v>-10.0944321744327</v>
      </c>
      <c r="AO527" s="17" t="str">
        <f aca="false">IF(AN527&lt;-8,"FITS BITCH",IF(AN527&gt;-8,"no"))</f>
        <v>FITS BITCH</v>
      </c>
      <c r="AP527" s="17" t="str">
        <f aca="false">IF(AH528&lt;AH527,"FITS BITCH",IF(AH528&gt;AH527,"no"))</f>
        <v>FITS BITCH</v>
      </c>
      <c r="AQ527" s="17" t="str">
        <f aca="false">IF(AI528&lt;AI527,"FITS BITCH",IF(AI528&gt;AI527,"no"))</f>
        <v>FITS BITCH</v>
      </c>
      <c r="AR527" s="17" t="str">
        <f aca="false">IF(AJ527&lt;AH528,"FITS BITCH",IF(AJ527&gt;AH528,"no"))</f>
        <v>FITS BITCH</v>
      </c>
      <c r="AS527" s="17" t="str">
        <f aca="false">IF(AJ527&gt;AJ528,"FITS BITCH",IF(AJ527&lt;AJ528,"no"))</f>
        <v>FITS BITCH</v>
      </c>
      <c r="AT527" s="91" t="str">
        <f aca="false">IF(AND($AO527="FITS BITCH",$AP527="FITS BITCH",$AR527="FITS BITCH"),"BULLISH","")</f>
        <v>BULLISH</v>
      </c>
      <c r="AU527" s="91" t="str">
        <f aca="false">IF(AND($AO527="FITS BITCH",$AQ527="FITS BITCH",$AS527="FITS BITCH"),"BEARISH","")</f>
        <v>BEARISH</v>
      </c>
      <c r="AV527" s="86"/>
      <c r="AW527" s="86"/>
      <c r="AX527" s="86"/>
    </row>
    <row r="528" customFormat="false" ht="15.75" hidden="false" customHeight="false" outlineLevel="0" collapsed="false">
      <c r="AE528" s="90" t="n">
        <f aca="false">Data!A523</f>
        <v>42212</v>
      </c>
      <c r="AF528" s="17" t="n">
        <f aca="false">Data!B523</f>
        <v>123.09</v>
      </c>
      <c r="AG528" s="17" t="n">
        <f aca="false">Data!F523</f>
        <v>44455540</v>
      </c>
      <c r="AH528" s="17" t="n">
        <f aca="false">Data!C523</f>
        <v>123.61</v>
      </c>
      <c r="AI528" s="17" t="n">
        <f aca="false">Data!D523</f>
        <v>122.12</v>
      </c>
      <c r="AJ528" s="17" t="n">
        <f aca="false">Data!E523</f>
        <v>122.77</v>
      </c>
      <c r="AK528" s="17" t="n">
        <f aca="false">Data!F523</f>
        <v>44455540</v>
      </c>
      <c r="AL528" s="17" t="n">
        <f aca="false">AJ528</f>
        <v>122.77</v>
      </c>
      <c r="AM528" s="17" t="n">
        <f aca="false">(AL528-AL527)/AL528*100</f>
        <v>-0.496864054736499</v>
      </c>
      <c r="AN528" s="17" t="n">
        <f aca="false">(AK528-AK527)/AK528*100</f>
        <v>24.3781607421707</v>
      </c>
      <c r="AO528" s="17" t="str">
        <f aca="false">IF(AN528&lt;-8,"FITS BITCH",IF(AN528&gt;-8,"no"))</f>
        <v>no</v>
      </c>
      <c r="AP528" s="17" t="str">
        <f aca="false">IF(AH529&lt;AH528,"FITS BITCH",IF(AH529&gt;AH528,"no"))</f>
        <v>no</v>
      </c>
      <c r="AQ528" s="17" t="str">
        <f aca="false">IF(AI529&lt;AI528,"FITS BITCH",IF(AI529&gt;AI528,"no"))</f>
        <v>no</v>
      </c>
      <c r="AR528" s="17" t="str">
        <f aca="false">IF(AJ528&lt;AH529,"FITS BITCH",IF(AJ528&gt;AH529,"no"))</f>
        <v>FITS BITCH</v>
      </c>
      <c r="AS528" s="17" t="str">
        <f aca="false">IF(AJ528&gt;AJ529,"FITS BITCH",IF(AJ528&lt;AJ529,"no"))</f>
        <v>no</v>
      </c>
      <c r="AT528" s="91" t="str">
        <f aca="false">IF(AND($AO528="FITS BITCH",$AP528="FITS BITCH",$AR528="FITS BITCH"),"BULLISH","")</f>
        <v/>
      </c>
      <c r="AU528" s="91" t="str">
        <f aca="false">IF(AND($AO528="FITS BITCH",$AQ528="FITS BITCH",$AS528="FITS BITCH"),"BEARISH","")</f>
        <v/>
      </c>
      <c r="AV528" s="86"/>
      <c r="AW528" s="86"/>
      <c r="AX528" s="86"/>
    </row>
    <row r="529" customFormat="false" ht="15.75" hidden="false" customHeight="false" outlineLevel="0" collapsed="false">
      <c r="AE529" s="90" t="n">
        <f aca="false">Data!A524</f>
        <v>42209</v>
      </c>
      <c r="AF529" s="17" t="n">
        <f aca="false">Data!B524</f>
        <v>125.32</v>
      </c>
      <c r="AG529" s="17" t="n">
        <f aca="false">Data!F524</f>
        <v>42162332</v>
      </c>
      <c r="AH529" s="17" t="n">
        <f aca="false">Data!C524</f>
        <v>125.74</v>
      </c>
      <c r="AI529" s="17" t="n">
        <f aca="false">Data!D524</f>
        <v>123.9</v>
      </c>
      <c r="AJ529" s="17" t="n">
        <f aca="false">Data!E524</f>
        <v>124.5</v>
      </c>
      <c r="AK529" s="17" t="n">
        <f aca="false">Data!F524</f>
        <v>42162332</v>
      </c>
      <c r="AL529" s="17" t="n">
        <f aca="false">AJ529</f>
        <v>124.5</v>
      </c>
      <c r="AM529" s="17" t="n">
        <f aca="false">(AL529-AL528)/AL529*100</f>
        <v>1.38955823293173</v>
      </c>
      <c r="AN529" s="17" t="n">
        <f aca="false">(AK529-AK528)/AK529*100</f>
        <v>-5.43899706496311</v>
      </c>
      <c r="AO529" s="17" t="str">
        <f aca="false">IF(AN529&lt;-8,"FITS BITCH",IF(AN529&gt;-8,"no"))</f>
        <v>no</v>
      </c>
      <c r="AP529" s="17" t="str">
        <f aca="false">IF(AH530&lt;AH529,"FITS BITCH",IF(AH530&gt;AH529,"no"))</f>
        <v>no</v>
      </c>
      <c r="AQ529" s="17" t="str">
        <f aca="false">IF(AI530&lt;AI529,"FITS BITCH",IF(AI530&gt;AI529,"no"))</f>
        <v>no</v>
      </c>
      <c r="AR529" s="17" t="str">
        <f aca="false">IF(AJ529&lt;AH530,"FITS BITCH",IF(AJ529&gt;AH530,"no"))</f>
        <v>FITS BITCH</v>
      </c>
      <c r="AS529" s="17" t="str">
        <f aca="false">IF(AJ529&gt;AJ530,"FITS BITCH",IF(AJ529&lt;AJ530,"no"))</f>
        <v>no</v>
      </c>
      <c r="AT529" s="91" t="str">
        <f aca="false">IF(AND($AO529="FITS BITCH",$AP529="FITS BITCH",$AR529="FITS BITCH"),"BULLISH","")</f>
        <v/>
      </c>
      <c r="AU529" s="91" t="str">
        <f aca="false">IF(AND($AO529="FITS BITCH",$AQ529="FITS BITCH",$AS529="FITS BITCH"),"BEARISH","")</f>
        <v/>
      </c>
      <c r="AV529" s="86"/>
      <c r="AW529" s="86"/>
      <c r="AX529" s="86"/>
    </row>
    <row r="530" customFormat="false" ht="15.75" hidden="false" customHeight="false" outlineLevel="0" collapsed="false">
      <c r="AE530" s="90" t="n">
        <f aca="false">Data!A525</f>
        <v>42208</v>
      </c>
      <c r="AF530" s="17" t="n">
        <f aca="false">Data!B525</f>
        <v>126.2</v>
      </c>
      <c r="AG530" s="17" t="n">
        <f aca="false">Data!F525</f>
        <v>50999452</v>
      </c>
      <c r="AH530" s="17" t="n">
        <f aca="false">Data!C525</f>
        <v>127.09</v>
      </c>
      <c r="AI530" s="17" t="n">
        <f aca="false">Data!D525</f>
        <v>125.06</v>
      </c>
      <c r="AJ530" s="17" t="n">
        <f aca="false">Data!E525</f>
        <v>125.16</v>
      </c>
      <c r="AK530" s="17" t="n">
        <f aca="false">Data!F525</f>
        <v>50999452</v>
      </c>
      <c r="AL530" s="17" t="n">
        <f aca="false">AJ530</f>
        <v>125.16</v>
      </c>
      <c r="AM530" s="17" t="n">
        <f aca="false">(AL530-AL529)/AL530*100</f>
        <v>0.527325023969317</v>
      </c>
      <c r="AN530" s="17" t="n">
        <f aca="false">(AK530-AK529)/AK530*100</f>
        <v>17.3278724641982</v>
      </c>
      <c r="AO530" s="17" t="str">
        <f aca="false">IF(AN530&lt;-8,"FITS BITCH",IF(AN530&gt;-8,"no"))</f>
        <v>no</v>
      </c>
      <c r="AP530" s="17" t="str">
        <f aca="false">IF(AH531&lt;AH530,"FITS BITCH",IF(AH531&gt;AH530,"no"))</f>
        <v>FITS BITCH</v>
      </c>
      <c r="AQ530" s="17" t="str">
        <f aca="false">IF(AI531&lt;AI530,"FITS BITCH",IF(AI531&gt;AI530,"no"))</f>
        <v>FITS BITCH</v>
      </c>
      <c r="AR530" s="17" t="str">
        <f aca="false">IF(AJ530&lt;AH531,"FITS BITCH",IF(AJ530&gt;AH531,"no"))</f>
        <v>FITS BITCH</v>
      </c>
      <c r="AS530" s="17" t="str">
        <f aca="false">IF(AJ530&gt;AJ531,"FITS BITCH",IF(AJ530&lt;AJ531,"no"))</f>
        <v>no</v>
      </c>
      <c r="AT530" s="91" t="str">
        <f aca="false">IF(AND($AO530="FITS BITCH",$AP530="FITS BITCH",$AR530="FITS BITCH"),"BULLISH","")</f>
        <v/>
      </c>
      <c r="AU530" s="91" t="str">
        <f aca="false">IF(AND($AO530="FITS BITCH",$AQ530="FITS BITCH",$AS530="FITS BITCH"),"BEARISH","")</f>
        <v/>
      </c>
      <c r="AV530" s="86"/>
      <c r="AW530" s="86"/>
      <c r="AX530" s="86"/>
    </row>
    <row r="531" customFormat="false" ht="15.75" hidden="false" customHeight="false" outlineLevel="0" collapsed="false">
      <c r="AE531" s="90" t="n">
        <f aca="false">Data!A526</f>
        <v>42207</v>
      </c>
      <c r="AF531" s="17" t="n">
        <f aca="false">Data!B526</f>
        <v>121.99</v>
      </c>
      <c r="AG531" s="17" t="n">
        <f aca="false">Data!F526</f>
        <v>115450607</v>
      </c>
      <c r="AH531" s="17" t="n">
        <f aca="false">Data!C526</f>
        <v>125.5</v>
      </c>
      <c r="AI531" s="17" t="n">
        <f aca="false">Data!D526</f>
        <v>121.99</v>
      </c>
      <c r="AJ531" s="17" t="n">
        <f aca="false">Data!E526</f>
        <v>125.22</v>
      </c>
      <c r="AK531" s="17" t="n">
        <f aca="false">Data!F526</f>
        <v>115450607</v>
      </c>
      <c r="AL531" s="17" t="n">
        <f aca="false">AJ531</f>
        <v>125.22</v>
      </c>
      <c r="AM531" s="17" t="n">
        <f aca="false">(AL531-AL530)/AL531*100</f>
        <v>0.0479156684235763</v>
      </c>
      <c r="AN531" s="17" t="n">
        <f aca="false">(AK531-AK530)/AK531*100</f>
        <v>55.8257394004</v>
      </c>
      <c r="AO531" s="17" t="str">
        <f aca="false">IF(AN531&lt;-8,"FITS BITCH",IF(AN531&gt;-8,"no"))</f>
        <v>no</v>
      </c>
      <c r="AP531" s="17" t="str">
        <f aca="false">IF(AH532&lt;AH531,"FITS BITCH",IF(AH532&gt;AH531,"no"))</f>
        <v>no</v>
      </c>
      <c r="AQ531" s="17" t="str">
        <f aca="false">IF(AI532&lt;AI531,"FITS BITCH",IF(AI532&gt;AI531,"no"))</f>
        <v>no</v>
      </c>
      <c r="AR531" s="17" t="str">
        <f aca="false">IF(AJ531&lt;AH532,"FITS BITCH",IF(AJ531&gt;AH532,"no"))</f>
        <v>FITS BITCH</v>
      </c>
      <c r="AS531" s="17" t="str">
        <f aca="false">IF(AJ531&gt;AJ532,"FITS BITCH",IF(AJ531&lt;AJ532,"no"))</f>
        <v>no</v>
      </c>
      <c r="AT531" s="91" t="str">
        <f aca="false">IF(AND($AO531="FITS BITCH",$AP531="FITS BITCH",$AR531="FITS BITCH"),"BULLISH","")</f>
        <v/>
      </c>
      <c r="AU531" s="91" t="str">
        <f aca="false">IF(AND($AO531="FITS BITCH",$AQ531="FITS BITCH",$AS531="FITS BITCH"),"BEARISH","")</f>
        <v/>
      </c>
      <c r="AV531" s="86"/>
      <c r="AW531" s="86"/>
      <c r="AX531" s="86"/>
    </row>
    <row r="532" customFormat="false" ht="15.75" hidden="false" customHeight="false" outlineLevel="0" collapsed="false">
      <c r="AE532" s="90" t="n">
        <f aca="false">Data!A527</f>
        <v>42206</v>
      </c>
      <c r="AF532" s="17" t="n">
        <f aca="false">Data!B527</f>
        <v>132.85</v>
      </c>
      <c r="AG532" s="17" t="n">
        <f aca="false">Data!F527</f>
        <v>76756427</v>
      </c>
      <c r="AH532" s="17" t="n">
        <f aca="false">Data!C527</f>
        <v>132.92</v>
      </c>
      <c r="AI532" s="17" t="n">
        <f aca="false">Data!D527</f>
        <v>130.32</v>
      </c>
      <c r="AJ532" s="17" t="n">
        <f aca="false">Data!E527</f>
        <v>130.75</v>
      </c>
      <c r="AK532" s="17" t="n">
        <f aca="false">Data!F527</f>
        <v>76756427</v>
      </c>
      <c r="AL532" s="17" t="n">
        <f aca="false">AJ532</f>
        <v>130.75</v>
      </c>
      <c r="AM532" s="17" t="n">
        <f aca="false">(AL532-AL531)/AL532*100</f>
        <v>4.22944550669216</v>
      </c>
      <c r="AN532" s="17" t="n">
        <f aca="false">(AK532-AK531)/AK532*100</f>
        <v>-50.411648264972</v>
      </c>
      <c r="AO532" s="17" t="str">
        <f aca="false">IF(AN532&lt;-8,"FITS BITCH",IF(AN532&gt;-8,"no"))</f>
        <v>FITS BITCH</v>
      </c>
      <c r="AP532" s="17" t="str">
        <f aca="false">IF(AH533&lt;AH532,"FITS BITCH",IF(AH533&gt;AH532,"no"))</f>
        <v>no</v>
      </c>
      <c r="AQ532" s="17" t="str">
        <f aca="false">IF(AI533&lt;AI532,"FITS BITCH",IF(AI533&gt;AI532,"no"))</f>
        <v>no</v>
      </c>
      <c r="AR532" s="17" t="str">
        <f aca="false">IF(AJ532&lt;AH533,"FITS BITCH",IF(AJ532&gt;AH533,"no"))</f>
        <v>FITS BITCH</v>
      </c>
      <c r="AS532" s="17" t="str">
        <f aca="false">IF(AJ532&gt;AJ533,"FITS BITCH",IF(AJ532&lt;AJ533,"no"))</f>
        <v>no</v>
      </c>
      <c r="AT532" s="91" t="str">
        <f aca="false">IF(AND($AO532="FITS BITCH",$AP532="FITS BITCH",$AR532="FITS BITCH"),"BULLISH","")</f>
        <v/>
      </c>
      <c r="AU532" s="91" t="str">
        <f aca="false">IF(AND($AO532="FITS BITCH",$AQ532="FITS BITCH",$AS532="FITS BITCH"),"BEARISH","")</f>
        <v/>
      </c>
      <c r="AV532" s="86"/>
      <c r="AW532" s="86"/>
      <c r="AX532" s="86"/>
    </row>
    <row r="533" customFormat="false" ht="15.75" hidden="false" customHeight="false" outlineLevel="0" collapsed="false">
      <c r="AE533" s="90" t="n">
        <f aca="false">Data!A528</f>
        <v>42205</v>
      </c>
      <c r="AF533" s="17" t="n">
        <f aca="false">Data!B528</f>
        <v>130.97</v>
      </c>
      <c r="AG533" s="17" t="n">
        <f aca="false">Data!F528</f>
        <v>58900203</v>
      </c>
      <c r="AH533" s="17" t="n">
        <f aca="false">Data!C528</f>
        <v>132.97</v>
      </c>
      <c r="AI533" s="17" t="n">
        <f aca="false">Data!D528</f>
        <v>130.7</v>
      </c>
      <c r="AJ533" s="17" t="n">
        <f aca="false">Data!E528</f>
        <v>132.07</v>
      </c>
      <c r="AK533" s="17" t="n">
        <f aca="false">Data!F528</f>
        <v>58900203</v>
      </c>
      <c r="AL533" s="17" t="n">
        <f aca="false">AJ533</f>
        <v>132.07</v>
      </c>
      <c r="AM533" s="17" t="n">
        <f aca="false">(AL533-AL532)/AL533*100</f>
        <v>0.999469978041942</v>
      </c>
      <c r="AN533" s="17" t="n">
        <f aca="false">(AK533-AK532)/AK533*100</f>
        <v>-30.316065294376</v>
      </c>
      <c r="AO533" s="17" t="str">
        <f aca="false">IF(AN533&lt;-8,"FITS BITCH",IF(AN533&gt;-8,"no"))</f>
        <v>FITS BITCH</v>
      </c>
      <c r="AP533" s="17" t="str">
        <f aca="false">IF(AH534&lt;AH533,"FITS BITCH",IF(AH534&gt;AH533,"no"))</f>
        <v>FITS BITCH</v>
      </c>
      <c r="AQ533" s="17" t="str">
        <f aca="false">IF(AI534&lt;AI533,"FITS BITCH",IF(AI534&gt;AI533,"no"))</f>
        <v>FITS BITCH</v>
      </c>
      <c r="AR533" s="17" t="str">
        <f aca="false">IF(AJ533&lt;AH534,"FITS BITCH",IF(AJ533&gt;AH534,"no"))</f>
        <v>no</v>
      </c>
      <c r="AS533" s="17" t="str">
        <f aca="false">IF(AJ533&gt;AJ534,"FITS BITCH",IF(AJ533&lt;AJ534,"no"))</f>
        <v>FITS BITCH</v>
      </c>
      <c r="AT533" s="91" t="str">
        <f aca="false">IF(AND($AO533="FITS BITCH",$AP533="FITS BITCH",$AR533="FITS BITCH"),"BULLISH","")</f>
        <v/>
      </c>
      <c r="AU533" s="91" t="str">
        <f aca="false">IF(AND($AO533="FITS BITCH",$AQ533="FITS BITCH",$AS533="FITS BITCH"),"BEARISH","")</f>
        <v>BEARISH</v>
      </c>
      <c r="AV533" s="86"/>
      <c r="AW533" s="86"/>
      <c r="AX533" s="86"/>
    </row>
    <row r="534" customFormat="false" ht="15.75" hidden="false" customHeight="false" outlineLevel="0" collapsed="false">
      <c r="AE534" s="90" t="n">
        <f aca="false">Data!A529</f>
        <v>42202</v>
      </c>
      <c r="AF534" s="17" t="n">
        <f aca="false">Data!B529</f>
        <v>129.08</v>
      </c>
      <c r="AG534" s="17" t="n">
        <f aca="false">Data!F529</f>
        <v>46164710</v>
      </c>
      <c r="AH534" s="17" t="n">
        <f aca="false">Data!C529</f>
        <v>129.62</v>
      </c>
      <c r="AI534" s="17" t="n">
        <f aca="false">Data!D529</f>
        <v>128.31</v>
      </c>
      <c r="AJ534" s="17" t="n">
        <f aca="false">Data!E529</f>
        <v>129.62</v>
      </c>
      <c r="AK534" s="17" t="n">
        <f aca="false">Data!F529</f>
        <v>46164710</v>
      </c>
      <c r="AL534" s="17" t="n">
        <f aca="false">AJ534</f>
        <v>129.62</v>
      </c>
      <c r="AM534" s="17" t="n">
        <f aca="false">(AL534-AL533)/AL534*100</f>
        <v>-1.89014041043048</v>
      </c>
      <c r="AN534" s="17" t="n">
        <f aca="false">(AK534-AK533)/AK534*100</f>
        <v>-27.5870746290836</v>
      </c>
      <c r="AO534" s="17" t="str">
        <f aca="false">IF(AN534&lt;-8,"FITS BITCH",IF(AN534&gt;-8,"no"))</f>
        <v>FITS BITCH</v>
      </c>
      <c r="AP534" s="17" t="str">
        <f aca="false">IF(AH535&lt;AH534,"FITS BITCH",IF(AH535&gt;AH534,"no"))</f>
        <v>FITS BITCH</v>
      </c>
      <c r="AQ534" s="17" t="str">
        <f aca="false">IF(AI535&lt;AI534,"FITS BITCH",IF(AI535&gt;AI534,"no"))</f>
        <v>FITS BITCH</v>
      </c>
      <c r="AR534" s="17" t="str">
        <f aca="false">IF(AJ534&lt;AH535,"FITS BITCH",IF(AJ534&gt;AH535,"no"))</f>
        <v>no</v>
      </c>
      <c r="AS534" s="17" t="str">
        <f aca="false">IF(AJ534&gt;AJ535,"FITS BITCH",IF(AJ534&lt;AJ535,"no"))</f>
        <v>FITS BITCH</v>
      </c>
      <c r="AT534" s="91" t="str">
        <f aca="false">IF(AND($AO534="FITS BITCH",$AP534="FITS BITCH",$AR534="FITS BITCH"),"BULLISH","")</f>
        <v/>
      </c>
      <c r="AU534" s="91" t="str">
        <f aca="false">IF(AND($AO534="FITS BITCH",$AQ534="FITS BITCH",$AS534="FITS BITCH"),"BEARISH","")</f>
        <v>BEARISH</v>
      </c>
      <c r="AV534" s="86"/>
      <c r="AW534" s="86"/>
      <c r="AX534" s="86"/>
    </row>
    <row r="535" customFormat="false" ht="15.75" hidden="false" customHeight="false" outlineLevel="0" collapsed="false">
      <c r="AE535" s="90" t="n">
        <f aca="false">Data!A530</f>
        <v>42201</v>
      </c>
      <c r="AF535" s="17" t="n">
        <f aca="false">Data!B530</f>
        <v>127.74</v>
      </c>
      <c r="AG535" s="17" t="n">
        <f aca="false">Data!F530</f>
        <v>36222447</v>
      </c>
      <c r="AH535" s="17" t="n">
        <f aca="false">Data!C530</f>
        <v>128.57</v>
      </c>
      <c r="AI535" s="17" t="n">
        <f aca="false">Data!D530</f>
        <v>127.35</v>
      </c>
      <c r="AJ535" s="17" t="n">
        <f aca="false">Data!E530</f>
        <v>128.51</v>
      </c>
      <c r="AK535" s="17" t="n">
        <f aca="false">Data!F530</f>
        <v>36222447</v>
      </c>
      <c r="AL535" s="17" t="n">
        <f aca="false">AJ535</f>
        <v>128.51</v>
      </c>
      <c r="AM535" s="17" t="n">
        <f aca="false">(AL535-AL534)/AL535*100</f>
        <v>-0.863746011983514</v>
      </c>
      <c r="AN535" s="17" t="n">
        <f aca="false">(AK535-AK534)/AK535*100</f>
        <v>-27.447795009542</v>
      </c>
      <c r="AO535" s="17" t="str">
        <f aca="false">IF(AN535&lt;-8,"FITS BITCH",IF(AN535&gt;-8,"no"))</f>
        <v>FITS BITCH</v>
      </c>
      <c r="AP535" s="17" t="str">
        <f aca="false">IF(AH536&lt;AH535,"FITS BITCH",IF(AH536&gt;AH535,"no"))</f>
        <v>FITS BITCH</v>
      </c>
      <c r="AQ535" s="17" t="str">
        <f aca="false">IF(AI536&lt;AI535,"FITS BITCH",IF(AI536&gt;AI535,"no"))</f>
        <v>FITS BITCH</v>
      </c>
      <c r="AR535" s="17" t="str">
        <f aca="false">IF(AJ535&lt;AH536,"FITS BITCH",IF(AJ535&gt;AH536,"no"))</f>
        <v>no</v>
      </c>
      <c r="AS535" s="17" t="str">
        <f aca="false">IF(AJ535&gt;AJ536,"FITS BITCH",IF(AJ535&lt;AJ536,"no"))</f>
        <v>FITS BITCH</v>
      </c>
      <c r="AT535" s="91" t="str">
        <f aca="false">IF(AND($AO535="FITS BITCH",$AP535="FITS BITCH",$AR535="FITS BITCH"),"BULLISH","")</f>
        <v/>
      </c>
      <c r="AU535" s="91" t="str">
        <f aca="false">IF(AND($AO535="FITS BITCH",$AQ535="FITS BITCH",$AS535="FITS BITCH"),"BEARISH","")</f>
        <v>BEARISH</v>
      </c>
      <c r="AV535" s="86"/>
      <c r="AW535" s="86"/>
      <c r="AX535" s="86"/>
    </row>
    <row r="536" customFormat="false" ht="15.75" hidden="false" customHeight="false" outlineLevel="0" collapsed="false">
      <c r="AE536" s="90" t="n">
        <f aca="false">Data!A531</f>
        <v>42200</v>
      </c>
      <c r="AF536" s="17" t="n">
        <f aca="false">Data!B531</f>
        <v>125.72</v>
      </c>
      <c r="AG536" s="17" t="n">
        <f aca="false">Data!F531</f>
        <v>33649200</v>
      </c>
      <c r="AH536" s="17" t="n">
        <f aca="false">Data!C531</f>
        <v>127.15</v>
      </c>
      <c r="AI536" s="17" t="n">
        <f aca="false">Data!D531</f>
        <v>125.58</v>
      </c>
      <c r="AJ536" s="17" t="n">
        <f aca="false">Data!E531</f>
        <v>126.82</v>
      </c>
      <c r="AK536" s="17" t="n">
        <f aca="false">Data!F531</f>
        <v>33649200</v>
      </c>
      <c r="AL536" s="17" t="n">
        <f aca="false">AJ536</f>
        <v>126.82</v>
      </c>
      <c r="AM536" s="17" t="n">
        <f aca="false">(AL536-AL535)/AL536*100</f>
        <v>-1.33259738211638</v>
      </c>
      <c r="AN536" s="17" t="n">
        <f aca="false">(AK536-AK535)/AK536*100</f>
        <v>-7.64727541813773</v>
      </c>
      <c r="AO536" s="17" t="str">
        <f aca="false">IF(AN536&lt;-8,"FITS BITCH",IF(AN536&gt;-8,"no"))</f>
        <v>no</v>
      </c>
      <c r="AP536" s="17" t="str">
        <f aca="false">IF(AH537&lt;AH536,"FITS BITCH",IF(AH537&gt;AH536,"no"))</f>
        <v>FITS BITCH</v>
      </c>
      <c r="AQ536" s="17" t="str">
        <f aca="false">IF(AI537&lt;AI536,"FITS BITCH",IF(AI537&gt;AI536,"no"))</f>
        <v>FITS BITCH</v>
      </c>
      <c r="AR536" s="17" t="str">
        <f aca="false">IF(AJ536&lt;AH537,"FITS BITCH",IF(AJ536&gt;AH537,"no"))</f>
        <v>no</v>
      </c>
      <c r="AS536" s="17" t="str">
        <f aca="false">IF(AJ536&gt;AJ537,"FITS BITCH",IF(AJ536&lt;AJ537,"no"))</f>
        <v>FITS BITCH</v>
      </c>
      <c r="AT536" s="91" t="str">
        <f aca="false">IF(AND($AO536="FITS BITCH",$AP536="FITS BITCH",$AR536="FITS BITCH"),"BULLISH","")</f>
        <v/>
      </c>
      <c r="AU536" s="91" t="str">
        <f aca="false">IF(AND($AO536="FITS BITCH",$AQ536="FITS BITCH",$AS536="FITS BITCH"),"BEARISH","")</f>
        <v/>
      </c>
      <c r="AV536" s="86"/>
      <c r="AW536" s="86"/>
      <c r="AX536" s="86"/>
    </row>
    <row r="537" customFormat="false" ht="15.75" hidden="false" customHeight="false" outlineLevel="0" collapsed="false">
      <c r="AE537" s="90" t="n">
        <f aca="false">Data!A532</f>
        <v>42199</v>
      </c>
      <c r="AF537" s="17" t="n">
        <f aca="false">Data!B532</f>
        <v>126.04</v>
      </c>
      <c r="AG537" s="17" t="n">
        <f aca="false">Data!F532</f>
        <v>31768139</v>
      </c>
      <c r="AH537" s="17" t="n">
        <f aca="false">Data!C532</f>
        <v>126.37</v>
      </c>
      <c r="AI537" s="17" t="n">
        <f aca="false">Data!D532</f>
        <v>125.04</v>
      </c>
      <c r="AJ537" s="17" t="n">
        <f aca="false">Data!E532</f>
        <v>125.61</v>
      </c>
      <c r="AK537" s="17" t="n">
        <f aca="false">Data!F532</f>
        <v>31768139</v>
      </c>
      <c r="AL537" s="17" t="n">
        <f aca="false">AJ537</f>
        <v>125.61</v>
      </c>
      <c r="AM537" s="17" t="n">
        <f aca="false">(AL537-AL536)/AL537*100</f>
        <v>-0.963299100390091</v>
      </c>
      <c r="AN537" s="17" t="n">
        <f aca="false">(AK537-AK536)/AK537*100</f>
        <v>-5.92121874057527</v>
      </c>
      <c r="AO537" s="17" t="str">
        <f aca="false">IF(AN537&lt;-8,"FITS BITCH",IF(AN537&gt;-8,"no"))</f>
        <v>no</v>
      </c>
      <c r="AP537" s="17" t="str">
        <f aca="false">IF(AH538&lt;AH537,"FITS BITCH",IF(AH538&gt;AH537,"no"))</f>
        <v>FITS BITCH</v>
      </c>
      <c r="AQ537" s="17" t="str">
        <f aca="false">IF(AI538&lt;AI537,"FITS BITCH",IF(AI538&gt;AI537,"no"))</f>
        <v>FITS BITCH</v>
      </c>
      <c r="AR537" s="17" t="str">
        <f aca="false">IF(AJ537&lt;AH538,"FITS BITCH",IF(AJ537&gt;AH538,"no"))</f>
        <v>FITS BITCH</v>
      </c>
      <c r="AS537" s="17" t="str">
        <f aca="false">IF(AJ537&gt;AJ538,"FITS BITCH",IF(AJ537&lt;AJ538,"no"))</f>
        <v>no</v>
      </c>
      <c r="AT537" s="91" t="str">
        <f aca="false">IF(AND($AO537="FITS BITCH",$AP537="FITS BITCH",$AR537="FITS BITCH"),"BULLISH","")</f>
        <v/>
      </c>
      <c r="AU537" s="91" t="str">
        <f aca="false">IF(AND($AO537="FITS BITCH",$AQ537="FITS BITCH",$AS537="FITS BITCH"),"BEARISH","")</f>
        <v/>
      </c>
      <c r="AV537" s="86"/>
      <c r="AW537" s="86"/>
      <c r="AX537" s="86"/>
    </row>
    <row r="538" customFormat="false" ht="15.75" hidden="false" customHeight="false" outlineLevel="0" collapsed="false">
      <c r="AE538" s="90" t="n">
        <f aca="false">Data!A533</f>
        <v>42198</v>
      </c>
      <c r="AF538" s="17" t="n">
        <f aca="false">Data!B533</f>
        <v>125.03</v>
      </c>
      <c r="AG538" s="17" t="n">
        <f aca="false">Data!F533</f>
        <v>41440538</v>
      </c>
      <c r="AH538" s="17" t="n">
        <f aca="false">Data!C533</f>
        <v>125.76</v>
      </c>
      <c r="AI538" s="17" t="n">
        <f aca="false">Data!D533</f>
        <v>124.32</v>
      </c>
      <c r="AJ538" s="17" t="n">
        <f aca="false">Data!E533</f>
        <v>125.66</v>
      </c>
      <c r="AK538" s="17" t="n">
        <f aca="false">Data!F533</f>
        <v>41440538</v>
      </c>
      <c r="AL538" s="17" t="n">
        <f aca="false">AJ538</f>
        <v>125.66</v>
      </c>
      <c r="AM538" s="17" t="n">
        <f aca="false">(AL538-AL537)/AL538*100</f>
        <v>0.0397899092790046</v>
      </c>
      <c r="AN538" s="17" t="n">
        <f aca="false">(AK538-AK537)/AK538*100</f>
        <v>23.3404281575688</v>
      </c>
      <c r="AO538" s="17" t="str">
        <f aca="false">IF(AN538&lt;-8,"FITS BITCH",IF(AN538&gt;-8,"no"))</f>
        <v>no</v>
      </c>
      <c r="AP538" s="17" t="str">
        <f aca="false">IF(AH539&lt;AH538,"FITS BITCH",IF(AH539&gt;AH538,"no"))</f>
        <v>FITS BITCH</v>
      </c>
      <c r="AQ538" s="17" t="str">
        <f aca="false">IF(AI539&lt;AI538,"FITS BITCH",IF(AI539&gt;AI538,"no"))</f>
        <v>FITS BITCH</v>
      </c>
      <c r="AR538" s="17" t="str">
        <f aca="false">IF(AJ538&lt;AH539,"FITS BITCH",IF(AJ538&gt;AH539,"no"))</f>
        <v>no</v>
      </c>
      <c r="AS538" s="17" t="str">
        <f aca="false">IF(AJ538&gt;AJ539,"FITS BITCH",IF(AJ538&lt;AJ539,"no"))</f>
        <v>FITS BITCH</v>
      </c>
      <c r="AT538" s="91" t="str">
        <f aca="false">IF(AND($AO538="FITS BITCH",$AP538="FITS BITCH",$AR538="FITS BITCH"),"BULLISH","")</f>
        <v/>
      </c>
      <c r="AU538" s="91" t="str">
        <f aca="false">IF(AND($AO538="FITS BITCH",$AQ538="FITS BITCH",$AS538="FITS BITCH"),"BEARISH","")</f>
        <v/>
      </c>
      <c r="AV538" s="86"/>
      <c r="AW538" s="86"/>
      <c r="AX538" s="86"/>
    </row>
    <row r="539" customFormat="false" ht="15.75" hidden="false" customHeight="false" outlineLevel="0" collapsed="false">
      <c r="AE539" s="90" t="n">
        <f aca="false">Data!A534</f>
        <v>42195</v>
      </c>
      <c r="AF539" s="17" t="n">
        <f aca="false">Data!B534</f>
        <v>121.94</v>
      </c>
      <c r="AG539" s="17" t="n">
        <f aca="false">Data!F534</f>
        <v>61354474</v>
      </c>
      <c r="AH539" s="17" t="n">
        <f aca="false">Data!C534</f>
        <v>123.85</v>
      </c>
      <c r="AI539" s="17" t="n">
        <f aca="false">Data!D534</f>
        <v>121.21</v>
      </c>
      <c r="AJ539" s="17" t="n">
        <f aca="false">Data!E534</f>
        <v>123.28</v>
      </c>
      <c r="AK539" s="17" t="n">
        <f aca="false">Data!F534</f>
        <v>61354474</v>
      </c>
      <c r="AL539" s="17" t="n">
        <f aca="false">AJ539</f>
        <v>123.28</v>
      </c>
      <c r="AM539" s="17" t="n">
        <f aca="false">(AL539-AL538)/AL539*100</f>
        <v>-1.93056456846203</v>
      </c>
      <c r="AN539" s="17" t="n">
        <f aca="false">(AK539-AK538)/AK539*100</f>
        <v>32.4571864148</v>
      </c>
      <c r="AO539" s="17" t="str">
        <f aca="false">IF(AN539&lt;-8,"FITS BITCH",IF(AN539&gt;-8,"no"))</f>
        <v>no</v>
      </c>
      <c r="AP539" s="17" t="str">
        <f aca="false">IF(AH540&lt;AH539,"FITS BITCH",IF(AH540&gt;AH539,"no"))</f>
        <v>no</v>
      </c>
      <c r="AQ539" s="17" t="str">
        <f aca="false">IF(AI540&lt;AI539,"FITS BITCH",IF(AI540&gt;AI539,"no"))</f>
        <v>FITS BITCH</v>
      </c>
      <c r="AR539" s="17" t="str">
        <f aca="false">IF(AJ539&lt;AH540,"FITS BITCH",IF(AJ539&gt;AH540,"no"))</f>
        <v>FITS BITCH</v>
      </c>
      <c r="AS539" s="17" t="str">
        <f aca="false">IF(AJ539&gt;AJ540,"FITS BITCH",IF(AJ539&lt;AJ540,"no"))</f>
        <v>FITS BITCH</v>
      </c>
      <c r="AT539" s="91" t="str">
        <f aca="false">IF(AND($AO539="FITS BITCH",$AP539="FITS BITCH",$AR539="FITS BITCH"),"BULLISH","")</f>
        <v/>
      </c>
      <c r="AU539" s="91" t="str">
        <f aca="false">IF(AND($AO539="FITS BITCH",$AQ539="FITS BITCH",$AS539="FITS BITCH"),"BEARISH","")</f>
        <v/>
      </c>
      <c r="AV539" s="86"/>
      <c r="AW539" s="86"/>
      <c r="AX539" s="86"/>
    </row>
    <row r="540" customFormat="false" ht="15.75" hidden="false" customHeight="false" outlineLevel="0" collapsed="false">
      <c r="AE540" s="90" t="n">
        <f aca="false">Data!A535</f>
        <v>42194</v>
      </c>
      <c r="AF540" s="17" t="n">
        <f aca="false">Data!B535</f>
        <v>123.85</v>
      </c>
      <c r="AG540" s="17" t="n">
        <f aca="false">Data!F535</f>
        <v>78595038</v>
      </c>
      <c r="AH540" s="17" t="n">
        <f aca="false">Data!C535</f>
        <v>124.06</v>
      </c>
      <c r="AI540" s="17" t="n">
        <f aca="false">Data!D535</f>
        <v>119.22</v>
      </c>
      <c r="AJ540" s="17" t="n">
        <f aca="false">Data!E535</f>
        <v>120.07</v>
      </c>
      <c r="AK540" s="17" t="n">
        <f aca="false">Data!F535</f>
        <v>78595038</v>
      </c>
      <c r="AL540" s="17" t="n">
        <f aca="false">AJ540</f>
        <v>120.07</v>
      </c>
      <c r="AM540" s="17" t="n">
        <f aca="false">(AL540-AL539)/AL540*100</f>
        <v>-2.67344049304573</v>
      </c>
      <c r="AN540" s="17" t="n">
        <f aca="false">(AK540-AK539)/AK540*100</f>
        <v>21.9359446075972</v>
      </c>
      <c r="AO540" s="17" t="str">
        <f aca="false">IF(AN540&lt;-8,"FITS BITCH",IF(AN540&gt;-8,"no"))</f>
        <v>no</v>
      </c>
      <c r="AP540" s="17" t="str">
        <f aca="false">IF(AH541&lt;AH540,"FITS BITCH",IF(AH541&gt;AH540,"no"))</f>
        <v>no</v>
      </c>
      <c r="AQ540" s="17" t="str">
        <f aca="false">IF(AI541&lt;AI540,"FITS BITCH",IF(AI541&gt;AI540,"no"))</f>
        <v>no</v>
      </c>
      <c r="AR540" s="17" t="str">
        <f aca="false">IF(AJ540&lt;AH541,"FITS BITCH",IF(AJ540&gt;AH541,"no"))</f>
        <v>FITS BITCH</v>
      </c>
      <c r="AS540" s="17" t="str">
        <f aca="false">IF(AJ540&gt;AJ541,"FITS BITCH",IF(AJ540&lt;AJ541,"no"))</f>
        <v>no</v>
      </c>
      <c r="AT540" s="91" t="str">
        <f aca="false">IF(AND($AO540="FITS BITCH",$AP540="FITS BITCH",$AR540="FITS BITCH"),"BULLISH","")</f>
        <v/>
      </c>
      <c r="AU540" s="91" t="str">
        <f aca="false">IF(AND($AO540="FITS BITCH",$AQ540="FITS BITCH",$AS540="FITS BITCH"),"BEARISH","")</f>
        <v/>
      </c>
      <c r="AV540" s="86"/>
      <c r="AW540" s="86"/>
      <c r="AX540" s="86"/>
    </row>
    <row r="541" customFormat="false" ht="15.75" hidden="false" customHeight="false" outlineLevel="0" collapsed="false">
      <c r="AE541" s="90" t="n">
        <f aca="false">Data!A536</f>
        <v>42193</v>
      </c>
      <c r="AF541" s="17" t="n">
        <f aca="false">Data!B536</f>
        <v>124.48</v>
      </c>
      <c r="AG541" s="17" t="n">
        <f aca="false">Data!F536</f>
        <v>60761614</v>
      </c>
      <c r="AH541" s="17" t="n">
        <f aca="false">Data!C536</f>
        <v>124.64</v>
      </c>
      <c r="AI541" s="17" t="n">
        <f aca="false">Data!D536</f>
        <v>122.54</v>
      </c>
      <c r="AJ541" s="17" t="n">
        <f aca="false">Data!E536</f>
        <v>122.57</v>
      </c>
      <c r="AK541" s="17" t="n">
        <f aca="false">Data!F536</f>
        <v>60761614</v>
      </c>
      <c r="AL541" s="17" t="n">
        <f aca="false">AJ541</f>
        <v>122.57</v>
      </c>
      <c r="AM541" s="17" t="n">
        <f aca="false">(AL541-AL540)/AL541*100</f>
        <v>2.03965081178102</v>
      </c>
      <c r="AN541" s="17" t="n">
        <f aca="false">(AK541-AK540)/AK541*100</f>
        <v>-29.3498194435717</v>
      </c>
      <c r="AO541" s="17" t="str">
        <f aca="false">IF(AN541&lt;-8,"FITS BITCH",IF(AN541&gt;-8,"no"))</f>
        <v>FITS BITCH</v>
      </c>
      <c r="AP541" s="17" t="str">
        <f aca="false">IF(AH542&lt;AH541,"FITS BITCH",IF(AH542&gt;AH541,"no"))</f>
        <v>no</v>
      </c>
      <c r="AQ541" s="17" t="str">
        <f aca="false">IF(AI542&lt;AI541,"FITS BITCH",IF(AI542&gt;AI541,"no"))</f>
        <v>no</v>
      </c>
      <c r="AR541" s="17" t="str">
        <f aca="false">IF(AJ541&lt;AH542,"FITS BITCH",IF(AJ541&gt;AH542,"no"))</f>
        <v>FITS BITCH</v>
      </c>
      <c r="AS541" s="17" t="str">
        <f aca="false">IF(AJ541&gt;AJ542,"FITS BITCH",IF(AJ541&lt;AJ542,"no"))</f>
        <v>no</v>
      </c>
      <c r="AT541" s="91" t="str">
        <f aca="false">IF(AND($AO541="FITS BITCH",$AP541="FITS BITCH",$AR541="FITS BITCH"),"BULLISH","")</f>
        <v/>
      </c>
      <c r="AU541" s="91" t="str">
        <f aca="false">IF(AND($AO541="FITS BITCH",$AQ541="FITS BITCH",$AS541="FITS BITCH"),"BEARISH","")</f>
        <v/>
      </c>
      <c r="AV541" s="86"/>
      <c r="AW541" s="86"/>
      <c r="AX541" s="86"/>
    </row>
    <row r="542" customFormat="false" ht="15.75" hidden="false" customHeight="false" outlineLevel="0" collapsed="false">
      <c r="AE542" s="90" t="n">
        <f aca="false">Data!A537</f>
        <v>42192</v>
      </c>
      <c r="AF542" s="17" t="n">
        <f aca="false">Data!B537</f>
        <v>125.89</v>
      </c>
      <c r="AG542" s="17" t="n">
        <f aca="false">Data!F537</f>
        <v>46946811</v>
      </c>
      <c r="AH542" s="17" t="n">
        <f aca="false">Data!C537</f>
        <v>126.15</v>
      </c>
      <c r="AI542" s="17" t="n">
        <f aca="false">Data!D537</f>
        <v>123.77</v>
      </c>
      <c r="AJ542" s="17" t="n">
        <f aca="false">Data!E537</f>
        <v>125.69</v>
      </c>
      <c r="AK542" s="17" t="n">
        <f aca="false">Data!F537</f>
        <v>46946811</v>
      </c>
      <c r="AL542" s="17" t="n">
        <f aca="false">AJ542</f>
        <v>125.69</v>
      </c>
      <c r="AM542" s="17" t="n">
        <f aca="false">(AL542-AL541)/AL542*100</f>
        <v>2.48229771660435</v>
      </c>
      <c r="AN542" s="17" t="n">
        <f aca="false">(AK542-AK541)/AK542*100</f>
        <v>-29.4264992780873</v>
      </c>
      <c r="AO542" s="17" t="str">
        <f aca="false">IF(AN542&lt;-8,"FITS BITCH",IF(AN542&gt;-8,"no"))</f>
        <v>FITS BITCH</v>
      </c>
      <c r="AP542" s="17" t="str">
        <f aca="false">IF(AH543&lt;AH542,"FITS BITCH",IF(AH543&gt;AH542,"no"))</f>
        <v>no</v>
      </c>
      <c r="AQ542" s="17" t="str">
        <f aca="false">IF(AI543&lt;AI542,"FITS BITCH",IF(AI543&gt;AI542,"no"))</f>
        <v>no</v>
      </c>
      <c r="AR542" s="17" t="str">
        <f aca="false">IF(AJ542&lt;AH543,"FITS BITCH",IF(AJ542&gt;AH543,"no"))</f>
        <v>FITS BITCH</v>
      </c>
      <c r="AS542" s="17" t="str">
        <f aca="false">IF(AJ542&gt;AJ543,"FITS BITCH",IF(AJ542&lt;AJ543,"no"))</f>
        <v>no</v>
      </c>
      <c r="AT542" s="91" t="str">
        <f aca="false">IF(AND($AO542="FITS BITCH",$AP542="FITS BITCH",$AR542="FITS BITCH"),"BULLISH","")</f>
        <v/>
      </c>
      <c r="AU542" s="91" t="str">
        <f aca="false">IF(AND($AO542="FITS BITCH",$AQ542="FITS BITCH",$AS542="FITS BITCH"),"BEARISH","")</f>
        <v/>
      </c>
      <c r="AV542" s="86"/>
      <c r="AW542" s="86"/>
      <c r="AX542" s="86"/>
    </row>
    <row r="543" customFormat="false" ht="15.75" hidden="false" customHeight="false" outlineLevel="0" collapsed="false">
      <c r="AE543" s="90" t="n">
        <f aca="false">Data!A538</f>
        <v>42191</v>
      </c>
      <c r="AF543" s="17" t="n">
        <f aca="false">Data!B538</f>
        <v>124.94</v>
      </c>
      <c r="AG543" s="17" t="n">
        <f aca="false">Data!F538</f>
        <v>28060431</v>
      </c>
      <c r="AH543" s="17" t="n">
        <f aca="false">Data!C538</f>
        <v>126.23</v>
      </c>
      <c r="AI543" s="17" t="n">
        <f aca="false">Data!D538</f>
        <v>124.85</v>
      </c>
      <c r="AJ543" s="17" t="n">
        <f aca="false">Data!E538</f>
        <v>126</v>
      </c>
      <c r="AK543" s="17" t="n">
        <f aca="false">Data!F538</f>
        <v>28060431</v>
      </c>
      <c r="AL543" s="17" t="n">
        <f aca="false">AJ543</f>
        <v>126</v>
      </c>
      <c r="AM543" s="17" t="n">
        <f aca="false">(AL543-AL542)/AL543*100</f>
        <v>0.246031746031748</v>
      </c>
      <c r="AN543" s="17" t="n">
        <f aca="false">(AK543-AK542)/AK543*100</f>
        <v>-67.3060937659867</v>
      </c>
      <c r="AO543" s="17" t="str">
        <f aca="false">IF(AN543&lt;-8,"FITS BITCH",IF(AN543&gt;-8,"no"))</f>
        <v>FITS BITCH</v>
      </c>
      <c r="AP543" s="17" t="str">
        <f aca="false">IF(AH544&lt;AH543,"FITS BITCH",IF(AH544&gt;AH543,"no"))</f>
        <v>no</v>
      </c>
      <c r="AQ543" s="17" t="str">
        <f aca="false">IF(AI544&lt;AI543,"FITS BITCH",IF(AI544&gt;AI543,"no"))</f>
        <v>no</v>
      </c>
      <c r="AR543" s="17" t="str">
        <f aca="false">IF(AJ543&lt;AH544,"FITS BITCH",IF(AJ543&gt;AH544,"no"))</f>
        <v>FITS BITCH</v>
      </c>
      <c r="AS543" s="17" t="str">
        <f aca="false">IF(AJ543&gt;AJ544,"FITS BITCH",IF(AJ543&lt;AJ544,"no"))</f>
        <v>no</v>
      </c>
      <c r="AT543" s="91" t="str">
        <f aca="false">IF(AND($AO543="FITS BITCH",$AP543="FITS BITCH",$AR543="FITS BITCH"),"BULLISH","")</f>
        <v/>
      </c>
      <c r="AU543" s="91" t="str">
        <f aca="false">IF(AND($AO543="FITS BITCH",$AQ543="FITS BITCH",$AS543="FITS BITCH"),"BEARISH","")</f>
        <v/>
      </c>
      <c r="AV543" s="86"/>
      <c r="AW543" s="86"/>
      <c r="AX543" s="86"/>
    </row>
    <row r="544" customFormat="false" ht="15.75" hidden="false" customHeight="false" outlineLevel="0" collapsed="false">
      <c r="AE544" s="90" t="n">
        <f aca="false">Data!A539</f>
        <v>42187</v>
      </c>
      <c r="AF544" s="17" t="n">
        <f aca="false">Data!B539</f>
        <v>126.43</v>
      </c>
      <c r="AG544" s="17" t="n">
        <f aca="false">Data!F539</f>
        <v>27210952</v>
      </c>
      <c r="AH544" s="17" t="n">
        <f aca="false">Data!C539</f>
        <v>126.69</v>
      </c>
      <c r="AI544" s="17" t="n">
        <f aca="false">Data!D539</f>
        <v>125.77</v>
      </c>
      <c r="AJ544" s="17" t="n">
        <f aca="false">Data!E539</f>
        <v>126.44</v>
      </c>
      <c r="AK544" s="17" t="n">
        <f aca="false">Data!F539</f>
        <v>27210952</v>
      </c>
      <c r="AL544" s="17" t="n">
        <f aca="false">AJ544</f>
        <v>126.44</v>
      </c>
      <c r="AM544" s="17" t="n">
        <f aca="false">(AL544-AL543)/AL544*100</f>
        <v>0.347991142043655</v>
      </c>
      <c r="AN544" s="17" t="n">
        <f aca="false">(AK544-AK543)/AK544*100</f>
        <v>-3.12182756413668</v>
      </c>
      <c r="AO544" s="17" t="str">
        <f aca="false">IF(AN544&lt;-8,"FITS BITCH",IF(AN544&gt;-8,"no"))</f>
        <v>no</v>
      </c>
      <c r="AP544" s="17" t="str">
        <f aca="false">IF(AH545&lt;AH544,"FITS BITCH",IF(AH545&gt;AH544,"no"))</f>
        <v>no</v>
      </c>
      <c r="AQ544" s="17" t="str">
        <f aca="false">IF(AI545&lt;AI544,"FITS BITCH",IF(AI545&gt;AI544,"no"))</f>
        <v>no</v>
      </c>
      <c r="AR544" s="17" t="str">
        <f aca="false">IF(AJ544&lt;AH545,"FITS BITCH",IF(AJ544&gt;AH545,"no"))</f>
        <v>FITS BITCH</v>
      </c>
      <c r="AS544" s="17" t="str">
        <f aca="false">IF(AJ544&gt;AJ545,"FITS BITCH",IF(AJ544&lt;AJ545,"no"))</f>
        <v>no</v>
      </c>
      <c r="AT544" s="91" t="str">
        <f aca="false">IF(AND($AO544="FITS BITCH",$AP544="FITS BITCH",$AR544="FITS BITCH"),"BULLISH","")</f>
        <v/>
      </c>
      <c r="AU544" s="91" t="str">
        <f aca="false">IF(AND($AO544="FITS BITCH",$AQ544="FITS BITCH",$AS544="FITS BITCH"),"BEARISH","")</f>
        <v/>
      </c>
      <c r="AV544" s="86"/>
      <c r="AW544" s="86"/>
      <c r="AX544" s="86"/>
    </row>
    <row r="545" customFormat="false" ht="15.75" hidden="false" customHeight="false" outlineLevel="0" collapsed="false">
      <c r="AE545" s="90" t="n">
        <f aca="false">Data!A540</f>
        <v>42186</v>
      </c>
      <c r="AF545" s="17" t="n">
        <f aca="false">Data!B540</f>
        <v>126.9</v>
      </c>
      <c r="AG545" s="17" t="n">
        <f aca="false">Data!F540</f>
        <v>30238811</v>
      </c>
      <c r="AH545" s="17" t="n">
        <f aca="false">Data!C540</f>
        <v>126.94</v>
      </c>
      <c r="AI545" s="17" t="n">
        <f aca="false">Data!D540</f>
        <v>125.99</v>
      </c>
      <c r="AJ545" s="17" t="n">
        <f aca="false">Data!E540</f>
        <v>126.6</v>
      </c>
      <c r="AK545" s="17" t="n">
        <f aca="false">Data!F540</f>
        <v>30238811</v>
      </c>
      <c r="AL545" s="17" t="n">
        <f aca="false">AJ545</f>
        <v>126.6</v>
      </c>
      <c r="AM545" s="17" t="n">
        <f aca="false">(AL545-AL544)/AL545*100</f>
        <v>0.126382306477091</v>
      </c>
      <c r="AN545" s="17" t="n">
        <f aca="false">(AK545-AK544)/AK545*100</f>
        <v>10.0131549484535</v>
      </c>
      <c r="AO545" s="17" t="str">
        <f aca="false">IF(AN545&lt;-8,"FITS BITCH",IF(AN545&gt;-8,"no"))</f>
        <v>no</v>
      </c>
      <c r="AP545" s="17" t="str">
        <f aca="false">IF(AH546&lt;AH545,"FITS BITCH",IF(AH546&gt;AH545,"no"))</f>
        <v>FITS BITCH</v>
      </c>
      <c r="AQ545" s="17" t="str">
        <f aca="false">IF(AI546&lt;AI545,"FITS BITCH",IF(AI546&gt;AI545,"no"))</f>
        <v>FITS BITCH</v>
      </c>
      <c r="AR545" s="17" t="str">
        <f aca="false">IF(AJ545&lt;AH546,"FITS BITCH",IF(AJ545&gt;AH546,"no"))</f>
        <v>no</v>
      </c>
      <c r="AS545" s="17" t="str">
        <f aca="false">IF(AJ545&gt;AJ546,"FITS BITCH",IF(AJ545&lt;AJ546,"no"))</f>
        <v>FITS BITCH</v>
      </c>
      <c r="AT545" s="91" t="str">
        <f aca="false">IF(AND($AO545="FITS BITCH",$AP545="FITS BITCH",$AR545="FITS BITCH"),"BULLISH","")</f>
        <v/>
      </c>
      <c r="AU545" s="91" t="str">
        <f aca="false">IF(AND($AO545="FITS BITCH",$AQ545="FITS BITCH",$AS545="FITS BITCH"),"BEARISH","")</f>
        <v/>
      </c>
      <c r="AV545" s="86"/>
      <c r="AW545" s="86"/>
      <c r="AX545" s="86"/>
    </row>
    <row r="546" customFormat="false" ht="15.75" hidden="false" customHeight="false" outlineLevel="0" collapsed="false">
      <c r="AE546" s="90" t="n">
        <f aca="false">Data!A541</f>
        <v>42185</v>
      </c>
      <c r="AF546" s="17" t="n">
        <f aca="false">Data!B541</f>
        <v>125.57</v>
      </c>
      <c r="AG546" s="17" t="n">
        <f aca="false">Data!F541</f>
        <v>44370682</v>
      </c>
      <c r="AH546" s="17" t="n">
        <f aca="false">Data!C541</f>
        <v>126.12</v>
      </c>
      <c r="AI546" s="17" t="n">
        <f aca="false">Data!D541</f>
        <v>124.86</v>
      </c>
      <c r="AJ546" s="17" t="n">
        <f aca="false">Data!E541</f>
        <v>125.42</v>
      </c>
      <c r="AK546" s="17" t="n">
        <f aca="false">Data!F541</f>
        <v>44370682</v>
      </c>
      <c r="AL546" s="17" t="n">
        <f aca="false">AJ546</f>
        <v>125.42</v>
      </c>
      <c r="AM546" s="17" t="n">
        <f aca="false">(AL546-AL545)/AL546*100</f>
        <v>-0.940838781693504</v>
      </c>
      <c r="AN546" s="17" t="n">
        <f aca="false">(AK546-AK545)/AK546*100</f>
        <v>31.8495690465159</v>
      </c>
      <c r="AO546" s="17" t="str">
        <f aca="false">IF(AN546&lt;-8,"FITS BITCH",IF(AN546&gt;-8,"no"))</f>
        <v>no</v>
      </c>
      <c r="AP546" s="17" t="str">
        <f aca="false">IF(AH547&lt;AH546,"FITS BITCH",IF(AH547&gt;AH546,"no"))</f>
        <v>no</v>
      </c>
      <c r="AQ546" s="17" t="str">
        <f aca="false">IF(AI547&lt;AI546,"FITS BITCH",IF(AI547&gt;AI546,"no"))</f>
        <v>FITS BITCH</v>
      </c>
      <c r="AR546" s="17" t="str">
        <f aca="false">IF(AJ546&lt;AH547,"FITS BITCH",IF(AJ546&gt;AH547,"no"))</f>
        <v>FITS BITCH</v>
      </c>
      <c r="AS546" s="17" t="str">
        <f aca="false">IF(AJ546&gt;AJ547,"FITS BITCH",IF(AJ546&lt;AJ547,"no"))</f>
        <v>FITS BITCH</v>
      </c>
      <c r="AT546" s="91" t="str">
        <f aca="false">IF(AND($AO546="FITS BITCH",$AP546="FITS BITCH",$AR546="FITS BITCH"),"BULLISH","")</f>
        <v/>
      </c>
      <c r="AU546" s="91" t="str">
        <f aca="false">IF(AND($AO546="FITS BITCH",$AQ546="FITS BITCH",$AS546="FITS BITCH"),"BEARISH","")</f>
        <v/>
      </c>
      <c r="AV546" s="86"/>
      <c r="AW546" s="86"/>
      <c r="AX546" s="86"/>
    </row>
    <row r="547" customFormat="false" ht="15.75" hidden="false" customHeight="false" outlineLevel="0" collapsed="false">
      <c r="AE547" s="90" t="n">
        <f aca="false">Data!A542</f>
        <v>42184</v>
      </c>
      <c r="AF547" s="17" t="n">
        <f aca="false">Data!B542</f>
        <v>125.46</v>
      </c>
      <c r="AG547" s="17" t="n">
        <f aca="false">Data!F542</f>
        <v>49161427</v>
      </c>
      <c r="AH547" s="17" t="n">
        <f aca="false">Data!C542</f>
        <v>126.47</v>
      </c>
      <c r="AI547" s="17" t="n">
        <f aca="false">Data!D542</f>
        <v>124.48</v>
      </c>
      <c r="AJ547" s="17" t="n">
        <f aca="false">Data!E542</f>
        <v>124.53</v>
      </c>
      <c r="AK547" s="17" t="n">
        <f aca="false">Data!F542</f>
        <v>49161427</v>
      </c>
      <c r="AL547" s="17" t="n">
        <f aca="false">AJ547</f>
        <v>124.53</v>
      </c>
      <c r="AM547" s="17" t="n">
        <f aca="false">(AL547-AL546)/AL547*100</f>
        <v>-0.714687223962098</v>
      </c>
      <c r="AN547" s="17" t="n">
        <f aca="false">(AK547-AK546)/AK547*100</f>
        <v>9.74492664747099</v>
      </c>
      <c r="AO547" s="17" t="str">
        <f aca="false">IF(AN547&lt;-8,"FITS BITCH",IF(AN547&gt;-8,"no"))</f>
        <v>no</v>
      </c>
      <c r="AP547" s="17" t="str">
        <f aca="false">IF(AH548&lt;AH547,"FITS BITCH",IF(AH548&gt;AH547,"no"))</f>
        <v>no</v>
      </c>
      <c r="AQ547" s="17" t="str">
        <f aca="false">IF(AI548&lt;AI547,"FITS BITCH",IF(AI548&gt;AI547,"no"))</f>
        <v>no</v>
      </c>
      <c r="AR547" s="17" t="str">
        <f aca="false">IF(AJ547&lt;AH548,"FITS BITCH",IF(AJ547&gt;AH548,"no"))</f>
        <v>FITS BITCH</v>
      </c>
      <c r="AS547" s="17" t="str">
        <f aca="false">IF(AJ547&gt;AJ548,"FITS BITCH",IF(AJ547&lt;AJ548,"no"))</f>
        <v>no</v>
      </c>
      <c r="AT547" s="91" t="str">
        <f aca="false">IF(AND($AO547="FITS BITCH",$AP547="FITS BITCH",$AR547="FITS BITCH"),"BULLISH","")</f>
        <v/>
      </c>
      <c r="AU547" s="91" t="str">
        <f aca="false">IF(AND($AO547="FITS BITCH",$AQ547="FITS BITCH",$AS547="FITS BITCH"),"BEARISH","")</f>
        <v/>
      </c>
      <c r="AV547" s="86"/>
      <c r="AW547" s="86"/>
      <c r="AX547" s="86"/>
    </row>
    <row r="548" customFormat="false" ht="15.75" hidden="false" customHeight="false" outlineLevel="0" collapsed="false">
      <c r="AE548" s="90" t="n">
        <f aca="false">Data!A543</f>
        <v>42181</v>
      </c>
      <c r="AF548" s="17" t="n">
        <f aca="false">Data!B543</f>
        <v>127.67</v>
      </c>
      <c r="AG548" s="17" t="n">
        <f aca="false">Data!F543</f>
        <v>44066841</v>
      </c>
      <c r="AH548" s="17" t="n">
        <f aca="false">Data!C543</f>
        <v>127.99</v>
      </c>
      <c r="AI548" s="17" t="n">
        <f aca="false">Data!D543</f>
        <v>126.51</v>
      </c>
      <c r="AJ548" s="17" t="n">
        <f aca="false">Data!E543</f>
        <v>126.75</v>
      </c>
      <c r="AK548" s="17" t="n">
        <f aca="false">Data!F543</f>
        <v>44066841</v>
      </c>
      <c r="AL548" s="17" t="n">
        <f aca="false">AJ548</f>
        <v>126.75</v>
      </c>
      <c r="AM548" s="17" t="n">
        <f aca="false">(AL548-AL547)/AL548*100</f>
        <v>1.75147928994083</v>
      </c>
      <c r="AN548" s="17" t="n">
        <f aca="false">(AK548-AK547)/AK548*100</f>
        <v>-11.5610420088883</v>
      </c>
      <c r="AO548" s="17" t="str">
        <f aca="false">IF(AN548&lt;-8,"FITS BITCH",IF(AN548&gt;-8,"no"))</f>
        <v>FITS BITCH</v>
      </c>
      <c r="AP548" s="17" t="str">
        <f aca="false">IF(AH549&lt;AH548,"FITS BITCH",IF(AH549&gt;AH548,"no"))</f>
        <v>no</v>
      </c>
      <c r="AQ548" s="17" t="str">
        <f aca="false">IF(AI549&lt;AI548,"FITS BITCH",IF(AI549&gt;AI548,"no"))</f>
        <v>no</v>
      </c>
      <c r="AR548" s="17" t="str">
        <f aca="false">IF(AJ548&lt;AH549,"FITS BITCH",IF(AJ548&gt;AH549,"no"))</f>
        <v>FITS BITCH</v>
      </c>
      <c r="AS548" s="17" t="str">
        <f aca="false">IF(AJ548&gt;AJ549,"FITS BITCH",IF(AJ548&lt;AJ549,"no"))</f>
        <v>no</v>
      </c>
      <c r="AT548" s="91" t="str">
        <f aca="false">IF(AND($AO548="FITS BITCH",$AP548="FITS BITCH",$AR548="FITS BITCH"),"BULLISH","")</f>
        <v/>
      </c>
      <c r="AU548" s="91" t="str">
        <f aca="false">IF(AND($AO548="FITS BITCH",$AQ548="FITS BITCH",$AS548="FITS BITCH"),"BEARISH","")</f>
        <v/>
      </c>
      <c r="AV548" s="86"/>
      <c r="AW548" s="86"/>
      <c r="AX548" s="86"/>
    </row>
    <row r="549" customFormat="false" ht="15.75" hidden="false" customHeight="false" outlineLevel="0" collapsed="false">
      <c r="AE549" s="90" t="n">
        <f aca="false">Data!A544</f>
        <v>42180</v>
      </c>
      <c r="AF549" s="17" t="n">
        <f aca="false">Data!B544</f>
        <v>128.86</v>
      </c>
      <c r="AG549" s="17" t="n">
        <f aca="false">Data!F544</f>
        <v>31938100</v>
      </c>
      <c r="AH549" s="17" t="n">
        <f aca="false">Data!C544</f>
        <v>129.2</v>
      </c>
      <c r="AI549" s="17" t="n">
        <f aca="false">Data!D544</f>
        <v>127.5</v>
      </c>
      <c r="AJ549" s="17" t="n">
        <f aca="false">Data!E544</f>
        <v>127.5</v>
      </c>
      <c r="AK549" s="17" t="n">
        <f aca="false">Data!F544</f>
        <v>31938100</v>
      </c>
      <c r="AL549" s="17" t="n">
        <f aca="false">AJ549</f>
        <v>127.5</v>
      </c>
      <c r="AM549" s="17" t="n">
        <f aca="false">(AL549-AL548)/AL549*100</f>
        <v>0.588235294117647</v>
      </c>
      <c r="AN549" s="17" t="n">
        <f aca="false">(AK549-AK548)/AK549*100</f>
        <v>-37.9757750147942</v>
      </c>
      <c r="AO549" s="17" t="str">
        <f aca="false">IF(AN549&lt;-8,"FITS BITCH",IF(AN549&gt;-8,"no"))</f>
        <v>FITS BITCH</v>
      </c>
      <c r="AP549" s="17" t="str">
        <f aca="false">IF(AH550&lt;AH549,"FITS BITCH",IF(AH550&gt;AH549,"no"))</f>
        <v>no</v>
      </c>
      <c r="AQ549" s="17" t="str">
        <f aca="false">IF(AI550&lt;AI549,"FITS BITCH",IF(AI550&gt;AI549,"no"))</f>
        <v>FITS BITCH</v>
      </c>
      <c r="AR549" s="17" t="str">
        <f aca="false">IF(AJ549&lt;AH550,"FITS BITCH",IF(AJ549&gt;AH550,"no"))</f>
        <v>FITS BITCH</v>
      </c>
      <c r="AS549" s="17" t="str">
        <f aca="false">IF(AJ549&gt;AJ550,"FITS BITCH",IF(AJ549&lt;AJ550,"no"))</f>
        <v>no</v>
      </c>
      <c r="AT549" s="91" t="str">
        <f aca="false">IF(AND($AO549="FITS BITCH",$AP549="FITS BITCH",$AR549="FITS BITCH"),"BULLISH","")</f>
        <v/>
      </c>
      <c r="AU549" s="91" t="str">
        <f aca="false">IF(AND($AO549="FITS BITCH",$AQ549="FITS BITCH",$AS549="FITS BITCH"),"BEARISH","")</f>
        <v/>
      </c>
      <c r="AV549" s="86"/>
      <c r="AW549" s="86"/>
      <c r="AX549" s="86"/>
    </row>
    <row r="550" customFormat="false" ht="15.75" hidden="false" customHeight="false" outlineLevel="0" collapsed="false">
      <c r="AE550" s="90" t="n">
        <f aca="false">Data!A545</f>
        <v>42179</v>
      </c>
      <c r="AF550" s="17" t="n">
        <f aca="false">Data!B545</f>
        <v>127.21</v>
      </c>
      <c r="AG550" s="17" t="n">
        <f aca="false">Data!F545</f>
        <v>55280855</v>
      </c>
      <c r="AH550" s="17" t="n">
        <f aca="false">Data!C545</f>
        <v>129.8</v>
      </c>
      <c r="AI550" s="17" t="n">
        <f aca="false">Data!D545</f>
        <v>127.12</v>
      </c>
      <c r="AJ550" s="17" t="n">
        <f aca="false">Data!E545</f>
        <v>128.11</v>
      </c>
      <c r="AK550" s="17" t="n">
        <f aca="false">Data!F545</f>
        <v>55280855</v>
      </c>
      <c r="AL550" s="17" t="n">
        <f aca="false">AJ550</f>
        <v>128.11</v>
      </c>
      <c r="AM550" s="17" t="n">
        <f aca="false">(AL550-AL549)/AL550*100</f>
        <v>0.476153305752879</v>
      </c>
      <c r="AN550" s="17" t="n">
        <f aca="false">(AK550-AK549)/AK550*100</f>
        <v>42.225748860071</v>
      </c>
      <c r="AO550" s="17" t="str">
        <f aca="false">IF(AN550&lt;-8,"FITS BITCH",IF(AN550&gt;-8,"no"))</f>
        <v>no</v>
      </c>
      <c r="AP550" s="17" t="str">
        <f aca="false">IF(AH551&lt;AH550,"FITS BITCH",IF(AH551&gt;AH550,"no"))</f>
        <v>FITS BITCH</v>
      </c>
      <c r="AQ550" s="17" t="str">
        <f aca="false">IF(AI551&lt;AI550,"FITS BITCH",IF(AI551&gt;AI550,"no"))</f>
        <v>FITS BITCH</v>
      </c>
      <c r="AR550" s="17" t="str">
        <f aca="false">IF(AJ550&lt;AH551,"FITS BITCH",IF(AJ550&gt;AH551,"no"))</f>
        <v>no</v>
      </c>
      <c r="AS550" s="17" t="str">
        <f aca="false">IF(AJ550&gt;AJ551,"FITS BITCH",IF(AJ550&lt;AJ551,"no"))</f>
        <v>FITS BITCH</v>
      </c>
      <c r="AT550" s="91" t="str">
        <f aca="false">IF(AND($AO550="FITS BITCH",$AP550="FITS BITCH",$AR550="FITS BITCH"),"BULLISH","")</f>
        <v/>
      </c>
      <c r="AU550" s="91" t="str">
        <f aca="false">IF(AND($AO550="FITS BITCH",$AQ550="FITS BITCH",$AS550="FITS BITCH"),"BEARISH","")</f>
        <v/>
      </c>
      <c r="AV550" s="86"/>
      <c r="AW550" s="86"/>
      <c r="AX550" s="86"/>
    </row>
    <row r="551" customFormat="false" ht="15.75" hidden="false" customHeight="false" outlineLevel="0" collapsed="false">
      <c r="AE551" s="90" t="n">
        <f aca="false">Data!A546</f>
        <v>42178</v>
      </c>
      <c r="AF551" s="17" t="n">
        <f aca="false">Data!B546</f>
        <v>127.48</v>
      </c>
      <c r="AG551" s="17" t="n">
        <f aca="false">Data!F546</f>
        <v>30268863</v>
      </c>
      <c r="AH551" s="17" t="n">
        <f aca="false">Data!C546</f>
        <v>127.61</v>
      </c>
      <c r="AI551" s="17" t="n">
        <f aca="false">Data!D546</f>
        <v>126.88</v>
      </c>
      <c r="AJ551" s="17" t="n">
        <f aca="false">Data!E546</f>
        <v>127.03</v>
      </c>
      <c r="AK551" s="17" t="n">
        <f aca="false">Data!F546</f>
        <v>30268863</v>
      </c>
      <c r="AL551" s="17" t="n">
        <f aca="false">AJ551</f>
        <v>127.03</v>
      </c>
      <c r="AM551" s="17" t="n">
        <f aca="false">(AL551-AL550)/AL551*100</f>
        <v>-0.850192867826508</v>
      </c>
      <c r="AN551" s="17" t="n">
        <f aca="false">(AK551-AK550)/AK551*100</f>
        <v>-82.6327437538701</v>
      </c>
      <c r="AO551" s="17" t="str">
        <f aca="false">IF(AN551&lt;-8,"FITS BITCH",IF(AN551&gt;-8,"no"))</f>
        <v>FITS BITCH</v>
      </c>
      <c r="AP551" s="17" t="str">
        <f aca="false">IF(AH552&lt;AH551,"FITS BITCH",IF(AH552&gt;AH551,"no"))</f>
        <v>no</v>
      </c>
      <c r="AQ551" s="17" t="str">
        <f aca="false">IF(AI552&lt;AI551,"FITS BITCH",IF(AI552&gt;AI551,"no"))</f>
        <v>no</v>
      </c>
      <c r="AR551" s="17" t="str">
        <f aca="false">IF(AJ551&lt;AH552,"FITS BITCH",IF(AJ551&gt;AH552,"no"))</f>
        <v>FITS BITCH</v>
      </c>
      <c r="AS551" s="17" t="str">
        <f aca="false">IF(AJ551&gt;AJ552,"FITS BITCH",IF(AJ551&lt;AJ552,"no"))</f>
        <v>no</v>
      </c>
      <c r="AT551" s="91" t="str">
        <f aca="false">IF(AND($AO551="FITS BITCH",$AP551="FITS BITCH",$AR551="FITS BITCH"),"BULLISH","")</f>
        <v/>
      </c>
      <c r="AU551" s="91" t="str">
        <f aca="false">IF(AND($AO551="FITS BITCH",$AQ551="FITS BITCH",$AS551="FITS BITCH"),"BEARISH","")</f>
        <v/>
      </c>
      <c r="AV551" s="86"/>
      <c r="AW551" s="86"/>
      <c r="AX551" s="86"/>
    </row>
    <row r="552" customFormat="false" ht="15.75" hidden="false" customHeight="false" outlineLevel="0" collapsed="false">
      <c r="AE552" s="90" t="n">
        <f aca="false">Data!A547</f>
        <v>42177</v>
      </c>
      <c r="AF552" s="17" t="n">
        <f aca="false">Data!B547</f>
        <v>127.49</v>
      </c>
      <c r="AG552" s="17" t="n">
        <f aca="false">Data!F547</f>
        <v>34039345</v>
      </c>
      <c r="AH552" s="17" t="n">
        <f aca="false">Data!C547</f>
        <v>128.06</v>
      </c>
      <c r="AI552" s="17" t="n">
        <f aca="false">Data!D547</f>
        <v>127.08</v>
      </c>
      <c r="AJ552" s="17" t="n">
        <f aca="false">Data!E547</f>
        <v>127.61</v>
      </c>
      <c r="AK552" s="17" t="n">
        <f aca="false">Data!F547</f>
        <v>34039345</v>
      </c>
      <c r="AL552" s="17" t="n">
        <f aca="false">AJ552</f>
        <v>127.61</v>
      </c>
      <c r="AM552" s="17" t="n">
        <f aca="false">(AL552-AL551)/AL552*100</f>
        <v>0.454509834652455</v>
      </c>
      <c r="AN552" s="17" t="n">
        <f aca="false">(AK552-AK551)/AK552*100</f>
        <v>11.0768347628311</v>
      </c>
      <c r="AO552" s="17" t="str">
        <f aca="false">IF(AN552&lt;-8,"FITS BITCH",IF(AN552&gt;-8,"no"))</f>
        <v>no</v>
      </c>
      <c r="AP552" s="17" t="str">
        <f aca="false">IF(AH553&lt;AH552,"FITS BITCH",IF(AH553&gt;AH552,"no"))</f>
        <v>FITS BITCH</v>
      </c>
      <c r="AQ552" s="17" t="str">
        <f aca="false">IF(AI553&lt;AI552,"FITS BITCH",IF(AI553&gt;AI552,"no"))</f>
        <v>FITS BITCH</v>
      </c>
      <c r="AR552" s="17" t="str">
        <f aca="false">IF(AJ552&lt;AH553,"FITS BITCH",IF(AJ552&gt;AH553,"no"))</f>
        <v>FITS BITCH</v>
      </c>
      <c r="AS552" s="17" t="str">
        <f aca="false">IF(AJ552&gt;AJ553,"FITS BITCH",IF(AJ552&lt;AJ553,"no"))</f>
        <v>FITS BITCH</v>
      </c>
      <c r="AT552" s="91" t="str">
        <f aca="false">IF(AND($AO552="FITS BITCH",$AP552="FITS BITCH",$AR552="FITS BITCH"),"BULLISH","")</f>
        <v/>
      </c>
      <c r="AU552" s="91" t="str">
        <f aca="false">IF(AND($AO552="FITS BITCH",$AQ552="FITS BITCH",$AS552="FITS BITCH"),"BEARISH","")</f>
        <v/>
      </c>
      <c r="AV552" s="86"/>
      <c r="AW552" s="86"/>
      <c r="AX552" s="86"/>
    </row>
    <row r="553" customFormat="false" ht="15.75" hidden="false" customHeight="false" outlineLevel="0" collapsed="false">
      <c r="AE553" s="90" t="n">
        <f aca="false">Data!A548</f>
        <v>42174</v>
      </c>
      <c r="AF553" s="17" t="n">
        <f aca="false">Data!B548</f>
        <v>127.71</v>
      </c>
      <c r="AG553" s="17" t="n">
        <f aca="false">Data!F548</f>
        <v>54716887</v>
      </c>
      <c r="AH553" s="17" t="n">
        <f aca="false">Data!C548</f>
        <v>127.82</v>
      </c>
      <c r="AI553" s="17" t="n">
        <f aca="false">Data!D548</f>
        <v>126.4</v>
      </c>
      <c r="AJ553" s="17" t="n">
        <f aca="false">Data!E548</f>
        <v>126.6</v>
      </c>
      <c r="AK553" s="17" t="n">
        <f aca="false">Data!F548</f>
        <v>54716887</v>
      </c>
      <c r="AL553" s="17" t="n">
        <f aca="false">AJ553</f>
        <v>126.6</v>
      </c>
      <c r="AM553" s="17" t="n">
        <f aca="false">(AL553-AL552)/AL553*100</f>
        <v>-0.797788309636655</v>
      </c>
      <c r="AN553" s="17" t="n">
        <f aca="false">(AK553-AK552)/AK553*100</f>
        <v>37.7900555636508</v>
      </c>
      <c r="AO553" s="17" t="str">
        <f aca="false">IF(AN553&lt;-8,"FITS BITCH",IF(AN553&gt;-8,"no"))</f>
        <v>no</v>
      </c>
      <c r="AP553" s="17" t="str">
        <f aca="false">IF(AH554&lt;AH553,"FITS BITCH",IF(AH554&gt;AH553,"no"))</f>
        <v>no</v>
      </c>
      <c r="AQ553" s="17" t="str">
        <f aca="false">IF(AI554&lt;AI553,"FITS BITCH",IF(AI554&gt;AI553,"no"))</f>
        <v>no</v>
      </c>
      <c r="AR553" s="17" t="str">
        <f aca="false">IF(AJ553&lt;AH554,"FITS BITCH",IF(AJ553&gt;AH554,"no"))</f>
        <v>FITS BITCH</v>
      </c>
      <c r="AS553" s="17" t="str">
        <f aca="false">IF(AJ553&gt;AJ554,"FITS BITCH",IF(AJ553&lt;AJ554,"no"))</f>
        <v>no</v>
      </c>
      <c r="AT553" s="91" t="str">
        <f aca="false">IF(AND($AO553="FITS BITCH",$AP553="FITS BITCH",$AR553="FITS BITCH"),"BULLISH","")</f>
        <v/>
      </c>
      <c r="AU553" s="91" t="str">
        <f aca="false">IF(AND($AO553="FITS BITCH",$AQ553="FITS BITCH",$AS553="FITS BITCH"),"BEARISH","")</f>
        <v/>
      </c>
      <c r="AV553" s="86"/>
      <c r="AW553" s="86"/>
      <c r="AX553" s="86"/>
    </row>
    <row r="554" customFormat="false" ht="15.75" hidden="false" customHeight="false" outlineLevel="0" collapsed="false">
      <c r="AE554" s="90" t="n">
        <f aca="false">Data!A549</f>
        <v>42173</v>
      </c>
      <c r="AF554" s="17" t="n">
        <f aca="false">Data!B549</f>
        <v>127.23</v>
      </c>
      <c r="AG554" s="17" t="n">
        <f aca="false">Data!F549</f>
        <v>35407220</v>
      </c>
      <c r="AH554" s="17" t="n">
        <f aca="false">Data!C549</f>
        <v>128.31</v>
      </c>
      <c r="AI554" s="17" t="n">
        <f aca="false">Data!D549</f>
        <v>127.22</v>
      </c>
      <c r="AJ554" s="17" t="n">
        <f aca="false">Data!E549</f>
        <v>127.88</v>
      </c>
      <c r="AK554" s="17" t="n">
        <f aca="false">Data!F549</f>
        <v>35407220</v>
      </c>
      <c r="AL554" s="17" t="n">
        <f aca="false">AJ554</f>
        <v>127.88</v>
      </c>
      <c r="AM554" s="17" t="n">
        <f aca="false">(AL554-AL553)/AL554*100</f>
        <v>1.000938379731</v>
      </c>
      <c r="AN554" s="17" t="n">
        <f aca="false">(AK554-AK553)/AK554*100</f>
        <v>-54.5359590501598</v>
      </c>
      <c r="AO554" s="17" t="str">
        <f aca="false">IF(AN554&lt;-8,"FITS BITCH",IF(AN554&gt;-8,"no"))</f>
        <v>FITS BITCH</v>
      </c>
      <c r="AP554" s="17" t="str">
        <f aca="false">IF(AH555&lt;AH554,"FITS BITCH",IF(AH555&gt;AH554,"no"))</f>
        <v>FITS BITCH</v>
      </c>
      <c r="AQ554" s="17" t="str">
        <f aca="false">IF(AI555&lt;AI554,"FITS BITCH",IF(AI555&gt;AI554,"no"))</f>
        <v>FITS BITCH</v>
      </c>
      <c r="AR554" s="17" t="n">
        <f aca="false">IF(AJ554&lt;AH555,"FITS BITCH",IF(AJ554&gt;AH555,"no"))</f>
        <v>0</v>
      </c>
      <c r="AS554" s="17" t="str">
        <f aca="false">IF(AJ554&gt;AJ555,"FITS BITCH",IF(AJ554&lt;AJ555,"no"))</f>
        <v>FITS BITCH</v>
      </c>
      <c r="AT554" s="91" t="str">
        <f aca="false">IF(AND($AO554="FITS BITCH",$AP554="FITS BITCH",$AR554="FITS BITCH"),"BULLISH","")</f>
        <v/>
      </c>
      <c r="AU554" s="91" t="str">
        <f aca="false">IF(AND($AO554="FITS BITCH",$AQ554="FITS BITCH",$AS554="FITS BITCH"),"BEARISH","")</f>
        <v>BEARISH</v>
      </c>
      <c r="AV554" s="86"/>
      <c r="AW554" s="86"/>
      <c r="AX554" s="86"/>
    </row>
    <row r="555" customFormat="false" ht="15.75" hidden="false" customHeight="false" outlineLevel="0" collapsed="false">
      <c r="AE555" s="90" t="n">
        <f aca="false">Data!A550</f>
        <v>42172</v>
      </c>
      <c r="AF555" s="17" t="n">
        <f aca="false">Data!B550</f>
        <v>127.72</v>
      </c>
      <c r="AG555" s="17" t="n">
        <f aca="false">Data!F550</f>
        <v>32918071</v>
      </c>
      <c r="AH555" s="17" t="n">
        <f aca="false">Data!C550</f>
        <v>127.88</v>
      </c>
      <c r="AI555" s="17" t="n">
        <f aca="false">Data!D550</f>
        <v>126.74</v>
      </c>
      <c r="AJ555" s="17" t="n">
        <f aca="false">Data!E550</f>
        <v>127.3</v>
      </c>
      <c r="AK555" s="17" t="n">
        <f aca="false">Data!F550</f>
        <v>32918071</v>
      </c>
      <c r="AL555" s="17" t="n">
        <f aca="false">AJ555</f>
        <v>127.3</v>
      </c>
      <c r="AM555" s="17" t="n">
        <f aca="false">(AL555-AL554)/AL555*100</f>
        <v>-0.455616653574233</v>
      </c>
      <c r="AN555" s="17" t="n">
        <f aca="false">(AK555-AK554)/AK555*100</f>
        <v>-7.5616490407351</v>
      </c>
      <c r="AO555" s="17" t="str">
        <f aca="false">IF(AN555&lt;-8,"FITS BITCH",IF(AN555&gt;-8,"no"))</f>
        <v>no</v>
      </c>
      <c r="AP555" s="17" t="str">
        <f aca="false">IF(AH556&lt;AH555,"FITS BITCH",IF(AH556&gt;AH555,"no"))</f>
        <v>FITS BITCH</v>
      </c>
      <c r="AQ555" s="17" t="str">
        <f aca="false">IF(AI556&lt;AI555,"FITS BITCH",IF(AI556&gt;AI555,"no"))</f>
        <v>FITS BITCH</v>
      </c>
      <c r="AR555" s="17" t="str">
        <f aca="false">IF(AJ555&lt;AH556,"FITS BITCH",IF(AJ555&gt;AH556,"no"))</f>
        <v>FITS BITCH</v>
      </c>
      <c r="AS555" s="17" t="str">
        <f aca="false">IF(AJ555&gt;AJ556,"FITS BITCH",IF(AJ555&lt;AJ556,"no"))</f>
        <v>no</v>
      </c>
      <c r="AT555" s="91" t="str">
        <f aca="false">IF(AND($AO555="FITS BITCH",$AP555="FITS BITCH",$AR555="FITS BITCH"),"BULLISH","")</f>
        <v/>
      </c>
      <c r="AU555" s="91" t="str">
        <f aca="false">IF(AND($AO555="FITS BITCH",$AQ555="FITS BITCH",$AS555="FITS BITCH"),"BEARISH","")</f>
        <v/>
      </c>
      <c r="AV555" s="86"/>
      <c r="AW555" s="86"/>
      <c r="AX555" s="86"/>
    </row>
    <row r="556" customFormat="false" ht="15.75" hidden="false" customHeight="false" outlineLevel="0" collapsed="false">
      <c r="AE556" s="90" t="n">
        <f aca="false">Data!A551</f>
        <v>42171</v>
      </c>
      <c r="AF556" s="17" t="n">
        <f aca="false">Data!B551</f>
        <v>127.03</v>
      </c>
      <c r="AG556" s="17" t="n">
        <f aca="false">Data!F551</f>
        <v>31494131</v>
      </c>
      <c r="AH556" s="17" t="n">
        <f aca="false">Data!C551</f>
        <v>127.85</v>
      </c>
      <c r="AI556" s="17" t="n">
        <f aca="false">Data!D551</f>
        <v>126.37</v>
      </c>
      <c r="AJ556" s="17" t="n">
        <f aca="false">Data!E551</f>
        <v>127.6</v>
      </c>
      <c r="AK556" s="17" t="n">
        <f aca="false">Data!F551</f>
        <v>31494131</v>
      </c>
      <c r="AL556" s="17" t="n">
        <f aca="false">AJ556</f>
        <v>127.6</v>
      </c>
      <c r="AM556" s="17" t="n">
        <f aca="false">(AL556-AL555)/AL556*100</f>
        <v>0.235109717868336</v>
      </c>
      <c r="AN556" s="17" t="n">
        <f aca="false">(AK556-AK555)/AK556*100</f>
        <v>-4.52128683912568</v>
      </c>
      <c r="AO556" s="17" t="str">
        <f aca="false">IF(AN556&lt;-8,"FITS BITCH",IF(AN556&gt;-8,"no"))</f>
        <v>no</v>
      </c>
      <c r="AP556" s="17" t="str">
        <f aca="false">IF(AH557&lt;AH556,"FITS BITCH",IF(AH557&gt;AH556,"no"))</f>
        <v>FITS BITCH</v>
      </c>
      <c r="AQ556" s="17" t="str">
        <f aca="false">IF(AI557&lt;AI556,"FITS BITCH",IF(AI557&gt;AI556,"no"))</f>
        <v>FITS BITCH</v>
      </c>
      <c r="AR556" s="17" t="str">
        <f aca="false">IF(AJ556&lt;AH557,"FITS BITCH",IF(AJ556&gt;AH557,"no"))</f>
        <v>no</v>
      </c>
      <c r="AS556" s="17" t="str">
        <f aca="false">IF(AJ556&gt;AJ557,"FITS BITCH",IF(AJ556&lt;AJ557,"no"))</f>
        <v>FITS BITCH</v>
      </c>
      <c r="AT556" s="91" t="str">
        <f aca="false">IF(AND($AO556="FITS BITCH",$AP556="FITS BITCH",$AR556="FITS BITCH"),"BULLISH","")</f>
        <v/>
      </c>
      <c r="AU556" s="91" t="str">
        <f aca="false">IF(AND($AO556="FITS BITCH",$AQ556="FITS BITCH",$AS556="FITS BITCH"),"BEARISH","")</f>
        <v/>
      </c>
      <c r="AV556" s="86"/>
      <c r="AW556" s="86"/>
      <c r="AX556" s="86"/>
    </row>
    <row r="557" customFormat="false" ht="15.75" hidden="false" customHeight="false" outlineLevel="0" collapsed="false">
      <c r="AE557" s="90" t="n">
        <f aca="false">Data!A552</f>
        <v>42170</v>
      </c>
      <c r="AF557" s="17" t="n">
        <f aca="false">Data!B552</f>
        <v>126.1</v>
      </c>
      <c r="AG557" s="17" t="n">
        <f aca="false">Data!F552</f>
        <v>43988946</v>
      </c>
      <c r="AH557" s="17" t="n">
        <f aca="false">Data!C552</f>
        <v>127.24</v>
      </c>
      <c r="AI557" s="17" t="n">
        <f aca="false">Data!D552</f>
        <v>125.71</v>
      </c>
      <c r="AJ557" s="17" t="n">
        <f aca="false">Data!E552</f>
        <v>126.92</v>
      </c>
      <c r="AK557" s="17" t="n">
        <f aca="false">Data!F552</f>
        <v>43988946</v>
      </c>
      <c r="AL557" s="17" t="n">
        <f aca="false">AJ557</f>
        <v>126.92</v>
      </c>
      <c r="AM557" s="17" t="n">
        <f aca="false">(AL557-AL556)/AL557*100</f>
        <v>-0.535770564134882</v>
      </c>
      <c r="AN557" s="17" t="n">
        <f aca="false">(AK557-AK556)/AK557*100</f>
        <v>28.404442788877</v>
      </c>
      <c r="AO557" s="17" t="str">
        <f aca="false">IF(AN557&lt;-8,"FITS BITCH",IF(AN557&gt;-8,"no"))</f>
        <v>no</v>
      </c>
      <c r="AP557" s="17" t="str">
        <f aca="false">IF(AH558&lt;AH557,"FITS BITCH",IF(AH558&gt;AH557,"no"))</f>
        <v>no</v>
      </c>
      <c r="AQ557" s="17" t="str">
        <f aca="false">IF(AI558&lt;AI557,"FITS BITCH",IF(AI558&gt;AI557,"no"))</f>
        <v>no</v>
      </c>
      <c r="AR557" s="17" t="str">
        <f aca="false">IF(AJ557&lt;AH558,"FITS BITCH",IF(AJ557&gt;AH558,"no"))</f>
        <v>FITS BITCH</v>
      </c>
      <c r="AS557" s="17" t="str">
        <f aca="false">IF(AJ557&gt;AJ558,"FITS BITCH",IF(AJ557&lt;AJ558,"no"))</f>
        <v>no</v>
      </c>
      <c r="AT557" s="91" t="str">
        <f aca="false">IF(AND($AO557="FITS BITCH",$AP557="FITS BITCH",$AR557="FITS BITCH"),"BULLISH","")</f>
        <v/>
      </c>
      <c r="AU557" s="91" t="str">
        <f aca="false">IF(AND($AO557="FITS BITCH",$AQ557="FITS BITCH",$AS557="FITS BITCH"),"BEARISH","")</f>
        <v/>
      </c>
      <c r="AV557" s="86"/>
      <c r="AW557" s="86"/>
      <c r="AX557" s="86"/>
    </row>
    <row r="558" customFormat="false" ht="15.75" hidden="false" customHeight="false" outlineLevel="0" collapsed="false">
      <c r="AE558" s="90" t="n">
        <f aca="false">Data!A553</f>
        <v>42167</v>
      </c>
      <c r="AF558" s="17" t="n">
        <f aca="false">Data!B553</f>
        <v>128.18</v>
      </c>
      <c r="AG558" s="17" t="n">
        <f aca="false">Data!F553</f>
        <v>36886246</v>
      </c>
      <c r="AH558" s="17" t="n">
        <f aca="false">Data!C553</f>
        <v>128.33</v>
      </c>
      <c r="AI558" s="17" t="n">
        <f aca="false">Data!D553</f>
        <v>127.11</v>
      </c>
      <c r="AJ558" s="17" t="n">
        <f aca="false">Data!E553</f>
        <v>127.17</v>
      </c>
      <c r="AK558" s="17" t="n">
        <f aca="false">Data!F553</f>
        <v>36886246</v>
      </c>
      <c r="AL558" s="17" t="n">
        <f aca="false">AJ558</f>
        <v>127.17</v>
      </c>
      <c r="AM558" s="17" t="n">
        <f aca="false">(AL558-AL557)/AL558*100</f>
        <v>0.196587245419517</v>
      </c>
      <c r="AN558" s="17" t="n">
        <f aca="false">(AK558-AK557)/AK558*100</f>
        <v>-19.2556867944762</v>
      </c>
      <c r="AO558" s="17" t="str">
        <f aca="false">IF(AN558&lt;-8,"FITS BITCH",IF(AN558&gt;-8,"no"))</f>
        <v>FITS BITCH</v>
      </c>
      <c r="AP558" s="17" t="str">
        <f aca="false">IF(AH559&lt;AH558,"FITS BITCH",IF(AH559&gt;AH558,"no"))</f>
        <v>no</v>
      </c>
      <c r="AQ558" s="17" t="str">
        <f aca="false">IF(AI559&lt;AI558,"FITS BITCH",IF(AI559&gt;AI558,"no"))</f>
        <v>no</v>
      </c>
      <c r="AR558" s="17" t="str">
        <f aca="false">IF(AJ558&lt;AH559,"FITS BITCH",IF(AJ558&gt;AH559,"no"))</f>
        <v>FITS BITCH</v>
      </c>
      <c r="AS558" s="17" t="str">
        <f aca="false">IF(AJ558&gt;AJ559,"FITS BITCH",IF(AJ558&lt;AJ559,"no"))</f>
        <v>no</v>
      </c>
      <c r="AT558" s="91" t="str">
        <f aca="false">IF(AND($AO558="FITS BITCH",$AP558="FITS BITCH",$AR558="FITS BITCH"),"BULLISH","")</f>
        <v/>
      </c>
      <c r="AU558" s="91" t="str">
        <f aca="false">IF(AND($AO558="FITS BITCH",$AQ558="FITS BITCH",$AS558="FITS BITCH"),"BEARISH","")</f>
        <v/>
      </c>
      <c r="AV558" s="86"/>
      <c r="AW558" s="86"/>
      <c r="AX558" s="86"/>
    </row>
    <row r="559" customFormat="false" ht="15.75" hidden="false" customHeight="false" outlineLevel="0" collapsed="false">
      <c r="AE559" s="90" t="n">
        <f aca="false">Data!A554</f>
        <v>42166</v>
      </c>
      <c r="AF559" s="17" t="n">
        <f aca="false">Data!B554</f>
        <v>129.18</v>
      </c>
      <c r="AG559" s="17" t="n">
        <f aca="false">Data!F554</f>
        <v>35390887</v>
      </c>
      <c r="AH559" s="17" t="n">
        <f aca="false">Data!C554</f>
        <v>130.18</v>
      </c>
      <c r="AI559" s="17" t="n">
        <f aca="false">Data!D554</f>
        <v>128.48</v>
      </c>
      <c r="AJ559" s="17" t="n">
        <f aca="false">Data!E554</f>
        <v>128.59</v>
      </c>
      <c r="AK559" s="17" t="n">
        <f aca="false">Data!F554</f>
        <v>35390887</v>
      </c>
      <c r="AL559" s="17" t="n">
        <f aca="false">AJ559</f>
        <v>128.59</v>
      </c>
      <c r="AM559" s="17" t="n">
        <f aca="false">(AL559-AL558)/AL559*100</f>
        <v>1.10428493662027</v>
      </c>
      <c r="AN559" s="17" t="n">
        <f aca="false">(AK559-AK558)/AK559*100</f>
        <v>-4.22526567361818</v>
      </c>
      <c r="AO559" s="17" t="str">
        <f aca="false">IF(AN559&lt;-8,"FITS BITCH",IF(AN559&gt;-8,"no"))</f>
        <v>no</v>
      </c>
      <c r="AP559" s="17" t="str">
        <f aca="false">IF(AH560&lt;AH559,"FITS BITCH",IF(AH560&gt;AH559,"no"))</f>
        <v>FITS BITCH</v>
      </c>
      <c r="AQ559" s="17" t="str">
        <f aca="false">IF(AI560&lt;AI559,"FITS BITCH",IF(AI560&gt;AI559,"no"))</f>
        <v>FITS BITCH</v>
      </c>
      <c r="AR559" s="17" t="str">
        <f aca="false">IF(AJ559&lt;AH560,"FITS BITCH",IF(AJ559&gt;AH560,"no"))</f>
        <v>FITS BITCH</v>
      </c>
      <c r="AS559" s="17" t="str">
        <f aca="false">IF(AJ559&gt;AJ560,"FITS BITCH",IF(AJ559&lt;AJ560,"no"))</f>
        <v>no</v>
      </c>
      <c r="AT559" s="91" t="str">
        <f aca="false">IF(AND($AO559="FITS BITCH",$AP559="FITS BITCH",$AR559="FITS BITCH"),"BULLISH","")</f>
        <v/>
      </c>
      <c r="AU559" s="91" t="str">
        <f aca="false">IF(AND($AO559="FITS BITCH",$AQ559="FITS BITCH",$AS559="FITS BITCH"),"BEARISH","")</f>
        <v/>
      </c>
      <c r="AV559" s="86"/>
      <c r="AW559" s="86"/>
      <c r="AX559" s="86"/>
    </row>
    <row r="560" customFormat="false" ht="15.75" hidden="false" customHeight="false" outlineLevel="0" collapsed="false">
      <c r="AE560" s="90" t="n">
        <f aca="false">Data!A555</f>
        <v>42165</v>
      </c>
      <c r="AF560" s="17" t="n">
        <f aca="false">Data!B555</f>
        <v>127.92</v>
      </c>
      <c r="AG560" s="17" t="n">
        <f aca="false">Data!F555</f>
        <v>39087250</v>
      </c>
      <c r="AH560" s="17" t="n">
        <f aca="false">Data!C555</f>
        <v>129.34</v>
      </c>
      <c r="AI560" s="17" t="n">
        <f aca="false">Data!D555</f>
        <v>127.85</v>
      </c>
      <c r="AJ560" s="17" t="n">
        <f aca="false">Data!E555</f>
        <v>128.88</v>
      </c>
      <c r="AK560" s="17" t="n">
        <f aca="false">Data!F555</f>
        <v>39087250</v>
      </c>
      <c r="AL560" s="17" t="n">
        <f aca="false">AJ560</f>
        <v>128.88</v>
      </c>
      <c r="AM560" s="17" t="n">
        <f aca="false">(AL560-AL559)/AL560*100</f>
        <v>0.225015518311602</v>
      </c>
      <c r="AN560" s="17" t="n">
        <f aca="false">(AK560-AK559)/AK560*100</f>
        <v>9.45669751645358</v>
      </c>
      <c r="AO560" s="17" t="str">
        <f aca="false">IF(AN560&lt;-8,"FITS BITCH",IF(AN560&gt;-8,"no"))</f>
        <v>no</v>
      </c>
      <c r="AP560" s="17" t="str">
        <f aca="false">IF(AH561&lt;AH560,"FITS BITCH",IF(AH561&gt;AH560,"no"))</f>
        <v>FITS BITCH</v>
      </c>
      <c r="AQ560" s="17" t="str">
        <f aca="false">IF(AI561&lt;AI560,"FITS BITCH",IF(AI561&gt;AI560,"no"))</f>
        <v>FITS BITCH</v>
      </c>
      <c r="AR560" s="17" t="str">
        <f aca="false">IF(AJ560&lt;AH561,"FITS BITCH",IF(AJ560&gt;AH561,"no"))</f>
        <v>no</v>
      </c>
      <c r="AS560" s="17" t="str">
        <f aca="false">IF(AJ560&gt;AJ561,"FITS BITCH",IF(AJ560&lt;AJ561,"no"))</f>
        <v>FITS BITCH</v>
      </c>
      <c r="AT560" s="91" t="str">
        <f aca="false">IF(AND($AO560="FITS BITCH",$AP560="FITS BITCH",$AR560="FITS BITCH"),"BULLISH","")</f>
        <v/>
      </c>
      <c r="AU560" s="91" t="str">
        <f aca="false">IF(AND($AO560="FITS BITCH",$AQ560="FITS BITCH",$AS560="FITS BITCH"),"BEARISH","")</f>
        <v/>
      </c>
      <c r="AV560" s="86"/>
      <c r="AW560" s="86"/>
      <c r="AX560" s="86"/>
    </row>
    <row r="561" customFormat="false" ht="15.75" hidden="false" customHeight="false" outlineLevel="0" collapsed="false">
      <c r="AE561" s="90" t="n">
        <f aca="false">Data!A556</f>
        <v>42164</v>
      </c>
      <c r="AF561" s="17" t="n">
        <f aca="false">Data!B556</f>
        <v>126.7</v>
      </c>
      <c r="AG561" s="17" t="n">
        <f aca="false">Data!F556</f>
        <v>56075420</v>
      </c>
      <c r="AH561" s="17" t="n">
        <f aca="false">Data!C556</f>
        <v>128.08</v>
      </c>
      <c r="AI561" s="17" t="n">
        <f aca="false">Data!D556</f>
        <v>125.62</v>
      </c>
      <c r="AJ561" s="17" t="n">
        <f aca="false">Data!E556</f>
        <v>127.42</v>
      </c>
      <c r="AK561" s="17" t="n">
        <f aca="false">Data!F556</f>
        <v>56075420</v>
      </c>
      <c r="AL561" s="17" t="n">
        <f aca="false">AJ561</f>
        <v>127.42</v>
      </c>
      <c r="AM561" s="17" t="n">
        <f aca="false">(AL561-AL560)/AL561*100</f>
        <v>-1.14581698320514</v>
      </c>
      <c r="AN561" s="17" t="n">
        <f aca="false">(AK561-AK560)/AK561*100</f>
        <v>30.2952166920908</v>
      </c>
      <c r="AO561" s="17" t="str">
        <f aca="false">IF(AN561&lt;-8,"FITS BITCH",IF(AN561&gt;-8,"no"))</f>
        <v>no</v>
      </c>
      <c r="AP561" s="17" t="str">
        <f aca="false">IF(AH562&lt;AH561,"FITS BITCH",IF(AH562&gt;AH561,"no"))</f>
        <v>no</v>
      </c>
      <c r="AQ561" s="17" t="str">
        <f aca="false">IF(AI562&lt;AI561,"FITS BITCH",IF(AI562&gt;AI561,"no"))</f>
        <v>no</v>
      </c>
      <c r="AR561" s="17" t="str">
        <f aca="false">IF(AJ561&lt;AH562,"FITS BITCH",IF(AJ561&gt;AH562,"no"))</f>
        <v>FITS BITCH</v>
      </c>
      <c r="AS561" s="17" t="str">
        <f aca="false">IF(AJ561&gt;AJ562,"FITS BITCH",IF(AJ561&lt;AJ562,"no"))</f>
        <v>no</v>
      </c>
      <c r="AT561" s="91" t="str">
        <f aca="false">IF(AND($AO561="FITS BITCH",$AP561="FITS BITCH",$AR561="FITS BITCH"),"BULLISH","")</f>
        <v/>
      </c>
      <c r="AU561" s="91" t="str">
        <f aca="false">IF(AND($AO561="FITS BITCH",$AQ561="FITS BITCH",$AS561="FITS BITCH"),"BEARISH","")</f>
        <v/>
      </c>
      <c r="AV561" s="86"/>
      <c r="AW561" s="86"/>
      <c r="AX561" s="86"/>
    </row>
    <row r="562" customFormat="false" ht="15.75" hidden="false" customHeight="false" outlineLevel="0" collapsed="false">
      <c r="AE562" s="90" t="n">
        <f aca="false">Data!A557</f>
        <v>42163</v>
      </c>
      <c r="AF562" s="17" t="n">
        <f aca="false">Data!B557</f>
        <v>128.9</v>
      </c>
      <c r="AG562" s="17" t="n">
        <f aca="false">Data!F557</f>
        <v>52674786</v>
      </c>
      <c r="AH562" s="17" t="n">
        <f aca="false">Data!C557</f>
        <v>129.21</v>
      </c>
      <c r="AI562" s="17" t="n">
        <f aca="false">Data!D557</f>
        <v>126.83</v>
      </c>
      <c r="AJ562" s="17" t="n">
        <f aca="false">Data!E557</f>
        <v>127.8</v>
      </c>
      <c r="AK562" s="17" t="n">
        <f aca="false">Data!F557</f>
        <v>52674786</v>
      </c>
      <c r="AL562" s="17" t="n">
        <f aca="false">AJ562</f>
        <v>127.8</v>
      </c>
      <c r="AM562" s="17" t="n">
        <f aca="false">(AL562-AL561)/AL562*100</f>
        <v>0.297339593114237</v>
      </c>
      <c r="AN562" s="17" t="n">
        <f aca="false">(AK562-AK561)/AK562*100</f>
        <v>-6.45590472830777</v>
      </c>
      <c r="AO562" s="17" t="str">
        <f aca="false">IF(AN562&lt;-8,"FITS BITCH",IF(AN562&gt;-8,"no"))</f>
        <v>no</v>
      </c>
      <c r="AP562" s="17" t="str">
        <f aca="false">IF(AH563&lt;AH562,"FITS BITCH",IF(AH563&gt;AH562,"no"))</f>
        <v>no</v>
      </c>
      <c r="AQ562" s="17" t="str">
        <f aca="false">IF(AI563&lt;AI562,"FITS BITCH",IF(AI563&gt;AI562,"no"))</f>
        <v>no</v>
      </c>
      <c r="AR562" s="17" t="str">
        <f aca="false">IF(AJ562&lt;AH563,"FITS BITCH",IF(AJ562&gt;AH563,"no"))</f>
        <v>FITS BITCH</v>
      </c>
      <c r="AS562" s="17" t="str">
        <f aca="false">IF(AJ562&gt;AJ563,"FITS BITCH",IF(AJ562&lt;AJ563,"no"))</f>
        <v>no</v>
      </c>
      <c r="AT562" s="91" t="str">
        <f aca="false">IF(AND($AO562="FITS BITCH",$AP562="FITS BITCH",$AR562="FITS BITCH"),"BULLISH","")</f>
        <v/>
      </c>
      <c r="AU562" s="91" t="str">
        <f aca="false">IF(AND($AO562="FITS BITCH",$AQ562="FITS BITCH",$AS562="FITS BITCH"),"BEARISH","")</f>
        <v/>
      </c>
      <c r="AV562" s="86"/>
      <c r="AW562" s="86"/>
      <c r="AX562" s="86"/>
    </row>
    <row r="563" customFormat="false" ht="15.75" hidden="false" customHeight="false" outlineLevel="0" collapsed="false">
      <c r="AE563" s="90" t="n">
        <f aca="false">Data!A558</f>
        <v>42160</v>
      </c>
      <c r="AF563" s="17" t="n">
        <f aca="false">Data!B558</f>
        <v>129.5</v>
      </c>
      <c r="AG563" s="17" t="n">
        <f aca="false">Data!F558</f>
        <v>35626800</v>
      </c>
      <c r="AH563" s="17" t="n">
        <f aca="false">Data!C558</f>
        <v>129.69</v>
      </c>
      <c r="AI563" s="17" t="n">
        <f aca="false">Data!D558</f>
        <v>128.36</v>
      </c>
      <c r="AJ563" s="17" t="n">
        <f aca="false">Data!E558</f>
        <v>128.65</v>
      </c>
      <c r="AK563" s="17" t="n">
        <f aca="false">Data!F558</f>
        <v>35626800</v>
      </c>
      <c r="AL563" s="17" t="n">
        <f aca="false">AJ563</f>
        <v>128.65</v>
      </c>
      <c r="AM563" s="17" t="n">
        <f aca="false">(AL563-AL562)/AL563*100</f>
        <v>0.660707345511083</v>
      </c>
      <c r="AN563" s="17" t="n">
        <f aca="false">(AK563-AK562)/AK563*100</f>
        <v>-47.8515780255314</v>
      </c>
      <c r="AO563" s="17" t="str">
        <f aca="false">IF(AN563&lt;-8,"FITS BITCH",IF(AN563&gt;-8,"no"))</f>
        <v>FITS BITCH</v>
      </c>
      <c r="AP563" s="17" t="str">
        <f aca="false">IF(AH564&lt;AH563,"FITS BITCH",IF(AH564&gt;AH563,"no"))</f>
        <v>no</v>
      </c>
      <c r="AQ563" s="17" t="str">
        <f aca="false">IF(AI564&lt;AI563,"FITS BITCH",IF(AI564&gt;AI563,"no"))</f>
        <v>no</v>
      </c>
      <c r="AR563" s="17" t="str">
        <f aca="false">IF(AJ563&lt;AH564,"FITS BITCH",IF(AJ563&gt;AH564,"no"))</f>
        <v>FITS BITCH</v>
      </c>
      <c r="AS563" s="17" t="str">
        <f aca="false">IF(AJ563&gt;AJ564,"FITS BITCH",IF(AJ563&lt;AJ564,"no"))</f>
        <v>no</v>
      </c>
      <c r="AT563" s="91" t="str">
        <f aca="false">IF(AND($AO563="FITS BITCH",$AP563="FITS BITCH",$AR563="FITS BITCH"),"BULLISH","")</f>
        <v/>
      </c>
      <c r="AU563" s="91" t="str">
        <f aca="false">IF(AND($AO563="FITS BITCH",$AQ563="FITS BITCH",$AS563="FITS BITCH"),"BEARISH","")</f>
        <v/>
      </c>
      <c r="AV563" s="86"/>
      <c r="AW563" s="86"/>
      <c r="AX563" s="86"/>
    </row>
    <row r="564" customFormat="false" ht="15.75" hidden="false" customHeight="false" outlineLevel="0" collapsed="false">
      <c r="AE564" s="90" t="n">
        <f aca="false">Data!A559</f>
        <v>42159</v>
      </c>
      <c r="AF564" s="17" t="n">
        <f aca="false">Data!B559</f>
        <v>129.58</v>
      </c>
      <c r="AG564" s="17" t="n">
        <f aca="false">Data!F559</f>
        <v>38450118</v>
      </c>
      <c r="AH564" s="17" t="n">
        <f aca="false">Data!C559</f>
        <v>130.58</v>
      </c>
      <c r="AI564" s="17" t="n">
        <f aca="false">Data!D559</f>
        <v>128.91</v>
      </c>
      <c r="AJ564" s="17" t="n">
        <f aca="false">Data!E559</f>
        <v>129.36</v>
      </c>
      <c r="AK564" s="17" t="n">
        <f aca="false">Data!F559</f>
        <v>38450118</v>
      </c>
      <c r="AL564" s="17" t="n">
        <f aca="false">AJ564</f>
        <v>129.36</v>
      </c>
      <c r="AM564" s="17" t="n">
        <f aca="false">(AL564-AL563)/AL564*100</f>
        <v>0.548855905998769</v>
      </c>
      <c r="AN564" s="17" t="n">
        <f aca="false">(AK564-AK563)/AK564*100</f>
        <v>7.34280711440209</v>
      </c>
      <c r="AO564" s="17" t="str">
        <f aca="false">IF(AN564&lt;-8,"FITS BITCH",IF(AN564&gt;-8,"no"))</f>
        <v>no</v>
      </c>
      <c r="AP564" s="17" t="str">
        <f aca="false">IF(AH565&lt;AH564,"FITS BITCH",IF(AH565&gt;AH564,"no"))</f>
        <v>no</v>
      </c>
      <c r="AQ564" s="17" t="str">
        <f aca="false">IF(AI565&lt;AI564,"FITS BITCH",IF(AI565&gt;AI564,"no"))</f>
        <v>no</v>
      </c>
      <c r="AR564" s="17" t="str">
        <f aca="false">IF(AJ564&lt;AH565,"FITS BITCH",IF(AJ564&gt;AH565,"no"))</f>
        <v>FITS BITCH</v>
      </c>
      <c r="AS564" s="17" t="str">
        <f aca="false">IF(AJ564&gt;AJ565,"FITS BITCH",IF(AJ564&lt;AJ565,"no"))</f>
        <v>no</v>
      </c>
      <c r="AT564" s="91" t="str">
        <f aca="false">IF(AND($AO564="FITS BITCH",$AP564="FITS BITCH",$AR564="FITS BITCH"),"BULLISH","")</f>
        <v/>
      </c>
      <c r="AU564" s="91" t="str">
        <f aca="false">IF(AND($AO564="FITS BITCH",$AQ564="FITS BITCH",$AS564="FITS BITCH"),"BEARISH","")</f>
        <v/>
      </c>
      <c r="AV564" s="86"/>
      <c r="AW564" s="86"/>
      <c r="AX564" s="86"/>
    </row>
    <row r="565" customFormat="false" ht="15.75" hidden="false" customHeight="false" outlineLevel="0" collapsed="false">
      <c r="AE565" s="90" t="n">
        <f aca="false">Data!A560</f>
        <v>42158</v>
      </c>
      <c r="AF565" s="17" t="n">
        <f aca="false">Data!B560</f>
        <v>130.66</v>
      </c>
      <c r="AG565" s="17" t="n">
        <f aca="false">Data!F560</f>
        <v>30983542</v>
      </c>
      <c r="AH565" s="17" t="n">
        <f aca="false">Data!C560</f>
        <v>130.94</v>
      </c>
      <c r="AI565" s="17" t="n">
        <f aca="false">Data!D560</f>
        <v>129.9</v>
      </c>
      <c r="AJ565" s="17" t="n">
        <f aca="false">Data!E560</f>
        <v>130.12</v>
      </c>
      <c r="AK565" s="17" t="n">
        <f aca="false">Data!F560</f>
        <v>30983542</v>
      </c>
      <c r="AL565" s="17" t="n">
        <f aca="false">AJ565</f>
        <v>130.12</v>
      </c>
      <c r="AM565" s="17" t="n">
        <f aca="false">(AL565-AL564)/AL565*100</f>
        <v>0.584076237319391</v>
      </c>
      <c r="AN565" s="17" t="n">
        <f aca="false">(AK565-AK564)/AK565*100</f>
        <v>-24.0985230158644</v>
      </c>
      <c r="AO565" s="17" t="str">
        <f aca="false">IF(AN565&lt;-8,"FITS BITCH",IF(AN565&gt;-8,"no"))</f>
        <v>FITS BITCH</v>
      </c>
      <c r="AP565" s="17" t="str">
        <f aca="false">IF(AH566&lt;AH565,"FITS BITCH",IF(AH566&gt;AH565,"no"))</f>
        <v>FITS BITCH</v>
      </c>
      <c r="AQ565" s="17" t="str">
        <f aca="false">IF(AI566&lt;AI565,"FITS BITCH",IF(AI566&gt;AI565,"no"))</f>
        <v>FITS BITCH</v>
      </c>
      <c r="AR565" s="17" t="str">
        <f aca="false">IF(AJ565&lt;AH566,"FITS BITCH",IF(AJ565&gt;AH566,"no"))</f>
        <v>FITS BITCH</v>
      </c>
      <c r="AS565" s="17" t="str">
        <f aca="false">IF(AJ565&gt;AJ566,"FITS BITCH",IF(AJ565&lt;AJ566,"no"))</f>
        <v>FITS BITCH</v>
      </c>
      <c r="AT565" s="91" t="str">
        <f aca="false">IF(AND($AO565="FITS BITCH",$AP565="FITS BITCH",$AR565="FITS BITCH"),"BULLISH","")</f>
        <v>BULLISH</v>
      </c>
      <c r="AU565" s="91" t="str">
        <f aca="false">IF(AND($AO565="FITS BITCH",$AQ565="FITS BITCH",$AS565="FITS BITCH"),"BEARISH","")</f>
        <v>BEARISH</v>
      </c>
      <c r="AV565" s="86"/>
      <c r="AW565" s="86"/>
      <c r="AX565" s="86"/>
    </row>
    <row r="566" customFormat="false" ht="15.75" hidden="false" customHeight="false" outlineLevel="0" collapsed="false">
      <c r="AE566" s="90" t="n">
        <f aca="false">Data!A561</f>
        <v>42157</v>
      </c>
      <c r="AF566" s="17" t="n">
        <f aca="false">Data!B561</f>
        <v>129.86</v>
      </c>
      <c r="AG566" s="17" t="n">
        <f aca="false">Data!F561</f>
        <v>33667627</v>
      </c>
      <c r="AH566" s="17" t="n">
        <f aca="false">Data!C561</f>
        <v>130.66</v>
      </c>
      <c r="AI566" s="17" t="n">
        <f aca="false">Data!D561</f>
        <v>129.32</v>
      </c>
      <c r="AJ566" s="17" t="n">
        <f aca="false">Data!E561</f>
        <v>129.96</v>
      </c>
      <c r="AK566" s="17" t="n">
        <f aca="false">Data!F561</f>
        <v>33667627</v>
      </c>
      <c r="AL566" s="17" t="n">
        <f aca="false">AJ566</f>
        <v>129.96</v>
      </c>
      <c r="AM566" s="17" t="n">
        <f aca="false">(AL566-AL565)/AL566*100</f>
        <v>-0.123114804555245</v>
      </c>
      <c r="AN566" s="17" t="n">
        <f aca="false">(AK566-AK565)/AK566*100</f>
        <v>7.97230229502067</v>
      </c>
      <c r="AO566" s="17" t="str">
        <f aca="false">IF(AN566&lt;-8,"FITS BITCH",IF(AN566&gt;-8,"no"))</f>
        <v>no</v>
      </c>
      <c r="AP566" s="17" t="str">
        <f aca="false">IF(AH567&lt;AH566,"FITS BITCH",IF(AH567&gt;AH566,"no"))</f>
        <v>no</v>
      </c>
      <c r="AQ566" s="17" t="str">
        <f aca="false">IF(AI567&lt;AI566,"FITS BITCH",IF(AI567&gt;AI566,"no"))</f>
        <v>no</v>
      </c>
      <c r="AR566" s="17" t="str">
        <f aca="false">IF(AJ566&lt;AH567,"FITS BITCH",IF(AJ566&gt;AH567,"no"))</f>
        <v>FITS BITCH</v>
      </c>
      <c r="AS566" s="17" t="str">
        <f aca="false">IF(AJ566&gt;AJ567,"FITS BITCH",IF(AJ566&lt;AJ567,"no"))</f>
        <v>no</v>
      </c>
      <c r="AT566" s="91" t="str">
        <f aca="false">IF(AND($AO566="FITS BITCH",$AP566="FITS BITCH",$AR566="FITS BITCH"),"BULLISH","")</f>
        <v/>
      </c>
      <c r="AU566" s="91" t="str">
        <f aca="false">IF(AND($AO566="FITS BITCH",$AQ566="FITS BITCH",$AS566="FITS BITCH"),"BEARISH","")</f>
        <v/>
      </c>
      <c r="AV566" s="86"/>
      <c r="AW566" s="86"/>
      <c r="AX566" s="86"/>
    </row>
    <row r="567" customFormat="false" ht="15.75" hidden="false" customHeight="false" outlineLevel="0" collapsed="false">
      <c r="AE567" s="90" t="n">
        <f aca="false">Data!A562</f>
        <v>42156</v>
      </c>
      <c r="AF567" s="17" t="n">
        <f aca="false">Data!B562</f>
        <v>130.28</v>
      </c>
      <c r="AG567" s="17" t="n">
        <f aca="false">Data!F562</f>
        <v>32112797</v>
      </c>
      <c r="AH567" s="17" t="n">
        <f aca="false">Data!C562</f>
        <v>131.39</v>
      </c>
      <c r="AI567" s="17" t="n">
        <f aca="false">Data!D562</f>
        <v>130.05</v>
      </c>
      <c r="AJ567" s="17" t="n">
        <f aca="false">Data!E562</f>
        <v>130.54</v>
      </c>
      <c r="AK567" s="17" t="n">
        <f aca="false">Data!F562</f>
        <v>32112797</v>
      </c>
      <c r="AL567" s="17" t="n">
        <f aca="false">AJ567</f>
        <v>130.54</v>
      </c>
      <c r="AM567" s="17" t="n">
        <f aca="false">(AL567-AL566)/AL567*100</f>
        <v>0.444308258005197</v>
      </c>
      <c r="AN567" s="17" t="n">
        <f aca="false">(AK567-AK566)/AK567*100</f>
        <v>-4.84177694020238</v>
      </c>
      <c r="AO567" s="17" t="str">
        <f aca="false">IF(AN567&lt;-8,"FITS BITCH",IF(AN567&gt;-8,"no"))</f>
        <v>no</v>
      </c>
      <c r="AP567" s="17" t="str">
        <f aca="false">IF(AH568&lt;AH567,"FITS BITCH",IF(AH568&gt;AH567,"no"))</f>
        <v>no</v>
      </c>
      <c r="AQ567" s="17" t="str">
        <f aca="false">IF(AI568&lt;AI567,"FITS BITCH",IF(AI568&gt;AI567,"no"))</f>
        <v>FITS BITCH</v>
      </c>
      <c r="AR567" s="17" t="str">
        <f aca="false">IF(AJ567&lt;AH568,"FITS BITCH",IF(AJ567&gt;AH568,"no"))</f>
        <v>FITS BITCH</v>
      </c>
      <c r="AS567" s="17" t="str">
        <f aca="false">IF(AJ567&gt;AJ568,"FITS BITCH",IF(AJ567&lt;AJ568,"no"))</f>
        <v>FITS BITCH</v>
      </c>
      <c r="AT567" s="91" t="str">
        <f aca="false">IF(AND($AO567="FITS BITCH",$AP567="FITS BITCH",$AR567="FITS BITCH"),"BULLISH","")</f>
        <v/>
      </c>
      <c r="AU567" s="91" t="str">
        <f aca="false">IF(AND($AO567="FITS BITCH",$AQ567="FITS BITCH",$AS567="FITS BITCH"),"BEARISH","")</f>
        <v/>
      </c>
      <c r="AV567" s="86"/>
      <c r="AW567" s="86"/>
      <c r="AX567" s="86"/>
    </row>
    <row r="568" customFormat="false" ht="15.75" hidden="false" customHeight="false" outlineLevel="0" collapsed="false">
      <c r="AE568" s="90" t="n">
        <f aca="false">Data!A563</f>
        <v>42153</v>
      </c>
      <c r="AF568" s="17" t="n">
        <f aca="false">Data!B563</f>
        <v>131.23</v>
      </c>
      <c r="AG568" s="17" t="n">
        <f aca="false">Data!F563</f>
        <v>50884452</v>
      </c>
      <c r="AH568" s="17" t="n">
        <f aca="false">Data!C563</f>
        <v>131.45</v>
      </c>
      <c r="AI568" s="17" t="n">
        <f aca="false">Data!D563</f>
        <v>129.9</v>
      </c>
      <c r="AJ568" s="17" t="n">
        <f aca="false">Data!E563</f>
        <v>130.28</v>
      </c>
      <c r="AK568" s="17" t="n">
        <f aca="false">Data!F563</f>
        <v>50884452</v>
      </c>
      <c r="AL568" s="17" t="n">
        <f aca="false">AJ568</f>
        <v>130.28</v>
      </c>
      <c r="AM568" s="17" t="n">
        <f aca="false">(AL568-AL567)/AL568*100</f>
        <v>-0.199570156585808</v>
      </c>
      <c r="AN568" s="17" t="n">
        <f aca="false">(AK568-AK567)/AK568*100</f>
        <v>36.8907480815554</v>
      </c>
      <c r="AO568" s="17" t="str">
        <f aca="false">IF(AN568&lt;-8,"FITS BITCH",IF(AN568&gt;-8,"no"))</f>
        <v>no</v>
      </c>
      <c r="AP568" s="17" t="str">
        <f aca="false">IF(AH569&lt;AH568,"FITS BITCH",IF(AH569&gt;AH568,"no"))</f>
        <v>no</v>
      </c>
      <c r="AQ568" s="17" t="str">
        <f aca="false">IF(AI569&lt;AI568,"FITS BITCH",IF(AI569&gt;AI568,"no"))</f>
        <v>no</v>
      </c>
      <c r="AR568" s="17" t="str">
        <f aca="false">IF(AJ568&lt;AH569,"FITS BITCH",IF(AJ568&gt;AH569,"no"))</f>
        <v>FITS BITCH</v>
      </c>
      <c r="AS568" s="17" t="str">
        <f aca="false">IF(AJ568&gt;AJ569,"FITS BITCH",IF(AJ568&lt;AJ569,"no"))</f>
        <v>no</v>
      </c>
      <c r="AT568" s="91" t="str">
        <f aca="false">IF(AND($AO568="FITS BITCH",$AP568="FITS BITCH",$AR568="FITS BITCH"),"BULLISH","")</f>
        <v/>
      </c>
      <c r="AU568" s="91" t="str">
        <f aca="false">IF(AND($AO568="FITS BITCH",$AQ568="FITS BITCH",$AS568="FITS BITCH"),"BEARISH","")</f>
        <v/>
      </c>
      <c r="AV568" s="86"/>
      <c r="AW568" s="86"/>
      <c r="AX568" s="86"/>
    </row>
    <row r="569" customFormat="false" ht="15.75" hidden="false" customHeight="false" outlineLevel="0" collapsed="false">
      <c r="AE569" s="90" t="n">
        <f aca="false">Data!A564</f>
        <v>42152</v>
      </c>
      <c r="AF569" s="17" t="n">
        <f aca="false">Data!B564</f>
        <v>131.86</v>
      </c>
      <c r="AG569" s="17" t="n">
        <f aca="false">Data!F564</f>
        <v>30733309</v>
      </c>
      <c r="AH569" s="17" t="n">
        <f aca="false">Data!C564</f>
        <v>131.95</v>
      </c>
      <c r="AI569" s="17" t="n">
        <f aca="false">Data!D564</f>
        <v>131.1</v>
      </c>
      <c r="AJ569" s="17" t="n">
        <f aca="false">Data!E564</f>
        <v>131.78</v>
      </c>
      <c r="AK569" s="17" t="n">
        <f aca="false">Data!F564</f>
        <v>30733309</v>
      </c>
      <c r="AL569" s="17" t="n">
        <f aca="false">AJ569</f>
        <v>131.78</v>
      </c>
      <c r="AM569" s="17" t="n">
        <f aca="false">(AL569-AL568)/AL569*100</f>
        <v>1.13826073759296</v>
      </c>
      <c r="AN569" s="17" t="n">
        <f aca="false">(AK569-AK568)/AK569*100</f>
        <v>-65.5677623258856</v>
      </c>
      <c r="AO569" s="17" t="str">
        <f aca="false">IF(AN569&lt;-8,"FITS BITCH",IF(AN569&gt;-8,"no"))</f>
        <v>FITS BITCH</v>
      </c>
      <c r="AP569" s="17" t="str">
        <f aca="false">IF(AH570&lt;AH569,"FITS BITCH",IF(AH570&gt;AH569,"no"))</f>
        <v>no</v>
      </c>
      <c r="AQ569" s="17" t="str">
        <f aca="false">IF(AI570&lt;AI569,"FITS BITCH",IF(AI570&gt;AI569,"no"))</f>
        <v>FITS BITCH</v>
      </c>
      <c r="AR569" s="17" t="str">
        <f aca="false">IF(AJ569&lt;AH570,"FITS BITCH",IF(AJ569&gt;AH570,"no"))</f>
        <v>FITS BITCH</v>
      </c>
      <c r="AS569" s="17" t="str">
        <f aca="false">IF(AJ569&gt;AJ570,"FITS BITCH",IF(AJ569&lt;AJ570,"no"))</f>
        <v>no</v>
      </c>
      <c r="AT569" s="91" t="str">
        <f aca="false">IF(AND($AO569="FITS BITCH",$AP569="FITS BITCH",$AR569="FITS BITCH"),"BULLISH","")</f>
        <v/>
      </c>
      <c r="AU569" s="91" t="str">
        <f aca="false">IF(AND($AO569="FITS BITCH",$AQ569="FITS BITCH",$AS569="FITS BITCH"),"BEARISH","")</f>
        <v/>
      </c>
      <c r="AV569" s="86"/>
      <c r="AW569" s="86"/>
      <c r="AX569" s="86"/>
    </row>
    <row r="570" customFormat="false" ht="15.75" hidden="false" customHeight="false" outlineLevel="0" collapsed="false">
      <c r="AE570" s="90" t="n">
        <f aca="false">Data!A565</f>
        <v>42151</v>
      </c>
      <c r="AF570" s="17" t="n">
        <f aca="false">Data!B565</f>
        <v>130.34</v>
      </c>
      <c r="AG570" s="17" t="n">
        <f aca="false">Data!F565</f>
        <v>45833246</v>
      </c>
      <c r="AH570" s="17" t="n">
        <f aca="false">Data!C565</f>
        <v>132.26</v>
      </c>
      <c r="AI570" s="17" t="n">
        <f aca="false">Data!D565</f>
        <v>130.05</v>
      </c>
      <c r="AJ570" s="17" t="n">
        <f aca="false">Data!E565</f>
        <v>132.04</v>
      </c>
      <c r="AK570" s="17" t="n">
        <f aca="false">Data!F565</f>
        <v>45833246</v>
      </c>
      <c r="AL570" s="17" t="n">
        <f aca="false">AJ570</f>
        <v>132.04</v>
      </c>
      <c r="AM570" s="17" t="n">
        <f aca="false">(AL570-AL569)/AL570*100</f>
        <v>0.196910027264458</v>
      </c>
      <c r="AN570" s="17" t="n">
        <f aca="false">(AK570-AK569)/AK570*100</f>
        <v>32.9453798668329</v>
      </c>
      <c r="AO570" s="17" t="str">
        <f aca="false">IF(AN570&lt;-8,"FITS BITCH",IF(AN570&gt;-8,"no"))</f>
        <v>no</v>
      </c>
      <c r="AP570" s="17" t="str">
        <f aca="false">IF(AH571&lt;AH570,"FITS BITCH",IF(AH571&gt;AH570,"no"))</f>
        <v>no</v>
      </c>
      <c r="AQ570" s="17" t="str">
        <f aca="false">IF(AI571&lt;AI570,"FITS BITCH",IF(AI571&gt;AI570,"no"))</f>
        <v>FITS BITCH</v>
      </c>
      <c r="AR570" s="17" t="str">
        <f aca="false">IF(AJ570&lt;AH571,"FITS BITCH",IF(AJ570&gt;AH571,"no"))</f>
        <v>FITS BITCH</v>
      </c>
      <c r="AS570" s="17" t="str">
        <f aca="false">IF(AJ570&gt;AJ571,"FITS BITCH",IF(AJ570&lt;AJ571,"no"))</f>
        <v>FITS BITCH</v>
      </c>
      <c r="AT570" s="91" t="str">
        <f aca="false">IF(AND($AO570="FITS BITCH",$AP570="FITS BITCH",$AR570="FITS BITCH"),"BULLISH","")</f>
        <v/>
      </c>
      <c r="AU570" s="91" t="str">
        <f aca="false">IF(AND($AO570="FITS BITCH",$AQ570="FITS BITCH",$AS570="FITS BITCH"),"BEARISH","")</f>
        <v/>
      </c>
      <c r="AV570" s="86"/>
      <c r="AW570" s="86"/>
      <c r="AX570" s="86"/>
    </row>
    <row r="571" customFormat="false" ht="15.75" hidden="false" customHeight="false" outlineLevel="0" collapsed="false">
      <c r="AE571" s="90" t="n">
        <f aca="false">Data!A566</f>
        <v>42150</v>
      </c>
      <c r="AF571" s="17" t="n">
        <f aca="false">Data!B566</f>
        <v>132.6</v>
      </c>
      <c r="AG571" s="17" t="n">
        <f aca="false">Data!F566</f>
        <v>70697560</v>
      </c>
      <c r="AH571" s="17" t="n">
        <f aca="false">Data!C566</f>
        <v>132.91</v>
      </c>
      <c r="AI571" s="17" t="n">
        <f aca="false">Data!D566</f>
        <v>129.12</v>
      </c>
      <c r="AJ571" s="17" t="n">
        <f aca="false">Data!E566</f>
        <v>129.62</v>
      </c>
      <c r="AK571" s="17" t="n">
        <f aca="false">Data!F566</f>
        <v>70697560</v>
      </c>
      <c r="AL571" s="17" t="n">
        <f aca="false">AJ571</f>
        <v>129.62</v>
      </c>
      <c r="AM571" s="17" t="n">
        <f aca="false">(AL571-AL570)/AL571*100</f>
        <v>-1.86699583397623</v>
      </c>
      <c r="AN571" s="17" t="n">
        <f aca="false">(AK571-AK570)/AK571*100</f>
        <v>35.1699747487749</v>
      </c>
      <c r="AO571" s="17" t="str">
        <f aca="false">IF(AN571&lt;-8,"FITS BITCH",IF(AN571&gt;-8,"no"))</f>
        <v>no</v>
      </c>
      <c r="AP571" s="17" t="str">
        <f aca="false">IF(AH572&lt;AH571,"FITS BITCH",IF(AH572&gt;AH571,"no"))</f>
        <v>no</v>
      </c>
      <c r="AQ571" s="17" t="str">
        <f aca="false">IF(AI572&lt;AI571,"FITS BITCH",IF(AI572&gt;AI571,"no"))</f>
        <v>no</v>
      </c>
      <c r="AR571" s="17" t="str">
        <f aca="false">IF(AJ571&lt;AH572,"FITS BITCH",IF(AJ571&gt;AH572,"no"))</f>
        <v>FITS BITCH</v>
      </c>
      <c r="AS571" s="17" t="str">
        <f aca="false">IF(AJ571&gt;AJ572,"FITS BITCH",IF(AJ571&lt;AJ572,"no"))</f>
        <v>no</v>
      </c>
      <c r="AT571" s="91" t="str">
        <f aca="false">IF(AND($AO571="FITS BITCH",$AP571="FITS BITCH",$AR571="FITS BITCH"),"BULLISH","")</f>
        <v/>
      </c>
      <c r="AU571" s="91" t="str">
        <f aca="false">IF(AND($AO571="FITS BITCH",$AQ571="FITS BITCH",$AS571="FITS BITCH"),"BEARISH","")</f>
        <v/>
      </c>
      <c r="AV571" s="86"/>
      <c r="AW571" s="86"/>
      <c r="AX571" s="86"/>
    </row>
    <row r="572" customFormat="false" ht="15.75" hidden="false" customHeight="false" outlineLevel="0" collapsed="false">
      <c r="AE572" s="90" t="n">
        <f aca="false">Data!A567</f>
        <v>42146</v>
      </c>
      <c r="AF572" s="17" t="n">
        <f aca="false">Data!B567</f>
        <v>131.6</v>
      </c>
      <c r="AG572" s="17" t="n">
        <f aca="false">Data!F567</f>
        <v>45595972</v>
      </c>
      <c r="AH572" s="17" t="n">
        <f aca="false">Data!C567</f>
        <v>132.97</v>
      </c>
      <c r="AI572" s="17" t="n">
        <f aca="false">Data!D567</f>
        <v>131.4</v>
      </c>
      <c r="AJ572" s="17" t="n">
        <f aca="false">Data!E567</f>
        <v>132.54</v>
      </c>
      <c r="AK572" s="17" t="n">
        <f aca="false">Data!F567</f>
        <v>45595972</v>
      </c>
      <c r="AL572" s="17" t="n">
        <f aca="false">AJ572</f>
        <v>132.54</v>
      </c>
      <c r="AM572" s="17" t="n">
        <f aca="false">(AL572-AL571)/AL572*100</f>
        <v>2.2031084955485</v>
      </c>
      <c r="AN572" s="17" t="n">
        <f aca="false">(AK572-AK571)/AK572*100</f>
        <v>-55.0522050500426</v>
      </c>
      <c r="AO572" s="17" t="str">
        <f aca="false">IF(AN572&lt;-8,"FITS BITCH",IF(AN572&gt;-8,"no"))</f>
        <v>FITS BITCH</v>
      </c>
      <c r="AP572" s="17" t="str">
        <f aca="false">IF(AH573&lt;AH572,"FITS BITCH",IF(AH573&gt;AH572,"no"))</f>
        <v>FITS BITCH</v>
      </c>
      <c r="AQ572" s="17" t="str">
        <f aca="false">IF(AI573&lt;AI572,"FITS BITCH",IF(AI573&gt;AI572,"no"))</f>
        <v>FITS BITCH</v>
      </c>
      <c r="AR572" s="17" t="str">
        <f aca="false">IF(AJ572&lt;AH573,"FITS BITCH",IF(AJ572&gt;AH573,"no"))</f>
        <v>no</v>
      </c>
      <c r="AS572" s="17" t="str">
        <f aca="false">IF(AJ572&gt;AJ573,"FITS BITCH",IF(AJ572&lt;AJ573,"no"))</f>
        <v>FITS BITCH</v>
      </c>
      <c r="AT572" s="91" t="str">
        <f aca="false">IF(AND($AO572="FITS BITCH",$AP572="FITS BITCH",$AR572="FITS BITCH"),"BULLISH","")</f>
        <v/>
      </c>
      <c r="AU572" s="91" t="str">
        <f aca="false">IF(AND($AO572="FITS BITCH",$AQ572="FITS BITCH",$AS572="FITS BITCH"),"BEARISH","")</f>
        <v>BEARISH</v>
      </c>
      <c r="AV572" s="86"/>
      <c r="AW572" s="86"/>
      <c r="AX572" s="86"/>
    </row>
    <row r="573" customFormat="false" ht="15.75" hidden="false" customHeight="false" outlineLevel="0" collapsed="false">
      <c r="AE573" s="90" t="n">
        <f aca="false">Data!A568</f>
        <v>42145</v>
      </c>
      <c r="AF573" s="17" t="n">
        <f aca="false">Data!B568</f>
        <v>130.07</v>
      </c>
      <c r="AG573" s="17" t="n">
        <f aca="false">Data!F568</f>
        <v>39730364</v>
      </c>
      <c r="AH573" s="17" t="n">
        <f aca="false">Data!C568</f>
        <v>131.63</v>
      </c>
      <c r="AI573" s="17" t="n">
        <f aca="false">Data!D568</f>
        <v>129.83</v>
      </c>
      <c r="AJ573" s="17" t="n">
        <f aca="false">Data!E568</f>
        <v>131.39</v>
      </c>
      <c r="AK573" s="17" t="n">
        <f aca="false">Data!F568</f>
        <v>39730364</v>
      </c>
      <c r="AL573" s="17" t="n">
        <f aca="false">AJ573</f>
        <v>131.39</v>
      </c>
      <c r="AM573" s="17" t="n">
        <f aca="false">(AL573-AL572)/AL573*100</f>
        <v>-0.875256868863693</v>
      </c>
      <c r="AN573" s="17" t="n">
        <f aca="false">(AK573-AK572)/AK573*100</f>
        <v>-14.7635395437102</v>
      </c>
      <c r="AO573" s="17" t="str">
        <f aca="false">IF(AN573&lt;-8,"FITS BITCH",IF(AN573&gt;-8,"no"))</f>
        <v>FITS BITCH</v>
      </c>
      <c r="AP573" s="17" t="str">
        <f aca="false">IF(AH574&lt;AH573,"FITS BITCH",IF(AH574&gt;AH573,"no"))</f>
        <v>FITS BITCH</v>
      </c>
      <c r="AQ573" s="17" t="str">
        <f aca="false">IF(AI574&lt;AI573,"FITS BITCH",IF(AI574&gt;AI573,"no"))</f>
        <v>FITS BITCH</v>
      </c>
      <c r="AR573" s="17" t="str">
        <f aca="false">IF(AJ573&lt;AH574,"FITS BITCH",IF(AJ573&gt;AH574,"no"))</f>
        <v>no</v>
      </c>
      <c r="AS573" s="17" t="str">
        <f aca="false">IF(AJ573&gt;AJ574,"FITS BITCH",IF(AJ573&lt;AJ574,"no"))</f>
        <v>FITS BITCH</v>
      </c>
      <c r="AT573" s="91" t="str">
        <f aca="false">IF(AND($AO573="FITS BITCH",$AP573="FITS BITCH",$AR573="FITS BITCH"),"BULLISH","")</f>
        <v/>
      </c>
      <c r="AU573" s="91" t="str">
        <f aca="false">IF(AND($AO573="FITS BITCH",$AQ573="FITS BITCH",$AS573="FITS BITCH"),"BEARISH","")</f>
        <v>BEARISH</v>
      </c>
      <c r="AV573" s="86"/>
      <c r="AW573" s="86"/>
      <c r="AX573" s="86"/>
    </row>
    <row r="574" customFormat="false" ht="15.75" hidden="false" customHeight="false" outlineLevel="0" collapsed="false">
      <c r="AE574" s="90" t="n">
        <f aca="false">Data!A569</f>
        <v>42144</v>
      </c>
      <c r="AF574" s="17" t="n">
        <f aca="false">Data!B569</f>
        <v>130</v>
      </c>
      <c r="AG574" s="17" t="n">
        <f aca="false">Data!F569</f>
        <v>36454932</v>
      </c>
      <c r="AH574" s="17" t="n">
        <f aca="false">Data!C569</f>
        <v>130.98</v>
      </c>
      <c r="AI574" s="17" t="n">
        <f aca="false">Data!D569</f>
        <v>129.34</v>
      </c>
      <c r="AJ574" s="17" t="n">
        <f aca="false">Data!E569</f>
        <v>130.06</v>
      </c>
      <c r="AK574" s="17" t="n">
        <f aca="false">Data!F569</f>
        <v>36454932</v>
      </c>
      <c r="AL574" s="17" t="n">
        <f aca="false">AJ574</f>
        <v>130.06</v>
      </c>
      <c r="AM574" s="17" t="n">
        <f aca="false">(AL574-AL573)/AL574*100</f>
        <v>-1.02260495156081</v>
      </c>
      <c r="AN574" s="17" t="n">
        <f aca="false">(AK574-AK573)/AK574*100</f>
        <v>-8.98488028999752</v>
      </c>
      <c r="AO574" s="17" t="str">
        <f aca="false">IF(AN574&lt;-8,"FITS BITCH",IF(AN574&gt;-8,"no"))</f>
        <v>FITS BITCH</v>
      </c>
      <c r="AP574" s="17" t="str">
        <f aca="false">IF(AH575&lt;AH574,"FITS BITCH",IF(AH575&gt;AH574,"no"))</f>
        <v>FITS BITCH</v>
      </c>
      <c r="AQ574" s="17" t="str">
        <f aca="false">IF(AI575&lt;AI574,"FITS BITCH",IF(AI575&gt;AI574,"no"))</f>
        <v>no</v>
      </c>
      <c r="AR574" s="17" t="str">
        <f aca="false">IF(AJ574&lt;AH575,"FITS BITCH",IF(AJ574&gt;AH575,"no"))</f>
        <v>FITS BITCH</v>
      </c>
      <c r="AS574" s="17" t="str">
        <f aca="false">IF(AJ574&gt;AJ575,"FITS BITCH",IF(AJ574&lt;AJ575,"no"))</f>
        <v>no</v>
      </c>
      <c r="AT574" s="91" t="str">
        <f aca="false">IF(AND($AO574="FITS BITCH",$AP574="FITS BITCH",$AR574="FITS BITCH"),"BULLISH","")</f>
        <v>BULLISH</v>
      </c>
      <c r="AU574" s="91" t="str">
        <f aca="false">IF(AND($AO574="FITS BITCH",$AQ574="FITS BITCH",$AS574="FITS BITCH"),"BEARISH","")</f>
        <v/>
      </c>
      <c r="AV574" s="86"/>
      <c r="AW574" s="86"/>
      <c r="AX574" s="86"/>
    </row>
    <row r="575" customFormat="false" ht="15.75" hidden="false" customHeight="false" outlineLevel="0" collapsed="false">
      <c r="AE575" s="90" t="n">
        <f aca="false">Data!A570</f>
        <v>42143</v>
      </c>
      <c r="AF575" s="17" t="n">
        <f aca="false">Data!B570</f>
        <v>130.69</v>
      </c>
      <c r="AG575" s="17" t="n">
        <f aca="false">Data!F570</f>
        <v>44633240</v>
      </c>
      <c r="AH575" s="17" t="n">
        <f aca="false">Data!C570</f>
        <v>130.88</v>
      </c>
      <c r="AI575" s="17" t="n">
        <f aca="false">Data!D570</f>
        <v>129.64</v>
      </c>
      <c r="AJ575" s="17" t="n">
        <f aca="false">Data!E570</f>
        <v>130.07</v>
      </c>
      <c r="AK575" s="17" t="n">
        <f aca="false">Data!F570</f>
        <v>44633240</v>
      </c>
      <c r="AL575" s="17" t="n">
        <f aca="false">AJ575</f>
        <v>130.07</v>
      </c>
      <c r="AM575" s="17" t="n">
        <f aca="false">(AL575-AL574)/AL575*100</f>
        <v>0.00768816790958015</v>
      </c>
      <c r="AN575" s="17" t="n">
        <f aca="false">(AK575-AK574)/AK575*100</f>
        <v>18.3233572109038</v>
      </c>
      <c r="AO575" s="17" t="str">
        <f aca="false">IF(AN575&lt;-8,"FITS BITCH",IF(AN575&gt;-8,"no"))</f>
        <v>no</v>
      </c>
      <c r="AP575" s="17" t="str">
        <f aca="false">IF(AH576&lt;AH575,"FITS BITCH",IF(AH576&gt;AH575,"no"))</f>
        <v>FITS BITCH</v>
      </c>
      <c r="AQ575" s="17" t="str">
        <f aca="false">IF(AI576&lt;AI575,"FITS BITCH",IF(AI576&gt;AI575,"no"))</f>
        <v>FITS BITCH</v>
      </c>
      <c r="AR575" s="17" t="str">
        <f aca="false">IF(AJ575&lt;AH576,"FITS BITCH",IF(AJ575&gt;AH576,"no"))</f>
        <v>FITS BITCH</v>
      </c>
      <c r="AS575" s="17" t="str">
        <f aca="false">IF(AJ575&gt;AJ576,"FITS BITCH",IF(AJ575&lt;AJ576,"no"))</f>
        <v>no</v>
      </c>
      <c r="AT575" s="91" t="str">
        <f aca="false">IF(AND($AO575="FITS BITCH",$AP575="FITS BITCH",$AR575="FITS BITCH"),"BULLISH","")</f>
        <v/>
      </c>
      <c r="AU575" s="91" t="str">
        <f aca="false">IF(AND($AO575="FITS BITCH",$AQ575="FITS BITCH",$AS575="FITS BITCH"),"BEARISH","")</f>
        <v/>
      </c>
      <c r="AV575" s="86"/>
      <c r="AW575" s="86"/>
      <c r="AX575" s="86"/>
    </row>
    <row r="576" customFormat="false" ht="15.75" hidden="false" customHeight="false" outlineLevel="0" collapsed="false">
      <c r="AE576" s="90" t="n">
        <f aca="false">Data!A571</f>
        <v>42142</v>
      </c>
      <c r="AF576" s="17" t="n">
        <f aca="false">Data!B571</f>
        <v>128.38</v>
      </c>
      <c r="AG576" s="17" t="n">
        <f aca="false">Data!F571</f>
        <v>50882918</v>
      </c>
      <c r="AH576" s="17" t="n">
        <f aca="false">Data!C571</f>
        <v>130.72</v>
      </c>
      <c r="AI576" s="17" t="n">
        <f aca="false">Data!D571</f>
        <v>128.36</v>
      </c>
      <c r="AJ576" s="17" t="n">
        <f aca="false">Data!E571</f>
        <v>130.19</v>
      </c>
      <c r="AK576" s="17" t="n">
        <f aca="false">Data!F571</f>
        <v>50882918</v>
      </c>
      <c r="AL576" s="17" t="n">
        <f aca="false">AJ576</f>
        <v>130.19</v>
      </c>
      <c r="AM576" s="17" t="n">
        <f aca="false">(AL576-AL575)/AL576*100</f>
        <v>0.0921729779552996</v>
      </c>
      <c r="AN576" s="17" t="n">
        <f aca="false">(AK576-AK575)/AK576*100</f>
        <v>12.2824677625603</v>
      </c>
      <c r="AO576" s="17" t="str">
        <f aca="false">IF(AN576&lt;-8,"FITS BITCH",IF(AN576&gt;-8,"no"))</f>
        <v>no</v>
      </c>
      <c r="AP576" s="17" t="str">
        <f aca="false">IF(AH577&lt;AH576,"FITS BITCH",IF(AH577&gt;AH576,"no"))</f>
        <v>FITS BITCH</v>
      </c>
      <c r="AQ576" s="17" t="str">
        <f aca="false">IF(AI577&lt;AI576,"FITS BITCH",IF(AI577&gt;AI576,"no"))</f>
        <v>FITS BITCH</v>
      </c>
      <c r="AR576" s="17" t="str">
        <f aca="false">IF(AJ576&lt;AH577,"FITS BITCH",IF(AJ576&gt;AH577,"no"))</f>
        <v>no</v>
      </c>
      <c r="AS576" s="17" t="str">
        <f aca="false">IF(AJ576&gt;AJ577,"FITS BITCH",IF(AJ576&lt;AJ577,"no"))</f>
        <v>FITS BITCH</v>
      </c>
      <c r="AT576" s="91" t="str">
        <f aca="false">IF(AND($AO576="FITS BITCH",$AP576="FITS BITCH",$AR576="FITS BITCH"),"BULLISH","")</f>
        <v/>
      </c>
      <c r="AU576" s="91" t="str">
        <f aca="false">IF(AND($AO576="FITS BITCH",$AQ576="FITS BITCH",$AS576="FITS BITCH"),"BEARISH","")</f>
        <v/>
      </c>
      <c r="AV576" s="86"/>
      <c r="AW576" s="86"/>
      <c r="AX576" s="86"/>
    </row>
    <row r="577" customFormat="false" ht="15.75" hidden="false" customHeight="false" outlineLevel="0" collapsed="false">
      <c r="AE577" s="90" t="n">
        <f aca="false">Data!A572</f>
        <v>42139</v>
      </c>
      <c r="AF577" s="17" t="n">
        <f aca="false">Data!B572</f>
        <v>129.07</v>
      </c>
      <c r="AG577" s="17" t="n">
        <f aca="false">Data!F572</f>
        <v>38208034</v>
      </c>
      <c r="AH577" s="17" t="n">
        <f aca="false">Data!C572</f>
        <v>129.49</v>
      </c>
      <c r="AI577" s="17" t="n">
        <f aca="false">Data!D572</f>
        <v>128.21</v>
      </c>
      <c r="AJ577" s="17" t="n">
        <f aca="false">Data!E572</f>
        <v>128.77</v>
      </c>
      <c r="AK577" s="17" t="n">
        <f aca="false">Data!F572</f>
        <v>38208034</v>
      </c>
      <c r="AL577" s="17" t="n">
        <f aca="false">AJ577</f>
        <v>128.77</v>
      </c>
      <c r="AM577" s="17" t="n">
        <f aca="false">(AL577-AL576)/AL577*100</f>
        <v>-1.10274132173642</v>
      </c>
      <c r="AN577" s="17" t="n">
        <f aca="false">(AK577-AK576)/AK577*100</f>
        <v>-33.1733477833484</v>
      </c>
      <c r="AO577" s="17" t="str">
        <f aca="false">IF(AN577&lt;-8,"FITS BITCH",IF(AN577&gt;-8,"no"))</f>
        <v>FITS BITCH</v>
      </c>
      <c r="AP577" s="17" t="str">
        <f aca="false">IF(AH578&lt;AH577,"FITS BITCH",IF(AH578&gt;AH577,"no"))</f>
        <v>FITS BITCH</v>
      </c>
      <c r="AQ577" s="17" t="str">
        <f aca="false">IF(AI578&lt;AI577,"FITS BITCH",IF(AI578&gt;AI577,"no"))</f>
        <v>FITS BITCH</v>
      </c>
      <c r="AR577" s="17" t="str">
        <f aca="false">IF(AJ577&lt;AH578,"FITS BITCH",IF(AJ577&gt;AH578,"no"))</f>
        <v>FITS BITCH</v>
      </c>
      <c r="AS577" s="17" t="str">
        <f aca="false">IF(AJ577&gt;AJ578,"FITS BITCH",IF(AJ577&lt;AJ578,"no"))</f>
        <v>no</v>
      </c>
      <c r="AT577" s="91" t="str">
        <f aca="false">IF(AND($AO577="FITS BITCH",$AP577="FITS BITCH",$AR577="FITS BITCH"),"BULLISH","")</f>
        <v>BULLISH</v>
      </c>
      <c r="AU577" s="91" t="str">
        <f aca="false">IF(AND($AO577="FITS BITCH",$AQ577="FITS BITCH",$AS577="FITS BITCH"),"BEARISH","")</f>
        <v/>
      </c>
      <c r="AV577" s="86"/>
      <c r="AW577" s="86"/>
      <c r="AX577" s="86"/>
    </row>
    <row r="578" customFormat="false" ht="15.75" hidden="false" customHeight="false" outlineLevel="0" collapsed="false">
      <c r="AE578" s="90" t="n">
        <f aca="false">Data!A573</f>
        <v>42138</v>
      </c>
      <c r="AF578" s="17" t="n">
        <f aca="false">Data!B573</f>
        <v>127.41</v>
      </c>
      <c r="AG578" s="17" t="n">
        <f aca="false">Data!F573</f>
        <v>45203456</v>
      </c>
      <c r="AH578" s="17" t="n">
        <f aca="false">Data!C573</f>
        <v>128.95</v>
      </c>
      <c r="AI578" s="17" t="n">
        <f aca="false">Data!D573</f>
        <v>127.16</v>
      </c>
      <c r="AJ578" s="17" t="n">
        <f aca="false">Data!E573</f>
        <v>128.95</v>
      </c>
      <c r="AK578" s="17" t="n">
        <f aca="false">Data!F573</f>
        <v>45203456</v>
      </c>
      <c r="AL578" s="17" t="n">
        <f aca="false">AJ578</f>
        <v>128.95</v>
      </c>
      <c r="AM578" s="17" t="n">
        <f aca="false">(AL578-AL577)/AL578*100</f>
        <v>0.13958898797982</v>
      </c>
      <c r="AN578" s="17" t="n">
        <f aca="false">(AK578-AK577)/AK578*100</f>
        <v>15.4754140922322</v>
      </c>
      <c r="AO578" s="17" t="str">
        <f aca="false">IF(AN578&lt;-8,"FITS BITCH",IF(AN578&gt;-8,"no"))</f>
        <v>no</v>
      </c>
      <c r="AP578" s="17" t="str">
        <f aca="false">IF(AH579&lt;AH578,"FITS BITCH",IF(AH579&gt;AH578,"no"))</f>
        <v>FITS BITCH</v>
      </c>
      <c r="AQ578" s="17" t="str">
        <f aca="false">IF(AI579&lt;AI578,"FITS BITCH",IF(AI579&gt;AI578,"no"))</f>
        <v>FITS BITCH</v>
      </c>
      <c r="AR578" s="17" t="str">
        <f aca="false">IF(AJ578&lt;AH579,"FITS BITCH",IF(AJ578&gt;AH579,"no"))</f>
        <v>no</v>
      </c>
      <c r="AS578" s="17" t="str">
        <f aca="false">IF(AJ578&gt;AJ579,"FITS BITCH",IF(AJ578&lt;AJ579,"no"))</f>
        <v>FITS BITCH</v>
      </c>
      <c r="AT578" s="91" t="str">
        <f aca="false">IF(AND($AO578="FITS BITCH",$AP578="FITS BITCH",$AR578="FITS BITCH"),"BULLISH","")</f>
        <v/>
      </c>
      <c r="AU578" s="91" t="str">
        <f aca="false">IF(AND($AO578="FITS BITCH",$AQ578="FITS BITCH",$AS578="FITS BITCH"),"BEARISH","")</f>
        <v/>
      </c>
      <c r="AV578" s="86"/>
      <c r="AW578" s="86"/>
      <c r="AX578" s="86"/>
    </row>
    <row r="579" customFormat="false" ht="15.75" hidden="false" customHeight="false" outlineLevel="0" collapsed="false">
      <c r="AE579" s="90" t="n">
        <f aca="false">Data!A574</f>
        <v>42137</v>
      </c>
      <c r="AF579" s="17" t="n">
        <f aca="false">Data!B574</f>
        <v>126.15</v>
      </c>
      <c r="AG579" s="17" t="n">
        <f aca="false">Data!F574</f>
        <v>34694235</v>
      </c>
      <c r="AH579" s="17" t="n">
        <f aca="false">Data!C574</f>
        <v>127.19</v>
      </c>
      <c r="AI579" s="17" t="n">
        <f aca="false">Data!D574</f>
        <v>125.87</v>
      </c>
      <c r="AJ579" s="17" t="n">
        <f aca="false">Data!E574</f>
        <v>126.01</v>
      </c>
      <c r="AK579" s="17" t="n">
        <f aca="false">Data!F574</f>
        <v>34694235</v>
      </c>
      <c r="AL579" s="17" t="n">
        <f aca="false">AJ579</f>
        <v>126.01</v>
      </c>
      <c r="AM579" s="17" t="n">
        <f aca="false">(AL579-AL578)/AL579*100</f>
        <v>-2.33314816284421</v>
      </c>
      <c r="AN579" s="17" t="n">
        <f aca="false">(AK579-AK578)/AK579*100</f>
        <v>-30.2909719727211</v>
      </c>
      <c r="AO579" s="17" t="str">
        <f aca="false">IF(AN579&lt;-8,"FITS BITCH",IF(AN579&gt;-8,"no"))</f>
        <v>FITS BITCH</v>
      </c>
      <c r="AP579" s="17" t="str">
        <f aca="false">IF(AH580&lt;AH579,"FITS BITCH",IF(AH580&gt;AH579,"no"))</f>
        <v>FITS BITCH</v>
      </c>
      <c r="AQ579" s="17" t="str">
        <f aca="false">IF(AI580&lt;AI579,"FITS BITCH",IF(AI580&gt;AI579,"no"))</f>
        <v>FITS BITCH</v>
      </c>
      <c r="AR579" s="17" t="str">
        <f aca="false">IF(AJ579&lt;AH580,"FITS BITCH",IF(AJ579&gt;AH580,"no"))</f>
        <v>FITS BITCH</v>
      </c>
      <c r="AS579" s="17" t="str">
        <f aca="false">IF(AJ579&gt;AJ580,"FITS BITCH",IF(AJ579&lt;AJ580,"no"))</f>
        <v>FITS BITCH</v>
      </c>
      <c r="AT579" s="91" t="str">
        <f aca="false">IF(AND($AO579="FITS BITCH",$AP579="FITS BITCH",$AR579="FITS BITCH"),"BULLISH","")</f>
        <v>BULLISH</v>
      </c>
      <c r="AU579" s="91" t="str">
        <f aca="false">IF(AND($AO579="FITS BITCH",$AQ579="FITS BITCH",$AS579="FITS BITCH"),"BEARISH","")</f>
        <v>BEARISH</v>
      </c>
      <c r="AV579" s="86"/>
      <c r="AW579" s="86"/>
      <c r="AX579" s="86"/>
    </row>
    <row r="580" customFormat="false" ht="15.75" hidden="false" customHeight="false" outlineLevel="0" collapsed="false">
      <c r="AE580" s="90" t="n">
        <f aca="false">Data!A575</f>
        <v>42136</v>
      </c>
      <c r="AF580" s="17" t="n">
        <f aca="false">Data!B575</f>
        <v>125.6</v>
      </c>
      <c r="AG580" s="17" t="n">
        <f aca="false">Data!F575</f>
        <v>48160032</v>
      </c>
      <c r="AH580" s="17" t="n">
        <f aca="false">Data!C575</f>
        <v>126.88</v>
      </c>
      <c r="AI580" s="17" t="n">
        <f aca="false">Data!D575</f>
        <v>124.82</v>
      </c>
      <c r="AJ580" s="17" t="n">
        <f aca="false">Data!E575</f>
        <v>125.86</v>
      </c>
      <c r="AK580" s="17" t="n">
        <f aca="false">Data!F575</f>
        <v>48160032</v>
      </c>
      <c r="AL580" s="17" t="n">
        <f aca="false">AJ580</f>
        <v>125.86</v>
      </c>
      <c r="AM580" s="17" t="n">
        <f aca="false">(AL580-AL579)/AL580*100</f>
        <v>-0.119180041315752</v>
      </c>
      <c r="AN580" s="17" t="n">
        <f aca="false">(AK580-AK579)/AK580*100</f>
        <v>27.9605233651008</v>
      </c>
      <c r="AO580" s="17" t="str">
        <f aca="false">IF(AN580&lt;-8,"FITS BITCH",IF(AN580&gt;-8,"no"))</f>
        <v>no</v>
      </c>
      <c r="AP580" s="17" t="str">
        <f aca="false">IF(AH581&lt;AH580,"FITS BITCH",IF(AH581&gt;AH580,"no"))</f>
        <v>no</v>
      </c>
      <c r="AQ580" s="17" t="str">
        <f aca="false">IF(AI581&lt;AI580,"FITS BITCH",IF(AI581&gt;AI580,"no"))</f>
        <v>no</v>
      </c>
      <c r="AR580" s="17" t="str">
        <f aca="false">IF(AJ580&lt;AH581,"FITS BITCH",IF(AJ580&gt;AH581,"no"))</f>
        <v>FITS BITCH</v>
      </c>
      <c r="AS580" s="17" t="str">
        <f aca="false">IF(AJ580&gt;AJ581,"FITS BITCH",IF(AJ580&lt;AJ581,"no"))</f>
        <v>no</v>
      </c>
      <c r="AT580" s="91" t="str">
        <f aca="false">IF(AND($AO580="FITS BITCH",$AP580="FITS BITCH",$AR580="FITS BITCH"),"BULLISH","")</f>
        <v/>
      </c>
      <c r="AU580" s="91" t="str">
        <f aca="false">IF(AND($AO580="FITS BITCH",$AQ580="FITS BITCH",$AS580="FITS BITCH"),"BEARISH","")</f>
        <v/>
      </c>
      <c r="AV580" s="86"/>
      <c r="AW580" s="86"/>
      <c r="AX580" s="86"/>
    </row>
    <row r="581" customFormat="false" ht="15.75" hidden="false" customHeight="false" outlineLevel="0" collapsed="false">
      <c r="AE581" s="90" t="n">
        <f aca="false">Data!A576</f>
        <v>42135</v>
      </c>
      <c r="AF581" s="17" t="n">
        <f aca="false">Data!B576</f>
        <v>127.39</v>
      </c>
      <c r="AG581" s="17" t="n">
        <f aca="false">Data!F576</f>
        <v>42035757</v>
      </c>
      <c r="AH581" s="17" t="n">
        <f aca="false">Data!C576</f>
        <v>127.56</v>
      </c>
      <c r="AI581" s="17" t="n">
        <f aca="false">Data!D576</f>
        <v>125.62</v>
      </c>
      <c r="AJ581" s="17" t="n">
        <f aca="false">Data!E576</f>
        <v>126.32</v>
      </c>
      <c r="AK581" s="17" t="n">
        <f aca="false">Data!F576</f>
        <v>42035757</v>
      </c>
      <c r="AL581" s="17" t="n">
        <f aca="false">AJ581</f>
        <v>126.32</v>
      </c>
      <c r="AM581" s="17" t="n">
        <f aca="false">(AL581-AL580)/AL581*100</f>
        <v>0.364154528182389</v>
      </c>
      <c r="AN581" s="17" t="n">
        <f aca="false">(AK581-AK580)/AK581*100</f>
        <v>-14.5692035473514</v>
      </c>
      <c r="AO581" s="17" t="str">
        <f aca="false">IF(AN581&lt;-8,"FITS BITCH",IF(AN581&gt;-8,"no"))</f>
        <v>FITS BITCH</v>
      </c>
      <c r="AP581" s="17" t="str">
        <f aca="false">IF(AH582&lt;AH581,"FITS BITCH",IF(AH582&gt;AH581,"no"))</f>
        <v>no</v>
      </c>
      <c r="AQ581" s="17" t="str">
        <f aca="false">IF(AI582&lt;AI581,"FITS BITCH",IF(AI582&gt;AI581,"no"))</f>
        <v>no</v>
      </c>
      <c r="AR581" s="17" t="str">
        <f aca="false">IF(AJ581&lt;AH582,"FITS BITCH",IF(AJ581&gt;AH582,"no"))</f>
        <v>FITS BITCH</v>
      </c>
      <c r="AS581" s="17" t="str">
        <f aca="false">IF(AJ581&gt;AJ582,"FITS BITCH",IF(AJ581&lt;AJ582,"no"))</f>
        <v>no</v>
      </c>
      <c r="AT581" s="91" t="str">
        <f aca="false">IF(AND($AO581="FITS BITCH",$AP581="FITS BITCH",$AR581="FITS BITCH"),"BULLISH","")</f>
        <v/>
      </c>
      <c r="AU581" s="91" t="str">
        <f aca="false">IF(AND($AO581="FITS BITCH",$AQ581="FITS BITCH",$AS581="FITS BITCH"),"BEARISH","")</f>
        <v/>
      </c>
      <c r="AV581" s="86"/>
      <c r="AW581" s="86"/>
      <c r="AX581" s="86"/>
    </row>
    <row r="582" customFormat="false" ht="15.75" hidden="false" customHeight="false" outlineLevel="0" collapsed="false">
      <c r="AE582" s="90" t="n">
        <f aca="false">Data!A577</f>
        <v>42132</v>
      </c>
      <c r="AF582" s="17" t="n">
        <f aca="false">Data!B577</f>
        <v>126.68</v>
      </c>
      <c r="AG582" s="17" t="n">
        <f aca="false">Data!F577</f>
        <v>55550382</v>
      </c>
      <c r="AH582" s="17" t="n">
        <f aca="false">Data!C577</f>
        <v>127.62</v>
      </c>
      <c r="AI582" s="17" t="n">
        <f aca="false">Data!D577</f>
        <v>126.11</v>
      </c>
      <c r="AJ582" s="17" t="n">
        <f aca="false">Data!E577</f>
        <v>127.62</v>
      </c>
      <c r="AK582" s="17" t="n">
        <f aca="false">Data!F577</f>
        <v>55550382</v>
      </c>
      <c r="AL582" s="17" t="n">
        <f aca="false">AJ582</f>
        <v>127.62</v>
      </c>
      <c r="AM582" s="17" t="n">
        <f aca="false">(AL582-AL581)/AL582*100</f>
        <v>1.01864911455886</v>
      </c>
      <c r="AN582" s="17" t="n">
        <f aca="false">(AK582-AK581)/AK582*100</f>
        <v>24.3285905756688</v>
      </c>
      <c r="AO582" s="17" t="str">
        <f aca="false">IF(AN582&lt;-8,"FITS BITCH",IF(AN582&gt;-8,"no"))</f>
        <v>no</v>
      </c>
      <c r="AP582" s="17" t="str">
        <f aca="false">IF(AH583&lt;AH582,"FITS BITCH",IF(AH583&gt;AH582,"no"))</f>
        <v>FITS BITCH</v>
      </c>
      <c r="AQ582" s="17" t="str">
        <f aca="false">IF(AI583&lt;AI582,"FITS BITCH",IF(AI583&gt;AI582,"no"))</f>
        <v>FITS BITCH</v>
      </c>
      <c r="AR582" s="17" t="str">
        <f aca="false">IF(AJ582&lt;AH583,"FITS BITCH",IF(AJ582&gt;AH583,"no"))</f>
        <v>no</v>
      </c>
      <c r="AS582" s="17" t="str">
        <f aca="false">IF(AJ582&gt;AJ583,"FITS BITCH",IF(AJ582&lt;AJ583,"no"))</f>
        <v>FITS BITCH</v>
      </c>
      <c r="AT582" s="91" t="str">
        <f aca="false">IF(AND($AO582="FITS BITCH",$AP582="FITS BITCH",$AR582="FITS BITCH"),"BULLISH","")</f>
        <v/>
      </c>
      <c r="AU582" s="91" t="str">
        <f aca="false">IF(AND($AO582="FITS BITCH",$AQ582="FITS BITCH",$AS582="FITS BITCH"),"BEARISH","")</f>
        <v/>
      </c>
      <c r="AV582" s="86"/>
      <c r="AW582" s="86"/>
      <c r="AX582" s="86"/>
    </row>
    <row r="583" customFormat="false" ht="15.75" hidden="false" customHeight="false" outlineLevel="0" collapsed="false">
      <c r="AE583" s="90" t="n">
        <f aca="false">Data!A578</f>
        <v>42131</v>
      </c>
      <c r="AF583" s="17" t="n">
        <f aca="false">Data!B578</f>
        <v>124.77</v>
      </c>
      <c r="AG583" s="17" t="n">
        <f aca="false">Data!F578</f>
        <v>43940895</v>
      </c>
      <c r="AH583" s="17" t="n">
        <f aca="false">Data!C578</f>
        <v>126.08</v>
      </c>
      <c r="AI583" s="17" t="n">
        <f aca="false">Data!D578</f>
        <v>124.02</v>
      </c>
      <c r="AJ583" s="17" t="n">
        <f aca="false">Data!E578</f>
        <v>125.26</v>
      </c>
      <c r="AK583" s="17" t="n">
        <f aca="false">Data!F578</f>
        <v>43940895</v>
      </c>
      <c r="AL583" s="17" t="n">
        <f aca="false">AJ583</f>
        <v>125.26</v>
      </c>
      <c r="AM583" s="17" t="n">
        <f aca="false">(AL583-AL582)/AL583*100</f>
        <v>-1.88408111128852</v>
      </c>
      <c r="AN583" s="17" t="n">
        <f aca="false">(AK583-AK582)/AK583*100</f>
        <v>-26.420688518065</v>
      </c>
      <c r="AO583" s="17" t="str">
        <f aca="false">IF(AN583&lt;-8,"FITS BITCH",IF(AN583&gt;-8,"no"))</f>
        <v>FITS BITCH</v>
      </c>
      <c r="AP583" s="17" t="str">
        <f aca="false">IF(AH584&lt;AH583,"FITS BITCH",IF(AH584&gt;AH583,"no"))</f>
        <v>no</v>
      </c>
      <c r="AQ583" s="17" t="str">
        <f aca="false">IF(AI584&lt;AI583,"FITS BITCH",IF(AI584&gt;AI583,"no"))</f>
        <v>FITS BITCH</v>
      </c>
      <c r="AR583" s="17" t="str">
        <f aca="false">IF(AJ583&lt;AH584,"FITS BITCH",IF(AJ583&gt;AH584,"no"))</f>
        <v>FITS BITCH</v>
      </c>
      <c r="AS583" s="17" t="str">
        <f aca="false">IF(AJ583&gt;AJ584,"FITS BITCH",IF(AJ583&lt;AJ584,"no"))</f>
        <v>FITS BITCH</v>
      </c>
      <c r="AT583" s="91" t="str">
        <f aca="false">IF(AND($AO583="FITS BITCH",$AP583="FITS BITCH",$AR583="FITS BITCH"),"BULLISH","")</f>
        <v/>
      </c>
      <c r="AU583" s="91" t="str">
        <f aca="false">IF(AND($AO583="FITS BITCH",$AQ583="FITS BITCH",$AS583="FITS BITCH"),"BEARISH","")</f>
        <v>BEARISH</v>
      </c>
      <c r="AV583" s="86"/>
      <c r="AW583" s="86"/>
      <c r="AX583" s="86"/>
    </row>
    <row r="584" customFormat="false" ht="15.75" hidden="false" customHeight="false" outlineLevel="0" collapsed="false">
      <c r="AE584" s="90" t="n">
        <f aca="false">Data!A579</f>
        <v>42130</v>
      </c>
      <c r="AF584" s="17" t="n">
        <f aca="false">Data!B579</f>
        <v>126.56</v>
      </c>
      <c r="AG584" s="17" t="n">
        <f aca="false">Data!F579</f>
        <v>72141010</v>
      </c>
      <c r="AH584" s="17" t="n">
        <f aca="false">Data!C579</f>
        <v>126.75</v>
      </c>
      <c r="AI584" s="17" t="n">
        <f aca="false">Data!D579</f>
        <v>123.36</v>
      </c>
      <c r="AJ584" s="17" t="n">
        <f aca="false">Data!E579</f>
        <v>125.01</v>
      </c>
      <c r="AK584" s="17" t="n">
        <f aca="false">Data!F579</f>
        <v>72141010</v>
      </c>
      <c r="AL584" s="17" t="n">
        <f aca="false">AJ584</f>
        <v>125.01</v>
      </c>
      <c r="AM584" s="17" t="n">
        <f aca="false">(AL584-AL583)/AL584*100</f>
        <v>-0.199984001279898</v>
      </c>
      <c r="AN584" s="17" t="n">
        <f aca="false">(AK584-AK583)/AK584*100</f>
        <v>39.0902691825357</v>
      </c>
      <c r="AO584" s="17" t="str">
        <f aca="false">IF(AN584&lt;-8,"FITS BITCH",IF(AN584&gt;-8,"no"))</f>
        <v>no</v>
      </c>
      <c r="AP584" s="17" t="str">
        <f aca="false">IF(AH585&lt;AH584,"FITS BITCH",IF(AH585&gt;AH584,"no"))</f>
        <v>no</v>
      </c>
      <c r="AQ584" s="17" t="str">
        <f aca="false">IF(AI585&lt;AI584,"FITS BITCH",IF(AI585&gt;AI584,"no"))</f>
        <v>no</v>
      </c>
      <c r="AR584" s="17" t="str">
        <f aca="false">IF(AJ584&lt;AH585,"FITS BITCH",IF(AJ584&gt;AH585,"no"))</f>
        <v>FITS BITCH</v>
      </c>
      <c r="AS584" s="17" t="str">
        <f aca="false">IF(AJ584&gt;AJ585,"FITS BITCH",IF(AJ584&lt;AJ585,"no"))</f>
        <v>no</v>
      </c>
      <c r="AT584" s="91" t="str">
        <f aca="false">IF(AND($AO584="FITS BITCH",$AP584="FITS BITCH",$AR584="FITS BITCH"),"BULLISH","")</f>
        <v/>
      </c>
      <c r="AU584" s="91" t="str">
        <f aca="false">IF(AND($AO584="FITS BITCH",$AQ584="FITS BITCH",$AS584="FITS BITCH"),"BEARISH","")</f>
        <v/>
      </c>
      <c r="AV584" s="86"/>
      <c r="AW584" s="86"/>
      <c r="AX584" s="86"/>
    </row>
    <row r="585" customFormat="false" ht="15.75" hidden="false" customHeight="false" outlineLevel="0" collapsed="false">
      <c r="AE585" s="90" t="n">
        <f aca="false">Data!A580</f>
        <v>42129</v>
      </c>
      <c r="AF585" s="17" t="n">
        <f aca="false">Data!B580</f>
        <v>128.15</v>
      </c>
      <c r="AG585" s="17" t="n">
        <f aca="false">Data!F580</f>
        <v>49271416</v>
      </c>
      <c r="AH585" s="17" t="n">
        <f aca="false">Data!C580</f>
        <v>128.45</v>
      </c>
      <c r="AI585" s="17" t="n">
        <f aca="false">Data!D580</f>
        <v>125.78</v>
      </c>
      <c r="AJ585" s="17" t="n">
        <f aca="false">Data!E580</f>
        <v>125.8</v>
      </c>
      <c r="AK585" s="17" t="n">
        <f aca="false">Data!F580</f>
        <v>49271416</v>
      </c>
      <c r="AL585" s="17" t="n">
        <f aca="false">AJ585</f>
        <v>125.8</v>
      </c>
      <c r="AM585" s="17" t="n">
        <f aca="false">(AL585-AL584)/AL585*100</f>
        <v>0.627980922098563</v>
      </c>
      <c r="AN585" s="17" t="n">
        <f aca="false">(AK585-AK584)/AK585*100</f>
        <v>-46.4155404017615</v>
      </c>
      <c r="AO585" s="17" t="str">
        <f aca="false">IF(AN585&lt;-8,"FITS BITCH",IF(AN585&gt;-8,"no"))</f>
        <v>FITS BITCH</v>
      </c>
      <c r="AP585" s="17" t="str">
        <f aca="false">IF(AH586&lt;AH585,"FITS BITCH",IF(AH586&gt;AH585,"no"))</f>
        <v>no</v>
      </c>
      <c r="AQ585" s="17" t="str">
        <f aca="false">IF(AI586&lt;AI585,"FITS BITCH",IF(AI586&gt;AI585,"no"))</f>
        <v>no</v>
      </c>
      <c r="AR585" s="17" t="str">
        <f aca="false">IF(AJ585&lt;AH586,"FITS BITCH",IF(AJ585&gt;AH586,"no"))</f>
        <v>FITS BITCH</v>
      </c>
      <c r="AS585" s="17" t="str">
        <f aca="false">IF(AJ585&gt;AJ586,"FITS BITCH",IF(AJ585&lt;AJ586,"no"))</f>
        <v>no</v>
      </c>
      <c r="AT585" s="91" t="str">
        <f aca="false">IF(AND($AO585="FITS BITCH",$AP585="FITS BITCH",$AR585="FITS BITCH"),"BULLISH","")</f>
        <v/>
      </c>
      <c r="AU585" s="91" t="str">
        <f aca="false">IF(AND($AO585="FITS BITCH",$AQ585="FITS BITCH",$AS585="FITS BITCH"),"BEARISH","")</f>
        <v/>
      </c>
      <c r="AV585" s="86"/>
      <c r="AW585" s="86"/>
      <c r="AX585" s="86"/>
    </row>
    <row r="586" customFormat="false" ht="15.75" hidden="false" customHeight="false" outlineLevel="0" collapsed="false">
      <c r="AE586" s="90" t="n">
        <f aca="false">Data!A581</f>
        <v>42128</v>
      </c>
      <c r="AF586" s="17" t="n">
        <f aca="false">Data!B581</f>
        <v>129.5</v>
      </c>
      <c r="AG586" s="17" t="n">
        <f aca="false">Data!F581</f>
        <v>50988278</v>
      </c>
      <c r="AH586" s="17" t="n">
        <f aca="false">Data!C581</f>
        <v>130.57</v>
      </c>
      <c r="AI586" s="17" t="n">
        <f aca="false">Data!D581</f>
        <v>128.26</v>
      </c>
      <c r="AJ586" s="17" t="n">
        <f aca="false">Data!E581</f>
        <v>128.7</v>
      </c>
      <c r="AK586" s="17" t="n">
        <f aca="false">Data!F581</f>
        <v>50988278</v>
      </c>
      <c r="AL586" s="17" t="n">
        <f aca="false">AJ586</f>
        <v>128.7</v>
      </c>
      <c r="AM586" s="17" t="n">
        <f aca="false">(AL586-AL585)/AL586*100</f>
        <v>2.25330225330225</v>
      </c>
      <c r="AN586" s="17" t="n">
        <f aca="false">(AK586-AK585)/AK586*100</f>
        <v>3.36716999934769</v>
      </c>
      <c r="AO586" s="17" t="str">
        <f aca="false">IF(AN586&lt;-8,"FITS BITCH",IF(AN586&gt;-8,"no"))</f>
        <v>no</v>
      </c>
      <c r="AP586" s="17" t="str">
        <f aca="false">IF(AH587&lt;AH586,"FITS BITCH",IF(AH587&gt;AH586,"no"))</f>
        <v>FITS BITCH</v>
      </c>
      <c r="AQ586" s="17" t="str">
        <f aca="false">IF(AI587&lt;AI586,"FITS BITCH",IF(AI587&gt;AI586,"no"))</f>
        <v>FITS BITCH</v>
      </c>
      <c r="AR586" s="17" t="str">
        <f aca="false">IF(AJ586&lt;AH587,"FITS BITCH",IF(AJ586&gt;AH587,"no"))</f>
        <v>FITS BITCH</v>
      </c>
      <c r="AS586" s="17" t="str">
        <f aca="false">IF(AJ586&gt;AJ587,"FITS BITCH",IF(AJ586&lt;AJ587,"no"))</f>
        <v>no</v>
      </c>
      <c r="AT586" s="91" t="str">
        <f aca="false">IF(AND($AO586="FITS BITCH",$AP586="FITS BITCH",$AR586="FITS BITCH"),"BULLISH","")</f>
        <v/>
      </c>
      <c r="AU586" s="91" t="str">
        <f aca="false">IF(AND($AO586="FITS BITCH",$AQ586="FITS BITCH",$AS586="FITS BITCH"),"BEARISH","")</f>
        <v/>
      </c>
      <c r="AV586" s="86"/>
      <c r="AW586" s="86"/>
      <c r="AX586" s="86"/>
    </row>
    <row r="587" customFormat="false" ht="15.75" hidden="false" customHeight="false" outlineLevel="0" collapsed="false">
      <c r="AE587" s="90" t="n">
        <f aca="false">Data!A582</f>
        <v>42125</v>
      </c>
      <c r="AF587" s="17" t="n">
        <f aca="false">Data!B582</f>
        <v>126.1</v>
      </c>
      <c r="AG587" s="17" t="n">
        <f aca="false">Data!F582</f>
        <v>58512638</v>
      </c>
      <c r="AH587" s="17" t="n">
        <f aca="false">Data!C582</f>
        <v>130.13</v>
      </c>
      <c r="AI587" s="17" t="n">
        <f aca="false">Data!D582</f>
        <v>125.3</v>
      </c>
      <c r="AJ587" s="17" t="n">
        <f aca="false">Data!E582</f>
        <v>128.95</v>
      </c>
      <c r="AK587" s="17" t="n">
        <f aca="false">Data!F582</f>
        <v>58512638</v>
      </c>
      <c r="AL587" s="17" t="n">
        <f aca="false">AJ587</f>
        <v>128.95</v>
      </c>
      <c r="AM587" s="17" t="n">
        <f aca="false">(AL587-AL586)/AL587*100</f>
        <v>0.193873594416441</v>
      </c>
      <c r="AN587" s="17" t="n">
        <f aca="false">(AK587-AK586)/AK587*100</f>
        <v>12.8593757813483</v>
      </c>
      <c r="AO587" s="17" t="str">
        <f aca="false">IF(AN587&lt;-8,"FITS BITCH",IF(AN587&gt;-8,"no"))</f>
        <v>no</v>
      </c>
      <c r="AP587" s="17" t="str">
        <f aca="false">IF(AH588&lt;AH587,"FITS BITCH",IF(AH588&gt;AH587,"no"))</f>
        <v>FITS BITCH</v>
      </c>
      <c r="AQ587" s="17" t="str">
        <f aca="false">IF(AI588&lt;AI587,"FITS BITCH",IF(AI588&gt;AI587,"no"))</f>
        <v>FITS BITCH</v>
      </c>
      <c r="AR587" s="17" t="str">
        <f aca="false">IF(AJ587&lt;AH588,"FITS BITCH",IF(AJ587&gt;AH588,"no"))</f>
        <v>no</v>
      </c>
      <c r="AS587" s="17" t="str">
        <f aca="false">IF(AJ587&gt;AJ588,"FITS BITCH",IF(AJ587&lt;AJ588,"no"))</f>
        <v>FITS BITCH</v>
      </c>
      <c r="AT587" s="91" t="str">
        <f aca="false">IF(AND($AO587="FITS BITCH",$AP587="FITS BITCH",$AR587="FITS BITCH"),"BULLISH","")</f>
        <v/>
      </c>
      <c r="AU587" s="91" t="str">
        <f aca="false">IF(AND($AO587="FITS BITCH",$AQ587="FITS BITCH",$AS587="FITS BITCH"),"BEARISH","")</f>
        <v/>
      </c>
      <c r="AV587" s="86"/>
      <c r="AW587" s="86"/>
      <c r="AX587" s="86"/>
    </row>
    <row r="588" customFormat="false" ht="15.75" hidden="false" customHeight="false" outlineLevel="0" collapsed="false">
      <c r="AE588" s="90" t="n">
        <f aca="false">Data!A583</f>
        <v>42124</v>
      </c>
      <c r="AF588" s="17" t="n">
        <f aca="false">Data!B583</f>
        <v>128.64</v>
      </c>
      <c r="AG588" s="17" t="n">
        <f aca="false">Data!F583</f>
        <v>83195423</v>
      </c>
      <c r="AH588" s="17" t="n">
        <f aca="false">Data!C583</f>
        <v>127.88</v>
      </c>
      <c r="AI588" s="17" t="n">
        <f aca="false">Data!D583</f>
        <v>124.58</v>
      </c>
      <c r="AJ588" s="17" t="n">
        <f aca="false">Data!E583</f>
        <v>125.15</v>
      </c>
      <c r="AK588" s="17" t="n">
        <f aca="false">Data!F583</f>
        <v>83195423</v>
      </c>
      <c r="AL588" s="17" t="n">
        <f aca="false">AJ588</f>
        <v>125.15</v>
      </c>
      <c r="AM588" s="17" t="n">
        <f aca="false">(AL588-AL587)/AL588*100</f>
        <v>-3.03635637235316</v>
      </c>
      <c r="AN588" s="17" t="n">
        <f aca="false">(AK588-AK587)/AK588*100</f>
        <v>29.6684410150784</v>
      </c>
      <c r="AO588" s="17" t="str">
        <f aca="false">IF(AN588&lt;-8,"FITS BITCH",IF(AN588&gt;-8,"no"))</f>
        <v>no</v>
      </c>
      <c r="AP588" s="17" t="str">
        <f aca="false">IF(AH589&lt;AH588,"FITS BITCH",IF(AH589&gt;AH588,"no"))</f>
        <v>no</v>
      </c>
      <c r="AQ588" s="17" t="str">
        <f aca="false">IF(AI589&lt;AI588,"FITS BITCH",IF(AI589&gt;AI588,"no"))</f>
        <v>no</v>
      </c>
      <c r="AR588" s="17" t="str">
        <f aca="false">IF(AJ588&lt;AH589,"FITS BITCH",IF(AJ588&gt;AH589,"no"))</f>
        <v>FITS BITCH</v>
      </c>
      <c r="AS588" s="17" t="str">
        <f aca="false">IF(AJ588&gt;AJ589,"FITS BITCH",IF(AJ588&lt;AJ589,"no"))</f>
        <v>no</v>
      </c>
      <c r="AT588" s="91" t="str">
        <f aca="false">IF(AND($AO588="FITS BITCH",$AP588="FITS BITCH",$AR588="FITS BITCH"),"BULLISH","")</f>
        <v/>
      </c>
      <c r="AU588" s="91" t="str">
        <f aca="false">IF(AND($AO588="FITS BITCH",$AQ588="FITS BITCH",$AS588="FITS BITCH"),"BEARISH","")</f>
        <v/>
      </c>
      <c r="AV588" s="86"/>
      <c r="AW588" s="86"/>
      <c r="AX588" s="86"/>
    </row>
    <row r="589" customFormat="false" ht="15.75" hidden="false" customHeight="false" outlineLevel="0" collapsed="false">
      <c r="AE589" s="90" t="n">
        <f aca="false">Data!A584</f>
        <v>42123</v>
      </c>
      <c r="AF589" s="17" t="n">
        <f aca="false">Data!B584</f>
        <v>130.16</v>
      </c>
      <c r="AG589" s="17" t="n">
        <f aca="false">Data!F584</f>
        <v>63386083</v>
      </c>
      <c r="AH589" s="17" t="n">
        <f aca="false">Data!C584</f>
        <v>131.59</v>
      </c>
      <c r="AI589" s="17" t="n">
        <f aca="false">Data!D584</f>
        <v>128.3</v>
      </c>
      <c r="AJ589" s="17" t="n">
        <f aca="false">Data!E584</f>
        <v>128.64</v>
      </c>
      <c r="AK589" s="17" t="n">
        <f aca="false">Data!F584</f>
        <v>63386083</v>
      </c>
      <c r="AL589" s="17" t="n">
        <f aca="false">AJ589</f>
        <v>128.64</v>
      </c>
      <c r="AM589" s="17" t="n">
        <f aca="false">(AL589-AL588)/AL589*100</f>
        <v>2.7129975124378</v>
      </c>
      <c r="AN589" s="17" t="n">
        <f aca="false">(AK589-AK588)/AK589*100</f>
        <v>-31.251875904684</v>
      </c>
      <c r="AO589" s="17" t="str">
        <f aca="false">IF(AN589&lt;-8,"FITS BITCH",IF(AN589&gt;-8,"no"))</f>
        <v>FITS BITCH</v>
      </c>
      <c r="AP589" s="17" t="str">
        <f aca="false">IF(AH590&lt;AH589,"FITS BITCH",IF(AH590&gt;AH589,"no"))</f>
        <v>no</v>
      </c>
      <c r="AQ589" s="17" t="str">
        <f aca="false">IF(AI590&lt;AI589,"FITS BITCH",IF(AI590&gt;AI589,"no"))</f>
        <v>no</v>
      </c>
      <c r="AR589" s="17" t="str">
        <f aca="false">IF(AJ589&lt;AH590,"FITS BITCH",IF(AJ589&gt;AH590,"no"))</f>
        <v>FITS BITCH</v>
      </c>
      <c r="AS589" s="17" t="str">
        <f aca="false">IF(AJ589&gt;AJ590,"FITS BITCH",IF(AJ589&lt;AJ590,"no"))</f>
        <v>no</v>
      </c>
      <c r="AT589" s="91" t="str">
        <f aca="false">IF(AND($AO589="FITS BITCH",$AP589="FITS BITCH",$AR589="FITS BITCH"),"BULLISH","")</f>
        <v/>
      </c>
      <c r="AU589" s="91" t="str">
        <f aca="false">IF(AND($AO589="FITS BITCH",$AQ589="FITS BITCH",$AS589="FITS BITCH"),"BEARISH","")</f>
        <v/>
      </c>
      <c r="AV589" s="86"/>
      <c r="AW589" s="86"/>
      <c r="AX589" s="86"/>
    </row>
    <row r="590" customFormat="false" ht="15.75" hidden="false" customHeight="false" outlineLevel="0" collapsed="false">
      <c r="AE590" s="90" t="n">
        <f aca="false">Data!A585</f>
        <v>42122</v>
      </c>
      <c r="AF590" s="17" t="n">
        <f aca="false">Data!B585</f>
        <v>134.46</v>
      </c>
      <c r="AG590" s="17" t="n">
        <f aca="false">Data!F585</f>
        <v>118923970</v>
      </c>
      <c r="AH590" s="17" t="n">
        <f aca="false">Data!C585</f>
        <v>134.54</v>
      </c>
      <c r="AI590" s="17" t="n">
        <f aca="false">Data!D585</f>
        <v>129.57</v>
      </c>
      <c r="AJ590" s="17" t="n">
        <f aca="false">Data!E585</f>
        <v>130.56</v>
      </c>
      <c r="AK590" s="17" t="n">
        <f aca="false">Data!F585</f>
        <v>118923970</v>
      </c>
      <c r="AL590" s="17" t="n">
        <f aca="false">AJ590</f>
        <v>130.56</v>
      </c>
      <c r="AM590" s="17" t="n">
        <f aca="false">(AL590-AL589)/AL590*100</f>
        <v>1.47058823529413</v>
      </c>
      <c r="AN590" s="17" t="n">
        <f aca="false">(AK590-AK589)/AK590*100</f>
        <v>46.700330471645</v>
      </c>
      <c r="AO590" s="17" t="str">
        <f aca="false">IF(AN590&lt;-8,"FITS BITCH",IF(AN590&gt;-8,"no"))</f>
        <v>no</v>
      </c>
      <c r="AP590" s="17" t="str">
        <f aca="false">IF(AH591&lt;AH590,"FITS BITCH",IF(AH591&gt;AH590,"no"))</f>
        <v>FITS BITCH</v>
      </c>
      <c r="AQ590" s="17" t="str">
        <f aca="false">IF(AI591&lt;AI590,"FITS BITCH",IF(AI591&gt;AI590,"no"))</f>
        <v>no</v>
      </c>
      <c r="AR590" s="17" t="str">
        <f aca="false">IF(AJ590&lt;AH591,"FITS BITCH",IF(AJ590&gt;AH591,"no"))</f>
        <v>FITS BITCH</v>
      </c>
      <c r="AS590" s="17" t="str">
        <f aca="false">IF(AJ590&gt;AJ591,"FITS BITCH",IF(AJ590&lt;AJ591,"no"))</f>
        <v>no</v>
      </c>
      <c r="AT590" s="91" t="str">
        <f aca="false">IF(AND($AO590="FITS BITCH",$AP590="FITS BITCH",$AR590="FITS BITCH"),"BULLISH","")</f>
        <v/>
      </c>
      <c r="AU590" s="91" t="str">
        <f aca="false">IF(AND($AO590="FITS BITCH",$AQ590="FITS BITCH",$AS590="FITS BITCH"),"BEARISH","")</f>
        <v/>
      </c>
      <c r="AV590" s="86"/>
      <c r="AW590" s="86"/>
      <c r="AX590" s="86"/>
    </row>
    <row r="591" customFormat="false" ht="15.75" hidden="false" customHeight="false" outlineLevel="0" collapsed="false">
      <c r="AE591" s="90" t="n">
        <f aca="false">Data!A586</f>
        <v>42121</v>
      </c>
      <c r="AF591" s="17" t="n">
        <f aca="false">Data!B586</f>
        <v>132.31</v>
      </c>
      <c r="AG591" s="17" t="n">
        <f aca="false">Data!F586</f>
        <v>96954207</v>
      </c>
      <c r="AH591" s="17" t="n">
        <f aca="false">Data!C586</f>
        <v>133.13</v>
      </c>
      <c r="AI591" s="17" t="n">
        <f aca="false">Data!D586</f>
        <v>131.15</v>
      </c>
      <c r="AJ591" s="17" t="n">
        <f aca="false">Data!E586</f>
        <v>132.65</v>
      </c>
      <c r="AK591" s="17" t="n">
        <f aca="false">Data!F586</f>
        <v>96954207</v>
      </c>
      <c r="AL591" s="17" t="n">
        <f aca="false">AJ591</f>
        <v>132.65</v>
      </c>
      <c r="AM591" s="17" t="n">
        <f aca="false">(AL591-AL590)/AL591*100</f>
        <v>1.57557482095741</v>
      </c>
      <c r="AN591" s="17" t="n">
        <f aca="false">(AK591-AK590)/AK591*100</f>
        <v>-22.6599377992953</v>
      </c>
      <c r="AO591" s="17" t="str">
        <f aca="false">IF(AN591&lt;-8,"FITS BITCH",IF(AN591&gt;-8,"no"))</f>
        <v>FITS BITCH</v>
      </c>
      <c r="AP591" s="17" t="str">
        <f aca="false">IF(AH592&lt;AH591,"FITS BITCH",IF(AH592&gt;AH591,"no"))</f>
        <v>FITS BITCH</v>
      </c>
      <c r="AQ591" s="17" t="str">
        <f aca="false">IF(AI592&lt;AI591,"FITS BITCH",IF(AI592&gt;AI591,"no"))</f>
        <v>FITS BITCH</v>
      </c>
      <c r="AR591" s="17" t="str">
        <f aca="false">IF(AJ591&lt;AH592,"FITS BITCH",IF(AJ591&gt;AH592,"no"))</f>
        <v>no</v>
      </c>
      <c r="AS591" s="17" t="str">
        <f aca="false">IF(AJ591&gt;AJ592,"FITS BITCH",IF(AJ591&lt;AJ592,"no"))</f>
        <v>FITS BITCH</v>
      </c>
      <c r="AT591" s="91" t="str">
        <f aca="false">IF(AND($AO591="FITS BITCH",$AP591="FITS BITCH",$AR591="FITS BITCH"),"BULLISH","")</f>
        <v/>
      </c>
      <c r="AU591" s="91" t="str">
        <f aca="false">IF(AND($AO591="FITS BITCH",$AQ591="FITS BITCH",$AS591="FITS BITCH"),"BEARISH","")</f>
        <v>BEARISH</v>
      </c>
      <c r="AV591" s="86"/>
      <c r="AW591" s="86"/>
      <c r="AX591" s="86"/>
    </row>
    <row r="592" customFormat="false" ht="15.75" hidden="false" customHeight="false" outlineLevel="0" collapsed="false">
      <c r="AE592" s="90" t="n">
        <f aca="false">Data!A587</f>
        <v>42118</v>
      </c>
      <c r="AF592" s="17" t="n">
        <f aca="false">Data!B587</f>
        <v>130.49</v>
      </c>
      <c r="AG592" s="17" t="n">
        <f aca="false">Data!F587</f>
        <v>44525905</v>
      </c>
      <c r="AH592" s="17" t="n">
        <f aca="false">Data!C587</f>
        <v>130.63</v>
      </c>
      <c r="AI592" s="17" t="n">
        <f aca="false">Data!D587</f>
        <v>129.23</v>
      </c>
      <c r="AJ592" s="17" t="n">
        <f aca="false">Data!E587</f>
        <v>130.28</v>
      </c>
      <c r="AK592" s="17" t="n">
        <f aca="false">Data!F587</f>
        <v>44525905</v>
      </c>
      <c r="AL592" s="17" t="n">
        <f aca="false">AJ592</f>
        <v>130.28</v>
      </c>
      <c r="AM592" s="17" t="n">
        <f aca="false">(AL592-AL591)/AL592*100</f>
        <v>-1.81915873503224</v>
      </c>
      <c r="AN592" s="17" t="n">
        <f aca="false">(AK592-AK591)/AK592*100</f>
        <v>-117.747863855883</v>
      </c>
      <c r="AO592" s="17" t="str">
        <f aca="false">IF(AN592&lt;-8,"FITS BITCH",IF(AN592&gt;-8,"no"))</f>
        <v>FITS BITCH</v>
      </c>
      <c r="AP592" s="17" t="str">
        <f aca="false">IF(AH593&lt;AH592,"FITS BITCH",IF(AH593&gt;AH592,"no"))</f>
        <v>FITS BITCH</v>
      </c>
      <c r="AQ592" s="17" t="str">
        <f aca="false">IF(AI593&lt;AI592,"FITS BITCH",IF(AI593&gt;AI592,"no"))</f>
        <v>FITS BITCH</v>
      </c>
      <c r="AR592" s="17" t="str">
        <f aca="false">IF(AJ592&lt;AH593,"FITS BITCH",IF(AJ592&gt;AH593,"no"))</f>
        <v>FITS BITCH</v>
      </c>
      <c r="AS592" s="17" t="str">
        <f aca="false">IF(AJ592&gt;AJ593,"FITS BITCH",IF(AJ592&lt;AJ593,"no"))</f>
        <v>FITS BITCH</v>
      </c>
      <c r="AT592" s="91" t="str">
        <f aca="false">IF(AND($AO592="FITS BITCH",$AP592="FITS BITCH",$AR592="FITS BITCH"),"BULLISH","")</f>
        <v>BULLISH</v>
      </c>
      <c r="AU592" s="91" t="str">
        <f aca="false">IF(AND($AO592="FITS BITCH",$AQ592="FITS BITCH",$AS592="FITS BITCH"),"BEARISH","")</f>
        <v>BEARISH</v>
      </c>
      <c r="AV592" s="86"/>
      <c r="AW592" s="86"/>
      <c r="AX592" s="86"/>
    </row>
    <row r="593" customFormat="false" ht="15.75" hidden="false" customHeight="false" outlineLevel="0" collapsed="false">
      <c r="AE593" s="90" t="n">
        <f aca="false">Data!A588</f>
        <v>42117</v>
      </c>
      <c r="AF593" s="17" t="n">
        <f aca="false">Data!B588</f>
        <v>128.3</v>
      </c>
      <c r="AG593" s="17" t="n">
        <f aca="false">Data!F588</f>
        <v>45770902</v>
      </c>
      <c r="AH593" s="17" t="n">
        <f aca="false">Data!C588</f>
        <v>130.42</v>
      </c>
      <c r="AI593" s="17" t="n">
        <f aca="false">Data!D588</f>
        <v>128.14</v>
      </c>
      <c r="AJ593" s="17" t="n">
        <f aca="false">Data!E588</f>
        <v>129.67</v>
      </c>
      <c r="AK593" s="17" t="n">
        <f aca="false">Data!F588</f>
        <v>45770902</v>
      </c>
      <c r="AL593" s="17" t="n">
        <f aca="false">AJ593</f>
        <v>129.67</v>
      </c>
      <c r="AM593" s="17" t="n">
        <f aca="false">(AL593-AL592)/AL593*100</f>
        <v>-0.470424924809142</v>
      </c>
      <c r="AN593" s="17" t="n">
        <f aca="false">(AK593-AK592)/AK593*100</f>
        <v>2.72006219147702</v>
      </c>
      <c r="AO593" s="17" t="str">
        <f aca="false">IF(AN593&lt;-8,"FITS BITCH",IF(AN593&gt;-8,"no"))</f>
        <v>no</v>
      </c>
      <c r="AP593" s="17" t="str">
        <f aca="false">IF(AH594&lt;AH593,"FITS BITCH",IF(AH594&gt;AH593,"no"))</f>
        <v>FITS BITCH</v>
      </c>
      <c r="AQ593" s="17" t="str">
        <f aca="false">IF(AI594&lt;AI593,"FITS BITCH",IF(AI594&gt;AI593,"no"))</f>
        <v>FITS BITCH</v>
      </c>
      <c r="AR593" s="17" t="str">
        <f aca="false">IF(AJ593&lt;AH594,"FITS BITCH",IF(AJ593&gt;AH594,"no"))</f>
        <v>no</v>
      </c>
      <c r="AS593" s="17" t="str">
        <f aca="false">IF(AJ593&gt;AJ594,"FITS BITCH",IF(AJ593&lt;AJ594,"no"))</f>
        <v>FITS BITCH</v>
      </c>
      <c r="AT593" s="91" t="str">
        <f aca="false">IF(AND($AO593="FITS BITCH",$AP593="FITS BITCH",$AR593="FITS BITCH"),"BULLISH","")</f>
        <v/>
      </c>
      <c r="AU593" s="91" t="str">
        <f aca="false">IF(AND($AO593="FITS BITCH",$AQ593="FITS BITCH",$AS593="FITS BITCH"),"BEARISH","")</f>
        <v/>
      </c>
      <c r="AV593" s="86"/>
      <c r="AW593" s="86"/>
      <c r="AX593" s="86"/>
    </row>
    <row r="594" customFormat="false" ht="15.75" hidden="false" customHeight="false" outlineLevel="0" collapsed="false">
      <c r="AE594" s="90" t="n">
        <f aca="false">Data!A589</f>
        <v>42116</v>
      </c>
      <c r="AF594" s="17" t="n">
        <f aca="false">Data!B589</f>
        <v>126.99</v>
      </c>
      <c r="AG594" s="17" t="n">
        <f aca="false">Data!F589</f>
        <v>37654505</v>
      </c>
      <c r="AH594" s="17" t="n">
        <f aca="false">Data!C589</f>
        <v>128.87</v>
      </c>
      <c r="AI594" s="17" t="n">
        <f aca="false">Data!D589</f>
        <v>126.32</v>
      </c>
      <c r="AJ594" s="17" t="n">
        <f aca="false">Data!E589</f>
        <v>128.62</v>
      </c>
      <c r="AK594" s="17" t="n">
        <f aca="false">Data!F589</f>
        <v>37654505</v>
      </c>
      <c r="AL594" s="17" t="n">
        <f aca="false">AJ594</f>
        <v>128.62</v>
      </c>
      <c r="AM594" s="17" t="n">
        <f aca="false">(AL594-AL593)/AL594*100</f>
        <v>-0.816358264655561</v>
      </c>
      <c r="AN594" s="17" t="n">
        <f aca="false">(AK594-AK593)/AK594*100</f>
        <v>-21.5549162045816</v>
      </c>
      <c r="AO594" s="17" t="str">
        <f aca="false">IF(AN594&lt;-8,"FITS BITCH",IF(AN594&gt;-8,"no"))</f>
        <v>FITS BITCH</v>
      </c>
      <c r="AP594" s="17" t="str">
        <f aca="false">IF(AH595&lt;AH594,"FITS BITCH",IF(AH595&gt;AH594,"no"))</f>
        <v>FITS BITCH</v>
      </c>
      <c r="AQ594" s="17" t="str">
        <f aca="false">IF(AI595&lt;AI594,"FITS BITCH",IF(AI595&gt;AI594,"no"))</f>
        <v>no</v>
      </c>
      <c r="AR594" s="17" t="str">
        <f aca="false">IF(AJ594&lt;AH595,"FITS BITCH",IF(AJ594&gt;AH595,"no"))</f>
        <v>no</v>
      </c>
      <c r="AS594" s="17" t="str">
        <f aca="false">IF(AJ594&gt;AJ595,"FITS BITCH",IF(AJ594&lt;AJ595,"no"))</f>
        <v>FITS BITCH</v>
      </c>
      <c r="AT594" s="91" t="str">
        <f aca="false">IF(AND($AO594="FITS BITCH",$AP594="FITS BITCH",$AR594="FITS BITCH"),"BULLISH","")</f>
        <v/>
      </c>
      <c r="AU594" s="91" t="str">
        <f aca="false">IF(AND($AO594="FITS BITCH",$AQ594="FITS BITCH",$AS594="FITS BITCH"),"BEARISH","")</f>
        <v/>
      </c>
      <c r="AV594" s="86"/>
      <c r="AW594" s="86"/>
      <c r="AX594" s="86"/>
    </row>
    <row r="595" customFormat="false" ht="15.75" hidden="false" customHeight="false" outlineLevel="0" collapsed="false">
      <c r="AE595" s="90" t="n">
        <f aca="false">Data!A590</f>
        <v>42115</v>
      </c>
      <c r="AF595" s="17" t="n">
        <f aca="false">Data!B590</f>
        <v>128.1</v>
      </c>
      <c r="AG595" s="17" t="n">
        <f aca="false">Data!F590</f>
        <v>32435057</v>
      </c>
      <c r="AH595" s="17" t="n">
        <f aca="false">Data!C590</f>
        <v>128.2</v>
      </c>
      <c r="AI595" s="17" t="n">
        <f aca="false">Data!D590</f>
        <v>126.67</v>
      </c>
      <c r="AJ595" s="17" t="n">
        <f aca="false">Data!E590</f>
        <v>126.91</v>
      </c>
      <c r="AK595" s="17" t="n">
        <f aca="false">Data!F590</f>
        <v>32435057</v>
      </c>
      <c r="AL595" s="17" t="n">
        <f aca="false">AJ595</f>
        <v>126.91</v>
      </c>
      <c r="AM595" s="17" t="n">
        <f aca="false">(AL595-AL594)/AL595*100</f>
        <v>-1.34741155149319</v>
      </c>
      <c r="AN595" s="17" t="n">
        <f aca="false">(AK595-AK594)/AK595*100</f>
        <v>-16.0919957686524</v>
      </c>
      <c r="AO595" s="17" t="str">
        <f aca="false">IF(AN595&lt;-8,"FITS BITCH",IF(AN595&gt;-8,"no"))</f>
        <v>FITS BITCH</v>
      </c>
      <c r="AP595" s="17" t="str">
        <f aca="false">IF(AH596&lt;AH595,"FITS BITCH",IF(AH596&gt;AH595,"no"))</f>
        <v>FITS BITCH</v>
      </c>
      <c r="AQ595" s="17" t="str">
        <f aca="false">IF(AI596&lt;AI595,"FITS BITCH",IF(AI596&gt;AI595,"no"))</f>
        <v>FITS BITCH</v>
      </c>
      <c r="AR595" s="17" t="str">
        <f aca="false">IF(AJ595&lt;AH596,"FITS BITCH",IF(AJ595&gt;AH596,"no"))</f>
        <v>FITS BITCH</v>
      </c>
      <c r="AS595" s="17" t="str">
        <f aca="false">IF(AJ595&gt;AJ596,"FITS BITCH",IF(AJ595&lt;AJ596,"no"))</f>
        <v>no</v>
      </c>
      <c r="AT595" s="91" t="str">
        <f aca="false">IF(AND($AO595="FITS BITCH",$AP595="FITS BITCH",$AR595="FITS BITCH"),"BULLISH","")</f>
        <v>BULLISH</v>
      </c>
      <c r="AU595" s="91" t="str">
        <f aca="false">IF(AND($AO595="FITS BITCH",$AQ595="FITS BITCH",$AS595="FITS BITCH"),"BEARISH","")</f>
        <v/>
      </c>
      <c r="AV595" s="86"/>
      <c r="AW595" s="86"/>
      <c r="AX595" s="86"/>
    </row>
    <row r="596" customFormat="false" ht="15.75" hidden="false" customHeight="false" outlineLevel="0" collapsed="false">
      <c r="AE596" s="90" t="n">
        <f aca="false">Data!A591</f>
        <v>42114</v>
      </c>
      <c r="AF596" s="17" t="n">
        <f aca="false">Data!B591</f>
        <v>125.57</v>
      </c>
      <c r="AG596" s="17" t="n">
        <f aca="false">Data!F591</f>
        <v>47054310</v>
      </c>
      <c r="AH596" s="17" t="n">
        <f aca="false">Data!C591</f>
        <v>128.12</v>
      </c>
      <c r="AI596" s="17" t="n">
        <f aca="false">Data!D591</f>
        <v>125.17</v>
      </c>
      <c r="AJ596" s="17" t="n">
        <f aca="false">Data!E591</f>
        <v>127.6</v>
      </c>
      <c r="AK596" s="17" t="n">
        <f aca="false">Data!F591</f>
        <v>47054310</v>
      </c>
      <c r="AL596" s="17" t="n">
        <f aca="false">AJ596</f>
        <v>127.6</v>
      </c>
      <c r="AM596" s="17" t="n">
        <f aca="false">(AL596-AL595)/AL596*100</f>
        <v>0.540752351097177</v>
      </c>
      <c r="AN596" s="17" t="n">
        <f aca="false">(AK596-AK595)/AK596*100</f>
        <v>31.0688925201538</v>
      </c>
      <c r="AO596" s="17" t="str">
        <f aca="false">IF(AN596&lt;-8,"FITS BITCH",IF(AN596&gt;-8,"no"))</f>
        <v>no</v>
      </c>
      <c r="AP596" s="17" t="str">
        <f aca="false">IF(AH597&lt;AH596,"FITS BITCH",IF(AH597&gt;AH596,"no"))</f>
        <v>FITS BITCH</v>
      </c>
      <c r="AQ596" s="17" t="str">
        <f aca="false">IF(AI597&lt;AI596,"FITS BITCH",IF(AI597&gt;AI596,"no"))</f>
        <v>FITS BITCH</v>
      </c>
      <c r="AR596" s="17" t="str">
        <f aca="false">IF(AJ596&lt;AH597,"FITS BITCH",IF(AJ596&gt;AH597,"no"))</f>
        <v>no</v>
      </c>
      <c r="AS596" s="17" t="str">
        <f aca="false">IF(AJ596&gt;AJ597,"FITS BITCH",IF(AJ596&lt;AJ597,"no"))</f>
        <v>FITS BITCH</v>
      </c>
      <c r="AT596" s="91" t="str">
        <f aca="false">IF(AND($AO596="FITS BITCH",$AP596="FITS BITCH",$AR596="FITS BITCH"),"BULLISH","")</f>
        <v/>
      </c>
      <c r="AU596" s="91" t="str">
        <f aca="false">IF(AND($AO596="FITS BITCH",$AQ596="FITS BITCH",$AS596="FITS BITCH"),"BEARISH","")</f>
        <v/>
      </c>
      <c r="AV596" s="86"/>
      <c r="AW596" s="86"/>
      <c r="AX596" s="86"/>
    </row>
    <row r="597" customFormat="false" ht="15.75" hidden="false" customHeight="false" outlineLevel="0" collapsed="false">
      <c r="AE597" s="90" t="n">
        <f aca="false">Data!A592</f>
        <v>42111</v>
      </c>
      <c r="AF597" s="17" t="n">
        <f aca="false">Data!B592</f>
        <v>125.55</v>
      </c>
      <c r="AG597" s="17" t="n">
        <f aca="false">Data!F592</f>
        <v>51957046</v>
      </c>
      <c r="AH597" s="17" t="n">
        <f aca="false">Data!C592</f>
        <v>126.14</v>
      </c>
      <c r="AI597" s="17" t="n">
        <f aca="false">Data!D592</f>
        <v>124.46</v>
      </c>
      <c r="AJ597" s="17" t="n">
        <f aca="false">Data!E592</f>
        <v>124.75</v>
      </c>
      <c r="AK597" s="17" t="n">
        <f aca="false">Data!F592</f>
        <v>51957046</v>
      </c>
      <c r="AL597" s="17" t="n">
        <f aca="false">AJ597</f>
        <v>124.75</v>
      </c>
      <c r="AM597" s="17" t="n">
        <f aca="false">(AL597-AL596)/AL597*100</f>
        <v>-2.28456913827655</v>
      </c>
      <c r="AN597" s="17" t="n">
        <f aca="false">(AK597-AK596)/AK597*100</f>
        <v>9.43613307038279</v>
      </c>
      <c r="AO597" s="17" t="str">
        <f aca="false">IF(AN597&lt;-8,"FITS BITCH",IF(AN597&gt;-8,"no"))</f>
        <v>no</v>
      </c>
      <c r="AP597" s="17" t="str">
        <f aca="false">IF(AH598&lt;AH597,"FITS BITCH",IF(AH598&gt;AH597,"no"))</f>
        <v>no</v>
      </c>
      <c r="AQ597" s="17" t="str">
        <f aca="false">IF(AI598&lt;AI597,"FITS BITCH",IF(AI598&gt;AI597,"no"))</f>
        <v>no</v>
      </c>
      <c r="AR597" s="17" t="str">
        <f aca="false">IF(AJ597&lt;AH598,"FITS BITCH",IF(AJ597&gt;AH598,"no"))</f>
        <v>FITS BITCH</v>
      </c>
      <c r="AS597" s="17" t="str">
        <f aca="false">IF(AJ597&gt;AJ598,"FITS BITCH",IF(AJ597&lt;AJ598,"no"))</f>
        <v>no</v>
      </c>
      <c r="AT597" s="91" t="str">
        <f aca="false">IF(AND($AO597="FITS BITCH",$AP597="FITS BITCH",$AR597="FITS BITCH"),"BULLISH","")</f>
        <v/>
      </c>
      <c r="AU597" s="91" t="str">
        <f aca="false">IF(AND($AO597="FITS BITCH",$AQ597="FITS BITCH",$AS597="FITS BITCH"),"BEARISH","")</f>
        <v/>
      </c>
      <c r="AV597" s="86"/>
      <c r="AW597" s="86"/>
      <c r="AX597" s="86"/>
    </row>
    <row r="598" customFormat="false" ht="15.75" hidden="false" customHeight="false" outlineLevel="0" collapsed="false">
      <c r="AE598" s="90" t="n">
        <f aca="false">Data!A593</f>
        <v>42110</v>
      </c>
      <c r="AF598" s="17" t="n">
        <f aca="false">Data!B593</f>
        <v>126.28</v>
      </c>
      <c r="AG598" s="17" t="n">
        <f aca="false">Data!F593</f>
        <v>28368987</v>
      </c>
      <c r="AH598" s="17" t="n">
        <f aca="false">Data!C593</f>
        <v>127.1</v>
      </c>
      <c r="AI598" s="17" t="n">
        <f aca="false">Data!D593</f>
        <v>126.11</v>
      </c>
      <c r="AJ598" s="17" t="n">
        <f aca="false">Data!E593</f>
        <v>126.17</v>
      </c>
      <c r="AK598" s="17" t="n">
        <f aca="false">Data!F593</f>
        <v>28368987</v>
      </c>
      <c r="AL598" s="17" t="n">
        <f aca="false">AJ598</f>
        <v>126.17</v>
      </c>
      <c r="AM598" s="17" t="n">
        <f aca="false">(AL598-AL597)/AL598*100</f>
        <v>1.12546564159468</v>
      </c>
      <c r="AN598" s="17" t="n">
        <f aca="false">(AK598-AK597)/AK598*100</f>
        <v>-83.1473432590314</v>
      </c>
      <c r="AO598" s="17" t="str">
        <f aca="false">IF(AN598&lt;-8,"FITS BITCH",IF(AN598&gt;-8,"no"))</f>
        <v>FITS BITCH</v>
      </c>
      <c r="AP598" s="17" t="str">
        <f aca="false">IF(AH599&lt;AH598,"FITS BITCH",IF(AH599&gt;AH598,"no"))</f>
        <v>no</v>
      </c>
      <c r="AQ598" s="17" t="str">
        <f aca="false">IF(AI599&lt;AI598,"FITS BITCH",IF(AI599&gt;AI598,"no"))</f>
        <v>FITS BITCH</v>
      </c>
      <c r="AR598" s="17" t="str">
        <f aca="false">IF(AJ598&lt;AH599,"FITS BITCH",IF(AJ598&gt;AH599,"no"))</f>
        <v>FITS BITCH</v>
      </c>
      <c r="AS598" s="17" t="str">
        <f aca="false">IF(AJ598&gt;AJ599,"FITS BITCH",IF(AJ598&lt;AJ599,"no"))</f>
        <v>no</v>
      </c>
      <c r="AT598" s="91" t="str">
        <f aca="false">IF(AND($AO598="FITS BITCH",$AP598="FITS BITCH",$AR598="FITS BITCH"),"BULLISH","")</f>
        <v/>
      </c>
      <c r="AU598" s="91" t="str">
        <f aca="false">IF(AND($AO598="FITS BITCH",$AQ598="FITS BITCH",$AS598="FITS BITCH"),"BEARISH","")</f>
        <v/>
      </c>
      <c r="AV598" s="86"/>
      <c r="AW598" s="86"/>
      <c r="AX598" s="86"/>
    </row>
    <row r="599" customFormat="false" ht="15.75" hidden="false" customHeight="false" outlineLevel="0" collapsed="false">
      <c r="AE599" s="90" t="n">
        <f aca="false">Data!A594</f>
        <v>42109</v>
      </c>
      <c r="AF599" s="17" t="n">
        <f aca="false">Data!B594</f>
        <v>126.41</v>
      </c>
      <c r="AG599" s="17" t="n">
        <f aca="false">Data!F594</f>
        <v>28970419</v>
      </c>
      <c r="AH599" s="17" t="n">
        <f aca="false">Data!C594</f>
        <v>127.13</v>
      </c>
      <c r="AI599" s="17" t="n">
        <f aca="false">Data!D594</f>
        <v>126.01</v>
      </c>
      <c r="AJ599" s="17" t="n">
        <f aca="false">Data!E594</f>
        <v>126.78</v>
      </c>
      <c r="AK599" s="17" t="n">
        <f aca="false">Data!F594</f>
        <v>28970419</v>
      </c>
      <c r="AL599" s="17" t="n">
        <f aca="false">AJ599</f>
        <v>126.78</v>
      </c>
      <c r="AM599" s="17" t="n">
        <f aca="false">(AL599-AL598)/AL599*100</f>
        <v>0.481148446127149</v>
      </c>
      <c r="AN599" s="17" t="n">
        <f aca="false">(AK599-AK598)/AK599*100</f>
        <v>2.07602106134537</v>
      </c>
      <c r="AO599" s="17" t="str">
        <f aca="false">IF(AN599&lt;-8,"FITS BITCH",IF(AN599&gt;-8,"no"))</f>
        <v>no</v>
      </c>
      <c r="AP599" s="17" t="str">
        <f aca="false">IF(AH600&lt;AH599,"FITS BITCH",IF(AH600&gt;AH599,"no"))</f>
        <v>no</v>
      </c>
      <c r="AQ599" s="17" t="str">
        <f aca="false">IF(AI600&lt;AI599,"FITS BITCH",IF(AI600&gt;AI599,"no"))</f>
        <v>FITS BITCH</v>
      </c>
      <c r="AR599" s="17" t="str">
        <f aca="false">IF(AJ599&lt;AH600,"FITS BITCH",IF(AJ599&gt;AH600,"no"))</f>
        <v>FITS BITCH</v>
      </c>
      <c r="AS599" s="17" t="str">
        <f aca="false">IF(AJ599&gt;AJ600,"FITS BITCH",IF(AJ599&lt;AJ600,"no"))</f>
        <v>FITS BITCH</v>
      </c>
      <c r="AT599" s="91" t="str">
        <f aca="false">IF(AND($AO599="FITS BITCH",$AP599="FITS BITCH",$AR599="FITS BITCH"),"BULLISH","")</f>
        <v/>
      </c>
      <c r="AU599" s="91" t="str">
        <f aca="false">IF(AND($AO599="FITS BITCH",$AQ599="FITS BITCH",$AS599="FITS BITCH"),"BEARISH","")</f>
        <v/>
      </c>
      <c r="AV599" s="86"/>
      <c r="AW599" s="86"/>
      <c r="AX599" s="86"/>
    </row>
    <row r="600" customFormat="false" ht="15.75" hidden="false" customHeight="false" outlineLevel="0" collapsed="false">
      <c r="AE600" s="90" t="n">
        <f aca="false">Data!A595</f>
        <v>42108</v>
      </c>
      <c r="AF600" s="17" t="n">
        <f aca="false">Data!B595</f>
        <v>127</v>
      </c>
      <c r="AG600" s="17" t="n">
        <f aca="false">Data!F595</f>
        <v>25524593</v>
      </c>
      <c r="AH600" s="17" t="n">
        <f aca="false">Data!C595</f>
        <v>127.29</v>
      </c>
      <c r="AI600" s="17" t="n">
        <f aca="false">Data!D595</f>
        <v>125.91</v>
      </c>
      <c r="AJ600" s="17" t="n">
        <f aca="false">Data!E595</f>
        <v>126.3</v>
      </c>
      <c r="AK600" s="17" t="n">
        <f aca="false">Data!F595</f>
        <v>25524593</v>
      </c>
      <c r="AL600" s="17" t="n">
        <f aca="false">AJ600</f>
        <v>126.3</v>
      </c>
      <c r="AM600" s="17" t="n">
        <f aca="false">(AL600-AL599)/AL600*100</f>
        <v>-0.380047505938245</v>
      </c>
      <c r="AN600" s="17" t="n">
        <f aca="false">(AK600-AK599)/AK600*100</f>
        <v>-13.5000232912627</v>
      </c>
      <c r="AO600" s="17" t="str">
        <f aca="false">IF(AN600&lt;-8,"FITS BITCH",IF(AN600&gt;-8,"no"))</f>
        <v>FITS BITCH</v>
      </c>
      <c r="AP600" s="17" t="str">
        <f aca="false">IF(AH601&lt;AH600,"FITS BITCH",IF(AH601&gt;AH600,"no"))</f>
        <v>no</v>
      </c>
      <c r="AQ600" s="17" t="str">
        <f aca="false">IF(AI601&lt;AI600,"FITS BITCH",IF(AI601&gt;AI600,"no"))</f>
        <v>no</v>
      </c>
      <c r="AR600" s="17" t="str">
        <f aca="false">IF(AJ600&lt;AH601,"FITS BITCH",IF(AJ600&gt;AH601,"no"))</f>
        <v>FITS BITCH</v>
      </c>
      <c r="AS600" s="17" t="str">
        <f aca="false">IF(AJ600&gt;AJ601,"FITS BITCH",IF(AJ600&lt;AJ601,"no"))</f>
        <v>no</v>
      </c>
      <c r="AT600" s="91" t="str">
        <f aca="false">IF(AND($AO600="FITS BITCH",$AP600="FITS BITCH",$AR600="FITS BITCH"),"BULLISH","")</f>
        <v/>
      </c>
      <c r="AU600" s="91" t="str">
        <f aca="false">IF(AND($AO600="FITS BITCH",$AQ600="FITS BITCH",$AS600="FITS BITCH"),"BEARISH","")</f>
        <v/>
      </c>
      <c r="AV600" s="86"/>
      <c r="AW600" s="86"/>
      <c r="AX600" s="86"/>
    </row>
    <row r="601" customFormat="false" ht="15.75" hidden="false" customHeight="false" outlineLevel="0" collapsed="false">
      <c r="AE601" s="90" t="n">
        <f aca="false">Data!A596</f>
        <v>42107</v>
      </c>
      <c r="AF601" s="17" t="n">
        <f aca="false">Data!B596</f>
        <v>128.37</v>
      </c>
      <c r="AG601" s="17" t="n">
        <f aca="false">Data!F596</f>
        <v>36365123</v>
      </c>
      <c r="AH601" s="17" t="n">
        <f aca="false">Data!C596</f>
        <v>128.57</v>
      </c>
      <c r="AI601" s="17" t="n">
        <f aca="false">Data!D596</f>
        <v>126.61</v>
      </c>
      <c r="AJ601" s="17" t="n">
        <f aca="false">Data!E596</f>
        <v>126.85</v>
      </c>
      <c r="AK601" s="17" t="n">
        <f aca="false">Data!F596</f>
        <v>36365123</v>
      </c>
      <c r="AL601" s="17" t="n">
        <f aca="false">AJ601</f>
        <v>126.85</v>
      </c>
      <c r="AM601" s="17" t="n">
        <f aca="false">(AL601-AL600)/AL601*100</f>
        <v>0.433582972014188</v>
      </c>
      <c r="AN601" s="17" t="n">
        <f aca="false">(AK601-AK600)/AK601*100</f>
        <v>29.810238782913</v>
      </c>
      <c r="AO601" s="17" t="str">
        <f aca="false">IF(AN601&lt;-8,"FITS BITCH",IF(AN601&gt;-8,"no"))</f>
        <v>no</v>
      </c>
      <c r="AP601" s="17" t="str">
        <f aca="false">IF(AH602&lt;AH601,"FITS BITCH",IF(AH602&gt;AH601,"no"))</f>
        <v>FITS BITCH</v>
      </c>
      <c r="AQ601" s="17" t="str">
        <f aca="false">IF(AI602&lt;AI601,"FITS BITCH",IF(AI602&gt;AI601,"no"))</f>
        <v>FITS BITCH</v>
      </c>
      <c r="AR601" s="17" t="str">
        <f aca="false">IF(AJ601&lt;AH602,"FITS BITCH",IF(AJ601&gt;AH602,"no"))</f>
        <v>FITS BITCH</v>
      </c>
      <c r="AS601" s="17" t="str">
        <f aca="false">IF(AJ601&gt;AJ602,"FITS BITCH",IF(AJ601&lt;AJ602,"no"))</f>
        <v>no</v>
      </c>
      <c r="AT601" s="91" t="str">
        <f aca="false">IF(AND($AO601="FITS BITCH",$AP601="FITS BITCH",$AR601="FITS BITCH"),"BULLISH","")</f>
        <v/>
      </c>
      <c r="AU601" s="91" t="str">
        <f aca="false">IF(AND($AO601="FITS BITCH",$AQ601="FITS BITCH",$AS601="FITS BITCH"),"BEARISH","")</f>
        <v/>
      </c>
      <c r="AV601" s="86"/>
      <c r="AW601" s="86"/>
      <c r="AX601" s="86"/>
    </row>
    <row r="602" customFormat="false" ht="15.75" hidden="false" customHeight="false" outlineLevel="0" collapsed="false">
      <c r="AE602" s="90" t="n">
        <f aca="false">Data!A597</f>
        <v>42104</v>
      </c>
      <c r="AF602" s="17" t="n">
        <f aca="false">Data!B597</f>
        <v>125.95</v>
      </c>
      <c r="AG602" s="17" t="n">
        <f aca="false">Data!F597</f>
        <v>40187953</v>
      </c>
      <c r="AH602" s="17" t="n">
        <f aca="false">Data!C597</f>
        <v>127.21</v>
      </c>
      <c r="AI602" s="17" t="n">
        <f aca="false">Data!D597</f>
        <v>125.26</v>
      </c>
      <c r="AJ602" s="17" t="n">
        <f aca="false">Data!E597</f>
        <v>127.1</v>
      </c>
      <c r="AK602" s="17" t="n">
        <f aca="false">Data!F597</f>
        <v>40187953</v>
      </c>
      <c r="AL602" s="17" t="n">
        <f aca="false">AJ602</f>
        <v>127.1</v>
      </c>
      <c r="AM602" s="17" t="n">
        <f aca="false">(AL602-AL601)/AL602*100</f>
        <v>0.19669551534225</v>
      </c>
      <c r="AN602" s="17" t="n">
        <f aca="false">(AK602-AK601)/AK602*100</f>
        <v>9.51237800044207</v>
      </c>
      <c r="AO602" s="17" t="str">
        <f aca="false">IF(AN602&lt;-8,"FITS BITCH",IF(AN602&gt;-8,"no"))</f>
        <v>no</v>
      </c>
      <c r="AP602" s="17" t="str">
        <f aca="false">IF(AH603&lt;AH602,"FITS BITCH",IF(AH603&gt;AH602,"no"))</f>
        <v>FITS BITCH</v>
      </c>
      <c r="AQ602" s="17" t="str">
        <f aca="false">IF(AI603&lt;AI602,"FITS BITCH",IF(AI603&gt;AI602,"no"))</f>
        <v>FITS BITCH</v>
      </c>
      <c r="AR602" s="17" t="str">
        <f aca="false">IF(AJ602&lt;AH603,"FITS BITCH",IF(AJ602&gt;AH603,"no"))</f>
        <v>no</v>
      </c>
      <c r="AS602" s="17" t="str">
        <f aca="false">IF(AJ602&gt;AJ603,"FITS BITCH",IF(AJ602&lt;AJ603,"no"))</f>
        <v>FITS BITCH</v>
      </c>
      <c r="AT602" s="91" t="str">
        <f aca="false">IF(AND($AO602="FITS BITCH",$AP602="FITS BITCH",$AR602="FITS BITCH"),"BULLISH","")</f>
        <v/>
      </c>
      <c r="AU602" s="91" t="str">
        <f aca="false">IF(AND($AO602="FITS BITCH",$AQ602="FITS BITCH",$AS602="FITS BITCH"),"BEARISH","")</f>
        <v/>
      </c>
      <c r="AV602" s="86"/>
      <c r="AW602" s="86"/>
      <c r="AX602" s="86"/>
    </row>
    <row r="603" customFormat="false" ht="15.75" hidden="false" customHeight="false" outlineLevel="0" collapsed="false">
      <c r="AE603" s="90" t="n">
        <f aca="false">Data!A598</f>
        <v>42103</v>
      </c>
      <c r="AF603" s="17" t="n">
        <f aca="false">Data!B598</f>
        <v>125.85</v>
      </c>
      <c r="AG603" s="17" t="n">
        <f aca="false">Data!F598</f>
        <v>32483974</v>
      </c>
      <c r="AH603" s="17" t="n">
        <f aca="false">Data!C598</f>
        <v>126.58</v>
      </c>
      <c r="AI603" s="17" t="n">
        <f aca="false">Data!D598</f>
        <v>124.66</v>
      </c>
      <c r="AJ603" s="17" t="n">
        <f aca="false">Data!E598</f>
        <v>126.56</v>
      </c>
      <c r="AK603" s="17" t="n">
        <f aca="false">Data!F598</f>
        <v>32483974</v>
      </c>
      <c r="AL603" s="17" t="n">
        <f aca="false">AJ603</f>
        <v>126.56</v>
      </c>
      <c r="AM603" s="17" t="n">
        <f aca="false">(AL603-AL602)/AL603*100</f>
        <v>-0.426675094816682</v>
      </c>
      <c r="AN603" s="17" t="n">
        <f aca="false">(AK603-AK602)/AK603*100</f>
        <v>-23.7162454322861</v>
      </c>
      <c r="AO603" s="17" t="str">
        <f aca="false">IF(AN603&lt;-8,"FITS BITCH",IF(AN603&gt;-8,"no"))</f>
        <v>FITS BITCH</v>
      </c>
      <c r="AP603" s="17" t="str">
        <f aca="false">IF(AH604&lt;AH603,"FITS BITCH",IF(AH604&gt;AH603,"no"))</f>
        <v>FITS BITCH</v>
      </c>
      <c r="AQ603" s="17" t="str">
        <f aca="false">IF(AI604&lt;AI603,"FITS BITCH",IF(AI604&gt;AI603,"no"))</f>
        <v>no</v>
      </c>
      <c r="AR603" s="17" t="str">
        <f aca="false">IF(AJ603&lt;AH604,"FITS BITCH",IF(AJ603&gt;AH604,"no"))</f>
        <v>no</v>
      </c>
      <c r="AS603" s="17" t="str">
        <f aca="false">IF(AJ603&gt;AJ604,"FITS BITCH",IF(AJ603&lt;AJ604,"no"))</f>
        <v>FITS BITCH</v>
      </c>
      <c r="AT603" s="91" t="str">
        <f aca="false">IF(AND($AO603="FITS BITCH",$AP603="FITS BITCH",$AR603="FITS BITCH"),"BULLISH","")</f>
        <v/>
      </c>
      <c r="AU603" s="91" t="str">
        <f aca="false">IF(AND($AO603="FITS BITCH",$AQ603="FITS BITCH",$AS603="FITS BITCH"),"BEARISH","")</f>
        <v/>
      </c>
      <c r="AV603" s="86"/>
      <c r="AW603" s="86"/>
      <c r="AX603" s="86"/>
    </row>
    <row r="604" customFormat="false" ht="15.75" hidden="false" customHeight="false" outlineLevel="0" collapsed="false">
      <c r="AE604" s="90" t="n">
        <f aca="false">Data!A599</f>
        <v>42102</v>
      </c>
      <c r="AF604" s="17" t="n">
        <f aca="false">Data!B599</f>
        <v>125.85</v>
      </c>
      <c r="AG604" s="17" t="n">
        <f aca="false">Data!F599</f>
        <v>37329243</v>
      </c>
      <c r="AH604" s="17" t="n">
        <f aca="false">Data!C599</f>
        <v>126.4</v>
      </c>
      <c r="AI604" s="17" t="n">
        <f aca="false">Data!D599</f>
        <v>124.97</v>
      </c>
      <c r="AJ604" s="17" t="n">
        <f aca="false">Data!E599</f>
        <v>125.6</v>
      </c>
      <c r="AK604" s="17" t="n">
        <f aca="false">Data!F599</f>
        <v>37329243</v>
      </c>
      <c r="AL604" s="17" t="n">
        <f aca="false">AJ604</f>
        <v>125.6</v>
      </c>
      <c r="AM604" s="17" t="n">
        <f aca="false">(AL604-AL603)/AL604*100</f>
        <v>-0.764331210191089</v>
      </c>
      <c r="AN604" s="17" t="n">
        <f aca="false">(AK604-AK603)/AK604*100</f>
        <v>12.979821208804</v>
      </c>
      <c r="AO604" s="17" t="str">
        <f aca="false">IF(AN604&lt;-8,"FITS BITCH",IF(AN604&gt;-8,"no"))</f>
        <v>no</v>
      </c>
      <c r="AP604" s="17" t="str">
        <f aca="false">IF(AH605&lt;AH604,"FITS BITCH",IF(AH605&gt;AH604,"no"))</f>
        <v>no</v>
      </c>
      <c r="AQ604" s="17" t="str">
        <f aca="false">IF(AI605&lt;AI604,"FITS BITCH",IF(AI605&gt;AI604,"no"))</f>
        <v>no</v>
      </c>
      <c r="AR604" s="17" t="str">
        <f aca="false">IF(AJ604&lt;AH605,"FITS BITCH",IF(AJ604&gt;AH605,"no"))</f>
        <v>FITS BITCH</v>
      </c>
      <c r="AS604" s="17" t="str">
        <f aca="false">IF(AJ604&gt;AJ605,"FITS BITCH",IF(AJ604&lt;AJ605,"no"))</f>
        <v>no</v>
      </c>
      <c r="AT604" s="91" t="str">
        <f aca="false">IF(AND($AO604="FITS BITCH",$AP604="FITS BITCH",$AR604="FITS BITCH"),"BULLISH","")</f>
        <v/>
      </c>
      <c r="AU604" s="91" t="str">
        <f aca="false">IF(AND($AO604="FITS BITCH",$AQ604="FITS BITCH",$AS604="FITS BITCH"),"BEARISH","")</f>
        <v/>
      </c>
      <c r="AV604" s="86"/>
      <c r="AW604" s="86"/>
      <c r="AX604" s="86"/>
    </row>
    <row r="605" customFormat="false" ht="15.75" hidden="false" customHeight="false" outlineLevel="0" collapsed="false">
      <c r="AE605" s="90" t="n">
        <f aca="false">Data!A600</f>
        <v>42101</v>
      </c>
      <c r="AF605" s="17" t="n">
        <f aca="false">Data!B600</f>
        <v>127.64</v>
      </c>
      <c r="AG605" s="17" t="n">
        <f aca="false">Data!F600</f>
        <v>35012268</v>
      </c>
      <c r="AH605" s="17" t="n">
        <f aca="false">Data!C600</f>
        <v>128.12</v>
      </c>
      <c r="AI605" s="17" t="n">
        <f aca="false">Data!D600</f>
        <v>125.98</v>
      </c>
      <c r="AJ605" s="17" t="n">
        <f aca="false">Data!E600</f>
        <v>126.01</v>
      </c>
      <c r="AK605" s="17" t="n">
        <f aca="false">Data!F600</f>
        <v>35012268</v>
      </c>
      <c r="AL605" s="17" t="n">
        <f aca="false">AJ605</f>
        <v>126.01</v>
      </c>
      <c r="AM605" s="17" t="n">
        <f aca="false">(AL605-AL604)/AL605*100</f>
        <v>0.325371002301413</v>
      </c>
      <c r="AN605" s="17" t="n">
        <f aca="false">(AK605-AK604)/AK605*100</f>
        <v>-6.61760900493507</v>
      </c>
      <c r="AO605" s="17" t="str">
        <f aca="false">IF(AN605&lt;-8,"FITS BITCH",IF(AN605&gt;-8,"no"))</f>
        <v>no</v>
      </c>
      <c r="AP605" s="17" t="str">
        <f aca="false">IF(AH606&lt;AH605,"FITS BITCH",IF(AH606&gt;AH605,"no"))</f>
        <v>FITS BITCH</v>
      </c>
      <c r="AQ605" s="17" t="str">
        <f aca="false">IF(AI606&lt;AI605,"FITS BITCH",IF(AI606&gt;AI605,"no"))</f>
        <v>FITS BITCH</v>
      </c>
      <c r="AR605" s="17" t="str">
        <f aca="false">IF(AJ605&lt;AH606,"FITS BITCH",IF(AJ605&gt;AH606,"no"))</f>
        <v>FITS BITCH</v>
      </c>
      <c r="AS605" s="17" t="str">
        <f aca="false">IF(AJ605&gt;AJ606,"FITS BITCH",IF(AJ605&lt;AJ606,"no"))</f>
        <v>no</v>
      </c>
      <c r="AT605" s="91" t="str">
        <f aca="false">IF(AND($AO605="FITS BITCH",$AP605="FITS BITCH",$AR605="FITS BITCH"),"BULLISH","")</f>
        <v/>
      </c>
      <c r="AU605" s="91" t="str">
        <f aca="false">IF(AND($AO605="FITS BITCH",$AQ605="FITS BITCH",$AS605="FITS BITCH"),"BEARISH","")</f>
        <v/>
      </c>
      <c r="AV605" s="86"/>
      <c r="AW605" s="86"/>
      <c r="AX605" s="86"/>
    </row>
    <row r="606" customFormat="false" ht="15.75" hidden="false" customHeight="false" outlineLevel="0" collapsed="false">
      <c r="AE606" s="90" t="n">
        <f aca="false">Data!A601</f>
        <v>42100</v>
      </c>
      <c r="AF606" s="17" t="n">
        <f aca="false">Data!B601</f>
        <v>124.47</v>
      </c>
      <c r="AG606" s="17" t="n">
        <f aca="false">Data!F601</f>
        <v>37193975</v>
      </c>
      <c r="AH606" s="17" t="n">
        <f aca="false">Data!C601</f>
        <v>127.51</v>
      </c>
      <c r="AI606" s="17" t="n">
        <f aca="false">Data!D601</f>
        <v>124.33</v>
      </c>
      <c r="AJ606" s="17" t="n">
        <f aca="false">Data!E601</f>
        <v>127.35</v>
      </c>
      <c r="AK606" s="17" t="n">
        <f aca="false">Data!F601</f>
        <v>37193975</v>
      </c>
      <c r="AL606" s="17" t="n">
        <f aca="false">AJ606</f>
        <v>127.35</v>
      </c>
      <c r="AM606" s="17" t="n">
        <f aca="false">(AL606-AL605)/AL606*100</f>
        <v>1.05221829603454</v>
      </c>
      <c r="AN606" s="17" t="n">
        <f aca="false">(AK606-AK605)/AK606*100</f>
        <v>5.86575379480144</v>
      </c>
      <c r="AO606" s="17" t="str">
        <f aca="false">IF(AN606&lt;-8,"FITS BITCH",IF(AN606&gt;-8,"no"))</f>
        <v>no</v>
      </c>
      <c r="AP606" s="17" t="str">
        <f aca="false">IF(AH607&lt;AH606,"FITS BITCH",IF(AH607&gt;AH606,"no"))</f>
        <v>FITS BITCH</v>
      </c>
      <c r="AQ606" s="17" t="str">
        <f aca="false">IF(AI607&lt;AI606,"FITS BITCH",IF(AI607&gt;AI606,"no"))</f>
        <v>FITS BITCH</v>
      </c>
      <c r="AR606" s="17" t="str">
        <f aca="false">IF(AJ606&lt;AH607,"FITS BITCH",IF(AJ606&gt;AH607,"no"))</f>
        <v>no</v>
      </c>
      <c r="AS606" s="17" t="str">
        <f aca="false">IF(AJ606&gt;AJ607,"FITS BITCH",IF(AJ606&lt;AJ607,"no"))</f>
        <v>FITS BITCH</v>
      </c>
      <c r="AT606" s="91" t="str">
        <f aca="false">IF(AND($AO606="FITS BITCH",$AP606="FITS BITCH",$AR606="FITS BITCH"),"BULLISH","")</f>
        <v/>
      </c>
      <c r="AU606" s="91" t="str">
        <f aca="false">IF(AND($AO606="FITS BITCH",$AQ606="FITS BITCH",$AS606="FITS BITCH"),"BEARISH","")</f>
        <v/>
      </c>
      <c r="AV606" s="86"/>
      <c r="AW606" s="86"/>
      <c r="AX606" s="86"/>
    </row>
    <row r="607" customFormat="false" ht="15.75" hidden="false" customHeight="false" outlineLevel="0" collapsed="false">
      <c r="AE607" s="90" t="n">
        <f aca="false">Data!A602</f>
        <v>42096</v>
      </c>
      <c r="AF607" s="17" t="n">
        <f aca="false">Data!B602</f>
        <v>125.03</v>
      </c>
      <c r="AG607" s="17" t="n">
        <f aca="false">Data!F602</f>
        <v>32220131</v>
      </c>
      <c r="AH607" s="17" t="n">
        <f aca="false">Data!C602</f>
        <v>125.56</v>
      </c>
      <c r="AI607" s="17" t="n">
        <f aca="false">Data!D602</f>
        <v>124.19</v>
      </c>
      <c r="AJ607" s="17" t="n">
        <f aca="false">Data!E602</f>
        <v>125.32</v>
      </c>
      <c r="AK607" s="17" t="n">
        <f aca="false">Data!F602</f>
        <v>32220131</v>
      </c>
      <c r="AL607" s="17" t="n">
        <f aca="false">AJ607</f>
        <v>125.32</v>
      </c>
      <c r="AM607" s="17" t="n">
        <f aca="false">(AL607-AL606)/AL607*100</f>
        <v>-1.61985317586977</v>
      </c>
      <c r="AN607" s="17" t="n">
        <f aca="false">(AK607-AK606)/AK607*100</f>
        <v>-15.4370694520143</v>
      </c>
      <c r="AO607" s="17" t="str">
        <f aca="false">IF(AN607&lt;-8,"FITS BITCH",IF(AN607&gt;-8,"no"))</f>
        <v>FITS BITCH</v>
      </c>
      <c r="AP607" s="17" t="str">
        <f aca="false">IF(AH608&lt;AH607,"FITS BITCH",IF(AH608&gt;AH607,"no"))</f>
        <v>FITS BITCH</v>
      </c>
      <c r="AQ607" s="17" t="str">
        <f aca="false">IF(AI608&lt;AI607,"FITS BITCH",IF(AI608&gt;AI607,"no"))</f>
        <v>FITS BITCH</v>
      </c>
      <c r="AR607" s="17" t="str">
        <f aca="false">IF(AJ607&lt;AH608,"FITS BITCH",IF(AJ607&gt;AH608,"no"))</f>
        <v>no</v>
      </c>
      <c r="AS607" s="17" t="str">
        <f aca="false">IF(AJ607&gt;AJ608,"FITS BITCH",IF(AJ607&lt;AJ608,"no"))</f>
        <v>FITS BITCH</v>
      </c>
      <c r="AT607" s="91" t="str">
        <f aca="false">IF(AND($AO607="FITS BITCH",$AP607="FITS BITCH",$AR607="FITS BITCH"),"BULLISH","")</f>
        <v/>
      </c>
      <c r="AU607" s="91" t="str">
        <f aca="false">IF(AND($AO607="FITS BITCH",$AQ607="FITS BITCH",$AS607="FITS BITCH"),"BEARISH","")</f>
        <v>BEARISH</v>
      </c>
      <c r="AV607" s="86"/>
      <c r="AW607" s="86"/>
      <c r="AX607" s="86"/>
    </row>
    <row r="608" customFormat="false" ht="15.75" hidden="false" customHeight="false" outlineLevel="0" collapsed="false">
      <c r="AE608" s="90" t="n">
        <f aca="false">Data!A603</f>
        <v>42095</v>
      </c>
      <c r="AF608" s="17" t="n">
        <f aca="false">Data!B603</f>
        <v>124.82</v>
      </c>
      <c r="AG608" s="17" t="n">
        <f aca="false">Data!F603</f>
        <v>40621437</v>
      </c>
      <c r="AH608" s="17" t="n">
        <f aca="false">Data!C603</f>
        <v>125.12</v>
      </c>
      <c r="AI608" s="17" t="n">
        <f aca="false">Data!D603</f>
        <v>123.1</v>
      </c>
      <c r="AJ608" s="17" t="n">
        <f aca="false">Data!E603</f>
        <v>124.25</v>
      </c>
      <c r="AK608" s="17" t="n">
        <f aca="false">Data!F603</f>
        <v>40621437</v>
      </c>
      <c r="AL608" s="17" t="n">
        <f aca="false">AJ608</f>
        <v>124.25</v>
      </c>
      <c r="AM608" s="17" t="n">
        <f aca="false">(AL608-AL607)/AL608*100</f>
        <v>-0.861167002012067</v>
      </c>
      <c r="AN608" s="17" t="n">
        <f aca="false">(AK608-AK607)/AK608*100</f>
        <v>20.6819517487774</v>
      </c>
      <c r="AO608" s="17" t="str">
        <f aca="false">IF(AN608&lt;-8,"FITS BITCH",IF(AN608&gt;-8,"no"))</f>
        <v>no</v>
      </c>
      <c r="AP608" s="17" t="str">
        <f aca="false">IF(AH609&lt;AH608,"FITS BITCH",IF(AH609&gt;AH608,"no"))</f>
        <v>no</v>
      </c>
      <c r="AQ608" s="17" t="str">
        <f aca="false">IF(AI609&lt;AI608,"FITS BITCH",IF(AI609&gt;AI608,"no"))</f>
        <v>no</v>
      </c>
      <c r="AR608" s="17" t="str">
        <f aca="false">IF(AJ608&lt;AH609,"FITS BITCH",IF(AJ608&gt;AH609,"no"))</f>
        <v>FITS BITCH</v>
      </c>
      <c r="AS608" s="17" t="str">
        <f aca="false">IF(AJ608&gt;AJ609,"FITS BITCH",IF(AJ608&lt;AJ609,"no"))</f>
        <v>no</v>
      </c>
      <c r="AT608" s="91" t="str">
        <f aca="false">IF(AND($AO608="FITS BITCH",$AP608="FITS BITCH",$AR608="FITS BITCH"),"BULLISH","")</f>
        <v/>
      </c>
      <c r="AU608" s="91" t="str">
        <f aca="false">IF(AND($AO608="FITS BITCH",$AQ608="FITS BITCH",$AS608="FITS BITCH"),"BEARISH","")</f>
        <v/>
      </c>
      <c r="AV608" s="86"/>
      <c r="AW608" s="86"/>
      <c r="AX608" s="86"/>
    </row>
    <row r="609" customFormat="false" ht="15.75" hidden="false" customHeight="false" outlineLevel="0" collapsed="false">
      <c r="AE609" s="90" t="n">
        <f aca="false">Data!A604</f>
        <v>42094</v>
      </c>
      <c r="AF609" s="17" t="n">
        <f aca="false">Data!B604</f>
        <v>126.09</v>
      </c>
      <c r="AG609" s="17" t="n">
        <f aca="false">Data!F604</f>
        <v>42090553</v>
      </c>
      <c r="AH609" s="17" t="n">
        <f aca="false">Data!C604</f>
        <v>126.49</v>
      </c>
      <c r="AI609" s="17" t="n">
        <f aca="false">Data!D604</f>
        <v>124.36</v>
      </c>
      <c r="AJ609" s="17" t="n">
        <f aca="false">Data!E604</f>
        <v>124.43</v>
      </c>
      <c r="AK609" s="17" t="n">
        <f aca="false">Data!F604</f>
        <v>42090553</v>
      </c>
      <c r="AL609" s="17" t="n">
        <f aca="false">AJ609</f>
        <v>124.43</v>
      </c>
      <c r="AM609" s="17" t="n">
        <f aca="false">(AL609-AL608)/AL609*100</f>
        <v>0.144659647994862</v>
      </c>
      <c r="AN609" s="17" t="n">
        <f aca="false">(AK609-AK608)/AK609*100</f>
        <v>3.49036991744917</v>
      </c>
      <c r="AO609" s="17" t="str">
        <f aca="false">IF(AN609&lt;-8,"FITS BITCH",IF(AN609&gt;-8,"no"))</f>
        <v>no</v>
      </c>
      <c r="AP609" s="17" t="str">
        <f aca="false">IF(AH610&lt;AH609,"FITS BITCH",IF(AH610&gt;AH609,"no"))</f>
        <v>FITS BITCH</v>
      </c>
      <c r="AQ609" s="17" t="str">
        <f aca="false">IF(AI610&lt;AI609,"FITS BITCH",IF(AI610&gt;AI609,"no"))</f>
        <v>FITS BITCH</v>
      </c>
      <c r="AR609" s="17" t="str">
        <f aca="false">IF(AJ609&lt;AH610,"FITS BITCH",IF(AJ609&gt;AH610,"no"))</f>
        <v>FITS BITCH</v>
      </c>
      <c r="AS609" s="17" t="str">
        <f aca="false">IF(AJ609&gt;AJ610,"FITS BITCH",IF(AJ609&lt;AJ610,"no"))</f>
        <v>no</v>
      </c>
      <c r="AT609" s="91" t="str">
        <f aca="false">IF(AND($AO609="FITS BITCH",$AP609="FITS BITCH",$AR609="FITS BITCH"),"BULLISH","")</f>
        <v/>
      </c>
      <c r="AU609" s="91" t="str">
        <f aca="false">IF(AND($AO609="FITS BITCH",$AQ609="FITS BITCH",$AS609="FITS BITCH"),"BEARISH","")</f>
        <v/>
      </c>
      <c r="AV609" s="86"/>
      <c r="AW609" s="86"/>
      <c r="AX609" s="86"/>
    </row>
    <row r="610" customFormat="false" ht="15.75" hidden="false" customHeight="false" outlineLevel="0" collapsed="false">
      <c r="AE610" s="90" t="n">
        <f aca="false">Data!A605</f>
        <v>42093</v>
      </c>
      <c r="AF610" s="17" t="n">
        <f aca="false">Data!B605</f>
        <v>124.05</v>
      </c>
      <c r="AG610" s="17" t="n">
        <f aca="false">Data!F605</f>
        <v>47099670</v>
      </c>
      <c r="AH610" s="17" t="n">
        <f aca="false">Data!C605</f>
        <v>126.4</v>
      </c>
      <c r="AI610" s="17" t="n">
        <f aca="false">Data!D605</f>
        <v>124</v>
      </c>
      <c r="AJ610" s="17" t="n">
        <f aca="false">Data!E605</f>
        <v>126.37</v>
      </c>
      <c r="AK610" s="17" t="n">
        <f aca="false">Data!F605</f>
        <v>47099670</v>
      </c>
      <c r="AL610" s="17" t="n">
        <f aca="false">AJ610</f>
        <v>126.37</v>
      </c>
      <c r="AM610" s="17" t="n">
        <f aca="false">(AL610-AL609)/AL610*100</f>
        <v>1.53517448761573</v>
      </c>
      <c r="AN610" s="17" t="n">
        <f aca="false">(AK610-AK609)/AK610*100</f>
        <v>10.635142454289</v>
      </c>
      <c r="AO610" s="17" t="str">
        <f aca="false">IF(AN610&lt;-8,"FITS BITCH",IF(AN610&gt;-8,"no"))</f>
        <v>no</v>
      </c>
      <c r="AP610" s="17" t="str">
        <f aca="false">IF(AH611&lt;AH610,"FITS BITCH",IF(AH611&gt;AH610,"no"))</f>
        <v>FITS BITCH</v>
      </c>
      <c r="AQ610" s="17" t="str">
        <f aca="false">IF(AI611&lt;AI610,"FITS BITCH",IF(AI611&gt;AI610,"no"))</f>
        <v>FITS BITCH</v>
      </c>
      <c r="AR610" s="17" t="str">
        <f aca="false">IF(AJ610&lt;AH611,"FITS BITCH",IF(AJ610&gt;AH611,"no"))</f>
        <v>no</v>
      </c>
      <c r="AS610" s="17" t="str">
        <f aca="false">IF(AJ610&gt;AJ611,"FITS BITCH",IF(AJ610&lt;AJ611,"no"))</f>
        <v>FITS BITCH</v>
      </c>
      <c r="AT610" s="91" t="str">
        <f aca="false">IF(AND($AO610="FITS BITCH",$AP610="FITS BITCH",$AR610="FITS BITCH"),"BULLISH","")</f>
        <v/>
      </c>
      <c r="AU610" s="91" t="str">
        <f aca="false">IF(AND($AO610="FITS BITCH",$AQ610="FITS BITCH",$AS610="FITS BITCH"),"BEARISH","")</f>
        <v/>
      </c>
      <c r="AV610" s="86"/>
      <c r="AW610" s="86"/>
      <c r="AX610" s="86"/>
    </row>
    <row r="611" customFormat="false" ht="15.75" hidden="false" customHeight="false" outlineLevel="0" collapsed="false">
      <c r="AE611" s="90" t="n">
        <f aca="false">Data!A606</f>
        <v>42090</v>
      </c>
      <c r="AF611" s="17" t="n">
        <f aca="false">Data!B606</f>
        <v>124.57</v>
      </c>
      <c r="AG611" s="17" t="n">
        <f aca="false">Data!F606</f>
        <v>39546151</v>
      </c>
      <c r="AH611" s="17" t="n">
        <f aca="false">Data!C606</f>
        <v>124.7</v>
      </c>
      <c r="AI611" s="17" t="n">
        <f aca="false">Data!D606</f>
        <v>122.91</v>
      </c>
      <c r="AJ611" s="17" t="n">
        <f aca="false">Data!E606</f>
        <v>123.25</v>
      </c>
      <c r="AK611" s="17" t="n">
        <f aca="false">Data!F606</f>
        <v>39546151</v>
      </c>
      <c r="AL611" s="17" t="n">
        <f aca="false">AJ611</f>
        <v>123.25</v>
      </c>
      <c r="AM611" s="17" t="n">
        <f aca="false">(AL611-AL610)/AL611*100</f>
        <v>-2.53144016227181</v>
      </c>
      <c r="AN611" s="17" t="n">
        <f aca="false">(AK611-AK610)/AK611*100</f>
        <v>-19.1005162550459</v>
      </c>
      <c r="AO611" s="17" t="str">
        <f aca="false">IF(AN611&lt;-8,"FITS BITCH",IF(AN611&gt;-8,"no"))</f>
        <v>FITS BITCH</v>
      </c>
      <c r="AP611" s="17" t="str">
        <f aca="false">IF(AH612&lt;AH611,"FITS BITCH",IF(AH612&gt;AH611,"no"))</f>
        <v>no</v>
      </c>
      <c r="AQ611" s="17" t="str">
        <f aca="false">IF(AI612&lt;AI611,"FITS BITCH",IF(AI612&gt;AI611,"no"))</f>
        <v>FITS BITCH</v>
      </c>
      <c r="AR611" s="17" t="str">
        <f aca="false">IF(AJ611&lt;AH612,"FITS BITCH",IF(AJ611&gt;AH612,"no"))</f>
        <v>FITS BITCH</v>
      </c>
      <c r="AS611" s="17" t="str">
        <f aca="false">IF(AJ611&gt;AJ612,"FITS BITCH",IF(AJ611&lt;AJ612,"no"))</f>
        <v>no</v>
      </c>
      <c r="AT611" s="91" t="str">
        <f aca="false">IF(AND($AO611="FITS BITCH",$AP611="FITS BITCH",$AR611="FITS BITCH"),"BULLISH","")</f>
        <v/>
      </c>
      <c r="AU611" s="91" t="str">
        <f aca="false">IF(AND($AO611="FITS BITCH",$AQ611="FITS BITCH",$AS611="FITS BITCH"),"BEARISH","")</f>
        <v/>
      </c>
      <c r="AV611" s="86"/>
      <c r="AW611" s="86"/>
      <c r="AX611" s="86"/>
    </row>
    <row r="612" customFormat="false" ht="15.75" hidden="false" customHeight="false" outlineLevel="0" collapsed="false">
      <c r="AE612" s="90" t="n">
        <f aca="false">Data!A607</f>
        <v>42089</v>
      </c>
      <c r="AF612" s="17" t="n">
        <f aca="false">Data!B607</f>
        <v>122.76</v>
      </c>
      <c r="AG612" s="17" t="n">
        <f aca="false">Data!F607</f>
        <v>47572869</v>
      </c>
      <c r="AH612" s="17" t="n">
        <f aca="false">Data!C607</f>
        <v>124.88</v>
      </c>
      <c r="AI612" s="17" t="n">
        <f aca="false">Data!D607</f>
        <v>122.6</v>
      </c>
      <c r="AJ612" s="17" t="n">
        <f aca="false">Data!E607</f>
        <v>124.24</v>
      </c>
      <c r="AK612" s="17" t="n">
        <f aca="false">Data!F607</f>
        <v>47572869</v>
      </c>
      <c r="AL612" s="17" t="n">
        <f aca="false">AJ612</f>
        <v>124.24</v>
      </c>
      <c r="AM612" s="17" t="n">
        <f aca="false">(AL612-AL611)/AL612*100</f>
        <v>0.79684481648422</v>
      </c>
      <c r="AN612" s="17" t="n">
        <f aca="false">(AK612-AK611)/AK612*100</f>
        <v>16.8724698945527</v>
      </c>
      <c r="AO612" s="17" t="str">
        <f aca="false">IF(AN612&lt;-8,"FITS BITCH",IF(AN612&gt;-8,"no"))</f>
        <v>no</v>
      </c>
      <c r="AP612" s="17" t="str">
        <f aca="false">IF(AH613&lt;AH612,"FITS BITCH",IF(AH613&gt;AH612,"no"))</f>
        <v>no</v>
      </c>
      <c r="AQ612" s="17" t="str">
        <f aca="false">IF(AI613&lt;AI612,"FITS BITCH",IF(AI613&gt;AI612,"no"))</f>
        <v>no</v>
      </c>
      <c r="AR612" s="17" t="str">
        <f aca="false">IF(AJ612&lt;AH613,"FITS BITCH",IF(AJ612&gt;AH613,"no"))</f>
        <v>FITS BITCH</v>
      </c>
      <c r="AS612" s="17" t="str">
        <f aca="false">IF(AJ612&gt;AJ613,"FITS BITCH",IF(AJ612&lt;AJ613,"no"))</f>
        <v>FITS BITCH</v>
      </c>
      <c r="AT612" s="91" t="str">
        <f aca="false">IF(AND($AO612="FITS BITCH",$AP612="FITS BITCH",$AR612="FITS BITCH"),"BULLISH","")</f>
        <v/>
      </c>
      <c r="AU612" s="91" t="str">
        <f aca="false">IF(AND($AO612="FITS BITCH",$AQ612="FITS BITCH",$AS612="FITS BITCH"),"BEARISH","")</f>
        <v/>
      </c>
      <c r="AV612" s="86"/>
      <c r="AW612" s="86"/>
      <c r="AX612" s="86"/>
    </row>
    <row r="613" customFormat="false" ht="15.75" hidden="false" customHeight="false" outlineLevel="0" collapsed="false">
      <c r="AE613" s="90" t="n">
        <f aca="false">Data!A608</f>
        <v>42088</v>
      </c>
      <c r="AF613" s="17" t="n">
        <f aca="false">Data!B608</f>
        <v>126.54</v>
      </c>
      <c r="AG613" s="17" t="n">
        <f aca="false">Data!F608</f>
        <v>51655177</v>
      </c>
      <c r="AH613" s="17" t="n">
        <f aca="false">Data!C608</f>
        <v>126.82</v>
      </c>
      <c r="AI613" s="17" t="n">
        <f aca="false">Data!D608</f>
        <v>123.38</v>
      </c>
      <c r="AJ613" s="17" t="n">
        <f aca="false">Data!E608</f>
        <v>123.38</v>
      </c>
      <c r="AK613" s="17" t="n">
        <f aca="false">Data!F608</f>
        <v>51655177</v>
      </c>
      <c r="AL613" s="17" t="n">
        <f aca="false">AJ613</f>
        <v>123.38</v>
      </c>
      <c r="AM613" s="17" t="n">
        <f aca="false">(AL613-AL612)/AL613*100</f>
        <v>-0.697033554871129</v>
      </c>
      <c r="AN613" s="17" t="n">
        <f aca="false">(AK613-AK612)/AK613*100</f>
        <v>7.90299876428649</v>
      </c>
      <c r="AO613" s="17" t="str">
        <f aca="false">IF(AN613&lt;-8,"FITS BITCH",IF(AN613&gt;-8,"no"))</f>
        <v>no</v>
      </c>
      <c r="AP613" s="17" t="str">
        <f aca="false">IF(AH614&lt;AH613,"FITS BITCH",IF(AH614&gt;AH613,"no"))</f>
        <v>no</v>
      </c>
      <c r="AQ613" s="17" t="str">
        <f aca="false">IF(AI614&lt;AI613,"FITS BITCH",IF(AI614&gt;AI613,"no"))</f>
        <v>no</v>
      </c>
      <c r="AR613" s="17" t="str">
        <f aca="false">IF(AJ613&lt;AH614,"FITS BITCH",IF(AJ613&gt;AH614,"no"))</f>
        <v>FITS BITCH</v>
      </c>
      <c r="AS613" s="17" t="str">
        <f aca="false">IF(AJ613&gt;AJ614,"FITS BITCH",IF(AJ613&lt;AJ614,"no"))</f>
        <v>no</v>
      </c>
      <c r="AT613" s="91" t="str">
        <f aca="false">IF(AND($AO613="FITS BITCH",$AP613="FITS BITCH",$AR613="FITS BITCH"),"BULLISH","")</f>
        <v/>
      </c>
      <c r="AU613" s="91" t="str">
        <f aca="false">IF(AND($AO613="FITS BITCH",$AQ613="FITS BITCH",$AS613="FITS BITCH"),"BEARISH","")</f>
        <v/>
      </c>
      <c r="AV613" s="86"/>
      <c r="AW613" s="86"/>
      <c r="AX613" s="86"/>
    </row>
    <row r="614" customFormat="false" ht="15.75" hidden="false" customHeight="false" outlineLevel="0" collapsed="false">
      <c r="AE614" s="90" t="n">
        <f aca="false">Data!A609</f>
        <v>42087</v>
      </c>
      <c r="AF614" s="17" t="n">
        <f aca="false">Data!B609</f>
        <v>127.23</v>
      </c>
      <c r="AG614" s="17" t="n">
        <f aca="false">Data!F609</f>
        <v>32842304</v>
      </c>
      <c r="AH614" s="17" t="n">
        <f aca="false">Data!C609</f>
        <v>128.04</v>
      </c>
      <c r="AI614" s="17" t="n">
        <f aca="false">Data!D609</f>
        <v>126.56</v>
      </c>
      <c r="AJ614" s="17" t="n">
        <f aca="false">Data!E609</f>
        <v>126.69</v>
      </c>
      <c r="AK614" s="17" t="n">
        <f aca="false">Data!F609</f>
        <v>32842304</v>
      </c>
      <c r="AL614" s="17" t="n">
        <f aca="false">AJ614</f>
        <v>126.69</v>
      </c>
      <c r="AM614" s="17" t="n">
        <f aca="false">(AL614-AL613)/AL614*100</f>
        <v>2.61267661220302</v>
      </c>
      <c r="AN614" s="17" t="n">
        <f aca="false">(AK614-AK613)/AK614*100</f>
        <v>-57.2824397460056</v>
      </c>
      <c r="AO614" s="17" t="str">
        <f aca="false">IF(AN614&lt;-8,"FITS BITCH",IF(AN614&gt;-8,"no"))</f>
        <v>FITS BITCH</v>
      </c>
      <c r="AP614" s="17" t="str">
        <f aca="false">IF(AH615&lt;AH614,"FITS BITCH",IF(AH615&gt;AH614,"no"))</f>
        <v>FITS BITCH</v>
      </c>
      <c r="AQ614" s="17" t="str">
        <f aca="false">IF(AI615&lt;AI614,"FITS BITCH",IF(AI615&gt;AI614,"no"))</f>
        <v>FITS BITCH</v>
      </c>
      <c r="AR614" s="17" t="str">
        <f aca="false">IF(AJ614&lt;AH615,"FITS BITCH",IF(AJ614&gt;AH615,"no"))</f>
        <v>FITS BITCH</v>
      </c>
      <c r="AS614" s="17" t="str">
        <f aca="false">IF(AJ614&gt;AJ615,"FITS BITCH",IF(AJ614&lt;AJ615,"no"))</f>
        <v>no</v>
      </c>
      <c r="AT614" s="91" t="str">
        <f aca="false">IF(AND($AO614="FITS BITCH",$AP614="FITS BITCH",$AR614="FITS BITCH"),"BULLISH","")</f>
        <v>BULLISH</v>
      </c>
      <c r="AU614" s="91" t="str">
        <f aca="false">IF(AND($AO614="FITS BITCH",$AQ614="FITS BITCH",$AS614="FITS BITCH"),"BEARISH","")</f>
        <v/>
      </c>
      <c r="AV614" s="86"/>
      <c r="AW614" s="86"/>
      <c r="AX614" s="86"/>
    </row>
    <row r="615" customFormat="false" ht="15.75" hidden="false" customHeight="false" outlineLevel="0" collapsed="false">
      <c r="AE615" s="90" t="n">
        <f aca="false">Data!A610</f>
        <v>42086</v>
      </c>
      <c r="AF615" s="17" t="n">
        <f aca="false">Data!B610</f>
        <v>127.12</v>
      </c>
      <c r="AG615" s="17" t="n">
        <f aca="false">Data!F610</f>
        <v>37709674</v>
      </c>
      <c r="AH615" s="17" t="n">
        <f aca="false">Data!C610</f>
        <v>127.85</v>
      </c>
      <c r="AI615" s="17" t="n">
        <f aca="false">Data!D610</f>
        <v>126.52</v>
      </c>
      <c r="AJ615" s="17" t="n">
        <f aca="false">Data!E610</f>
        <v>127.21</v>
      </c>
      <c r="AK615" s="17" t="n">
        <f aca="false">Data!F610</f>
        <v>37709674</v>
      </c>
      <c r="AL615" s="17" t="n">
        <f aca="false">AJ615</f>
        <v>127.21</v>
      </c>
      <c r="AM615" s="17" t="n">
        <f aca="false">(AL615-AL614)/AL615*100</f>
        <v>0.408772895212637</v>
      </c>
      <c r="AN615" s="17" t="n">
        <f aca="false">(AK615-AK614)/AK615*100</f>
        <v>12.9074836340404</v>
      </c>
      <c r="AO615" s="17" t="str">
        <f aca="false">IF(AN615&lt;-8,"FITS BITCH",IF(AN615&gt;-8,"no"))</f>
        <v>no</v>
      </c>
      <c r="AP615" s="17" t="str">
        <f aca="false">IF(AH616&lt;AH615,"FITS BITCH",IF(AH616&gt;AH615,"no"))</f>
        <v>no</v>
      </c>
      <c r="AQ615" s="17" t="str">
        <f aca="false">IF(AI616&lt;AI615,"FITS BITCH",IF(AI616&gt;AI615,"no"))</f>
        <v>FITS BITCH</v>
      </c>
      <c r="AR615" s="17" t="str">
        <f aca="false">IF(AJ615&lt;AH616,"FITS BITCH",IF(AJ615&gt;AH616,"no"))</f>
        <v>FITS BITCH</v>
      </c>
      <c r="AS615" s="17" t="str">
        <f aca="false">IF(AJ615&gt;AJ616,"FITS BITCH",IF(AJ615&lt;AJ616,"no"))</f>
        <v>FITS BITCH</v>
      </c>
      <c r="AT615" s="91" t="str">
        <f aca="false">IF(AND($AO615="FITS BITCH",$AP615="FITS BITCH",$AR615="FITS BITCH"),"BULLISH","")</f>
        <v/>
      </c>
      <c r="AU615" s="91" t="str">
        <f aca="false">IF(AND($AO615="FITS BITCH",$AQ615="FITS BITCH",$AS615="FITS BITCH"),"BEARISH","")</f>
        <v/>
      </c>
      <c r="AV615" s="86"/>
      <c r="AW615" s="86"/>
      <c r="AX615" s="86"/>
    </row>
    <row r="616" customFormat="false" ht="15.75" hidden="false" customHeight="false" outlineLevel="0" collapsed="false">
      <c r="AE616" s="90" t="n">
        <f aca="false">Data!A611</f>
        <v>42083</v>
      </c>
      <c r="AF616" s="17" t="n">
        <f aca="false">Data!B611</f>
        <v>128.25</v>
      </c>
      <c r="AG616" s="17" t="n">
        <f aca="false">Data!F611</f>
        <v>68695136</v>
      </c>
      <c r="AH616" s="17" t="n">
        <f aca="false">Data!C611</f>
        <v>128.4</v>
      </c>
      <c r="AI616" s="17" t="n">
        <f aca="false">Data!D611</f>
        <v>125.16</v>
      </c>
      <c r="AJ616" s="17" t="n">
        <f aca="false">Data!E611</f>
        <v>125.9</v>
      </c>
      <c r="AK616" s="17" t="n">
        <f aca="false">Data!F611</f>
        <v>68695136</v>
      </c>
      <c r="AL616" s="17" t="n">
        <f aca="false">AJ616</f>
        <v>125.9</v>
      </c>
      <c r="AM616" s="17" t="n">
        <f aca="false">(AL616-AL615)/AL616*100</f>
        <v>-1.04050833995233</v>
      </c>
      <c r="AN616" s="17" t="n">
        <f aca="false">(AK616-AK615)/AK616*100</f>
        <v>45.1057582883306</v>
      </c>
      <c r="AO616" s="17" t="str">
        <f aca="false">IF(AN616&lt;-8,"FITS BITCH",IF(AN616&gt;-8,"no"))</f>
        <v>no</v>
      </c>
      <c r="AP616" s="17" t="str">
        <f aca="false">IF(AH617&lt;AH616,"FITS BITCH",IF(AH617&gt;AH616,"no"))</f>
        <v>no</v>
      </c>
      <c r="AQ616" s="17" t="str">
        <f aca="false">IF(AI617&lt;AI616,"FITS BITCH",IF(AI617&gt;AI616,"no"))</f>
        <v>no</v>
      </c>
      <c r="AR616" s="17" t="str">
        <f aca="false">IF(AJ616&lt;AH617,"FITS BITCH",IF(AJ616&gt;AH617,"no"))</f>
        <v>FITS BITCH</v>
      </c>
      <c r="AS616" s="17" t="str">
        <f aca="false">IF(AJ616&gt;AJ617,"FITS BITCH",IF(AJ616&lt;AJ617,"no"))</f>
        <v>no</v>
      </c>
      <c r="AT616" s="91" t="str">
        <f aca="false">IF(AND($AO616="FITS BITCH",$AP616="FITS BITCH",$AR616="FITS BITCH"),"BULLISH","")</f>
        <v/>
      </c>
      <c r="AU616" s="91" t="str">
        <f aca="false">IF(AND($AO616="FITS BITCH",$AQ616="FITS BITCH",$AS616="FITS BITCH"),"BEARISH","")</f>
        <v/>
      </c>
      <c r="AV616" s="86"/>
      <c r="AW616" s="86"/>
      <c r="AX616" s="86"/>
    </row>
    <row r="617" customFormat="false" ht="15.75" hidden="false" customHeight="false" outlineLevel="0" collapsed="false">
      <c r="AE617" s="90" t="n">
        <f aca="false">Data!A612</f>
        <v>42082</v>
      </c>
      <c r="AF617" s="17" t="n">
        <f aca="false">Data!B612</f>
        <v>128.75</v>
      </c>
      <c r="AG617" s="17" t="n">
        <f aca="false">Data!F612</f>
        <v>45809490</v>
      </c>
      <c r="AH617" s="17" t="n">
        <f aca="false">Data!C612</f>
        <v>129.25</v>
      </c>
      <c r="AI617" s="17" t="n">
        <f aca="false">Data!D612</f>
        <v>127.4</v>
      </c>
      <c r="AJ617" s="17" t="n">
        <f aca="false">Data!E612</f>
        <v>127.5</v>
      </c>
      <c r="AK617" s="17" t="n">
        <f aca="false">Data!F612</f>
        <v>45809490</v>
      </c>
      <c r="AL617" s="17" t="n">
        <f aca="false">AJ617</f>
        <v>127.5</v>
      </c>
      <c r="AM617" s="17" t="n">
        <f aca="false">(AL617-AL616)/AL617*100</f>
        <v>1.25490196078431</v>
      </c>
      <c r="AN617" s="17" t="n">
        <f aca="false">(AK617-AK616)/AK617*100</f>
        <v>-49.958307765487</v>
      </c>
      <c r="AO617" s="17" t="str">
        <f aca="false">IF(AN617&lt;-8,"FITS BITCH",IF(AN617&gt;-8,"no"))</f>
        <v>FITS BITCH</v>
      </c>
      <c r="AP617" s="17" t="str">
        <f aca="false">IF(AH618&lt;AH617,"FITS BITCH",IF(AH618&gt;AH617,"no"))</f>
        <v>FITS BITCH</v>
      </c>
      <c r="AQ617" s="17" t="str">
        <f aca="false">IF(AI618&lt;AI617,"FITS BITCH",IF(AI618&gt;AI617,"no"))</f>
        <v>FITS BITCH</v>
      </c>
      <c r="AR617" s="17" t="str">
        <f aca="false">IF(AJ617&lt;AH618,"FITS BITCH",IF(AJ617&gt;AH618,"no"))</f>
        <v>FITS BITCH</v>
      </c>
      <c r="AS617" s="17" t="str">
        <f aca="false">IF(AJ617&gt;AJ618,"FITS BITCH",IF(AJ617&lt;AJ618,"no"))</f>
        <v>no</v>
      </c>
      <c r="AT617" s="91" t="str">
        <f aca="false">IF(AND($AO617="FITS BITCH",$AP617="FITS BITCH",$AR617="FITS BITCH"),"BULLISH","")</f>
        <v>BULLISH</v>
      </c>
      <c r="AU617" s="91" t="str">
        <f aca="false">IF(AND($AO617="FITS BITCH",$AQ617="FITS BITCH",$AS617="FITS BITCH"),"BEARISH","")</f>
        <v/>
      </c>
      <c r="AV617" s="86"/>
      <c r="AW617" s="86"/>
      <c r="AX617" s="86"/>
    </row>
    <row r="618" customFormat="false" ht="15.75" hidden="false" customHeight="false" outlineLevel="0" collapsed="false">
      <c r="AE618" s="90" t="n">
        <f aca="false">Data!A613</f>
        <v>42081</v>
      </c>
      <c r="AF618" s="17" t="n">
        <f aca="false">Data!B613</f>
        <v>127</v>
      </c>
      <c r="AG618" s="17" t="n">
        <f aca="false">Data!F613</f>
        <v>65270945</v>
      </c>
      <c r="AH618" s="17" t="n">
        <f aca="false">Data!C613</f>
        <v>129.16</v>
      </c>
      <c r="AI618" s="17" t="n">
        <f aca="false">Data!D613</f>
        <v>126.37</v>
      </c>
      <c r="AJ618" s="17" t="n">
        <f aca="false">Data!E613</f>
        <v>128.47</v>
      </c>
      <c r="AK618" s="17" t="n">
        <f aca="false">Data!F613</f>
        <v>65270945</v>
      </c>
      <c r="AL618" s="17" t="n">
        <f aca="false">AJ618</f>
        <v>128.47</v>
      </c>
      <c r="AM618" s="17" t="n">
        <f aca="false">(AL618-AL617)/AL618*100</f>
        <v>0.755040087179885</v>
      </c>
      <c r="AN618" s="17" t="n">
        <f aca="false">(AK618-AK617)/AK618*100</f>
        <v>29.8164137197646</v>
      </c>
      <c r="AO618" s="17" t="str">
        <f aca="false">IF(AN618&lt;-8,"FITS BITCH",IF(AN618&gt;-8,"no"))</f>
        <v>no</v>
      </c>
      <c r="AP618" s="17" t="str">
        <f aca="false">IF(AH619&lt;AH618,"FITS BITCH",IF(AH619&gt;AH618,"no"))</f>
        <v>FITS BITCH</v>
      </c>
      <c r="AQ618" s="17" t="str">
        <f aca="false">IF(AI619&lt;AI618,"FITS BITCH",IF(AI619&gt;AI618,"no"))</f>
        <v>FITS BITCH</v>
      </c>
      <c r="AR618" s="17" t="str">
        <f aca="false">IF(AJ618&lt;AH619,"FITS BITCH",IF(AJ618&gt;AH619,"no"))</f>
        <v>no</v>
      </c>
      <c r="AS618" s="17" t="str">
        <f aca="false">IF(AJ618&gt;AJ619,"FITS BITCH",IF(AJ618&lt;AJ619,"no"))</f>
        <v>FITS BITCH</v>
      </c>
      <c r="AT618" s="91" t="str">
        <f aca="false">IF(AND($AO618="FITS BITCH",$AP618="FITS BITCH",$AR618="FITS BITCH"),"BULLISH","")</f>
        <v/>
      </c>
      <c r="AU618" s="91" t="str">
        <f aca="false">IF(AND($AO618="FITS BITCH",$AQ618="FITS BITCH",$AS618="FITS BITCH"),"BEARISH","")</f>
        <v/>
      </c>
      <c r="AV618" s="86"/>
      <c r="AW618" s="86"/>
      <c r="AX618" s="86"/>
    </row>
    <row r="619" customFormat="false" ht="15.75" hidden="false" customHeight="false" outlineLevel="0" collapsed="false">
      <c r="AE619" s="90" t="n">
        <f aca="false">Data!A614</f>
        <v>42080</v>
      </c>
      <c r="AF619" s="17" t="n">
        <f aca="false">Data!B614</f>
        <v>125.9</v>
      </c>
      <c r="AG619" s="17" t="n">
        <f aca="false">Data!F614</f>
        <v>51023104</v>
      </c>
      <c r="AH619" s="17" t="n">
        <f aca="false">Data!C614</f>
        <v>127.32</v>
      </c>
      <c r="AI619" s="17" t="n">
        <f aca="false">Data!D614</f>
        <v>125.65</v>
      </c>
      <c r="AJ619" s="17" t="n">
        <f aca="false">Data!E614</f>
        <v>127.04</v>
      </c>
      <c r="AK619" s="17" t="n">
        <f aca="false">Data!F614</f>
        <v>51023104</v>
      </c>
      <c r="AL619" s="17" t="n">
        <f aca="false">AJ619</f>
        <v>127.04</v>
      </c>
      <c r="AM619" s="17" t="n">
        <f aca="false">(AL619-AL618)/AL619*100</f>
        <v>-1.12562972292191</v>
      </c>
      <c r="AN619" s="17" t="n">
        <f aca="false">(AK619-AK618)/AK619*100</f>
        <v>-27.9242928850428</v>
      </c>
      <c r="AO619" s="17" t="str">
        <f aca="false">IF(AN619&lt;-8,"FITS BITCH",IF(AN619&gt;-8,"no"))</f>
        <v>FITS BITCH</v>
      </c>
      <c r="AP619" s="17" t="str">
        <f aca="false">IF(AH620&lt;AH619,"FITS BITCH",IF(AH620&gt;AH619,"no"))</f>
        <v>FITS BITCH</v>
      </c>
      <c r="AQ619" s="17" t="str">
        <f aca="false">IF(AI620&lt;AI619,"FITS BITCH",IF(AI620&gt;AI619,"no"))</f>
        <v>FITS BITCH</v>
      </c>
      <c r="AR619" s="17" t="str">
        <f aca="false">IF(AJ619&lt;AH620,"FITS BITCH",IF(AJ619&gt;AH620,"no"))</f>
        <v>no</v>
      </c>
      <c r="AS619" s="17" t="str">
        <f aca="false">IF(AJ619&gt;AJ620,"FITS BITCH",IF(AJ619&lt;AJ620,"no"))</f>
        <v>FITS BITCH</v>
      </c>
      <c r="AT619" s="91" t="str">
        <f aca="false">IF(AND($AO619="FITS BITCH",$AP619="FITS BITCH",$AR619="FITS BITCH"),"BULLISH","")</f>
        <v/>
      </c>
      <c r="AU619" s="91" t="str">
        <f aca="false">IF(AND($AO619="FITS BITCH",$AQ619="FITS BITCH",$AS619="FITS BITCH"),"BEARISH","")</f>
        <v>BEARISH</v>
      </c>
      <c r="AV619" s="86"/>
      <c r="AW619" s="86"/>
      <c r="AX619" s="86"/>
    </row>
    <row r="620" customFormat="false" ht="15.75" hidden="false" customHeight="false" outlineLevel="0" collapsed="false">
      <c r="AE620" s="90" t="n">
        <f aca="false">Data!A615</f>
        <v>42079</v>
      </c>
      <c r="AF620" s="17" t="n">
        <f aca="false">Data!B615</f>
        <v>123.88</v>
      </c>
      <c r="AG620" s="17" t="n">
        <f aca="false">Data!F615</f>
        <v>35874300</v>
      </c>
      <c r="AH620" s="17" t="n">
        <f aca="false">Data!C615</f>
        <v>124.95</v>
      </c>
      <c r="AI620" s="17" t="n">
        <f aca="false">Data!D615</f>
        <v>122.87</v>
      </c>
      <c r="AJ620" s="17" t="n">
        <f aca="false">Data!E615</f>
        <v>124.95</v>
      </c>
      <c r="AK620" s="17" t="n">
        <f aca="false">Data!F615</f>
        <v>35874300</v>
      </c>
      <c r="AL620" s="17" t="n">
        <f aca="false">AJ620</f>
        <v>124.95</v>
      </c>
      <c r="AM620" s="17" t="n">
        <f aca="false">(AL620-AL619)/AL620*100</f>
        <v>-1.67266906762705</v>
      </c>
      <c r="AN620" s="17" t="n">
        <f aca="false">(AK620-AK619)/AK620*100</f>
        <v>-42.2274553092325</v>
      </c>
      <c r="AO620" s="17" t="str">
        <f aca="false">IF(AN620&lt;-8,"FITS BITCH",IF(AN620&gt;-8,"no"))</f>
        <v>FITS BITCH</v>
      </c>
      <c r="AP620" s="17" t="str">
        <f aca="false">IF(AH621&lt;AH620,"FITS BITCH",IF(AH621&gt;AH620,"no"))</f>
        <v>no</v>
      </c>
      <c r="AQ620" s="17" t="str">
        <f aca="false">IF(AI621&lt;AI620,"FITS BITCH",IF(AI621&gt;AI620,"no"))</f>
        <v>FITS BITCH</v>
      </c>
      <c r="AR620" s="17" t="str">
        <f aca="false">IF(AJ620&lt;AH621,"FITS BITCH",IF(AJ620&gt;AH621,"no"))</f>
        <v>FITS BITCH</v>
      </c>
      <c r="AS620" s="17" t="str">
        <f aca="false">IF(AJ620&gt;AJ621,"FITS BITCH",IF(AJ620&lt;AJ621,"no"))</f>
        <v>FITS BITCH</v>
      </c>
      <c r="AT620" s="91" t="str">
        <f aca="false">IF(AND($AO620="FITS BITCH",$AP620="FITS BITCH",$AR620="FITS BITCH"),"BULLISH","")</f>
        <v/>
      </c>
      <c r="AU620" s="91" t="str">
        <f aca="false">IF(AND($AO620="FITS BITCH",$AQ620="FITS BITCH",$AS620="FITS BITCH"),"BEARISH","")</f>
        <v>BEARISH</v>
      </c>
      <c r="AV620" s="86"/>
      <c r="AW620" s="86"/>
      <c r="AX620" s="86"/>
    </row>
    <row r="621" customFormat="false" ht="15.75" hidden="false" customHeight="false" outlineLevel="0" collapsed="false">
      <c r="AE621" s="90" t="n">
        <f aca="false">Data!A616</f>
        <v>42076</v>
      </c>
      <c r="AF621" s="17" t="n">
        <f aca="false">Data!B616</f>
        <v>124.4</v>
      </c>
      <c r="AG621" s="17" t="n">
        <f aca="false">Data!F616</f>
        <v>51827283</v>
      </c>
      <c r="AH621" s="17" t="n">
        <f aca="false">Data!C616</f>
        <v>125.4</v>
      </c>
      <c r="AI621" s="17" t="n">
        <f aca="false">Data!D616</f>
        <v>122.58</v>
      </c>
      <c r="AJ621" s="17" t="n">
        <f aca="false">Data!E616</f>
        <v>123.59</v>
      </c>
      <c r="AK621" s="17" t="n">
        <f aca="false">Data!F616</f>
        <v>51827283</v>
      </c>
      <c r="AL621" s="17" t="n">
        <f aca="false">AJ621</f>
        <v>123.59</v>
      </c>
      <c r="AM621" s="17" t="n">
        <f aca="false">(AL621-AL620)/AL621*100</f>
        <v>-1.10041265474553</v>
      </c>
      <c r="AN621" s="17" t="n">
        <f aca="false">(AK621-AK620)/AK621*100</f>
        <v>30.7810521342591</v>
      </c>
      <c r="AO621" s="17" t="str">
        <f aca="false">IF(AN621&lt;-8,"FITS BITCH",IF(AN621&gt;-8,"no"))</f>
        <v>no</v>
      </c>
      <c r="AP621" s="17" t="str">
        <f aca="false">IF(AH622&lt;AH621,"FITS BITCH",IF(AH622&gt;AH621,"no"))</f>
        <v>FITS BITCH</v>
      </c>
      <c r="AQ621" s="17" t="str">
        <f aca="false">IF(AI622&lt;AI621,"FITS BITCH",IF(AI622&gt;AI621,"no"))</f>
        <v>FITS BITCH</v>
      </c>
      <c r="AR621" s="17" t="str">
        <f aca="false">IF(AJ621&lt;AH622,"FITS BITCH",IF(AJ621&gt;AH622,"no"))</f>
        <v>FITS BITCH</v>
      </c>
      <c r="AS621" s="17" t="str">
        <f aca="false">IF(AJ621&gt;AJ622,"FITS BITCH",IF(AJ621&lt;AJ622,"no"))</f>
        <v>no</v>
      </c>
      <c r="AT621" s="91" t="str">
        <f aca="false">IF(AND($AO621="FITS BITCH",$AP621="FITS BITCH",$AR621="FITS BITCH"),"BULLISH","")</f>
        <v/>
      </c>
      <c r="AU621" s="91" t="str">
        <f aca="false">IF(AND($AO621="FITS BITCH",$AQ621="FITS BITCH",$AS621="FITS BITCH"),"BEARISH","")</f>
        <v/>
      </c>
      <c r="AV621" s="86"/>
      <c r="AW621" s="86"/>
      <c r="AX621" s="86"/>
    </row>
    <row r="622" customFormat="false" ht="15.75" hidden="false" customHeight="false" outlineLevel="0" collapsed="false">
      <c r="AE622" s="90" t="n">
        <f aca="false">Data!A617</f>
        <v>42075</v>
      </c>
      <c r="AF622" s="17" t="n">
        <f aca="false">Data!B617</f>
        <v>122.31</v>
      </c>
      <c r="AG622" s="17" t="n">
        <f aca="false">Data!F617</f>
        <v>48362719</v>
      </c>
      <c r="AH622" s="17" t="n">
        <f aca="false">Data!C617</f>
        <v>124.9</v>
      </c>
      <c r="AI622" s="17" t="n">
        <f aca="false">Data!D617</f>
        <v>121.63</v>
      </c>
      <c r="AJ622" s="17" t="n">
        <f aca="false">Data!E617</f>
        <v>124.45</v>
      </c>
      <c r="AK622" s="17" t="n">
        <f aca="false">Data!F617</f>
        <v>48362719</v>
      </c>
      <c r="AL622" s="17" t="n">
        <f aca="false">AJ622</f>
        <v>124.45</v>
      </c>
      <c r="AM622" s="17" t="n">
        <f aca="false">(AL622-AL621)/AL622*100</f>
        <v>0.6910405785456</v>
      </c>
      <c r="AN622" s="17" t="n">
        <f aca="false">(AK622-AK621)/AK622*100</f>
        <v>-7.16370806198882</v>
      </c>
      <c r="AO622" s="17" t="str">
        <f aca="false">IF(AN622&lt;-8,"FITS BITCH",IF(AN622&gt;-8,"no"))</f>
        <v>no</v>
      </c>
      <c r="AP622" s="17" t="str">
        <f aca="false">IF(AH623&lt;AH622,"FITS BITCH",IF(AH623&gt;AH622,"no"))</f>
        <v>FITS BITCH</v>
      </c>
      <c r="AQ622" s="17" t="str">
        <f aca="false">IF(AI623&lt;AI622,"FITS BITCH",IF(AI623&gt;AI622,"no"))</f>
        <v>no</v>
      </c>
      <c r="AR622" s="17" t="str">
        <f aca="false">IF(AJ622&lt;AH623,"FITS BITCH",IF(AJ622&gt;AH623,"no"))</f>
        <v>FITS BITCH</v>
      </c>
      <c r="AS622" s="17" t="str">
        <f aca="false">IF(AJ622&gt;AJ623,"FITS BITCH",IF(AJ622&lt;AJ623,"no"))</f>
        <v>FITS BITCH</v>
      </c>
      <c r="AT622" s="91" t="str">
        <f aca="false">IF(AND($AO622="FITS BITCH",$AP622="FITS BITCH",$AR622="FITS BITCH"),"BULLISH","")</f>
        <v/>
      </c>
      <c r="AU622" s="91" t="str">
        <f aca="false">IF(AND($AO622="FITS BITCH",$AQ622="FITS BITCH",$AS622="FITS BITCH"),"BEARISH","")</f>
        <v/>
      </c>
      <c r="AV622" s="86"/>
      <c r="AW622" s="86"/>
      <c r="AX622" s="86"/>
    </row>
    <row r="623" customFormat="false" ht="15.75" hidden="false" customHeight="false" outlineLevel="0" collapsed="false">
      <c r="AE623" s="90" t="n">
        <f aca="false">Data!A618</f>
        <v>42074</v>
      </c>
      <c r="AF623" s="17" t="n">
        <f aca="false">Data!B618</f>
        <v>124.75</v>
      </c>
      <c r="AG623" s="17" t="n">
        <f aca="false">Data!F618</f>
        <v>68938974</v>
      </c>
      <c r="AH623" s="17" t="n">
        <f aca="false">Data!C618</f>
        <v>124.77</v>
      </c>
      <c r="AI623" s="17" t="n">
        <f aca="false">Data!D618</f>
        <v>122.11</v>
      </c>
      <c r="AJ623" s="17" t="n">
        <f aca="false">Data!E618</f>
        <v>122.24</v>
      </c>
      <c r="AK623" s="17" t="n">
        <f aca="false">Data!F618</f>
        <v>68938974</v>
      </c>
      <c r="AL623" s="17" t="n">
        <f aca="false">AJ623</f>
        <v>122.24</v>
      </c>
      <c r="AM623" s="17" t="n">
        <f aca="false">(AL623-AL622)/AL623*100</f>
        <v>-1.80791884816755</v>
      </c>
      <c r="AN623" s="17" t="n">
        <f aca="false">(AK623-AK622)/AK623*100</f>
        <v>29.8470571958324</v>
      </c>
      <c r="AO623" s="17" t="str">
        <f aca="false">IF(AN623&lt;-8,"FITS BITCH",IF(AN623&gt;-8,"no"))</f>
        <v>no</v>
      </c>
      <c r="AP623" s="17" t="str">
        <f aca="false">IF(AH624&lt;AH623,"FITS BITCH",IF(AH624&gt;AH623,"no"))</f>
        <v>no</v>
      </c>
      <c r="AQ623" s="17" t="str">
        <f aca="false">IF(AI624&lt;AI623,"FITS BITCH",IF(AI624&gt;AI623,"no"))</f>
        <v>no</v>
      </c>
      <c r="AR623" s="17" t="str">
        <f aca="false">IF(AJ623&lt;AH624,"FITS BITCH",IF(AJ623&gt;AH624,"no"))</f>
        <v>FITS BITCH</v>
      </c>
      <c r="AS623" s="17" t="str">
        <f aca="false">IF(AJ623&gt;AJ624,"FITS BITCH",IF(AJ623&lt;AJ624,"no"))</f>
        <v>no</v>
      </c>
      <c r="AT623" s="91" t="str">
        <f aca="false">IF(AND($AO623="FITS BITCH",$AP623="FITS BITCH",$AR623="FITS BITCH"),"BULLISH","")</f>
        <v/>
      </c>
      <c r="AU623" s="91" t="str">
        <f aca="false">IF(AND($AO623="FITS BITCH",$AQ623="FITS BITCH",$AS623="FITS BITCH"),"BEARISH","")</f>
        <v/>
      </c>
      <c r="AV623" s="86"/>
      <c r="AW623" s="86"/>
      <c r="AX623" s="86"/>
    </row>
    <row r="624" customFormat="false" ht="15.75" hidden="false" customHeight="false" outlineLevel="0" collapsed="false">
      <c r="AE624" s="90" t="n">
        <f aca="false">Data!A619</f>
        <v>42073</v>
      </c>
      <c r="AF624" s="17" t="n">
        <f aca="false">Data!B619</f>
        <v>126.41</v>
      </c>
      <c r="AG624" s="17" t="n">
        <f aca="false">Data!F619</f>
        <v>68856582</v>
      </c>
      <c r="AH624" s="17" t="n">
        <f aca="false">Data!C619</f>
        <v>127.22</v>
      </c>
      <c r="AI624" s="17" t="n">
        <f aca="false">Data!D619</f>
        <v>123.8</v>
      </c>
      <c r="AJ624" s="17" t="n">
        <f aca="false">Data!E619</f>
        <v>124.51</v>
      </c>
      <c r="AK624" s="17" t="n">
        <f aca="false">Data!F619</f>
        <v>68856582</v>
      </c>
      <c r="AL624" s="17" t="n">
        <f aca="false">AJ624</f>
        <v>124.51</v>
      </c>
      <c r="AM624" s="17" t="n">
        <f aca="false">(AL624-AL623)/AL624*100</f>
        <v>1.823146735202</v>
      </c>
      <c r="AN624" s="17" t="n">
        <f aca="false">(AK624-AK623)/AK624*100</f>
        <v>-0.119657406172151</v>
      </c>
      <c r="AO624" s="17" t="str">
        <f aca="false">IF(AN624&lt;-8,"FITS BITCH",IF(AN624&gt;-8,"no"))</f>
        <v>no</v>
      </c>
      <c r="AP624" s="17" t="str">
        <f aca="false">IF(AH625&lt;AH624,"FITS BITCH",IF(AH625&gt;AH624,"no"))</f>
        <v>no</v>
      </c>
      <c r="AQ624" s="17" t="str">
        <f aca="false">IF(AI625&lt;AI624,"FITS BITCH",IF(AI625&gt;AI624,"no"))</f>
        <v>no</v>
      </c>
      <c r="AR624" s="17" t="str">
        <f aca="false">IF(AJ624&lt;AH625,"FITS BITCH",IF(AJ624&gt;AH625,"no"))</f>
        <v>FITS BITCH</v>
      </c>
      <c r="AS624" s="17" t="str">
        <f aca="false">IF(AJ624&gt;AJ625,"FITS BITCH",IF(AJ624&lt;AJ625,"no"))</f>
        <v>no</v>
      </c>
      <c r="AT624" s="91" t="str">
        <f aca="false">IF(AND($AO624="FITS BITCH",$AP624="FITS BITCH",$AR624="FITS BITCH"),"BULLISH","")</f>
        <v/>
      </c>
      <c r="AU624" s="91" t="str">
        <f aca="false">IF(AND($AO624="FITS BITCH",$AQ624="FITS BITCH",$AS624="FITS BITCH"),"BEARISH","")</f>
        <v/>
      </c>
      <c r="AV624" s="86"/>
      <c r="AW624" s="86"/>
      <c r="AX624" s="86"/>
    </row>
    <row r="625" customFormat="false" ht="15.75" hidden="false" customHeight="false" outlineLevel="0" collapsed="false">
      <c r="AE625" s="90" t="n">
        <f aca="false">Data!A620</f>
        <v>42072</v>
      </c>
      <c r="AF625" s="17" t="n">
        <f aca="false">Data!B620</f>
        <v>127.96</v>
      </c>
      <c r="AG625" s="17" t="n">
        <f aca="false">Data!F620</f>
        <v>88528487</v>
      </c>
      <c r="AH625" s="17" t="n">
        <f aca="false">Data!C620</f>
        <v>129.57</v>
      </c>
      <c r="AI625" s="17" t="n">
        <f aca="false">Data!D620</f>
        <v>125.06</v>
      </c>
      <c r="AJ625" s="17" t="n">
        <f aca="false">Data!E620</f>
        <v>127.14</v>
      </c>
      <c r="AK625" s="17" t="n">
        <f aca="false">Data!F620</f>
        <v>88528487</v>
      </c>
      <c r="AL625" s="17" t="n">
        <f aca="false">AJ625</f>
        <v>127.14</v>
      </c>
      <c r="AM625" s="17" t="n">
        <f aca="false">(AL625-AL624)/AL625*100</f>
        <v>2.0685858109171</v>
      </c>
      <c r="AN625" s="17" t="n">
        <f aca="false">(AK625-AK624)/AK625*100</f>
        <v>22.2209885954563</v>
      </c>
      <c r="AO625" s="17" t="str">
        <f aca="false">IF(AN625&lt;-8,"FITS BITCH",IF(AN625&gt;-8,"no"))</f>
        <v>no</v>
      </c>
      <c r="AP625" s="17" t="str">
        <f aca="false">IF(AH626&lt;AH625,"FITS BITCH",IF(AH626&gt;AH625,"no"))</f>
        <v>FITS BITCH</v>
      </c>
      <c r="AQ625" s="17" t="str">
        <f aca="false">IF(AI626&lt;AI625,"FITS BITCH",IF(AI626&gt;AI625,"no"))</f>
        <v>no</v>
      </c>
      <c r="AR625" s="17" t="str">
        <f aca="false">IF(AJ625&lt;AH626,"FITS BITCH",IF(AJ625&gt;AH626,"no"))</f>
        <v>FITS BITCH</v>
      </c>
      <c r="AS625" s="17" t="str">
        <f aca="false">IF(AJ625&gt;AJ626,"FITS BITCH",IF(AJ625&lt;AJ626,"no"))</f>
        <v>FITS BITCH</v>
      </c>
      <c r="AT625" s="91" t="str">
        <f aca="false">IF(AND($AO625="FITS BITCH",$AP625="FITS BITCH",$AR625="FITS BITCH"),"BULLISH","")</f>
        <v/>
      </c>
      <c r="AU625" s="91" t="str">
        <f aca="false">IF(AND($AO625="FITS BITCH",$AQ625="FITS BITCH",$AS625="FITS BITCH"),"BEARISH","")</f>
        <v/>
      </c>
      <c r="AV625" s="86"/>
      <c r="AW625" s="86"/>
      <c r="AX625" s="86"/>
    </row>
    <row r="626" customFormat="false" ht="15.75" hidden="false" customHeight="false" outlineLevel="0" collapsed="false">
      <c r="AE626" s="90" t="n">
        <f aca="false">Data!A621</f>
        <v>42069</v>
      </c>
      <c r="AF626" s="17" t="n">
        <f aca="false">Data!B621</f>
        <v>128.4</v>
      </c>
      <c r="AG626" s="17" t="n">
        <f aca="false">Data!F621</f>
        <v>72842060</v>
      </c>
      <c r="AH626" s="17" t="n">
        <f aca="false">Data!C621</f>
        <v>129.37</v>
      </c>
      <c r="AI626" s="17" t="n">
        <f aca="false">Data!D621</f>
        <v>126.26</v>
      </c>
      <c r="AJ626" s="17" t="n">
        <f aca="false">Data!E621</f>
        <v>126.6</v>
      </c>
      <c r="AK626" s="17" t="n">
        <f aca="false">Data!F621</f>
        <v>72842060</v>
      </c>
      <c r="AL626" s="17" t="n">
        <f aca="false">AJ626</f>
        <v>126.6</v>
      </c>
      <c r="AM626" s="17" t="n">
        <f aca="false">(AL626-AL625)/AL626*100</f>
        <v>-0.426540284360194</v>
      </c>
      <c r="AN626" s="17" t="n">
        <f aca="false">(AK626-AK625)/AK626*100</f>
        <v>-21.534848135816</v>
      </c>
      <c r="AO626" s="17" t="str">
        <f aca="false">IF(AN626&lt;-8,"FITS BITCH",IF(AN626&gt;-8,"no"))</f>
        <v>FITS BITCH</v>
      </c>
      <c r="AP626" s="17" t="str">
        <f aca="false">IF(AH627&lt;AH626,"FITS BITCH",IF(AH627&gt;AH626,"no"))</f>
        <v>FITS BITCH</v>
      </c>
      <c r="AQ626" s="17" t="str">
        <f aca="false">IF(AI627&lt;AI626,"FITS BITCH",IF(AI627&gt;AI626,"no"))</f>
        <v>FITS BITCH</v>
      </c>
      <c r="AR626" s="17" t="str">
        <f aca="false">IF(AJ626&lt;AH627,"FITS BITCH",IF(AJ626&gt;AH627,"no"))</f>
        <v>FITS BITCH</v>
      </c>
      <c r="AS626" s="17" t="str">
        <f aca="false">IF(AJ626&gt;AJ627,"FITS BITCH",IF(AJ626&lt;AJ627,"no"))</f>
        <v>FITS BITCH</v>
      </c>
      <c r="AT626" s="91" t="str">
        <f aca="false">IF(AND($AO626="FITS BITCH",$AP626="FITS BITCH",$AR626="FITS BITCH"),"BULLISH","")</f>
        <v>BULLISH</v>
      </c>
      <c r="AU626" s="91" t="str">
        <f aca="false">IF(AND($AO626="FITS BITCH",$AQ626="FITS BITCH",$AS626="FITS BITCH"),"BEARISH","")</f>
        <v>BEARISH</v>
      </c>
      <c r="AV626" s="86"/>
      <c r="AW626" s="86"/>
      <c r="AX626" s="86"/>
    </row>
    <row r="627" customFormat="false" ht="15.75" hidden="false" customHeight="false" outlineLevel="0" collapsed="false">
      <c r="AE627" s="90" t="n">
        <f aca="false">Data!A622</f>
        <v>42068</v>
      </c>
      <c r="AF627" s="17" t="n">
        <f aca="false">Data!B622</f>
        <v>128.58</v>
      </c>
      <c r="AG627" s="17" t="n">
        <f aca="false">Data!F622</f>
        <v>56517146</v>
      </c>
      <c r="AH627" s="17" t="n">
        <f aca="false">Data!C622</f>
        <v>128.75</v>
      </c>
      <c r="AI627" s="17" t="n">
        <f aca="false">Data!D622</f>
        <v>125.76</v>
      </c>
      <c r="AJ627" s="17" t="n">
        <f aca="false">Data!E622</f>
        <v>126.41</v>
      </c>
      <c r="AK627" s="17" t="n">
        <f aca="false">Data!F622</f>
        <v>56517146</v>
      </c>
      <c r="AL627" s="17" t="n">
        <f aca="false">AJ627</f>
        <v>126.41</v>
      </c>
      <c r="AM627" s="17" t="n">
        <f aca="false">(AL627-AL626)/AL627*100</f>
        <v>-0.150304564512299</v>
      </c>
      <c r="AN627" s="17" t="n">
        <f aca="false">(AK627-AK626)/AK627*100</f>
        <v>-28.8848874286752</v>
      </c>
      <c r="AO627" s="17" t="str">
        <f aca="false">IF(AN627&lt;-8,"FITS BITCH",IF(AN627&gt;-8,"no"))</f>
        <v>FITS BITCH</v>
      </c>
      <c r="AP627" s="17" t="str">
        <f aca="false">IF(AH628&lt;AH627,"FITS BITCH",IF(AH628&gt;AH627,"no"))</f>
        <v>no</v>
      </c>
      <c r="AQ627" s="17" t="str">
        <f aca="false">IF(AI628&lt;AI627,"FITS BITCH",IF(AI628&gt;AI627,"no"))</f>
        <v>no</v>
      </c>
      <c r="AR627" s="17" t="str">
        <f aca="false">IF(AJ627&lt;AH628,"FITS BITCH",IF(AJ627&gt;AH628,"no"))</f>
        <v>FITS BITCH</v>
      </c>
      <c r="AS627" s="17" t="str">
        <f aca="false">IF(AJ627&gt;AJ628,"FITS BITCH",IF(AJ627&lt;AJ628,"no"))</f>
        <v>no</v>
      </c>
      <c r="AT627" s="91" t="str">
        <f aca="false">IF(AND($AO627="FITS BITCH",$AP627="FITS BITCH",$AR627="FITS BITCH"),"BULLISH","")</f>
        <v/>
      </c>
      <c r="AU627" s="91" t="str">
        <f aca="false">IF(AND($AO627="FITS BITCH",$AQ627="FITS BITCH",$AS627="FITS BITCH"),"BEARISH","")</f>
        <v/>
      </c>
      <c r="AV627" s="86"/>
      <c r="AW627" s="86"/>
      <c r="AX627" s="86"/>
    </row>
    <row r="628" customFormat="false" ht="15.75" hidden="false" customHeight="false" outlineLevel="0" collapsed="false">
      <c r="AE628" s="90" t="n">
        <f aca="false">Data!A623</f>
        <v>42067</v>
      </c>
      <c r="AF628" s="17" t="n">
        <f aca="false">Data!B623</f>
        <v>129.1</v>
      </c>
      <c r="AG628" s="17" t="n">
        <f aca="false">Data!F623</f>
        <v>31666340</v>
      </c>
      <c r="AH628" s="17" t="n">
        <f aca="false">Data!C623</f>
        <v>129.56</v>
      </c>
      <c r="AI628" s="17" t="n">
        <f aca="false">Data!D623</f>
        <v>128.32</v>
      </c>
      <c r="AJ628" s="17" t="n">
        <f aca="false">Data!E623</f>
        <v>128.54</v>
      </c>
      <c r="AK628" s="17" t="n">
        <f aca="false">Data!F623</f>
        <v>31666340</v>
      </c>
      <c r="AL628" s="17" t="n">
        <f aca="false">AJ628</f>
        <v>128.54</v>
      </c>
      <c r="AM628" s="17" t="n">
        <f aca="false">(AL628-AL627)/AL628*100</f>
        <v>1.65707172864478</v>
      </c>
      <c r="AN628" s="17" t="n">
        <f aca="false">(AK628-AK627)/AK628*100</f>
        <v>-78.4770390262973</v>
      </c>
      <c r="AO628" s="17" t="str">
        <f aca="false">IF(AN628&lt;-8,"FITS BITCH",IF(AN628&gt;-8,"no"))</f>
        <v>FITS BITCH</v>
      </c>
      <c r="AP628" s="17" t="str">
        <f aca="false">IF(AH629&lt;AH628,"FITS BITCH",IF(AH629&gt;AH628,"no"))</f>
        <v>FITS BITCH</v>
      </c>
      <c r="AQ628" s="17" t="str">
        <f aca="false">IF(AI629&lt;AI628,"FITS BITCH",IF(AI629&gt;AI628,"no"))</f>
        <v>FITS BITCH</v>
      </c>
      <c r="AR628" s="17" t="str">
        <f aca="false">IF(AJ628&lt;AH629,"FITS BITCH",IF(AJ628&gt;AH629,"no"))</f>
        <v>FITS BITCH</v>
      </c>
      <c r="AS628" s="17" t="str">
        <f aca="false">IF(AJ628&gt;AJ629,"FITS BITCH",IF(AJ628&lt;AJ629,"no"))</f>
        <v>no</v>
      </c>
      <c r="AT628" s="91" t="str">
        <f aca="false">IF(AND($AO628="FITS BITCH",$AP628="FITS BITCH",$AR628="FITS BITCH"),"BULLISH","")</f>
        <v>BULLISH</v>
      </c>
      <c r="AU628" s="91" t="str">
        <f aca="false">IF(AND($AO628="FITS BITCH",$AQ628="FITS BITCH",$AS628="FITS BITCH"),"BEARISH","")</f>
        <v/>
      </c>
      <c r="AV628" s="86"/>
      <c r="AW628" s="86"/>
      <c r="AX628" s="86"/>
    </row>
    <row r="629" customFormat="false" ht="15.75" hidden="false" customHeight="false" outlineLevel="0" collapsed="false">
      <c r="AE629" s="90" t="n">
        <f aca="false">Data!A624</f>
        <v>42066</v>
      </c>
      <c r="AF629" s="17" t="n">
        <f aca="false">Data!B624</f>
        <v>128.96</v>
      </c>
      <c r="AG629" s="17" t="n">
        <f aca="false">Data!F624</f>
        <v>37816283</v>
      </c>
      <c r="AH629" s="17" t="n">
        <f aca="false">Data!C624</f>
        <v>129.52</v>
      </c>
      <c r="AI629" s="17" t="n">
        <f aca="false">Data!D624</f>
        <v>128.09</v>
      </c>
      <c r="AJ629" s="17" t="n">
        <f aca="false">Data!E624</f>
        <v>129.36</v>
      </c>
      <c r="AK629" s="17" t="n">
        <f aca="false">Data!F624</f>
        <v>37816283</v>
      </c>
      <c r="AL629" s="17" t="n">
        <f aca="false">AJ629</f>
        <v>129.36</v>
      </c>
      <c r="AM629" s="17" t="n">
        <f aca="false">(AL629-AL628)/AL629*100</f>
        <v>0.633889919604222</v>
      </c>
      <c r="AN629" s="17" t="n">
        <f aca="false">(AK629-AK628)/AK629*100</f>
        <v>16.262685044958</v>
      </c>
      <c r="AO629" s="17" t="str">
        <f aca="false">IF(AN629&lt;-8,"FITS BITCH",IF(AN629&gt;-8,"no"))</f>
        <v>no</v>
      </c>
      <c r="AP629" s="17" t="str">
        <f aca="false">IF(AH630&lt;AH629,"FITS BITCH",IF(AH630&gt;AH629,"no"))</f>
        <v>no</v>
      </c>
      <c r="AQ629" s="17" t="str">
        <f aca="false">IF(AI630&lt;AI629,"FITS BITCH",IF(AI630&gt;AI629,"no"))</f>
        <v>no</v>
      </c>
      <c r="AR629" s="17" t="str">
        <f aca="false">IF(AJ629&lt;AH630,"FITS BITCH",IF(AJ629&gt;AH630,"no"))</f>
        <v>FITS BITCH</v>
      </c>
      <c r="AS629" s="17" t="str">
        <f aca="false">IF(AJ629&gt;AJ630,"FITS BITCH",IF(AJ629&lt;AJ630,"no"))</f>
        <v>FITS BITCH</v>
      </c>
      <c r="AT629" s="91" t="str">
        <f aca="false">IF(AND($AO629="FITS BITCH",$AP629="FITS BITCH",$AR629="FITS BITCH"),"BULLISH","")</f>
        <v/>
      </c>
      <c r="AU629" s="91" t="str">
        <f aca="false">IF(AND($AO629="FITS BITCH",$AQ629="FITS BITCH",$AS629="FITS BITCH"),"BEARISH","")</f>
        <v/>
      </c>
      <c r="AV629" s="86"/>
      <c r="AW629" s="86"/>
      <c r="AX629" s="86"/>
    </row>
    <row r="630" customFormat="false" ht="15.75" hidden="false" customHeight="false" outlineLevel="0" collapsed="false">
      <c r="AE630" s="90" t="n">
        <f aca="false">Data!A625</f>
        <v>42065</v>
      </c>
      <c r="AF630" s="17" t="n">
        <f aca="false">Data!B625</f>
        <v>129.25</v>
      </c>
      <c r="AG630" s="17" t="n">
        <f aca="false">Data!F625</f>
        <v>48096663</v>
      </c>
      <c r="AH630" s="17" t="n">
        <f aca="false">Data!C625</f>
        <v>130.28</v>
      </c>
      <c r="AI630" s="17" t="n">
        <f aca="false">Data!D625</f>
        <v>128.3</v>
      </c>
      <c r="AJ630" s="17" t="n">
        <f aca="false">Data!E625</f>
        <v>129.09</v>
      </c>
      <c r="AK630" s="17" t="n">
        <f aca="false">Data!F625</f>
        <v>48096663</v>
      </c>
      <c r="AL630" s="17" t="n">
        <f aca="false">AJ630</f>
        <v>129.09</v>
      </c>
      <c r="AM630" s="17" t="n">
        <f aca="false">(AL630-AL629)/AL630*100</f>
        <v>-0.209156402509885</v>
      </c>
      <c r="AN630" s="17" t="n">
        <f aca="false">(AK630-AK629)/AK630*100</f>
        <v>21.3744142706948</v>
      </c>
      <c r="AO630" s="17" t="str">
        <f aca="false">IF(AN630&lt;-8,"FITS BITCH",IF(AN630&gt;-8,"no"))</f>
        <v>no</v>
      </c>
      <c r="AP630" s="17" t="str">
        <f aca="false">IF(AH631&lt;AH630,"FITS BITCH",IF(AH631&gt;AH630,"no"))</f>
        <v>no</v>
      </c>
      <c r="AQ630" s="17" t="str">
        <f aca="false">IF(AI631&lt;AI630,"FITS BITCH",IF(AI631&gt;AI630,"no"))</f>
        <v>FITS BITCH</v>
      </c>
      <c r="AR630" s="17" t="str">
        <f aca="false">IF(AJ630&lt;AH631,"FITS BITCH",IF(AJ630&gt;AH631,"no"))</f>
        <v>FITS BITCH</v>
      </c>
      <c r="AS630" s="17" t="str">
        <f aca="false">IF(AJ630&gt;AJ631,"FITS BITCH",IF(AJ630&lt;AJ631,"no"))</f>
        <v>FITS BITCH</v>
      </c>
      <c r="AT630" s="91" t="str">
        <f aca="false">IF(AND($AO630="FITS BITCH",$AP630="FITS BITCH",$AR630="FITS BITCH"),"BULLISH","")</f>
        <v/>
      </c>
      <c r="AU630" s="91" t="str">
        <f aca="false">IF(AND($AO630="FITS BITCH",$AQ630="FITS BITCH",$AS630="FITS BITCH"),"BEARISH","")</f>
        <v/>
      </c>
      <c r="AV630" s="86"/>
      <c r="AW630" s="86"/>
      <c r="AX630" s="86"/>
    </row>
    <row r="631" customFormat="false" ht="15.75" hidden="false" customHeight="false" outlineLevel="0" collapsed="false">
      <c r="AE631" s="90" t="n">
        <f aca="false">Data!A626</f>
        <v>42062</v>
      </c>
      <c r="AF631" s="17" t="n">
        <f aca="false">Data!B626</f>
        <v>130</v>
      </c>
      <c r="AG631" s="17" t="n">
        <f aca="false">Data!F626</f>
        <v>62014847</v>
      </c>
      <c r="AH631" s="17" t="n">
        <f aca="false">Data!C626</f>
        <v>130.57</v>
      </c>
      <c r="AI631" s="17" t="n">
        <f aca="false">Data!D626</f>
        <v>128.24</v>
      </c>
      <c r="AJ631" s="17" t="n">
        <f aca="false">Data!E626</f>
        <v>128.46</v>
      </c>
      <c r="AK631" s="17" t="n">
        <f aca="false">Data!F626</f>
        <v>62014847</v>
      </c>
      <c r="AL631" s="17" t="n">
        <f aca="false">AJ631</f>
        <v>128.46</v>
      </c>
      <c r="AM631" s="17" t="n">
        <f aca="false">(AL631-AL630)/AL631*100</f>
        <v>-0.490425035030356</v>
      </c>
      <c r="AN631" s="17" t="n">
        <f aca="false">(AK631-AK630)/AK631*100</f>
        <v>22.4433094223388</v>
      </c>
      <c r="AO631" s="17" t="str">
        <f aca="false">IF(AN631&lt;-8,"FITS BITCH",IF(AN631&gt;-8,"no"))</f>
        <v>no</v>
      </c>
      <c r="AP631" s="17" t="str">
        <f aca="false">IF(AH632&lt;AH631,"FITS BITCH",IF(AH632&gt;AH631,"no"))</f>
        <v>no</v>
      </c>
      <c r="AQ631" s="17" t="str">
        <f aca="false">IF(AI632&lt;AI631,"FITS BITCH",IF(AI632&gt;AI631,"no"))</f>
        <v>FITS BITCH</v>
      </c>
      <c r="AR631" s="17" t="str">
        <f aca="false">IF(AJ631&lt;AH632,"FITS BITCH",IF(AJ631&gt;AH632,"no"))</f>
        <v>FITS BITCH</v>
      </c>
      <c r="AS631" s="17" t="str">
        <f aca="false">IF(AJ631&gt;AJ632,"FITS BITCH",IF(AJ631&lt;AJ632,"no"))</f>
        <v>no</v>
      </c>
      <c r="AT631" s="91" t="str">
        <f aca="false">IF(AND($AO631="FITS BITCH",$AP631="FITS BITCH",$AR631="FITS BITCH"),"BULLISH","")</f>
        <v/>
      </c>
      <c r="AU631" s="91" t="str">
        <f aca="false">IF(AND($AO631="FITS BITCH",$AQ631="FITS BITCH",$AS631="FITS BITCH"),"BEARISH","")</f>
        <v/>
      </c>
      <c r="AV631" s="86"/>
      <c r="AW631" s="86"/>
      <c r="AX631" s="86"/>
    </row>
    <row r="632" customFormat="false" ht="15.75" hidden="false" customHeight="false" outlineLevel="0" collapsed="false">
      <c r="AE632" s="90" t="n">
        <f aca="false">Data!A627</f>
        <v>42061</v>
      </c>
      <c r="AF632" s="17" t="n">
        <f aca="false">Data!B627</f>
        <v>128.78</v>
      </c>
      <c r="AG632" s="17" t="n">
        <f aca="false">Data!F627</f>
        <v>91287529</v>
      </c>
      <c r="AH632" s="17" t="n">
        <f aca="false">Data!C627</f>
        <v>130.87</v>
      </c>
      <c r="AI632" s="17" t="n">
        <f aca="false">Data!D627</f>
        <v>126.61</v>
      </c>
      <c r="AJ632" s="17" t="n">
        <f aca="false">Data!E627</f>
        <v>130.42</v>
      </c>
      <c r="AK632" s="17" t="n">
        <f aca="false">Data!F627</f>
        <v>91287529</v>
      </c>
      <c r="AL632" s="17" t="n">
        <f aca="false">AJ632</f>
        <v>130.42</v>
      </c>
      <c r="AM632" s="17" t="n">
        <f aca="false">(AL632-AL631)/AL632*100</f>
        <v>1.50283698819198</v>
      </c>
      <c r="AN632" s="17" t="n">
        <f aca="false">(AK632-AK631)/AK632*100</f>
        <v>32.0664633172402</v>
      </c>
      <c r="AO632" s="17" t="str">
        <f aca="false">IF(AN632&lt;-8,"FITS BITCH",IF(AN632&gt;-8,"no"))</f>
        <v>no</v>
      </c>
      <c r="AP632" s="17" t="str">
        <f aca="false">IF(AH633&lt;AH632,"FITS BITCH",IF(AH633&gt;AH632,"no"))</f>
        <v>no</v>
      </c>
      <c r="AQ632" s="17" t="str">
        <f aca="false">IF(AI633&lt;AI632,"FITS BITCH",IF(AI633&gt;AI632,"no"))</f>
        <v>no</v>
      </c>
      <c r="AR632" s="17" t="str">
        <f aca="false">IF(AJ632&lt;AH633,"FITS BITCH",IF(AJ632&gt;AH633,"no"))</f>
        <v>FITS BITCH</v>
      </c>
      <c r="AS632" s="17" t="str">
        <f aca="false">IF(AJ632&gt;AJ633,"FITS BITCH",IF(AJ632&lt;AJ633,"no"))</f>
        <v>FITS BITCH</v>
      </c>
      <c r="AT632" s="91" t="str">
        <f aca="false">IF(AND($AO632="FITS BITCH",$AP632="FITS BITCH",$AR632="FITS BITCH"),"BULLISH","")</f>
        <v/>
      </c>
      <c r="AU632" s="91" t="str">
        <f aca="false">IF(AND($AO632="FITS BITCH",$AQ632="FITS BITCH",$AS632="FITS BITCH"),"BEARISH","")</f>
        <v/>
      </c>
      <c r="AV632" s="86"/>
      <c r="AW632" s="86"/>
      <c r="AX632" s="86"/>
    </row>
    <row r="633" customFormat="false" ht="15.75" hidden="false" customHeight="false" outlineLevel="0" collapsed="false">
      <c r="AE633" s="90" t="n">
        <f aca="false">Data!A628</f>
        <v>42060</v>
      </c>
      <c r="AF633" s="17" t="n">
        <f aca="false">Data!B628</f>
        <v>131.56</v>
      </c>
      <c r="AG633" s="17" t="n">
        <f aca="false">Data!F628</f>
        <v>74711746</v>
      </c>
      <c r="AH633" s="17" t="n">
        <f aca="false">Data!C628</f>
        <v>131.6</v>
      </c>
      <c r="AI633" s="17" t="n">
        <f aca="false">Data!D628</f>
        <v>128.15</v>
      </c>
      <c r="AJ633" s="17" t="n">
        <f aca="false">Data!E628</f>
        <v>128.79</v>
      </c>
      <c r="AK633" s="17" t="n">
        <f aca="false">Data!F628</f>
        <v>74711746</v>
      </c>
      <c r="AL633" s="17" t="n">
        <f aca="false">AJ633</f>
        <v>128.79</v>
      </c>
      <c r="AM633" s="17" t="n">
        <f aca="false">(AL633-AL632)/AL633*100</f>
        <v>-1.26562621321531</v>
      </c>
      <c r="AN633" s="17" t="n">
        <f aca="false">(AK633-AK632)/AK633*100</f>
        <v>-22.186314585661</v>
      </c>
      <c r="AO633" s="17" t="str">
        <f aca="false">IF(AN633&lt;-8,"FITS BITCH",IF(AN633&gt;-8,"no"))</f>
        <v>FITS BITCH</v>
      </c>
      <c r="AP633" s="17" t="str">
        <f aca="false">IF(AH634&lt;AH633,"FITS BITCH",IF(AH634&gt;AH633,"no"))</f>
        <v>no</v>
      </c>
      <c r="AQ633" s="17" t="str">
        <f aca="false">IF(AI634&lt;AI633,"FITS BITCH",IF(AI634&gt;AI633,"no"))</f>
        <v>no</v>
      </c>
      <c r="AR633" s="17" t="str">
        <f aca="false">IF(AJ633&lt;AH634,"FITS BITCH",IF(AJ633&gt;AH634,"no"))</f>
        <v>FITS BITCH</v>
      </c>
      <c r="AS633" s="17" t="str">
        <f aca="false">IF(AJ633&gt;AJ634,"FITS BITCH",IF(AJ633&lt;AJ634,"no"))</f>
        <v>no</v>
      </c>
      <c r="AT633" s="91" t="str">
        <f aca="false">IF(AND($AO633="FITS BITCH",$AP633="FITS BITCH",$AR633="FITS BITCH"),"BULLISH","")</f>
        <v/>
      </c>
      <c r="AU633" s="91" t="str">
        <f aca="false">IF(AND($AO633="FITS BITCH",$AQ633="FITS BITCH",$AS633="FITS BITCH"),"BEARISH","")</f>
        <v/>
      </c>
      <c r="AV633" s="86"/>
      <c r="AW633" s="86"/>
      <c r="AX633" s="86"/>
    </row>
    <row r="634" customFormat="false" ht="15.75" hidden="false" customHeight="false" outlineLevel="0" collapsed="false">
      <c r="AE634" s="90" t="n">
        <f aca="false">Data!A629</f>
        <v>42059</v>
      </c>
      <c r="AF634" s="17" t="n">
        <f aca="false">Data!B629</f>
        <v>132.94</v>
      </c>
      <c r="AG634" s="17" t="n">
        <f aca="false">Data!F629</f>
        <v>69228130</v>
      </c>
      <c r="AH634" s="17" t="n">
        <f aca="false">Data!C629</f>
        <v>133.6</v>
      </c>
      <c r="AI634" s="17" t="n">
        <f aca="false">Data!D629</f>
        <v>131.17</v>
      </c>
      <c r="AJ634" s="17" t="n">
        <f aca="false">Data!E629</f>
        <v>132.17</v>
      </c>
      <c r="AK634" s="17" t="n">
        <f aca="false">Data!F629</f>
        <v>69228130</v>
      </c>
      <c r="AL634" s="17" t="n">
        <f aca="false">AJ634</f>
        <v>132.17</v>
      </c>
      <c r="AM634" s="17" t="n">
        <f aca="false">(AL634-AL633)/AL634*100</f>
        <v>2.55731255201634</v>
      </c>
      <c r="AN634" s="17" t="n">
        <f aca="false">(AK634-AK633)/AK634*100</f>
        <v>-7.92108063586291</v>
      </c>
      <c r="AO634" s="17" t="str">
        <f aca="false">IF(AN634&lt;-8,"FITS BITCH",IF(AN634&gt;-8,"no"))</f>
        <v>no</v>
      </c>
      <c r="AP634" s="17" t="str">
        <f aca="false">IF(AH635&lt;AH634,"FITS BITCH",IF(AH635&gt;AH634,"no"))</f>
        <v>FITS BITCH</v>
      </c>
      <c r="AQ634" s="17" t="str">
        <f aca="false">IF(AI635&lt;AI634,"FITS BITCH",IF(AI635&gt;AI634,"no"))</f>
        <v>FITS BITCH</v>
      </c>
      <c r="AR634" s="17" t="str">
        <f aca="false">IF(AJ634&lt;AH635,"FITS BITCH",IF(AJ634&gt;AH635,"no"))</f>
        <v>FITS BITCH</v>
      </c>
      <c r="AS634" s="17" t="str">
        <f aca="false">IF(AJ634&gt;AJ635,"FITS BITCH",IF(AJ634&lt;AJ635,"no"))</f>
        <v>no</v>
      </c>
      <c r="AT634" s="91" t="str">
        <f aca="false">IF(AND($AO634="FITS BITCH",$AP634="FITS BITCH",$AR634="FITS BITCH"),"BULLISH","")</f>
        <v/>
      </c>
      <c r="AU634" s="91" t="str">
        <f aca="false">IF(AND($AO634="FITS BITCH",$AQ634="FITS BITCH",$AS634="FITS BITCH"),"BEARISH","")</f>
        <v/>
      </c>
      <c r="AV634" s="86"/>
      <c r="AW634" s="86"/>
      <c r="AX634" s="86"/>
    </row>
    <row r="635" customFormat="false" ht="15.75" hidden="false" customHeight="false" outlineLevel="0" collapsed="false">
      <c r="AE635" s="90" t="n">
        <f aca="false">Data!A630</f>
        <v>42058</v>
      </c>
      <c r="AF635" s="17" t="n">
        <f aca="false">Data!B630</f>
        <v>130.02</v>
      </c>
      <c r="AG635" s="17" t="n">
        <f aca="false">Data!F630</f>
        <v>70974110</v>
      </c>
      <c r="AH635" s="17" t="n">
        <f aca="false">Data!C630</f>
        <v>133</v>
      </c>
      <c r="AI635" s="17" t="n">
        <f aca="false">Data!D630</f>
        <v>129.66</v>
      </c>
      <c r="AJ635" s="17" t="n">
        <f aca="false">Data!E630</f>
        <v>133</v>
      </c>
      <c r="AK635" s="17" t="n">
        <f aca="false">Data!F630</f>
        <v>70974110</v>
      </c>
      <c r="AL635" s="17" t="n">
        <f aca="false">AJ635</f>
        <v>133</v>
      </c>
      <c r="AM635" s="17" t="n">
        <f aca="false">(AL635-AL634)/AL635*100</f>
        <v>0.624060150375949</v>
      </c>
      <c r="AN635" s="17" t="n">
        <f aca="false">(AK635-AK634)/AK635*100</f>
        <v>2.46002380304593</v>
      </c>
      <c r="AO635" s="17" t="str">
        <f aca="false">IF(AN635&lt;-8,"FITS BITCH",IF(AN635&gt;-8,"no"))</f>
        <v>no</v>
      </c>
      <c r="AP635" s="17" t="str">
        <f aca="false">IF(AH636&lt;AH635,"FITS BITCH",IF(AH636&gt;AH635,"no"))</f>
        <v>FITS BITCH</v>
      </c>
      <c r="AQ635" s="17" t="str">
        <f aca="false">IF(AI636&lt;AI635,"FITS BITCH",IF(AI636&gt;AI635,"no"))</f>
        <v>FITS BITCH</v>
      </c>
      <c r="AR635" s="17" t="str">
        <f aca="false">IF(AJ635&lt;AH636,"FITS BITCH",IF(AJ635&gt;AH636,"no"))</f>
        <v>no</v>
      </c>
      <c r="AS635" s="17" t="str">
        <f aca="false">IF(AJ635&gt;AJ636,"FITS BITCH",IF(AJ635&lt;AJ636,"no"))</f>
        <v>FITS BITCH</v>
      </c>
      <c r="AT635" s="91" t="str">
        <f aca="false">IF(AND($AO635="FITS BITCH",$AP635="FITS BITCH",$AR635="FITS BITCH"),"BULLISH","")</f>
        <v/>
      </c>
      <c r="AU635" s="91" t="str">
        <f aca="false">IF(AND($AO635="FITS BITCH",$AQ635="FITS BITCH",$AS635="FITS BITCH"),"BEARISH","")</f>
        <v/>
      </c>
      <c r="AV635" s="86"/>
      <c r="AW635" s="86"/>
      <c r="AX635" s="86"/>
    </row>
    <row r="636" customFormat="false" ht="15.75" hidden="false" customHeight="false" outlineLevel="0" collapsed="false">
      <c r="AE636" s="90" t="n">
        <f aca="false">Data!A631</f>
        <v>42055</v>
      </c>
      <c r="AF636" s="17" t="n">
        <f aca="false">Data!B631</f>
        <v>128.62</v>
      </c>
      <c r="AG636" s="17" t="n">
        <f aca="false">Data!F631</f>
        <v>48948419</v>
      </c>
      <c r="AH636" s="17" t="n">
        <f aca="false">Data!C631</f>
        <v>129.5</v>
      </c>
      <c r="AI636" s="17" t="n">
        <f aca="false">Data!D631</f>
        <v>128.05</v>
      </c>
      <c r="AJ636" s="17" t="n">
        <f aca="false">Data!E631</f>
        <v>129.5</v>
      </c>
      <c r="AK636" s="17" t="n">
        <f aca="false">Data!F631</f>
        <v>48948419</v>
      </c>
      <c r="AL636" s="17" t="n">
        <f aca="false">AJ636</f>
        <v>129.5</v>
      </c>
      <c r="AM636" s="17" t="n">
        <f aca="false">(AL636-AL635)/AL636*100</f>
        <v>-2.7027027027027</v>
      </c>
      <c r="AN636" s="17" t="n">
        <f aca="false">(AK636-AK635)/AK636*100</f>
        <v>-44.997757741675</v>
      </c>
      <c r="AO636" s="17" t="str">
        <f aca="false">IF(AN636&lt;-8,"FITS BITCH",IF(AN636&gt;-8,"no"))</f>
        <v>FITS BITCH</v>
      </c>
      <c r="AP636" s="17" t="str">
        <f aca="false">IF(AH637&lt;AH636,"FITS BITCH",IF(AH637&gt;AH636,"no"))</f>
        <v>FITS BITCH</v>
      </c>
      <c r="AQ636" s="17" t="str">
        <f aca="false">IF(AI637&lt;AI636,"FITS BITCH",IF(AI637&gt;AI636,"no"))</f>
        <v>no</v>
      </c>
      <c r="AR636" s="17" t="str">
        <f aca="false">IF(AJ636&lt;AH637,"FITS BITCH",IF(AJ636&gt;AH637,"no"))</f>
        <v>no</v>
      </c>
      <c r="AS636" s="17" t="str">
        <f aca="false">IF(AJ636&gt;AJ637,"FITS BITCH",IF(AJ636&lt;AJ637,"no"))</f>
        <v>FITS BITCH</v>
      </c>
      <c r="AT636" s="91" t="str">
        <f aca="false">IF(AND($AO636="FITS BITCH",$AP636="FITS BITCH",$AR636="FITS BITCH"),"BULLISH","")</f>
        <v/>
      </c>
      <c r="AU636" s="91" t="str">
        <f aca="false">IF(AND($AO636="FITS BITCH",$AQ636="FITS BITCH",$AS636="FITS BITCH"),"BEARISH","")</f>
        <v/>
      </c>
      <c r="AV636" s="86"/>
      <c r="AW636" s="86"/>
      <c r="AX636" s="86"/>
    </row>
    <row r="637" customFormat="false" ht="15.75" hidden="false" customHeight="false" outlineLevel="0" collapsed="false">
      <c r="AE637" s="90" t="n">
        <f aca="false">Data!A632</f>
        <v>42054</v>
      </c>
      <c r="AF637" s="17" t="n">
        <f aca="false">Data!B632</f>
        <v>128.48</v>
      </c>
      <c r="AG637" s="17" t="n">
        <f aca="false">Data!F632</f>
        <v>37362381</v>
      </c>
      <c r="AH637" s="17" t="n">
        <f aca="false">Data!C632</f>
        <v>129.03</v>
      </c>
      <c r="AI637" s="17" t="n">
        <f aca="false">Data!D632</f>
        <v>128.33</v>
      </c>
      <c r="AJ637" s="17" t="n">
        <f aca="false">Data!E632</f>
        <v>128.45</v>
      </c>
      <c r="AK637" s="17" t="n">
        <f aca="false">Data!F632</f>
        <v>37362381</v>
      </c>
      <c r="AL637" s="17" t="n">
        <f aca="false">AJ637</f>
        <v>128.45</v>
      </c>
      <c r="AM637" s="17" t="n">
        <f aca="false">(AL637-AL636)/AL637*100</f>
        <v>-0.817438692098102</v>
      </c>
      <c r="AN637" s="17" t="n">
        <f aca="false">(AK637-AK636)/AK637*100</f>
        <v>-31.0099027147119</v>
      </c>
      <c r="AO637" s="17" t="str">
        <f aca="false">IF(AN637&lt;-8,"FITS BITCH",IF(AN637&gt;-8,"no"))</f>
        <v>FITS BITCH</v>
      </c>
      <c r="AP637" s="17" t="str">
        <f aca="false">IF(AH638&lt;AH637,"FITS BITCH",IF(AH638&gt;AH637,"no"))</f>
        <v>FITS BITCH</v>
      </c>
      <c r="AQ637" s="17" t="str">
        <f aca="false">IF(AI638&lt;AI637,"FITS BITCH",IF(AI638&gt;AI637,"no"))</f>
        <v>FITS BITCH</v>
      </c>
      <c r="AR637" s="17" t="str">
        <f aca="false">IF(AJ637&lt;AH638,"FITS BITCH",IF(AJ637&gt;AH638,"no"))</f>
        <v>FITS BITCH</v>
      </c>
      <c r="AS637" s="17" t="str">
        <f aca="false">IF(AJ637&gt;AJ638,"FITS BITCH",IF(AJ637&lt;AJ638,"no"))</f>
        <v>no</v>
      </c>
      <c r="AT637" s="91" t="str">
        <f aca="false">IF(AND($AO637="FITS BITCH",$AP637="FITS BITCH",$AR637="FITS BITCH"),"BULLISH","")</f>
        <v>BULLISH</v>
      </c>
      <c r="AU637" s="91" t="str">
        <f aca="false">IF(AND($AO637="FITS BITCH",$AQ637="FITS BITCH",$AS637="FITS BITCH"),"BEARISH","")</f>
        <v/>
      </c>
      <c r="AV637" s="86"/>
      <c r="AW637" s="86"/>
      <c r="AX637" s="86"/>
    </row>
    <row r="638" customFormat="false" ht="15.75" hidden="false" customHeight="false" outlineLevel="0" collapsed="false">
      <c r="AE638" s="90" t="n">
        <f aca="false">Data!A633</f>
        <v>42053</v>
      </c>
      <c r="AF638" s="17" t="n">
        <f aca="false">Data!B633</f>
        <v>127.62</v>
      </c>
      <c r="AG638" s="17" t="n">
        <f aca="false">Data!F633</f>
        <v>44891737</v>
      </c>
      <c r="AH638" s="17" t="n">
        <f aca="false">Data!C633</f>
        <v>128.78</v>
      </c>
      <c r="AI638" s="17" t="n">
        <f aca="false">Data!D633</f>
        <v>127.45</v>
      </c>
      <c r="AJ638" s="17" t="n">
        <f aca="false">Data!E633</f>
        <v>128.72</v>
      </c>
      <c r="AK638" s="17" t="n">
        <f aca="false">Data!F633</f>
        <v>44891737</v>
      </c>
      <c r="AL638" s="17" t="n">
        <f aca="false">AJ638</f>
        <v>128.72</v>
      </c>
      <c r="AM638" s="17" t="n">
        <f aca="false">(AL638-AL637)/AL638*100</f>
        <v>0.209757613424495</v>
      </c>
      <c r="AN638" s="17" t="n">
        <f aca="false">(AK638-AK637)/AK638*100</f>
        <v>16.7722536555001</v>
      </c>
      <c r="AO638" s="17" t="str">
        <f aca="false">IF(AN638&lt;-8,"FITS BITCH",IF(AN638&gt;-8,"no"))</f>
        <v>no</v>
      </c>
      <c r="AP638" s="17" t="str">
        <f aca="false">IF(AH639&lt;AH638,"FITS BITCH",IF(AH639&gt;AH638,"no"))</f>
        <v>no</v>
      </c>
      <c r="AQ638" s="17" t="str">
        <f aca="false">IF(AI639&lt;AI638,"FITS BITCH",IF(AI639&gt;AI638,"no"))</f>
        <v>FITS BITCH</v>
      </c>
      <c r="AR638" s="17" t="str">
        <f aca="false">IF(AJ638&lt;AH639,"FITS BITCH",IF(AJ638&gt;AH639,"no"))</f>
        <v>FITS BITCH</v>
      </c>
      <c r="AS638" s="17" t="str">
        <f aca="false">IF(AJ638&gt;AJ639,"FITS BITCH",IF(AJ638&lt;AJ639,"no"))</f>
        <v>FITS BITCH</v>
      </c>
      <c r="AT638" s="91" t="str">
        <f aca="false">IF(AND($AO638="FITS BITCH",$AP638="FITS BITCH",$AR638="FITS BITCH"),"BULLISH","")</f>
        <v/>
      </c>
      <c r="AU638" s="91" t="str">
        <f aca="false">IF(AND($AO638="FITS BITCH",$AQ638="FITS BITCH",$AS638="FITS BITCH"),"BEARISH","")</f>
        <v/>
      </c>
      <c r="AV638" s="86"/>
      <c r="AW638" s="86"/>
      <c r="AX638" s="86"/>
    </row>
    <row r="639" customFormat="false" ht="15.75" hidden="false" customHeight="false" outlineLevel="0" collapsed="false">
      <c r="AE639" s="90" t="n">
        <f aca="false">Data!A634</f>
        <v>42052</v>
      </c>
      <c r="AF639" s="17" t="n">
        <f aca="false">Data!B634</f>
        <v>127.49</v>
      </c>
      <c r="AG639" s="17" t="n">
        <f aca="false">Data!F634</f>
        <v>63152405</v>
      </c>
      <c r="AH639" s="17" t="n">
        <f aca="false">Data!C634</f>
        <v>128.88</v>
      </c>
      <c r="AI639" s="17" t="n">
        <f aca="false">Data!D634</f>
        <v>126.92</v>
      </c>
      <c r="AJ639" s="17" t="n">
        <f aca="false">Data!E634</f>
        <v>127.83</v>
      </c>
      <c r="AK639" s="17" t="n">
        <f aca="false">Data!F634</f>
        <v>63152405</v>
      </c>
      <c r="AL639" s="17" t="n">
        <f aca="false">AJ639</f>
        <v>127.83</v>
      </c>
      <c r="AM639" s="17" t="n">
        <f aca="false">(AL639-AL638)/AL639*100</f>
        <v>-0.696237190017993</v>
      </c>
      <c r="AN639" s="17" t="n">
        <f aca="false">(AK639-AK638)/AK639*100</f>
        <v>28.9152376698876</v>
      </c>
      <c r="AO639" s="17" t="str">
        <f aca="false">IF(AN639&lt;-8,"FITS BITCH",IF(AN639&gt;-8,"no"))</f>
        <v>no</v>
      </c>
      <c r="AP639" s="17" t="str">
        <f aca="false">IF(AH640&lt;AH639,"FITS BITCH",IF(AH640&gt;AH639,"no"))</f>
        <v>FITS BITCH</v>
      </c>
      <c r="AQ639" s="17" t="str">
        <f aca="false">IF(AI640&lt;AI639,"FITS BITCH",IF(AI640&gt;AI639,"no"))</f>
        <v>FITS BITCH</v>
      </c>
      <c r="AR639" s="17" t="str">
        <f aca="false">IF(AJ639&lt;AH640,"FITS BITCH",IF(AJ639&gt;AH640,"no"))</f>
        <v>no</v>
      </c>
      <c r="AS639" s="17" t="str">
        <f aca="false">IF(AJ639&gt;AJ640,"FITS BITCH",IF(AJ639&lt;AJ640,"no"))</f>
        <v>FITS BITCH</v>
      </c>
      <c r="AT639" s="91" t="str">
        <f aca="false">IF(AND($AO639="FITS BITCH",$AP639="FITS BITCH",$AR639="FITS BITCH"),"BULLISH","")</f>
        <v/>
      </c>
      <c r="AU639" s="91" t="str">
        <f aca="false">IF(AND($AO639="FITS BITCH",$AQ639="FITS BITCH",$AS639="FITS BITCH"),"BEARISH","")</f>
        <v/>
      </c>
      <c r="AV639" s="86"/>
      <c r="AW639" s="86"/>
      <c r="AX639" s="86"/>
    </row>
    <row r="640" customFormat="false" ht="15.75" hidden="false" customHeight="false" outlineLevel="0" collapsed="false">
      <c r="AE640" s="90" t="n">
        <f aca="false">Data!A635</f>
        <v>42048</v>
      </c>
      <c r="AF640" s="17" t="n">
        <f aca="false">Data!B635</f>
        <v>127.28</v>
      </c>
      <c r="AG640" s="17" t="n">
        <f aca="false">Data!F635</f>
        <v>54272219</v>
      </c>
      <c r="AH640" s="17" t="n">
        <f aca="false">Data!C635</f>
        <v>127.28</v>
      </c>
      <c r="AI640" s="17" t="n">
        <f aca="false">Data!D635</f>
        <v>125.65</v>
      </c>
      <c r="AJ640" s="17" t="n">
        <f aca="false">Data!E635</f>
        <v>127.08</v>
      </c>
      <c r="AK640" s="17" t="n">
        <f aca="false">Data!F635</f>
        <v>54272219</v>
      </c>
      <c r="AL640" s="17" t="n">
        <f aca="false">AJ640</f>
        <v>127.08</v>
      </c>
      <c r="AM640" s="17" t="n">
        <f aca="false">(AL640-AL639)/AL640*100</f>
        <v>-0.590179414542021</v>
      </c>
      <c r="AN640" s="17" t="n">
        <f aca="false">(AK640-AK639)/AK640*100</f>
        <v>-16.362304994384</v>
      </c>
      <c r="AO640" s="17" t="str">
        <f aca="false">IF(AN640&lt;-8,"FITS BITCH",IF(AN640&gt;-8,"no"))</f>
        <v>FITS BITCH</v>
      </c>
      <c r="AP640" s="17" t="str">
        <f aca="false">IF(AH641&lt;AH640,"FITS BITCH",IF(AH641&gt;AH640,"no"))</f>
        <v>no</v>
      </c>
      <c r="AQ640" s="17" t="str">
        <f aca="false">IF(AI641&lt;AI640,"FITS BITCH",IF(AI641&gt;AI640,"no"))</f>
        <v>FITS BITCH</v>
      </c>
      <c r="AR640" s="17" t="str">
        <f aca="false">IF(AJ640&lt;AH641,"FITS BITCH",IF(AJ640&gt;AH641,"no"))</f>
        <v>FITS BITCH</v>
      </c>
      <c r="AS640" s="17" t="str">
        <f aca="false">IF(AJ640&gt;AJ641,"FITS BITCH",IF(AJ640&lt;AJ641,"no"))</f>
        <v>FITS BITCH</v>
      </c>
      <c r="AT640" s="91" t="str">
        <f aca="false">IF(AND($AO640="FITS BITCH",$AP640="FITS BITCH",$AR640="FITS BITCH"),"BULLISH","")</f>
        <v/>
      </c>
      <c r="AU640" s="91" t="str">
        <f aca="false">IF(AND($AO640="FITS BITCH",$AQ640="FITS BITCH",$AS640="FITS BITCH"),"BEARISH","")</f>
        <v>BEARISH</v>
      </c>
      <c r="AV640" s="86"/>
      <c r="AW640" s="86"/>
      <c r="AX640" s="86"/>
    </row>
    <row r="641" customFormat="false" ht="15.75" hidden="false" customHeight="false" outlineLevel="0" collapsed="false">
      <c r="AE641" s="90" t="n">
        <f aca="false">Data!A636</f>
        <v>42047</v>
      </c>
      <c r="AF641" s="17" t="n">
        <f aca="false">Data!B636</f>
        <v>126.06</v>
      </c>
      <c r="AG641" s="17" t="n">
        <f aca="false">Data!F636</f>
        <v>74474466</v>
      </c>
      <c r="AH641" s="17" t="n">
        <f aca="false">Data!C636</f>
        <v>127.48</v>
      </c>
      <c r="AI641" s="17" t="n">
        <f aca="false">Data!D636</f>
        <v>125.57</v>
      </c>
      <c r="AJ641" s="17" t="n">
        <f aca="false">Data!E636</f>
        <v>126.46</v>
      </c>
      <c r="AK641" s="17" t="n">
        <f aca="false">Data!F636</f>
        <v>74474466</v>
      </c>
      <c r="AL641" s="17" t="n">
        <f aca="false">AJ641</f>
        <v>126.46</v>
      </c>
      <c r="AM641" s="17" t="n">
        <f aca="false">(AL641-AL640)/AL641*100</f>
        <v>-0.490273604301759</v>
      </c>
      <c r="AN641" s="17" t="n">
        <f aca="false">(AK641-AK640)/AK641*100</f>
        <v>27.1264073246259</v>
      </c>
      <c r="AO641" s="17" t="str">
        <f aca="false">IF(AN641&lt;-8,"FITS BITCH",IF(AN641&gt;-8,"no"))</f>
        <v>no</v>
      </c>
      <c r="AP641" s="17" t="str">
        <f aca="false">IF(AH642&lt;AH641,"FITS BITCH",IF(AH642&gt;AH641,"no"))</f>
        <v>FITS BITCH</v>
      </c>
      <c r="AQ641" s="17" t="str">
        <f aca="false">IF(AI642&lt;AI641,"FITS BITCH",IF(AI642&gt;AI641,"no"))</f>
        <v>FITS BITCH</v>
      </c>
      <c r="AR641" s="17" t="str">
        <f aca="false">IF(AJ641&lt;AH642,"FITS BITCH",IF(AJ641&gt;AH642,"no"))</f>
        <v>no</v>
      </c>
      <c r="AS641" s="17" t="str">
        <f aca="false">IF(AJ641&gt;AJ642,"FITS BITCH",IF(AJ641&lt;AJ642,"no"))</f>
        <v>FITS BITCH</v>
      </c>
      <c r="AT641" s="91" t="str">
        <f aca="false">IF(AND($AO641="FITS BITCH",$AP641="FITS BITCH",$AR641="FITS BITCH"),"BULLISH","")</f>
        <v/>
      </c>
      <c r="AU641" s="91" t="str">
        <f aca="false">IF(AND($AO641="FITS BITCH",$AQ641="FITS BITCH",$AS641="FITS BITCH"),"BEARISH","")</f>
        <v/>
      </c>
      <c r="AV641" s="86"/>
      <c r="AW641" s="86"/>
      <c r="AX641" s="86"/>
    </row>
    <row r="642" customFormat="false" ht="15.75" hidden="false" customHeight="false" outlineLevel="0" collapsed="false">
      <c r="AE642" s="90" t="n">
        <f aca="false">Data!A637</f>
        <v>42046</v>
      </c>
      <c r="AF642" s="17" t="n">
        <f aca="false">Data!B637</f>
        <v>122.77</v>
      </c>
      <c r="AG642" s="17" t="n">
        <f aca="false">Data!F637</f>
        <v>73561797</v>
      </c>
      <c r="AH642" s="17" t="n">
        <f aca="false">Data!C637</f>
        <v>124.92</v>
      </c>
      <c r="AI642" s="17" t="n">
        <f aca="false">Data!D637</f>
        <v>122.5</v>
      </c>
      <c r="AJ642" s="17" t="n">
        <f aca="false">Data!E637</f>
        <v>124.88</v>
      </c>
      <c r="AK642" s="17" t="n">
        <f aca="false">Data!F637</f>
        <v>73561797</v>
      </c>
      <c r="AL642" s="17" t="n">
        <f aca="false">AJ642</f>
        <v>124.88</v>
      </c>
      <c r="AM642" s="17" t="n">
        <f aca="false">(AL642-AL641)/AL642*100</f>
        <v>-1.26521460602178</v>
      </c>
      <c r="AN642" s="17" t="n">
        <f aca="false">(AK642-AK641)/AK642*100</f>
        <v>-1.24068339439832</v>
      </c>
      <c r="AO642" s="17" t="str">
        <f aca="false">IF(AN642&lt;-8,"FITS BITCH",IF(AN642&gt;-8,"no"))</f>
        <v>no</v>
      </c>
      <c r="AP642" s="17" t="str">
        <f aca="false">IF(AH643&lt;AH642,"FITS BITCH",IF(AH643&gt;AH642,"no"))</f>
        <v>FITS BITCH</v>
      </c>
      <c r="AQ642" s="17" t="str">
        <f aca="false">IF(AI643&lt;AI642,"FITS BITCH",IF(AI643&gt;AI642,"no"))</f>
        <v>FITS BITCH</v>
      </c>
      <c r="AR642" s="17" t="str">
        <f aca="false">IF(AJ642&lt;AH643,"FITS BITCH",IF(AJ642&gt;AH643,"no"))</f>
        <v>no</v>
      </c>
      <c r="AS642" s="17" t="str">
        <f aca="false">IF(AJ642&gt;AJ643,"FITS BITCH",IF(AJ642&lt;AJ643,"no"))</f>
        <v>FITS BITCH</v>
      </c>
      <c r="AT642" s="91" t="str">
        <f aca="false">IF(AND($AO642="FITS BITCH",$AP642="FITS BITCH",$AR642="FITS BITCH"),"BULLISH","")</f>
        <v/>
      </c>
      <c r="AU642" s="91" t="str">
        <f aca="false">IF(AND($AO642="FITS BITCH",$AQ642="FITS BITCH",$AS642="FITS BITCH"),"BEARISH","")</f>
        <v/>
      </c>
      <c r="AV642" s="86"/>
      <c r="AW642" s="86"/>
      <c r="AX642" s="86"/>
    </row>
    <row r="643" customFormat="false" ht="15.75" hidden="false" customHeight="false" outlineLevel="0" collapsed="false">
      <c r="AE643" s="90" t="n">
        <f aca="false">Data!A638</f>
        <v>42045</v>
      </c>
      <c r="AF643" s="17" t="n">
        <f aca="false">Data!B638</f>
        <v>120.17</v>
      </c>
      <c r="AG643" s="17" t="n">
        <f aca="false">Data!F638</f>
        <v>62008506</v>
      </c>
      <c r="AH643" s="17" t="n">
        <f aca="false">Data!C638</f>
        <v>122.15</v>
      </c>
      <c r="AI643" s="17" t="n">
        <f aca="false">Data!D638</f>
        <v>120.16</v>
      </c>
      <c r="AJ643" s="17" t="n">
        <f aca="false">Data!E638</f>
        <v>122.02</v>
      </c>
      <c r="AK643" s="17" t="n">
        <f aca="false">Data!F638</f>
        <v>62008506</v>
      </c>
      <c r="AL643" s="17" t="n">
        <f aca="false">AJ643</f>
        <v>122.02</v>
      </c>
      <c r="AM643" s="17" t="n">
        <f aca="false">(AL643-AL642)/AL643*100</f>
        <v>-2.34387805277823</v>
      </c>
      <c r="AN643" s="17" t="n">
        <f aca="false">(AK643-AK642)/AK643*100</f>
        <v>-18.6317841619987</v>
      </c>
      <c r="AO643" s="17" t="str">
        <f aca="false">IF(AN643&lt;-8,"FITS BITCH",IF(AN643&gt;-8,"no"))</f>
        <v>FITS BITCH</v>
      </c>
      <c r="AP643" s="17" t="str">
        <f aca="false">IF(AH644&lt;AH643,"FITS BITCH",IF(AH644&gt;AH643,"no"))</f>
        <v>FITS BITCH</v>
      </c>
      <c r="AQ643" s="17" t="str">
        <f aca="false">IF(AI644&lt;AI643,"FITS BITCH",IF(AI644&gt;AI643,"no"))</f>
        <v>FITS BITCH</v>
      </c>
      <c r="AR643" s="17" t="str">
        <f aca="false">IF(AJ643&lt;AH644,"FITS BITCH",IF(AJ643&gt;AH644,"no"))</f>
        <v>no</v>
      </c>
      <c r="AS643" s="17" t="str">
        <f aca="false">IF(AJ643&gt;AJ644,"FITS BITCH",IF(AJ643&lt;AJ644,"no"))</f>
        <v>FITS BITCH</v>
      </c>
      <c r="AT643" s="91" t="str">
        <f aca="false">IF(AND($AO643="FITS BITCH",$AP643="FITS BITCH",$AR643="FITS BITCH"),"BULLISH","")</f>
        <v/>
      </c>
      <c r="AU643" s="91" t="str">
        <f aca="false">IF(AND($AO643="FITS BITCH",$AQ643="FITS BITCH",$AS643="FITS BITCH"),"BEARISH","")</f>
        <v>BEARISH</v>
      </c>
      <c r="AV643" s="86"/>
      <c r="AW643" s="86"/>
      <c r="AX643" s="86"/>
    </row>
    <row r="644" customFormat="false" ht="15.75" hidden="false" customHeight="false" outlineLevel="0" collapsed="false">
      <c r="AE644" s="90" t="n">
        <f aca="false">Data!A639</f>
        <v>42044</v>
      </c>
      <c r="AF644" s="17" t="n">
        <f aca="false">Data!B639</f>
        <v>118.55</v>
      </c>
      <c r="AG644" s="17" t="n">
        <f aca="false">Data!F639</f>
        <v>38889797</v>
      </c>
      <c r="AH644" s="17" t="n">
        <f aca="false">Data!C639</f>
        <v>119.84</v>
      </c>
      <c r="AI644" s="17" t="n">
        <f aca="false">Data!D639</f>
        <v>118.43</v>
      </c>
      <c r="AJ644" s="17" t="n">
        <f aca="false">Data!E639</f>
        <v>119.72</v>
      </c>
      <c r="AK644" s="17" t="n">
        <f aca="false">Data!F639</f>
        <v>38889797</v>
      </c>
      <c r="AL644" s="17" t="n">
        <f aca="false">AJ644</f>
        <v>119.72</v>
      </c>
      <c r="AM644" s="17" t="n">
        <f aca="false">(AL644-AL643)/AL644*100</f>
        <v>-1.92114934847978</v>
      </c>
      <c r="AN644" s="17" t="n">
        <f aca="false">(AK644-AK643)/AK644*100</f>
        <v>-59.4467206912908</v>
      </c>
      <c r="AO644" s="17" t="str">
        <f aca="false">IF(AN644&lt;-8,"FITS BITCH",IF(AN644&gt;-8,"no"))</f>
        <v>FITS BITCH</v>
      </c>
      <c r="AP644" s="17" t="str">
        <f aca="false">IF(AH645&lt;AH644,"FITS BITCH",IF(AH645&gt;AH644,"no"))</f>
        <v>no</v>
      </c>
      <c r="AQ644" s="17" t="str">
        <f aca="false">IF(AI645&lt;AI644,"FITS BITCH",IF(AI645&gt;AI644,"no"))</f>
        <v>no</v>
      </c>
      <c r="AR644" s="17" t="str">
        <f aca="false">IF(AJ644&lt;AH645,"FITS BITCH",IF(AJ644&gt;AH645,"no"))</f>
        <v>FITS BITCH</v>
      </c>
      <c r="AS644" s="17" t="str">
        <f aca="false">IF(AJ644&gt;AJ645,"FITS BITCH",IF(AJ644&lt;AJ645,"no"))</f>
        <v>FITS BITCH</v>
      </c>
      <c r="AT644" s="91" t="str">
        <f aca="false">IF(AND($AO644="FITS BITCH",$AP644="FITS BITCH",$AR644="FITS BITCH"),"BULLISH","")</f>
        <v/>
      </c>
      <c r="AU644" s="91" t="str">
        <f aca="false">IF(AND($AO644="FITS BITCH",$AQ644="FITS BITCH",$AS644="FITS BITCH"),"BEARISH","")</f>
        <v/>
      </c>
      <c r="AV644" s="86"/>
      <c r="AW644" s="86"/>
      <c r="AX644" s="86"/>
    </row>
    <row r="645" customFormat="false" ht="15.75" hidden="false" customHeight="false" outlineLevel="0" collapsed="false">
      <c r="AE645" s="90" t="n">
        <f aca="false">Data!A640</f>
        <v>42041</v>
      </c>
      <c r="AF645" s="17" t="n">
        <f aca="false">Data!B640</f>
        <v>120.02</v>
      </c>
      <c r="AG645" s="17" t="n">
        <f aca="false">Data!F640</f>
        <v>43706567</v>
      </c>
      <c r="AH645" s="17" t="n">
        <f aca="false">Data!C640</f>
        <v>120.25</v>
      </c>
      <c r="AI645" s="17" t="n">
        <f aca="false">Data!D640</f>
        <v>118.45</v>
      </c>
      <c r="AJ645" s="17" t="n">
        <f aca="false">Data!E640</f>
        <v>118.93</v>
      </c>
      <c r="AK645" s="17" t="n">
        <f aca="false">Data!F640</f>
        <v>43706567</v>
      </c>
      <c r="AL645" s="17" t="n">
        <f aca="false">AJ645</f>
        <v>118.93</v>
      </c>
      <c r="AM645" s="17" t="n">
        <f aca="false">(AL645-AL644)/AL645*100</f>
        <v>-0.66425628520978</v>
      </c>
      <c r="AN645" s="17" t="n">
        <f aca="false">(AK645-AK644)/AK645*100</f>
        <v>11.0207008479984</v>
      </c>
      <c r="AO645" s="17" t="str">
        <f aca="false">IF(AN645&lt;-8,"FITS BITCH",IF(AN645&gt;-8,"no"))</f>
        <v>no</v>
      </c>
      <c r="AP645" s="17" t="str">
        <f aca="false">IF(AH646&lt;AH645,"FITS BITCH",IF(AH646&gt;AH645,"no"))</f>
        <v>FITS BITCH</v>
      </c>
      <c r="AQ645" s="17" t="str">
        <f aca="false">IF(AI646&lt;AI645,"FITS BITCH",IF(AI646&gt;AI645,"no"))</f>
        <v>no</v>
      </c>
      <c r="AR645" s="17" t="str">
        <f aca="false">IF(AJ645&lt;AH646,"FITS BITCH",IF(AJ645&gt;AH646,"no"))</f>
        <v>FITS BITCH</v>
      </c>
      <c r="AS645" s="17" t="str">
        <f aca="false">IF(AJ645&gt;AJ646,"FITS BITCH",IF(AJ645&lt;AJ646,"no"))</f>
        <v>no</v>
      </c>
      <c r="AT645" s="91" t="str">
        <f aca="false">IF(AND($AO645="FITS BITCH",$AP645="FITS BITCH",$AR645="FITS BITCH"),"BULLISH","")</f>
        <v/>
      </c>
      <c r="AU645" s="91" t="str">
        <f aca="false">IF(AND($AO645="FITS BITCH",$AQ645="FITS BITCH",$AS645="FITS BITCH"),"BEARISH","")</f>
        <v/>
      </c>
      <c r="AV645" s="86"/>
      <c r="AW645" s="86"/>
      <c r="AX645" s="86"/>
    </row>
    <row r="646" customFormat="false" ht="15.75" hidden="false" customHeight="false" outlineLevel="0" collapsed="false">
      <c r="AE646" s="90" t="n">
        <f aca="false">Data!A641</f>
        <v>42040</v>
      </c>
      <c r="AF646" s="17" t="n">
        <f aca="false">Data!B641</f>
        <v>120.02</v>
      </c>
      <c r="AG646" s="17" t="n">
        <f aca="false">Data!F641</f>
        <v>42246245</v>
      </c>
      <c r="AH646" s="17" t="n">
        <f aca="false">Data!C641</f>
        <v>120.23</v>
      </c>
      <c r="AI646" s="17" t="n">
        <f aca="false">Data!D641</f>
        <v>119.25</v>
      </c>
      <c r="AJ646" s="17" t="n">
        <f aca="false">Data!E641</f>
        <v>119.94</v>
      </c>
      <c r="AK646" s="17" t="n">
        <f aca="false">Data!F641</f>
        <v>42246245</v>
      </c>
      <c r="AL646" s="17" t="n">
        <f aca="false">AJ646</f>
        <v>119.94</v>
      </c>
      <c r="AM646" s="17" t="n">
        <f aca="false">(AL646-AL645)/AL646*100</f>
        <v>0.84208771052192</v>
      </c>
      <c r="AN646" s="17" t="n">
        <f aca="false">(AK646-AK645)/AK646*100</f>
        <v>-3.45669064789072</v>
      </c>
      <c r="AO646" s="17" t="str">
        <f aca="false">IF(AN646&lt;-8,"FITS BITCH",IF(AN646&gt;-8,"no"))</f>
        <v>no</v>
      </c>
      <c r="AP646" s="17" t="str">
        <f aca="false">IF(AH647&lt;AH646,"FITS BITCH",IF(AH647&gt;AH646,"no"))</f>
        <v>no</v>
      </c>
      <c r="AQ646" s="17" t="str">
        <f aca="false">IF(AI647&lt;AI646,"FITS BITCH",IF(AI647&gt;AI646,"no"))</f>
        <v>FITS BITCH</v>
      </c>
      <c r="AR646" s="17" t="str">
        <f aca="false">IF(AJ646&lt;AH647,"FITS BITCH",IF(AJ646&gt;AH647,"no"))</f>
        <v>FITS BITCH</v>
      </c>
      <c r="AS646" s="17" t="str">
        <f aca="false">IF(AJ646&gt;AJ647,"FITS BITCH",IF(AJ646&lt;AJ647,"no"))</f>
        <v>FITS BITCH</v>
      </c>
      <c r="AT646" s="91" t="str">
        <f aca="false">IF(AND($AO646="FITS BITCH",$AP646="FITS BITCH",$AR646="FITS BITCH"),"BULLISH","")</f>
        <v/>
      </c>
      <c r="AU646" s="91" t="str">
        <f aca="false">IF(AND($AO646="FITS BITCH",$AQ646="FITS BITCH",$AS646="FITS BITCH"),"BEARISH","")</f>
        <v/>
      </c>
      <c r="AV646" s="86"/>
      <c r="AW646" s="86"/>
      <c r="AX646" s="86"/>
    </row>
    <row r="647" customFormat="false" ht="15.75" hidden="false" customHeight="false" outlineLevel="0" collapsed="false">
      <c r="AE647" s="90" t="n">
        <f aca="false">Data!A642</f>
        <v>42039</v>
      </c>
      <c r="AF647" s="17" t="n">
        <f aca="false">Data!B642</f>
        <v>118.5</v>
      </c>
      <c r="AG647" s="17" t="n">
        <f aca="false">Data!F642</f>
        <v>70149743</v>
      </c>
      <c r="AH647" s="17" t="n">
        <f aca="false">Data!C642</f>
        <v>120.51</v>
      </c>
      <c r="AI647" s="17" t="n">
        <f aca="false">Data!D642</f>
        <v>118.31</v>
      </c>
      <c r="AJ647" s="17" t="n">
        <f aca="false">Data!E642</f>
        <v>119.56</v>
      </c>
      <c r="AK647" s="17" t="n">
        <f aca="false">Data!F642</f>
        <v>70149743</v>
      </c>
      <c r="AL647" s="17" t="n">
        <f aca="false">AJ647</f>
        <v>119.56</v>
      </c>
      <c r="AM647" s="17" t="n">
        <f aca="false">(AL647-AL646)/AL647*100</f>
        <v>-0.317832050853124</v>
      </c>
      <c r="AN647" s="17" t="n">
        <f aca="false">(AK647-AK646)/AK647*100</f>
        <v>39.7770495039447</v>
      </c>
      <c r="AO647" s="17" t="str">
        <f aca="false">IF(AN647&lt;-8,"FITS BITCH",IF(AN647&gt;-8,"no"))</f>
        <v>no</v>
      </c>
      <c r="AP647" s="17" t="str">
        <f aca="false">IF(AH648&lt;AH647,"FITS BITCH",IF(AH648&gt;AH647,"no"))</f>
        <v>FITS BITCH</v>
      </c>
      <c r="AQ647" s="17" t="str">
        <f aca="false">IF(AI648&lt;AI647,"FITS BITCH",IF(AI648&gt;AI647,"no"))</f>
        <v>FITS BITCH</v>
      </c>
      <c r="AR647" s="17" t="str">
        <f aca="false">IF(AJ647&lt;AH648,"FITS BITCH",IF(AJ647&gt;AH648,"no"))</f>
        <v>no</v>
      </c>
      <c r="AS647" s="17" t="str">
        <f aca="false">IF(AJ647&gt;AJ648,"FITS BITCH",IF(AJ647&lt;AJ648,"no"))</f>
        <v>FITS BITCH</v>
      </c>
      <c r="AT647" s="91" t="str">
        <f aca="false">IF(AND($AO647="FITS BITCH",$AP647="FITS BITCH",$AR647="FITS BITCH"),"BULLISH","")</f>
        <v/>
      </c>
      <c r="AU647" s="91" t="str">
        <f aca="false">IF(AND($AO647="FITS BITCH",$AQ647="FITS BITCH",$AS647="FITS BITCH"),"BEARISH","")</f>
        <v/>
      </c>
      <c r="AV647" s="86"/>
      <c r="AW647" s="86"/>
      <c r="AX647" s="86"/>
    </row>
    <row r="648" customFormat="false" ht="15.75" hidden="false" customHeight="false" outlineLevel="0" collapsed="false">
      <c r="AE648" s="90" t="n">
        <f aca="false">Data!A643</f>
        <v>42038</v>
      </c>
      <c r="AF648" s="17" t="n">
        <f aca="false">Data!B643</f>
        <v>118.5</v>
      </c>
      <c r="AG648" s="17" t="n">
        <f aca="false">Data!F643</f>
        <v>51915749</v>
      </c>
      <c r="AH648" s="17" t="n">
        <f aca="false">Data!C643</f>
        <v>119.09</v>
      </c>
      <c r="AI648" s="17" t="n">
        <f aca="false">Data!D643</f>
        <v>117.61</v>
      </c>
      <c r="AJ648" s="17" t="n">
        <f aca="false">Data!E643</f>
        <v>118.65</v>
      </c>
      <c r="AK648" s="17" t="n">
        <f aca="false">Data!F643</f>
        <v>51915749</v>
      </c>
      <c r="AL648" s="17" t="n">
        <f aca="false">AJ648</f>
        <v>118.65</v>
      </c>
      <c r="AM648" s="17" t="n">
        <f aca="false">(AL648-AL647)/AL648*100</f>
        <v>-0.766961651917401</v>
      </c>
      <c r="AN648" s="17" t="n">
        <f aca="false">(AK648-AK647)/AK648*100</f>
        <v>-35.1222785979646</v>
      </c>
      <c r="AO648" s="17" t="str">
        <f aca="false">IF(AN648&lt;-8,"FITS BITCH",IF(AN648&gt;-8,"no"))</f>
        <v>FITS BITCH</v>
      </c>
      <c r="AP648" s="17" t="str">
        <f aca="false">IF(AH649&lt;AH648,"FITS BITCH",IF(AH649&gt;AH648,"no"))</f>
        <v>no</v>
      </c>
      <c r="AQ648" s="17" t="str">
        <f aca="false">IF(AI649&lt;AI648,"FITS BITCH",IF(AI649&gt;AI648,"no"))</f>
        <v>FITS BITCH</v>
      </c>
      <c r="AR648" s="17" t="str">
        <f aca="false">IF(AJ648&lt;AH649,"FITS BITCH",IF(AJ648&gt;AH649,"no"))</f>
        <v>FITS BITCH</v>
      </c>
      <c r="AS648" s="17" t="str">
        <f aca="false">IF(AJ648&gt;AJ649,"FITS BITCH",IF(AJ648&lt;AJ649,"no"))</f>
        <v>FITS BITCH</v>
      </c>
      <c r="AT648" s="91" t="str">
        <f aca="false">IF(AND($AO648="FITS BITCH",$AP648="FITS BITCH",$AR648="FITS BITCH"),"BULLISH","")</f>
        <v/>
      </c>
      <c r="AU648" s="91" t="str">
        <f aca="false">IF(AND($AO648="FITS BITCH",$AQ648="FITS BITCH",$AS648="FITS BITCH"),"BEARISH","")</f>
        <v>BEARISH</v>
      </c>
      <c r="AV648" s="86"/>
      <c r="AW648" s="86"/>
      <c r="AX648" s="86"/>
    </row>
    <row r="649" customFormat="false" ht="15.75" hidden="false" customHeight="false" outlineLevel="0" collapsed="false">
      <c r="AE649" s="90" t="n">
        <f aca="false">Data!A644</f>
        <v>42037</v>
      </c>
      <c r="AF649" s="17" t="n">
        <f aca="false">Data!B644</f>
        <v>118.05</v>
      </c>
      <c r="AG649" s="17" t="n">
        <f aca="false">Data!F644</f>
        <v>62739100</v>
      </c>
      <c r="AH649" s="17" t="n">
        <f aca="false">Data!C644</f>
        <v>119.17</v>
      </c>
      <c r="AI649" s="17" t="n">
        <f aca="false">Data!D644</f>
        <v>116.08</v>
      </c>
      <c r="AJ649" s="17" t="n">
        <f aca="false">Data!E644</f>
        <v>118.63</v>
      </c>
      <c r="AK649" s="17" t="n">
        <f aca="false">Data!F644</f>
        <v>62739100</v>
      </c>
      <c r="AL649" s="17" t="n">
        <f aca="false">AJ649</f>
        <v>118.63</v>
      </c>
      <c r="AM649" s="17" t="n">
        <f aca="false">(AL649-AL648)/AL649*100</f>
        <v>-0.0168591418696875</v>
      </c>
      <c r="AN649" s="17" t="n">
        <f aca="false">(AK649-AK648)/AK649*100</f>
        <v>17.2513647789018</v>
      </c>
      <c r="AO649" s="17" t="str">
        <f aca="false">IF(AN649&lt;-8,"FITS BITCH",IF(AN649&gt;-8,"no"))</f>
        <v>no</v>
      </c>
      <c r="AP649" s="17" t="str">
        <f aca="false">IF(AH650&lt;AH649,"FITS BITCH",IF(AH650&gt;AH649,"no"))</f>
        <v>no</v>
      </c>
      <c r="AQ649" s="17" t="str">
        <f aca="false">IF(AI650&lt;AI649,"FITS BITCH",IF(AI650&gt;AI649,"no"))</f>
        <v>no</v>
      </c>
      <c r="AR649" s="17" t="str">
        <f aca="false">IF(AJ649&lt;AH650,"FITS BITCH",IF(AJ649&gt;AH650,"no"))</f>
        <v>FITS BITCH</v>
      </c>
      <c r="AS649" s="17" t="str">
        <f aca="false">IF(AJ649&gt;AJ650,"FITS BITCH",IF(AJ649&lt;AJ650,"no"))</f>
        <v>FITS BITCH</v>
      </c>
      <c r="AT649" s="91" t="str">
        <f aca="false">IF(AND($AO649="FITS BITCH",$AP649="FITS BITCH",$AR649="FITS BITCH"),"BULLISH","")</f>
        <v/>
      </c>
      <c r="AU649" s="91" t="str">
        <f aca="false">IF(AND($AO649="FITS BITCH",$AQ649="FITS BITCH",$AS649="FITS BITCH"),"BEARISH","")</f>
        <v/>
      </c>
      <c r="AV649" s="86"/>
      <c r="AW649" s="86"/>
      <c r="AX649" s="86"/>
    </row>
    <row r="650" customFormat="false" ht="15.75" hidden="false" customHeight="false" outlineLevel="0" collapsed="false">
      <c r="AE650" s="90" t="n">
        <f aca="false">Data!A645</f>
        <v>42034</v>
      </c>
      <c r="AF650" s="17" t="n">
        <f aca="false">Data!B645</f>
        <v>118.4</v>
      </c>
      <c r="AG650" s="17" t="n">
        <f aca="false">Data!F645</f>
        <v>83745461</v>
      </c>
      <c r="AH650" s="17" t="n">
        <f aca="false">Data!C645</f>
        <v>120</v>
      </c>
      <c r="AI650" s="17" t="n">
        <f aca="false">Data!D645</f>
        <v>116.85</v>
      </c>
      <c r="AJ650" s="17" t="n">
        <f aca="false">Data!E645</f>
        <v>117.16</v>
      </c>
      <c r="AK650" s="17" t="n">
        <f aca="false">Data!F645</f>
        <v>83745461</v>
      </c>
      <c r="AL650" s="17" t="n">
        <f aca="false">AJ650</f>
        <v>117.16</v>
      </c>
      <c r="AM650" s="17" t="n">
        <f aca="false">(AL650-AL649)/AL650*100</f>
        <v>-1.25469443496074</v>
      </c>
      <c r="AN650" s="17" t="n">
        <f aca="false">(AK650-AK649)/AK650*100</f>
        <v>25.0835815447956</v>
      </c>
      <c r="AO650" s="17" t="str">
        <f aca="false">IF(AN650&lt;-8,"FITS BITCH",IF(AN650&gt;-8,"no"))</f>
        <v>no</v>
      </c>
      <c r="AP650" s="17" t="str">
        <f aca="false">IF(AH651&lt;AH650,"FITS BITCH",IF(AH651&gt;AH650,"no"))</f>
        <v>FITS BITCH</v>
      </c>
      <c r="AQ650" s="17" t="str">
        <f aca="false">IF(AI651&lt;AI650,"FITS BITCH",IF(AI651&gt;AI650,"no"))</f>
        <v>FITS BITCH</v>
      </c>
      <c r="AR650" s="17" t="str">
        <f aca="false">IF(AJ650&lt;AH651,"FITS BITCH",IF(AJ650&gt;AH651,"no"))</f>
        <v>FITS BITCH</v>
      </c>
      <c r="AS650" s="17" t="str">
        <f aca="false">IF(AJ650&gt;AJ651,"FITS BITCH",IF(AJ650&lt;AJ651,"no"))</f>
        <v>no</v>
      </c>
      <c r="AT650" s="91" t="str">
        <f aca="false">IF(AND($AO650="FITS BITCH",$AP650="FITS BITCH",$AR650="FITS BITCH"),"BULLISH","")</f>
        <v/>
      </c>
      <c r="AU650" s="91" t="str">
        <f aca="false">IF(AND($AO650="FITS BITCH",$AQ650="FITS BITCH",$AS650="FITS BITCH"),"BEARISH","")</f>
        <v/>
      </c>
      <c r="AV650" s="86"/>
      <c r="AW650" s="86"/>
      <c r="AX650" s="86"/>
    </row>
    <row r="651" customFormat="false" ht="15.75" hidden="false" customHeight="false" outlineLevel="0" collapsed="false">
      <c r="AE651" s="90" t="n">
        <f aca="false">Data!A646</f>
        <v>42033</v>
      </c>
      <c r="AF651" s="17" t="n">
        <f aca="false">Data!B646</f>
        <v>116.32</v>
      </c>
      <c r="AG651" s="17" t="n">
        <f aca="false">Data!F646</f>
        <v>84436432</v>
      </c>
      <c r="AH651" s="17" t="n">
        <f aca="false">Data!C646</f>
        <v>119.19</v>
      </c>
      <c r="AI651" s="17" t="n">
        <f aca="false">Data!D646</f>
        <v>115.56</v>
      </c>
      <c r="AJ651" s="17" t="n">
        <f aca="false">Data!E646</f>
        <v>118.9</v>
      </c>
      <c r="AK651" s="17" t="n">
        <f aca="false">Data!F646</f>
        <v>84436432</v>
      </c>
      <c r="AL651" s="17" t="n">
        <f aca="false">AJ651</f>
        <v>118.9</v>
      </c>
      <c r="AM651" s="17" t="n">
        <f aca="false">(AL651-AL650)/AL651*100</f>
        <v>1.46341463414635</v>
      </c>
      <c r="AN651" s="17" t="n">
        <f aca="false">(AK651-AK650)/AK651*100</f>
        <v>0.818332778438577</v>
      </c>
      <c r="AO651" s="17" t="str">
        <f aca="false">IF(AN651&lt;-8,"FITS BITCH",IF(AN651&gt;-8,"no"))</f>
        <v>no</v>
      </c>
      <c r="AP651" s="17" t="str">
        <f aca="false">IF(AH652&lt;AH651,"FITS BITCH",IF(AH652&gt;AH651,"no"))</f>
        <v>FITS BITCH</v>
      </c>
      <c r="AQ651" s="17" t="str">
        <f aca="false">IF(AI652&lt;AI651,"FITS BITCH",IF(AI652&gt;AI651,"no"))</f>
        <v>FITS BITCH</v>
      </c>
      <c r="AR651" s="17" t="str">
        <f aca="false">IF(AJ651&lt;AH652,"FITS BITCH",IF(AJ651&gt;AH652,"no"))</f>
        <v>no</v>
      </c>
      <c r="AS651" s="17" t="str">
        <f aca="false">IF(AJ651&gt;AJ652,"FITS BITCH",IF(AJ651&lt;AJ652,"no"))</f>
        <v>FITS BITCH</v>
      </c>
      <c r="AT651" s="91" t="str">
        <f aca="false">IF(AND($AO651="FITS BITCH",$AP651="FITS BITCH",$AR651="FITS BITCH"),"BULLISH","")</f>
        <v/>
      </c>
      <c r="AU651" s="91" t="str">
        <f aca="false">IF(AND($AO651="FITS BITCH",$AQ651="FITS BITCH",$AS651="FITS BITCH"),"BEARISH","")</f>
        <v/>
      </c>
      <c r="AV651" s="86"/>
      <c r="AW651" s="86"/>
      <c r="AX651" s="86"/>
    </row>
    <row r="652" customFormat="false" ht="15.75" hidden="false" customHeight="false" outlineLevel="0" collapsed="false">
      <c r="AE652" s="90" t="n">
        <f aca="false">Data!A647</f>
        <v>42032</v>
      </c>
      <c r="AF652" s="17" t="n">
        <f aca="false">Data!B647</f>
        <v>117.62</v>
      </c>
      <c r="AG652" s="17" t="n">
        <f aca="false">Data!F647</f>
        <v>146477063</v>
      </c>
      <c r="AH652" s="17" t="n">
        <f aca="false">Data!C647</f>
        <v>118.12</v>
      </c>
      <c r="AI652" s="17" t="n">
        <f aca="false">Data!D647</f>
        <v>115.31</v>
      </c>
      <c r="AJ652" s="17" t="n">
        <f aca="false">Data!E647</f>
        <v>115.31</v>
      </c>
      <c r="AK652" s="17" t="n">
        <f aca="false">Data!F647</f>
        <v>146477063</v>
      </c>
      <c r="AL652" s="17" t="n">
        <f aca="false">AJ652</f>
        <v>115.31</v>
      </c>
      <c r="AM652" s="17" t="n">
        <f aca="false">(AL652-AL651)/AL652*100</f>
        <v>-3.11334663082127</v>
      </c>
      <c r="AN652" s="17" t="n">
        <f aca="false">(AK652-AK651)/AK652*100</f>
        <v>42.355184988929</v>
      </c>
      <c r="AO652" s="17" t="str">
        <f aca="false">IF(AN652&lt;-8,"FITS BITCH",IF(AN652&gt;-8,"no"))</f>
        <v>no</v>
      </c>
      <c r="AP652" s="17" t="str">
        <f aca="false">IF(AH653&lt;AH652,"FITS BITCH",IF(AH653&gt;AH652,"no"))</f>
        <v>FITS BITCH</v>
      </c>
      <c r="AQ652" s="17" t="str">
        <f aca="false">IF(AI653&lt;AI652,"FITS BITCH",IF(AI653&gt;AI652,"no"))</f>
        <v>FITS BITCH</v>
      </c>
      <c r="AR652" s="17" t="str">
        <f aca="false">IF(AJ652&lt;AH653,"FITS BITCH",IF(AJ652&gt;AH653,"no"))</f>
        <v>no</v>
      </c>
      <c r="AS652" s="17" t="str">
        <f aca="false">IF(AJ652&gt;AJ653,"FITS BITCH",IF(AJ652&lt;AJ653,"no"))</f>
        <v>FITS BITCH</v>
      </c>
      <c r="AT652" s="91" t="str">
        <f aca="false">IF(AND($AO652="FITS BITCH",$AP652="FITS BITCH",$AR652="FITS BITCH"),"BULLISH","")</f>
        <v/>
      </c>
      <c r="AU652" s="91" t="str">
        <f aca="false">IF(AND($AO652="FITS BITCH",$AQ652="FITS BITCH",$AS652="FITS BITCH"),"BEARISH","")</f>
        <v/>
      </c>
      <c r="AV652" s="86"/>
      <c r="AW652" s="86"/>
      <c r="AX652" s="86"/>
    </row>
    <row r="653" customFormat="false" ht="15.75" hidden="false" customHeight="false" outlineLevel="0" collapsed="false">
      <c r="AE653" s="90" t="n">
        <f aca="false">Data!A648</f>
        <v>42031</v>
      </c>
      <c r="AF653" s="17" t="n">
        <f aca="false">Data!B648</f>
        <v>112.42</v>
      </c>
      <c r="AG653" s="17" t="n">
        <f aca="false">Data!F648</f>
        <v>95568749</v>
      </c>
      <c r="AH653" s="17" t="n">
        <f aca="false">Data!C648</f>
        <v>112.48</v>
      </c>
      <c r="AI653" s="17" t="n">
        <f aca="false">Data!D648</f>
        <v>109.03</v>
      </c>
      <c r="AJ653" s="17" t="n">
        <f aca="false">Data!E648</f>
        <v>109.14</v>
      </c>
      <c r="AK653" s="17" t="n">
        <f aca="false">Data!F648</f>
        <v>95568749</v>
      </c>
      <c r="AL653" s="17" t="n">
        <f aca="false">AJ653</f>
        <v>109.14</v>
      </c>
      <c r="AM653" s="17" t="n">
        <f aca="false">(AL653-AL652)/AL653*100</f>
        <v>-5.65328935312443</v>
      </c>
      <c r="AN653" s="17" t="n">
        <f aca="false">(AK653-AK652)/AK653*100</f>
        <v>-53.2687876870712</v>
      </c>
      <c r="AO653" s="17" t="str">
        <f aca="false">IF(AN653&lt;-8,"FITS BITCH",IF(AN653&gt;-8,"no"))</f>
        <v>FITS BITCH</v>
      </c>
      <c r="AP653" s="17" t="str">
        <f aca="false">IF(AH654&lt;AH653,"FITS BITCH",IF(AH654&gt;AH653,"no"))</f>
        <v>no</v>
      </c>
      <c r="AQ653" s="17" t="str">
        <f aca="false">IF(AI654&lt;AI653,"FITS BITCH",IF(AI654&gt;AI653,"no"))</f>
        <v>no</v>
      </c>
      <c r="AR653" s="17" t="str">
        <f aca="false">IF(AJ653&lt;AH654,"FITS BITCH",IF(AJ653&gt;AH654,"no"))</f>
        <v>FITS BITCH</v>
      </c>
      <c r="AS653" s="17" t="str">
        <f aca="false">IF(AJ653&gt;AJ654,"FITS BITCH",IF(AJ653&lt;AJ654,"no"))</f>
        <v>no</v>
      </c>
      <c r="AT653" s="91" t="str">
        <f aca="false">IF(AND($AO653="FITS BITCH",$AP653="FITS BITCH",$AR653="FITS BITCH"),"BULLISH","")</f>
        <v/>
      </c>
      <c r="AU653" s="91" t="str">
        <f aca="false">IF(AND($AO653="FITS BITCH",$AQ653="FITS BITCH",$AS653="FITS BITCH"),"BEARISH","")</f>
        <v/>
      </c>
      <c r="AV653" s="86"/>
      <c r="AW653" s="86"/>
      <c r="AX653" s="86"/>
    </row>
    <row r="654" customFormat="false" ht="15.75" hidden="false" customHeight="false" outlineLevel="0" collapsed="false">
      <c r="AE654" s="90" t="n">
        <f aca="false">Data!A649</f>
        <v>42030</v>
      </c>
      <c r="AF654" s="17" t="n">
        <f aca="false">Data!B649</f>
        <v>113.74</v>
      </c>
      <c r="AG654" s="17" t="n">
        <f aca="false">Data!F649</f>
        <v>55614979</v>
      </c>
      <c r="AH654" s="17" t="n">
        <f aca="false">Data!C649</f>
        <v>114.36</v>
      </c>
      <c r="AI654" s="17" t="n">
        <f aca="false">Data!D649</f>
        <v>112.8</v>
      </c>
      <c r="AJ654" s="17" t="n">
        <f aca="false">Data!E649</f>
        <v>113.1</v>
      </c>
      <c r="AK654" s="17" t="n">
        <f aca="false">Data!F649</f>
        <v>55614979</v>
      </c>
      <c r="AL654" s="17" t="n">
        <f aca="false">AJ654</f>
        <v>113.1</v>
      </c>
      <c r="AM654" s="17" t="n">
        <f aca="false">(AL654-AL653)/AL654*100</f>
        <v>3.50132625994694</v>
      </c>
      <c r="AN654" s="17" t="n">
        <f aca="false">(AK654-AK653)/AK654*100</f>
        <v>-71.839944414975</v>
      </c>
      <c r="AO654" s="17" t="str">
        <f aca="false">IF(AN654&lt;-8,"FITS BITCH",IF(AN654&gt;-8,"no"))</f>
        <v>FITS BITCH</v>
      </c>
      <c r="AP654" s="17" t="str">
        <f aca="false">IF(AH655&lt;AH654,"FITS BITCH",IF(AH655&gt;AH654,"no"))</f>
        <v>FITS BITCH</v>
      </c>
      <c r="AQ654" s="17" t="str">
        <f aca="false">IF(AI655&lt;AI654,"FITS BITCH",IF(AI655&gt;AI654,"no"))</f>
        <v>FITS BITCH</v>
      </c>
      <c r="AR654" s="17" t="str">
        <f aca="false">IF(AJ654&lt;AH655,"FITS BITCH",IF(AJ654&gt;AH655,"no"))</f>
        <v>FITS BITCH</v>
      </c>
      <c r="AS654" s="17" t="str">
        <f aca="false">IF(AJ654&gt;AJ655,"FITS BITCH",IF(AJ654&lt;AJ655,"no"))</f>
        <v>FITS BITCH</v>
      </c>
      <c r="AT654" s="91" t="str">
        <f aca="false">IF(AND($AO654="FITS BITCH",$AP654="FITS BITCH",$AR654="FITS BITCH"),"BULLISH","")</f>
        <v>BULLISH</v>
      </c>
      <c r="AU654" s="91" t="str">
        <f aca="false">IF(AND($AO654="FITS BITCH",$AQ654="FITS BITCH",$AS654="FITS BITCH"),"BEARISH","")</f>
        <v>BEARISH</v>
      </c>
      <c r="AV654" s="86"/>
      <c r="AW654" s="86"/>
      <c r="AX654" s="86"/>
    </row>
    <row r="655" customFormat="false" ht="15.75" hidden="false" customHeight="false" outlineLevel="0" collapsed="false">
      <c r="AE655" s="90" t="n">
        <f aca="false">Data!A650</f>
        <v>42027</v>
      </c>
      <c r="AF655" s="17" t="n">
        <f aca="false">Data!B650</f>
        <v>112.3</v>
      </c>
      <c r="AG655" s="17" t="n">
        <f aca="false">Data!F650</f>
        <v>46464828</v>
      </c>
      <c r="AH655" s="17" t="n">
        <f aca="false">Data!C650</f>
        <v>113.75</v>
      </c>
      <c r="AI655" s="17" t="n">
        <f aca="false">Data!D650</f>
        <v>111.53</v>
      </c>
      <c r="AJ655" s="17" t="n">
        <f aca="false">Data!E650</f>
        <v>112.98</v>
      </c>
      <c r="AK655" s="17" t="n">
        <f aca="false">Data!F650</f>
        <v>46464828</v>
      </c>
      <c r="AL655" s="17" t="n">
        <f aca="false">AJ655</f>
        <v>112.98</v>
      </c>
      <c r="AM655" s="17" t="n">
        <f aca="false">(AL655-AL654)/AL655*100</f>
        <v>-0.106213489113109</v>
      </c>
      <c r="AN655" s="17" t="n">
        <f aca="false">(AK655-AK654)/AK655*100</f>
        <v>-19.692639344323</v>
      </c>
      <c r="AO655" s="17" t="str">
        <f aca="false">IF(AN655&lt;-8,"FITS BITCH",IF(AN655&gt;-8,"no"))</f>
        <v>FITS BITCH</v>
      </c>
      <c r="AP655" s="17" t="str">
        <f aca="false">IF(AH656&lt;AH655,"FITS BITCH",IF(AH656&gt;AH655,"no"))</f>
        <v>FITS BITCH</v>
      </c>
      <c r="AQ655" s="17" t="str">
        <f aca="false">IF(AI656&lt;AI655,"FITS BITCH",IF(AI656&gt;AI655,"no"))</f>
        <v>FITS BITCH</v>
      </c>
      <c r="AR655" s="17" t="str">
        <f aca="false">IF(AJ655&lt;AH656,"FITS BITCH",IF(AJ655&gt;AH656,"no"))</f>
        <v>no</v>
      </c>
      <c r="AS655" s="17" t="str">
        <f aca="false">IF(AJ655&gt;AJ656,"FITS BITCH",IF(AJ655&lt;AJ656,"no"))</f>
        <v>FITS BITCH</v>
      </c>
      <c r="AT655" s="91" t="str">
        <f aca="false">IF(AND($AO655="FITS BITCH",$AP655="FITS BITCH",$AR655="FITS BITCH"),"BULLISH","")</f>
        <v/>
      </c>
      <c r="AU655" s="91" t="str">
        <f aca="false">IF(AND($AO655="FITS BITCH",$AQ655="FITS BITCH",$AS655="FITS BITCH"),"BEARISH","")</f>
        <v>BEARISH</v>
      </c>
      <c r="AV655" s="86"/>
      <c r="AW655" s="86"/>
      <c r="AX655" s="86"/>
    </row>
    <row r="656" customFormat="false" ht="15.75" hidden="false" customHeight="false" outlineLevel="0" collapsed="false">
      <c r="AE656" s="90" t="n">
        <f aca="false">Data!A651</f>
        <v>42026</v>
      </c>
      <c r="AF656" s="17" t="n">
        <f aca="false">Data!B651</f>
        <v>110.26</v>
      </c>
      <c r="AG656" s="17" t="n">
        <f aca="false">Data!F651</f>
        <v>53796409</v>
      </c>
      <c r="AH656" s="17" t="n">
        <f aca="false">Data!C651</f>
        <v>112.47</v>
      </c>
      <c r="AI656" s="17" t="n">
        <f aca="false">Data!D651</f>
        <v>109.72</v>
      </c>
      <c r="AJ656" s="17" t="n">
        <f aca="false">Data!E651</f>
        <v>112.4</v>
      </c>
      <c r="AK656" s="17" t="n">
        <f aca="false">Data!F651</f>
        <v>53796409</v>
      </c>
      <c r="AL656" s="17" t="n">
        <f aca="false">AJ656</f>
        <v>112.4</v>
      </c>
      <c r="AM656" s="17" t="n">
        <f aca="false">(AL656-AL655)/AL656*100</f>
        <v>-0.516014234875443</v>
      </c>
      <c r="AN656" s="17" t="n">
        <f aca="false">(AK656-AK655)/AK656*100</f>
        <v>13.6283836343054</v>
      </c>
      <c r="AO656" s="17" t="str">
        <f aca="false">IF(AN656&lt;-8,"FITS BITCH",IF(AN656&gt;-8,"no"))</f>
        <v>no</v>
      </c>
      <c r="AP656" s="17" t="str">
        <f aca="false">IF(AH657&lt;AH656,"FITS BITCH",IF(AH657&gt;AH656,"no"))</f>
        <v>FITS BITCH</v>
      </c>
      <c r="AQ656" s="17" t="str">
        <f aca="false">IF(AI657&lt;AI656,"FITS BITCH",IF(AI657&gt;AI656,"no"))</f>
        <v>FITS BITCH</v>
      </c>
      <c r="AR656" s="17" t="str">
        <f aca="false">IF(AJ656&lt;AH657,"FITS BITCH",IF(AJ656&gt;AH657,"no"))</f>
        <v>no</v>
      </c>
      <c r="AS656" s="17" t="str">
        <f aca="false">IF(AJ656&gt;AJ657,"FITS BITCH",IF(AJ656&lt;AJ657,"no"))</f>
        <v>FITS BITCH</v>
      </c>
      <c r="AT656" s="91" t="str">
        <f aca="false">IF(AND($AO656="FITS BITCH",$AP656="FITS BITCH",$AR656="FITS BITCH"),"BULLISH","")</f>
        <v/>
      </c>
      <c r="AU656" s="91" t="str">
        <f aca="false">IF(AND($AO656="FITS BITCH",$AQ656="FITS BITCH",$AS656="FITS BITCH"),"BEARISH","")</f>
        <v/>
      </c>
      <c r="AV656" s="86"/>
      <c r="AW656" s="86"/>
      <c r="AX656" s="86"/>
    </row>
    <row r="657" customFormat="false" ht="15.75" hidden="false" customHeight="false" outlineLevel="0" collapsed="false">
      <c r="AE657" s="90" t="n">
        <f aca="false">Data!A652</f>
        <v>42025</v>
      </c>
      <c r="AF657" s="17" t="n">
        <f aca="false">Data!B652</f>
        <v>108.95</v>
      </c>
      <c r="AG657" s="17" t="n">
        <f aca="false">Data!F652</f>
        <v>48575897</v>
      </c>
      <c r="AH657" s="17" t="n">
        <f aca="false">Data!C652</f>
        <v>111.06</v>
      </c>
      <c r="AI657" s="17" t="n">
        <f aca="false">Data!D652</f>
        <v>108.27</v>
      </c>
      <c r="AJ657" s="17" t="n">
        <f aca="false">Data!E652</f>
        <v>109.55</v>
      </c>
      <c r="AK657" s="17" t="n">
        <f aca="false">Data!F652</f>
        <v>48575897</v>
      </c>
      <c r="AL657" s="17" t="n">
        <f aca="false">AJ657</f>
        <v>109.55</v>
      </c>
      <c r="AM657" s="17" t="n">
        <f aca="false">(AL657-AL656)/AL657*100</f>
        <v>-2.60155180282977</v>
      </c>
      <c r="AN657" s="17" t="n">
        <f aca="false">(AK657-AK656)/AK657*100</f>
        <v>-10.7471242373558</v>
      </c>
      <c r="AO657" s="17" t="str">
        <f aca="false">IF(AN657&lt;-8,"FITS BITCH",IF(AN657&gt;-8,"no"))</f>
        <v>FITS BITCH</v>
      </c>
      <c r="AP657" s="17" t="str">
        <f aca="false">IF(AH658&lt;AH657,"FITS BITCH",IF(AH658&gt;AH657,"no"))</f>
        <v>FITS BITCH</v>
      </c>
      <c r="AQ657" s="17" t="str">
        <f aca="false">IF(AI658&lt;AI657,"FITS BITCH",IF(AI658&gt;AI657,"no"))</f>
        <v>FITS BITCH</v>
      </c>
      <c r="AR657" s="17" t="str">
        <f aca="false">IF(AJ657&lt;AH658,"FITS BITCH",IF(AJ657&gt;AH658,"no"))</f>
        <v>no</v>
      </c>
      <c r="AS657" s="17" t="str">
        <f aca="false">IF(AJ657&gt;AJ658,"FITS BITCH",IF(AJ657&lt;AJ658,"no"))</f>
        <v>FITS BITCH</v>
      </c>
      <c r="AT657" s="91" t="str">
        <f aca="false">IF(AND($AO657="FITS BITCH",$AP657="FITS BITCH",$AR657="FITS BITCH"),"BULLISH","")</f>
        <v/>
      </c>
      <c r="AU657" s="91" t="str">
        <f aca="false">IF(AND($AO657="FITS BITCH",$AQ657="FITS BITCH",$AS657="FITS BITCH"),"BEARISH","")</f>
        <v>BEARISH</v>
      </c>
      <c r="AV657" s="86"/>
      <c r="AW657" s="86"/>
      <c r="AX657" s="86"/>
    </row>
    <row r="658" customFormat="false" ht="15.75" hidden="false" customHeight="false" outlineLevel="0" collapsed="false">
      <c r="AE658" s="90" t="n">
        <f aca="false">Data!A653</f>
        <v>42024</v>
      </c>
      <c r="AF658" s="17" t="n">
        <f aca="false">Data!B653</f>
        <v>107.84</v>
      </c>
      <c r="AG658" s="17" t="n">
        <f aca="false">Data!F653</f>
        <v>49899907</v>
      </c>
      <c r="AH658" s="17" t="n">
        <f aca="false">Data!C653</f>
        <v>108.97</v>
      </c>
      <c r="AI658" s="17" t="n">
        <f aca="false">Data!D653</f>
        <v>106.5</v>
      </c>
      <c r="AJ658" s="17" t="n">
        <f aca="false">Data!E653</f>
        <v>108.72</v>
      </c>
      <c r="AK658" s="17" t="n">
        <f aca="false">Data!F653</f>
        <v>49899907</v>
      </c>
      <c r="AL658" s="17" t="n">
        <f aca="false">AJ658</f>
        <v>108.72</v>
      </c>
      <c r="AM658" s="17" t="n">
        <f aca="false">(AL658-AL657)/AL658*100</f>
        <v>-0.763428991905812</v>
      </c>
      <c r="AN658" s="17" t="n">
        <f aca="false">(AK658-AK657)/AK658*100</f>
        <v>2.65333159839356</v>
      </c>
      <c r="AO658" s="17" t="str">
        <f aca="false">IF(AN658&lt;-8,"FITS BITCH",IF(AN658&gt;-8,"no"))</f>
        <v>no</v>
      </c>
      <c r="AP658" s="17" t="str">
        <f aca="false">IF(AH659&lt;AH658,"FITS BITCH",IF(AH659&gt;AH658,"no"))</f>
        <v>FITS BITCH</v>
      </c>
      <c r="AQ658" s="17" t="str">
        <f aca="false">IF(AI659&lt;AI658,"FITS BITCH",IF(AI659&gt;AI658,"no"))</f>
        <v>FITS BITCH</v>
      </c>
      <c r="AR658" s="17" t="str">
        <f aca="false">IF(AJ658&lt;AH659,"FITS BITCH",IF(AJ658&gt;AH659,"no"))</f>
        <v>no</v>
      </c>
      <c r="AS658" s="17" t="str">
        <f aca="false">IF(AJ658&gt;AJ659,"FITS BITCH",IF(AJ658&lt;AJ659,"no"))</f>
        <v>FITS BITCH</v>
      </c>
      <c r="AT658" s="91" t="str">
        <f aca="false">IF(AND($AO658="FITS BITCH",$AP658="FITS BITCH",$AR658="FITS BITCH"),"BULLISH","")</f>
        <v/>
      </c>
      <c r="AU658" s="91" t="str">
        <f aca="false">IF(AND($AO658="FITS BITCH",$AQ658="FITS BITCH",$AS658="FITS BITCH"),"BEARISH","")</f>
        <v/>
      </c>
      <c r="AV658" s="86"/>
      <c r="AW658" s="86"/>
      <c r="AX658" s="86"/>
    </row>
    <row r="659" customFormat="false" ht="15.75" hidden="false" customHeight="false" outlineLevel="0" collapsed="false">
      <c r="AE659" s="90" t="n">
        <f aca="false">Data!A654</f>
        <v>42020</v>
      </c>
      <c r="AF659" s="17" t="n">
        <f aca="false">Data!B654</f>
        <v>107.03</v>
      </c>
      <c r="AG659" s="17" t="n">
        <f aca="false">Data!F654</f>
        <v>78513345</v>
      </c>
      <c r="AH659" s="17" t="n">
        <f aca="false">Data!C654</f>
        <v>107.58</v>
      </c>
      <c r="AI659" s="17" t="n">
        <f aca="false">Data!D654</f>
        <v>105.2</v>
      </c>
      <c r="AJ659" s="17" t="n">
        <f aca="false">Data!E654</f>
        <v>105.99</v>
      </c>
      <c r="AK659" s="17" t="n">
        <f aca="false">Data!F654</f>
        <v>78513345</v>
      </c>
      <c r="AL659" s="17" t="n">
        <f aca="false">AJ659</f>
        <v>105.99</v>
      </c>
      <c r="AM659" s="17" t="n">
        <f aca="false">(AL659-AL658)/AL659*100</f>
        <v>-2.5757146900651</v>
      </c>
      <c r="AN659" s="17" t="n">
        <f aca="false">(AK659-AK658)/AK659*100</f>
        <v>36.4440440029654</v>
      </c>
      <c r="AO659" s="17" t="str">
        <f aca="false">IF(AN659&lt;-8,"FITS BITCH",IF(AN659&gt;-8,"no"))</f>
        <v>no</v>
      </c>
      <c r="AP659" s="17" t="str">
        <f aca="false">IF(AH660&lt;AH659,"FITS BITCH",IF(AH660&gt;AH659,"no"))</f>
        <v>no</v>
      </c>
      <c r="AQ659" s="17" t="str">
        <f aca="false">IF(AI660&lt;AI659,"FITS BITCH",IF(AI660&gt;AI659,"no"))</f>
        <v>no</v>
      </c>
      <c r="AR659" s="17" t="str">
        <f aca="false">IF(AJ659&lt;AH660,"FITS BITCH",IF(AJ659&gt;AH660,"no"))</f>
        <v>FITS BITCH</v>
      </c>
      <c r="AS659" s="17" t="str">
        <f aca="false">IF(AJ659&gt;AJ660,"FITS BITCH",IF(AJ659&lt;AJ660,"no"))</f>
        <v>no</v>
      </c>
      <c r="AT659" s="91" t="str">
        <f aca="false">IF(AND($AO659="FITS BITCH",$AP659="FITS BITCH",$AR659="FITS BITCH"),"BULLISH","")</f>
        <v/>
      </c>
      <c r="AU659" s="91" t="str">
        <f aca="false">IF(AND($AO659="FITS BITCH",$AQ659="FITS BITCH",$AS659="FITS BITCH"),"BEARISH","")</f>
        <v/>
      </c>
      <c r="AV659" s="86"/>
      <c r="AW659" s="86"/>
      <c r="AX659" s="86"/>
    </row>
    <row r="660" customFormat="false" ht="15.75" hidden="false" customHeight="false" outlineLevel="0" collapsed="false">
      <c r="AE660" s="90" t="n">
        <f aca="false">Data!A655</f>
        <v>42019</v>
      </c>
      <c r="AF660" s="17" t="n">
        <f aca="false">Data!B655</f>
        <v>110</v>
      </c>
      <c r="AG660" s="17" t="n">
        <f aca="false">Data!F655</f>
        <v>60013996</v>
      </c>
      <c r="AH660" s="17" t="n">
        <f aca="false">Data!C655</f>
        <v>110.06</v>
      </c>
      <c r="AI660" s="17" t="n">
        <f aca="false">Data!D655</f>
        <v>106.66</v>
      </c>
      <c r="AJ660" s="17" t="n">
        <f aca="false">Data!E655</f>
        <v>106.82</v>
      </c>
      <c r="AK660" s="17" t="n">
        <f aca="false">Data!F655</f>
        <v>60013996</v>
      </c>
      <c r="AL660" s="17" t="n">
        <f aca="false">AJ660</f>
        <v>106.82</v>
      </c>
      <c r="AM660" s="17" t="n">
        <f aca="false">(AL660-AL659)/AL660*100</f>
        <v>0.777008050926791</v>
      </c>
      <c r="AN660" s="17" t="n">
        <f aca="false">(AK660-AK659)/AK660*100</f>
        <v>-30.8250578748331</v>
      </c>
      <c r="AO660" s="17" t="str">
        <f aca="false">IF(AN660&lt;-8,"FITS BITCH",IF(AN660&gt;-8,"no"))</f>
        <v>FITS BITCH</v>
      </c>
      <c r="AP660" s="17" t="str">
        <f aca="false">IF(AH661&lt;AH660,"FITS BITCH",IF(AH661&gt;AH660,"no"))</f>
        <v>no</v>
      </c>
      <c r="AQ660" s="17" t="str">
        <f aca="false">IF(AI661&lt;AI660,"FITS BITCH",IF(AI661&gt;AI660,"no"))</f>
        <v>no</v>
      </c>
      <c r="AR660" s="17" t="str">
        <f aca="false">IF(AJ660&lt;AH661,"FITS BITCH",IF(AJ660&gt;AH661,"no"))</f>
        <v>FITS BITCH</v>
      </c>
      <c r="AS660" s="17" t="str">
        <f aca="false">IF(AJ660&gt;AJ661,"FITS BITCH",IF(AJ660&lt;AJ661,"no"))</f>
        <v>no</v>
      </c>
      <c r="AT660" s="91" t="str">
        <f aca="false">IF(AND($AO660="FITS BITCH",$AP660="FITS BITCH",$AR660="FITS BITCH"),"BULLISH","")</f>
        <v/>
      </c>
      <c r="AU660" s="91" t="str">
        <f aca="false">IF(AND($AO660="FITS BITCH",$AQ660="FITS BITCH",$AS660="FITS BITCH"),"BEARISH","")</f>
        <v/>
      </c>
      <c r="AV660" s="86"/>
      <c r="AW660" s="86"/>
      <c r="AX660" s="86"/>
    </row>
    <row r="661" customFormat="false" ht="15.75" hidden="false" customHeight="false" outlineLevel="0" collapsed="false">
      <c r="AE661" s="90" t="n">
        <f aca="false">Data!A656</f>
        <v>42018</v>
      </c>
      <c r="AF661" s="17" t="n">
        <f aca="false">Data!B656</f>
        <v>109.04</v>
      </c>
      <c r="AG661" s="17" t="n">
        <f aca="false">Data!F656</f>
        <v>48956588</v>
      </c>
      <c r="AH661" s="17" t="n">
        <f aca="false">Data!C656</f>
        <v>110.49</v>
      </c>
      <c r="AI661" s="17" t="n">
        <f aca="false">Data!D656</f>
        <v>108.5</v>
      </c>
      <c r="AJ661" s="17" t="n">
        <f aca="false">Data!E656</f>
        <v>109.8</v>
      </c>
      <c r="AK661" s="17" t="n">
        <f aca="false">Data!F656</f>
        <v>48956588</v>
      </c>
      <c r="AL661" s="17" t="n">
        <f aca="false">AJ661</f>
        <v>109.8</v>
      </c>
      <c r="AM661" s="17" t="n">
        <f aca="false">(AL661-AL660)/AL661*100</f>
        <v>2.71402550091075</v>
      </c>
      <c r="AN661" s="17" t="n">
        <f aca="false">(AK661-AK660)/AK661*100</f>
        <v>-22.5861491818016</v>
      </c>
      <c r="AO661" s="17" t="str">
        <f aca="false">IF(AN661&lt;-8,"FITS BITCH",IF(AN661&gt;-8,"no"))</f>
        <v>FITS BITCH</v>
      </c>
      <c r="AP661" s="17" t="str">
        <f aca="false">IF(AH662&lt;AH661,"FITS BITCH",IF(AH662&gt;AH661,"no"))</f>
        <v>no</v>
      </c>
      <c r="AQ661" s="17" t="str">
        <f aca="false">IF(AI662&lt;AI661,"FITS BITCH",IF(AI662&gt;AI661,"no"))</f>
        <v>no</v>
      </c>
      <c r="AR661" s="17" t="str">
        <f aca="false">IF(AJ661&lt;AH662,"FITS BITCH",IF(AJ661&gt;AH662,"no"))</f>
        <v>FITS BITCH</v>
      </c>
      <c r="AS661" s="17" t="str">
        <f aca="false">IF(AJ661&gt;AJ662,"FITS BITCH",IF(AJ661&lt;AJ662,"no"))</f>
        <v>no</v>
      </c>
      <c r="AT661" s="91" t="str">
        <f aca="false">IF(AND($AO661="FITS BITCH",$AP661="FITS BITCH",$AR661="FITS BITCH"),"BULLISH","")</f>
        <v/>
      </c>
      <c r="AU661" s="91" t="str">
        <f aca="false">IF(AND($AO661="FITS BITCH",$AQ661="FITS BITCH",$AS661="FITS BITCH"),"BEARISH","")</f>
        <v/>
      </c>
      <c r="AV661" s="86"/>
      <c r="AW661" s="86"/>
      <c r="AX661" s="86"/>
    </row>
    <row r="662" customFormat="false" ht="15.75" hidden="false" customHeight="false" outlineLevel="0" collapsed="false">
      <c r="AE662" s="90" t="n">
        <f aca="false">Data!A657</f>
        <v>42017</v>
      </c>
      <c r="AF662" s="17" t="n">
        <f aca="false">Data!B657</f>
        <v>111.43</v>
      </c>
      <c r="AG662" s="17" t="n">
        <f aca="false">Data!F657</f>
        <v>67091928</v>
      </c>
      <c r="AH662" s="17" t="n">
        <f aca="false">Data!C657</f>
        <v>112.8</v>
      </c>
      <c r="AI662" s="17" t="n">
        <f aca="false">Data!D657</f>
        <v>108.91</v>
      </c>
      <c r="AJ662" s="17" t="n">
        <f aca="false">Data!E657</f>
        <v>110.22</v>
      </c>
      <c r="AK662" s="17" t="n">
        <f aca="false">Data!F657</f>
        <v>67091928</v>
      </c>
      <c r="AL662" s="17" t="n">
        <f aca="false">AJ662</f>
        <v>110.22</v>
      </c>
      <c r="AM662" s="17" t="n">
        <f aca="false">(AL662-AL661)/AL662*100</f>
        <v>0.381056069678826</v>
      </c>
      <c r="AN662" s="17" t="n">
        <f aca="false">(AK662-AK661)/AK662*100</f>
        <v>27.0305840666853</v>
      </c>
      <c r="AO662" s="17" t="str">
        <f aca="false">IF(AN662&lt;-8,"FITS BITCH",IF(AN662&gt;-8,"no"))</f>
        <v>no</v>
      </c>
      <c r="AP662" s="17" t="str">
        <f aca="false">IF(AH663&lt;AH662,"FITS BITCH",IF(AH663&gt;AH662,"no"))</f>
        <v>FITS BITCH</v>
      </c>
      <c r="AQ662" s="17" t="str">
        <f aca="false">IF(AI663&lt;AI662,"FITS BITCH",IF(AI663&gt;AI662,"no"))</f>
        <v>FITS BITCH</v>
      </c>
      <c r="AR662" s="17" t="str">
        <f aca="false">IF(AJ662&lt;AH663,"FITS BITCH",IF(AJ662&gt;AH663,"no"))</f>
        <v>FITS BITCH</v>
      </c>
      <c r="AS662" s="17" t="str">
        <f aca="false">IF(AJ662&gt;AJ663,"FITS BITCH",IF(AJ662&lt;AJ663,"no"))</f>
        <v>FITS BITCH</v>
      </c>
      <c r="AT662" s="91" t="str">
        <f aca="false">IF(AND($AO662="FITS BITCH",$AP662="FITS BITCH",$AR662="FITS BITCH"),"BULLISH","")</f>
        <v/>
      </c>
      <c r="AU662" s="91" t="str">
        <f aca="false">IF(AND($AO662="FITS BITCH",$AQ662="FITS BITCH",$AS662="FITS BITCH"),"BEARISH","")</f>
        <v/>
      </c>
      <c r="AV662" s="86"/>
      <c r="AW662" s="86"/>
      <c r="AX662" s="86"/>
    </row>
    <row r="663" customFormat="false" ht="15.75" hidden="false" customHeight="false" outlineLevel="0" collapsed="false">
      <c r="AE663" s="90" t="n">
        <f aca="false">Data!A658</f>
        <v>42016</v>
      </c>
      <c r="AF663" s="17" t="n">
        <f aca="false">Data!B658</f>
        <v>112.6</v>
      </c>
      <c r="AG663" s="17" t="n">
        <f aca="false">Data!F658</f>
        <v>49650790</v>
      </c>
      <c r="AH663" s="17" t="n">
        <f aca="false">Data!C658</f>
        <v>112.63</v>
      </c>
      <c r="AI663" s="17" t="n">
        <f aca="false">Data!D658</f>
        <v>108.8</v>
      </c>
      <c r="AJ663" s="17" t="n">
        <f aca="false">Data!E658</f>
        <v>109.25</v>
      </c>
      <c r="AK663" s="17" t="n">
        <f aca="false">Data!F658</f>
        <v>49650790</v>
      </c>
      <c r="AL663" s="17" t="n">
        <f aca="false">AJ663</f>
        <v>109.25</v>
      </c>
      <c r="AM663" s="17" t="n">
        <f aca="false">(AL663-AL662)/AL663*100</f>
        <v>-0.88787185354691</v>
      </c>
      <c r="AN663" s="17" t="n">
        <f aca="false">(AK663-AK662)/AK663*100</f>
        <v>-35.1276142836801</v>
      </c>
      <c r="AO663" s="17" t="str">
        <f aca="false">IF(AN663&lt;-8,"FITS BITCH",IF(AN663&gt;-8,"no"))</f>
        <v>FITS BITCH</v>
      </c>
      <c r="AP663" s="17" t="str">
        <f aca="false">IF(AH664&lt;AH663,"FITS BITCH",IF(AH664&gt;AH663,"no"))</f>
        <v>no</v>
      </c>
      <c r="AQ663" s="17" t="str">
        <f aca="false">IF(AI664&lt;AI663,"FITS BITCH",IF(AI664&gt;AI663,"no"))</f>
        <v>no</v>
      </c>
      <c r="AR663" s="17" t="str">
        <f aca="false">IF(AJ663&lt;AH664,"FITS BITCH",IF(AJ663&gt;AH664,"no"))</f>
        <v>FITS BITCH</v>
      </c>
      <c r="AS663" s="17" t="str">
        <f aca="false">IF(AJ663&gt;AJ664,"FITS BITCH",IF(AJ663&lt;AJ664,"no"))</f>
        <v>no</v>
      </c>
      <c r="AT663" s="91" t="str">
        <f aca="false">IF(AND($AO663="FITS BITCH",$AP663="FITS BITCH",$AR663="FITS BITCH"),"BULLISH","")</f>
        <v/>
      </c>
      <c r="AU663" s="91" t="str">
        <f aca="false">IF(AND($AO663="FITS BITCH",$AQ663="FITS BITCH",$AS663="FITS BITCH"),"BEARISH","")</f>
        <v/>
      </c>
      <c r="AV663" s="86"/>
      <c r="AW663" s="86"/>
      <c r="AX663" s="86"/>
    </row>
    <row r="664" customFormat="false" ht="15.75" hidden="false" customHeight="false" outlineLevel="0" collapsed="false">
      <c r="AE664" s="90" t="n">
        <f aca="false">Data!A659</f>
        <v>42013</v>
      </c>
      <c r="AF664" s="17" t="n">
        <f aca="false">Data!B659</f>
        <v>112.67</v>
      </c>
      <c r="AG664" s="17" t="n">
        <f aca="false">Data!F659</f>
        <v>53699527</v>
      </c>
      <c r="AH664" s="17" t="n">
        <f aca="false">Data!C659</f>
        <v>113.25</v>
      </c>
      <c r="AI664" s="17" t="n">
        <f aca="false">Data!D659</f>
        <v>110.21</v>
      </c>
      <c r="AJ664" s="17" t="n">
        <f aca="false">Data!E659</f>
        <v>112.01</v>
      </c>
      <c r="AK664" s="17" t="n">
        <f aca="false">Data!F659</f>
        <v>53699527</v>
      </c>
      <c r="AL664" s="17" t="n">
        <f aca="false">AJ664</f>
        <v>112.01</v>
      </c>
      <c r="AM664" s="17" t="n">
        <f aca="false">(AL664-AL663)/AL664*100</f>
        <v>2.4640657084189</v>
      </c>
      <c r="AN664" s="17" t="n">
        <f aca="false">(AK664-AK663)/AK664*100</f>
        <v>7.53961389641291</v>
      </c>
      <c r="AO664" s="17" t="str">
        <f aca="false">IF(AN664&lt;-8,"FITS BITCH",IF(AN664&gt;-8,"no"))</f>
        <v>no</v>
      </c>
      <c r="AP664" s="17" t="str">
        <f aca="false">IF(AH665&lt;AH664,"FITS BITCH",IF(AH665&gt;AH664,"no"))</f>
        <v>FITS BITCH</v>
      </c>
      <c r="AQ664" s="17" t="str">
        <f aca="false">IF(AI665&lt;AI664,"FITS BITCH",IF(AI665&gt;AI664,"no"))</f>
        <v>FITS BITCH</v>
      </c>
      <c r="AR664" s="17" t="str">
        <f aca="false">IF(AJ664&lt;AH665,"FITS BITCH",IF(AJ664&gt;AH665,"no"))</f>
        <v>FITS BITCH</v>
      </c>
      <c r="AS664" s="17" t="str">
        <f aca="false">IF(AJ664&gt;AJ665,"FITS BITCH",IF(AJ664&lt;AJ665,"no"))</f>
        <v>FITS BITCH</v>
      </c>
      <c r="AT664" s="91" t="str">
        <f aca="false">IF(AND($AO664="FITS BITCH",$AP664="FITS BITCH",$AR664="FITS BITCH"),"BULLISH","")</f>
        <v/>
      </c>
      <c r="AU664" s="91" t="str">
        <f aca="false">IF(AND($AO664="FITS BITCH",$AQ664="FITS BITCH",$AS664="FITS BITCH"),"BEARISH","")</f>
        <v/>
      </c>
      <c r="AV664" s="86"/>
      <c r="AW664" s="86"/>
      <c r="AX664" s="86"/>
    </row>
    <row r="665" customFormat="false" ht="15.75" hidden="false" customHeight="false" outlineLevel="0" collapsed="false">
      <c r="AE665" s="90" t="n">
        <f aca="false">Data!A660</f>
        <v>42012</v>
      </c>
      <c r="AF665" s="17" t="n">
        <f aca="false">Data!B660</f>
        <v>109.23</v>
      </c>
      <c r="AG665" s="17" t="n">
        <f aca="false">Data!F660</f>
        <v>59364547</v>
      </c>
      <c r="AH665" s="17" t="n">
        <f aca="false">Data!C660</f>
        <v>112.15</v>
      </c>
      <c r="AI665" s="17" t="n">
        <f aca="false">Data!D660</f>
        <v>108.7</v>
      </c>
      <c r="AJ665" s="17" t="n">
        <f aca="false">Data!E660</f>
        <v>111.89</v>
      </c>
      <c r="AK665" s="17" t="n">
        <f aca="false">Data!F660</f>
        <v>59364547</v>
      </c>
      <c r="AL665" s="17" t="n">
        <f aca="false">AJ665</f>
        <v>111.89</v>
      </c>
      <c r="AM665" s="17" t="n">
        <f aca="false">(AL665-AL664)/AL665*100</f>
        <v>-0.107248190186795</v>
      </c>
      <c r="AN665" s="17" t="n">
        <f aca="false">(AK665-AK664)/AK665*100</f>
        <v>9.54276632482347</v>
      </c>
      <c r="AO665" s="17" t="str">
        <f aca="false">IF(AN665&lt;-8,"FITS BITCH",IF(AN665&gt;-8,"no"))</f>
        <v>no</v>
      </c>
      <c r="AP665" s="17" t="str">
        <f aca="false">IF(AH666&lt;AH665,"FITS BITCH",IF(AH666&gt;AH665,"no"))</f>
        <v>FITS BITCH</v>
      </c>
      <c r="AQ665" s="17" t="str">
        <f aca="false">IF(AI666&lt;AI665,"FITS BITCH",IF(AI666&gt;AI665,"no"))</f>
        <v>FITS BITCH</v>
      </c>
      <c r="AR665" s="17" t="str">
        <f aca="false">IF(AJ665&lt;AH666,"FITS BITCH",IF(AJ665&gt;AH666,"no"))</f>
        <v>no</v>
      </c>
      <c r="AS665" s="17" t="str">
        <f aca="false">IF(AJ665&gt;AJ666,"FITS BITCH",IF(AJ665&lt;AJ666,"no"))</f>
        <v>FITS BITCH</v>
      </c>
      <c r="AT665" s="91" t="str">
        <f aca="false">IF(AND($AO665="FITS BITCH",$AP665="FITS BITCH",$AR665="FITS BITCH"),"BULLISH","")</f>
        <v/>
      </c>
      <c r="AU665" s="91" t="str">
        <f aca="false">IF(AND($AO665="FITS BITCH",$AQ665="FITS BITCH",$AS665="FITS BITCH"),"BEARISH","")</f>
        <v/>
      </c>
      <c r="AV665" s="86"/>
      <c r="AW665" s="86"/>
      <c r="AX665" s="86"/>
    </row>
    <row r="666" customFormat="false" ht="15.75" hidden="false" customHeight="false" outlineLevel="0" collapsed="false">
      <c r="AE666" s="90" t="n">
        <f aca="false">Data!A661</f>
        <v>42011</v>
      </c>
      <c r="AF666" s="17" t="n">
        <f aca="false">Data!B661</f>
        <v>107.2</v>
      </c>
      <c r="AG666" s="17" t="n">
        <f aca="false">Data!F661</f>
        <v>40105934</v>
      </c>
      <c r="AH666" s="17" t="n">
        <f aca="false">Data!C661</f>
        <v>108.2</v>
      </c>
      <c r="AI666" s="17" t="n">
        <f aca="false">Data!D661</f>
        <v>106.7</v>
      </c>
      <c r="AJ666" s="17" t="n">
        <f aca="false">Data!E661</f>
        <v>107.75</v>
      </c>
      <c r="AK666" s="17" t="n">
        <f aca="false">Data!F661</f>
        <v>40105934</v>
      </c>
      <c r="AL666" s="17" t="n">
        <f aca="false">AJ666</f>
        <v>107.75</v>
      </c>
      <c r="AM666" s="17" t="n">
        <f aca="false">(AL666-AL665)/AL666*100</f>
        <v>-3.84222737819026</v>
      </c>
      <c r="AN666" s="17" t="n">
        <f aca="false">(AK666-AK665)/AK666*100</f>
        <v>-48.0193604268136</v>
      </c>
      <c r="AO666" s="17" t="str">
        <f aca="false">IF(AN666&lt;-8,"FITS BITCH",IF(AN666&gt;-8,"no"))</f>
        <v>FITS BITCH</v>
      </c>
      <c r="AP666" s="17" t="str">
        <f aca="false">IF(AH667&lt;AH666,"FITS BITCH",IF(AH667&gt;AH666,"no"))</f>
        <v>FITS BITCH</v>
      </c>
      <c r="AQ666" s="17" t="str">
        <f aca="false">IF(AI667&lt;AI666,"FITS BITCH",IF(AI667&gt;AI666,"no"))</f>
        <v>FITS BITCH</v>
      </c>
      <c r="AR666" s="17" t="str">
        <f aca="false">IF(AJ666&lt;AH667,"FITS BITCH",IF(AJ666&gt;AH667,"no"))</f>
        <v>no</v>
      </c>
      <c r="AS666" s="17" t="str">
        <f aca="false">IF(AJ666&gt;AJ667,"FITS BITCH",IF(AJ666&lt;AJ667,"no"))</f>
        <v>FITS BITCH</v>
      </c>
      <c r="AT666" s="91" t="str">
        <f aca="false">IF(AND($AO666="FITS BITCH",$AP666="FITS BITCH",$AR666="FITS BITCH"),"BULLISH","")</f>
        <v/>
      </c>
      <c r="AU666" s="91" t="str">
        <f aca="false">IF(AND($AO666="FITS BITCH",$AQ666="FITS BITCH",$AS666="FITS BITCH"),"BEARISH","")</f>
        <v>BEARISH</v>
      </c>
      <c r="AV666" s="86"/>
      <c r="AW666" s="86"/>
      <c r="AX666" s="86"/>
    </row>
    <row r="667" customFormat="false" ht="15.75" hidden="false" customHeight="false" outlineLevel="0" collapsed="false">
      <c r="AE667" s="90" t="n">
        <f aca="false">Data!A662</f>
        <v>42010</v>
      </c>
      <c r="AF667" s="17" t="n">
        <f aca="false">Data!B662</f>
        <v>106.54</v>
      </c>
      <c r="AG667" s="17" t="n">
        <f aca="false">Data!F662</f>
        <v>65797116</v>
      </c>
      <c r="AH667" s="17" t="n">
        <f aca="false">Data!C662</f>
        <v>107.43</v>
      </c>
      <c r="AI667" s="17" t="n">
        <f aca="false">Data!D662</f>
        <v>104.63</v>
      </c>
      <c r="AJ667" s="17" t="n">
        <f aca="false">Data!E662</f>
        <v>106.26</v>
      </c>
      <c r="AK667" s="17" t="n">
        <f aca="false">Data!F662</f>
        <v>65797116</v>
      </c>
      <c r="AL667" s="17" t="n">
        <f aca="false">AJ667</f>
        <v>106.26</v>
      </c>
      <c r="AM667" s="17" t="n">
        <f aca="false">(AL667-AL666)/AL667*100</f>
        <v>-1.40222096743835</v>
      </c>
      <c r="AN667" s="17" t="n">
        <f aca="false">(AK667-AK666)/AK667*100</f>
        <v>39.0460609246156</v>
      </c>
      <c r="AO667" s="17" t="str">
        <f aca="false">IF(AN667&lt;-8,"FITS BITCH",IF(AN667&gt;-8,"no"))</f>
        <v>no</v>
      </c>
      <c r="AP667" s="17" t="str">
        <f aca="false">IF(AH668&lt;AH667,"FITS BITCH",IF(AH668&gt;AH667,"no"))</f>
        <v>no</v>
      </c>
      <c r="AQ667" s="17" t="str">
        <f aca="false">IF(AI668&lt;AI667,"FITS BITCH",IF(AI668&gt;AI667,"no"))</f>
        <v>no</v>
      </c>
      <c r="AR667" s="17" t="str">
        <f aca="false">IF(AJ667&lt;AH668,"FITS BITCH",IF(AJ667&gt;AH668,"no"))</f>
        <v>FITS BITCH</v>
      </c>
      <c r="AS667" s="17" t="str">
        <f aca="false">IF(AJ667&gt;AJ668,"FITS BITCH",IF(AJ667&lt;AJ668,"no"))</f>
        <v>FITS BITCH</v>
      </c>
      <c r="AT667" s="91" t="str">
        <f aca="false">IF(AND($AO667="FITS BITCH",$AP667="FITS BITCH",$AR667="FITS BITCH"),"BULLISH","")</f>
        <v/>
      </c>
      <c r="AU667" s="91" t="str">
        <f aca="false">IF(AND($AO667="FITS BITCH",$AQ667="FITS BITCH",$AS667="FITS BITCH"),"BEARISH","")</f>
        <v/>
      </c>
      <c r="AV667" s="86"/>
      <c r="AW667" s="86"/>
      <c r="AX667" s="86"/>
    </row>
    <row r="668" customFormat="false" ht="15.75" hidden="false" customHeight="false" outlineLevel="0" collapsed="false">
      <c r="AE668" s="90" t="n">
        <f aca="false">Data!A663</f>
        <v>42009</v>
      </c>
      <c r="AF668" s="17" t="n">
        <f aca="false">Data!B663</f>
        <v>108.29</v>
      </c>
      <c r="AG668" s="17" t="n">
        <f aca="false">Data!F663</f>
        <v>64285491</v>
      </c>
      <c r="AH668" s="17" t="n">
        <f aca="false">Data!C663</f>
        <v>108.65</v>
      </c>
      <c r="AI668" s="17" t="n">
        <f aca="false">Data!D663</f>
        <v>105.41</v>
      </c>
      <c r="AJ668" s="17" t="n">
        <f aca="false">Data!E663</f>
        <v>106.25</v>
      </c>
      <c r="AK668" s="17" t="n">
        <f aca="false">Data!F663</f>
        <v>64285491</v>
      </c>
      <c r="AL668" s="17" t="n">
        <f aca="false">AJ668</f>
        <v>106.25</v>
      </c>
      <c r="AM668" s="17" t="n">
        <f aca="false">(AL668-AL667)/AL668*100</f>
        <v>-0.00941176470588717</v>
      </c>
      <c r="AN668" s="17" t="n">
        <f aca="false">(AK668-AK667)/AK668*100</f>
        <v>-2.35142483394892</v>
      </c>
      <c r="AO668" s="17" t="str">
        <f aca="false">IF(AN668&lt;-8,"FITS BITCH",IF(AN668&gt;-8,"no"))</f>
        <v>no</v>
      </c>
      <c r="AP668" s="17" t="str">
        <f aca="false">IF(AH669&lt;AH668,"FITS BITCH",IF(AH669&gt;AH668,"no"))</f>
        <v>no</v>
      </c>
      <c r="AQ668" s="17" t="str">
        <f aca="false">IF(AI669&lt;AI668,"FITS BITCH",IF(AI669&gt;AI668,"no"))</f>
        <v>no</v>
      </c>
      <c r="AR668" s="17" t="str">
        <f aca="false">IF(AJ668&lt;AH669,"FITS BITCH",IF(AJ668&gt;AH669,"no"))</f>
        <v>FITS BITCH</v>
      </c>
      <c r="AS668" s="17" t="str">
        <f aca="false">IF(AJ668&gt;AJ669,"FITS BITCH",IF(AJ668&lt;AJ669,"no"))</f>
        <v>no</v>
      </c>
      <c r="AT668" s="91" t="str">
        <f aca="false">IF(AND($AO668="FITS BITCH",$AP668="FITS BITCH",$AR668="FITS BITCH"),"BULLISH","")</f>
        <v/>
      </c>
      <c r="AU668" s="91" t="str">
        <f aca="false">IF(AND($AO668="FITS BITCH",$AQ668="FITS BITCH",$AS668="FITS BITCH"),"BEARISH","")</f>
        <v/>
      </c>
      <c r="AV668" s="86"/>
      <c r="AW668" s="86"/>
      <c r="AX668" s="86"/>
    </row>
    <row r="669" customFormat="false" ht="15.75" hidden="false" customHeight="false" outlineLevel="0" collapsed="false">
      <c r="AE669" s="90" t="n">
        <f aca="false">Data!A664</f>
        <v>42006</v>
      </c>
      <c r="AF669" s="17" t="n">
        <f aca="false">Data!B664</f>
        <v>111.39</v>
      </c>
      <c r="AG669" s="17" t="n">
        <f aca="false">Data!F664</f>
        <v>53204626</v>
      </c>
      <c r="AH669" s="17" t="n">
        <f aca="false">Data!C664</f>
        <v>111.44</v>
      </c>
      <c r="AI669" s="17" t="n">
        <f aca="false">Data!D664</f>
        <v>107.35</v>
      </c>
      <c r="AJ669" s="17" t="n">
        <f aca="false">Data!E664</f>
        <v>109.33</v>
      </c>
      <c r="AK669" s="17" t="n">
        <f aca="false">Data!F664</f>
        <v>53204626</v>
      </c>
      <c r="AL669" s="17" t="n">
        <f aca="false">AJ669</f>
        <v>109.33</v>
      </c>
      <c r="AM669" s="17" t="n">
        <f aca="false">(AL669-AL668)/AL669*100</f>
        <v>2.81715905972743</v>
      </c>
      <c r="AN669" s="17" t="n">
        <f aca="false">(AK669-AK668)/AK669*100</f>
        <v>-20.8268826097941</v>
      </c>
      <c r="AO669" s="17" t="str">
        <f aca="false">IF(AN669&lt;-8,"FITS BITCH",IF(AN669&gt;-8,"no"))</f>
        <v>FITS BITCH</v>
      </c>
      <c r="AP669" s="17" t="str">
        <f aca="false">IF(AH670&lt;AH669,"FITS BITCH",IF(AH670&gt;AH669,"no"))</f>
        <v>no</v>
      </c>
      <c r="AQ669" s="17" t="str">
        <f aca="false">IF(AI670&lt;AI669,"FITS BITCH",IF(AI670&gt;AI669,"no"))</f>
        <v>no</v>
      </c>
      <c r="AR669" s="17" t="str">
        <f aca="false">IF(AJ669&lt;AH670,"FITS BITCH",IF(AJ669&gt;AH670,"no"))</f>
        <v>FITS BITCH</v>
      </c>
      <c r="AS669" s="17" t="str">
        <f aca="false">IF(AJ669&gt;AJ670,"FITS BITCH",IF(AJ669&lt;AJ670,"no"))</f>
        <v>no</v>
      </c>
      <c r="AT669" s="91" t="str">
        <f aca="false">IF(AND($AO669="FITS BITCH",$AP669="FITS BITCH",$AR669="FITS BITCH"),"BULLISH","")</f>
        <v/>
      </c>
      <c r="AU669" s="91" t="str">
        <f aca="false">IF(AND($AO669="FITS BITCH",$AQ669="FITS BITCH",$AS669="FITS BITCH"),"BEARISH","")</f>
        <v/>
      </c>
      <c r="AV669" s="86"/>
      <c r="AW669" s="86"/>
      <c r="AX669" s="86"/>
    </row>
    <row r="670" customFormat="false" ht="15.75" hidden="false" customHeight="false" outlineLevel="0" collapsed="false">
      <c r="AE670" s="90" t="n">
        <f aca="false">Data!A665</f>
        <v>42004</v>
      </c>
      <c r="AF670" s="17" t="n">
        <f aca="false">Data!B665</f>
        <v>112.82</v>
      </c>
      <c r="AG670" s="17" t="n">
        <f aca="false">Data!F665</f>
        <v>41403351</v>
      </c>
      <c r="AH670" s="17" t="n">
        <f aca="false">Data!C665</f>
        <v>113.13</v>
      </c>
      <c r="AI670" s="17" t="n">
        <f aca="false">Data!D665</f>
        <v>110.21</v>
      </c>
      <c r="AJ670" s="17" t="n">
        <f aca="false">Data!E665</f>
        <v>110.38</v>
      </c>
      <c r="AK670" s="17" t="n">
        <f aca="false">Data!F665</f>
        <v>41403351</v>
      </c>
      <c r="AL670" s="17" t="n">
        <f aca="false">AJ670</f>
        <v>110.38</v>
      </c>
      <c r="AM670" s="17" t="n">
        <f aca="false">(AL670-AL669)/AL670*100</f>
        <v>0.951259286102552</v>
      </c>
      <c r="AN670" s="17" t="n">
        <f aca="false">(AK670-AK669)/AK670*100</f>
        <v>-28.5031880632077</v>
      </c>
      <c r="AO670" s="17" t="str">
        <f aca="false">IF(AN670&lt;-8,"FITS BITCH",IF(AN670&gt;-8,"no"))</f>
        <v>FITS BITCH</v>
      </c>
      <c r="AP670" s="17" t="str">
        <f aca="false">IF(AH671&lt;AH670,"FITS BITCH",IF(AH671&gt;AH670,"no"))</f>
        <v>no</v>
      </c>
      <c r="AQ670" s="17" t="str">
        <f aca="false">IF(AI671&lt;AI670,"FITS BITCH",IF(AI671&gt;AI670,"no"))</f>
        <v>no</v>
      </c>
      <c r="AR670" s="17" t="str">
        <f aca="false">IF(AJ670&lt;AH671,"FITS BITCH",IF(AJ670&gt;AH671,"no"))</f>
        <v>FITS BITCH</v>
      </c>
      <c r="AS670" s="17" t="str">
        <f aca="false">IF(AJ670&gt;AJ671,"FITS BITCH",IF(AJ670&lt;AJ671,"no"))</f>
        <v>no</v>
      </c>
      <c r="AT670" s="91" t="str">
        <f aca="false">IF(AND($AO670="FITS BITCH",$AP670="FITS BITCH",$AR670="FITS BITCH"),"BULLISH","")</f>
        <v/>
      </c>
      <c r="AU670" s="91" t="str">
        <f aca="false">IF(AND($AO670="FITS BITCH",$AQ670="FITS BITCH",$AS670="FITS BITCH"),"BEARISH","")</f>
        <v/>
      </c>
      <c r="AV670" s="86"/>
      <c r="AW670" s="86"/>
      <c r="AX670" s="86"/>
    </row>
    <row r="671" customFormat="false" ht="15.75" hidden="false" customHeight="false" outlineLevel="0" collapsed="false">
      <c r="AE671" s="90" t="n">
        <f aca="false">Data!A666</f>
        <v>42003</v>
      </c>
      <c r="AF671" s="17" t="n">
        <f aca="false">Data!B666</f>
        <v>113.64</v>
      </c>
      <c r="AG671" s="17" t="n">
        <f aca="false">Data!F666</f>
        <v>29881477</v>
      </c>
      <c r="AH671" s="17" t="n">
        <f aca="false">Data!C666</f>
        <v>113.92</v>
      </c>
      <c r="AI671" s="17" t="n">
        <f aca="false">Data!D666</f>
        <v>112.11</v>
      </c>
      <c r="AJ671" s="17" t="n">
        <f aca="false">Data!E666</f>
        <v>112.52</v>
      </c>
      <c r="AK671" s="17" t="n">
        <f aca="false">Data!F666</f>
        <v>29881477</v>
      </c>
      <c r="AL671" s="17" t="n">
        <f aca="false">AJ671</f>
        <v>112.52</v>
      </c>
      <c r="AM671" s="17" t="n">
        <f aca="false">(AL671-AL670)/AL671*100</f>
        <v>1.90188410949165</v>
      </c>
      <c r="AN671" s="17" t="n">
        <f aca="false">(AK671-AK670)/AK671*100</f>
        <v>-38.5585826296337</v>
      </c>
      <c r="AO671" s="17" t="str">
        <f aca="false">IF(AN671&lt;-8,"FITS BITCH",IF(AN671&gt;-8,"no"))</f>
        <v>FITS BITCH</v>
      </c>
      <c r="AP671" s="17" t="str">
        <f aca="false">IF(AH672&lt;AH671,"FITS BITCH",IF(AH672&gt;AH671,"no"))</f>
        <v>no</v>
      </c>
      <c r="AQ671" s="17" t="str">
        <f aca="false">IF(AI672&lt;AI671,"FITS BITCH",IF(AI672&gt;AI671,"no"))</f>
        <v>no</v>
      </c>
      <c r="AR671" s="17" t="str">
        <f aca="false">IF(AJ671&lt;AH672,"FITS BITCH",IF(AJ671&gt;AH672,"no"))</f>
        <v>FITS BITCH</v>
      </c>
      <c r="AS671" s="17" t="str">
        <f aca="false">IF(AJ671&gt;AJ672,"FITS BITCH",IF(AJ671&lt;AJ672,"no"))</f>
        <v>no</v>
      </c>
      <c r="AT671" s="91" t="str">
        <f aca="false">IF(AND($AO671="FITS BITCH",$AP671="FITS BITCH",$AR671="FITS BITCH"),"BULLISH","")</f>
        <v/>
      </c>
      <c r="AU671" s="91" t="str">
        <f aca="false">IF(AND($AO671="FITS BITCH",$AQ671="FITS BITCH",$AS671="FITS BITCH"),"BEARISH","")</f>
        <v/>
      </c>
      <c r="AV671" s="86"/>
      <c r="AW671" s="86"/>
      <c r="AX671" s="86"/>
    </row>
    <row r="672" customFormat="false" ht="15.75" hidden="false" customHeight="false" outlineLevel="0" collapsed="false">
      <c r="AE672" s="90" t="n">
        <f aca="false">Data!A667</f>
        <v>42002</v>
      </c>
      <c r="AF672" s="17" t="n">
        <f aca="false">Data!B667</f>
        <v>113.79</v>
      </c>
      <c r="AG672" s="17" t="n">
        <f aca="false">Data!F667</f>
        <v>27598920</v>
      </c>
      <c r="AH672" s="17" t="n">
        <f aca="false">Data!C667</f>
        <v>114.77</v>
      </c>
      <c r="AI672" s="17" t="n">
        <f aca="false">Data!D667</f>
        <v>113.7</v>
      </c>
      <c r="AJ672" s="17" t="n">
        <f aca="false">Data!E667</f>
        <v>113.91</v>
      </c>
      <c r="AK672" s="17" t="n">
        <f aca="false">Data!F667</f>
        <v>27598920</v>
      </c>
      <c r="AL672" s="17" t="n">
        <f aca="false">AJ672</f>
        <v>113.91</v>
      </c>
      <c r="AM672" s="17" t="n">
        <f aca="false">(AL672-AL671)/AL672*100</f>
        <v>1.22026161004302</v>
      </c>
      <c r="AN672" s="17" t="n">
        <f aca="false">(AK672-AK671)/AK672*100</f>
        <v>-8.27045768457606</v>
      </c>
      <c r="AO672" s="17" t="str">
        <f aca="false">IF(AN672&lt;-8,"FITS BITCH",IF(AN672&gt;-8,"no"))</f>
        <v>FITS BITCH</v>
      </c>
      <c r="AP672" s="17" t="str">
        <f aca="false">IF(AH673&lt;AH672,"FITS BITCH",IF(AH673&gt;AH672,"no"))</f>
        <v>FITS BITCH</v>
      </c>
      <c r="AQ672" s="17" t="str">
        <f aca="false">IF(AI673&lt;AI672,"FITS BITCH",IF(AI673&gt;AI672,"no"))</f>
        <v>FITS BITCH</v>
      </c>
      <c r="AR672" s="17" t="str">
        <f aca="false">IF(AJ672&lt;AH673,"FITS BITCH",IF(AJ672&gt;AH673,"no"))</f>
        <v>FITS BITCH</v>
      </c>
      <c r="AS672" s="17" t="str">
        <f aca="false">IF(AJ672&gt;AJ673,"FITS BITCH",IF(AJ672&lt;AJ673,"no"))</f>
        <v>no</v>
      </c>
      <c r="AT672" s="91" t="str">
        <f aca="false">IF(AND($AO672="FITS BITCH",$AP672="FITS BITCH",$AR672="FITS BITCH"),"BULLISH","")</f>
        <v>BULLISH</v>
      </c>
      <c r="AU672" s="91" t="str">
        <f aca="false">IF(AND($AO672="FITS BITCH",$AQ672="FITS BITCH",$AS672="FITS BITCH"),"BEARISH","")</f>
        <v/>
      </c>
      <c r="AV672" s="86"/>
      <c r="AW672" s="86"/>
      <c r="AX672" s="86"/>
    </row>
    <row r="673" customFormat="false" ht="15.75" hidden="false" customHeight="false" outlineLevel="0" collapsed="false">
      <c r="AE673" s="90" t="n">
        <f aca="false">Data!A668</f>
        <v>41999</v>
      </c>
      <c r="AF673" s="17" t="n">
        <f aca="false">Data!B668</f>
        <v>112.1</v>
      </c>
      <c r="AG673" s="17" t="n">
        <f aca="false">Data!F668</f>
        <v>33720951</v>
      </c>
      <c r="AH673" s="17" t="n">
        <f aca="false">Data!C668</f>
        <v>114.52</v>
      </c>
      <c r="AI673" s="17" t="n">
        <f aca="false">Data!D668</f>
        <v>112.01</v>
      </c>
      <c r="AJ673" s="17" t="n">
        <f aca="false">Data!E668</f>
        <v>113.99</v>
      </c>
      <c r="AK673" s="17" t="n">
        <f aca="false">Data!F668</f>
        <v>33720951</v>
      </c>
      <c r="AL673" s="17" t="n">
        <f aca="false">AJ673</f>
        <v>113.99</v>
      </c>
      <c r="AM673" s="17" t="n">
        <f aca="false">(AL673-AL672)/AL673*100</f>
        <v>0.0701815948767421</v>
      </c>
      <c r="AN673" s="17" t="n">
        <f aca="false">(AK673-AK672)/AK673*100</f>
        <v>18.1549773017967</v>
      </c>
      <c r="AO673" s="17" t="str">
        <f aca="false">IF(AN673&lt;-8,"FITS BITCH",IF(AN673&gt;-8,"no"))</f>
        <v>no</v>
      </c>
      <c r="AP673" s="17" t="str">
        <f aca="false">IF(AH674&lt;AH673,"FITS BITCH",IF(AH674&gt;AH673,"no"))</f>
        <v>FITS BITCH</v>
      </c>
      <c r="AQ673" s="17" t="n">
        <f aca="false">IF(AI674&lt;AI673,"FITS BITCH",IF(AI674&gt;AI673,"no"))</f>
        <v>0</v>
      </c>
      <c r="AR673" s="17" t="str">
        <f aca="false">IF(AJ673&lt;AH674,"FITS BITCH",IF(AJ673&gt;AH674,"no"))</f>
        <v>no</v>
      </c>
      <c r="AS673" s="17" t="str">
        <f aca="false">IF(AJ673&gt;AJ674,"FITS BITCH",IF(AJ673&lt;AJ674,"no"))</f>
        <v>FITS BITCH</v>
      </c>
      <c r="AT673" s="91" t="str">
        <f aca="false">IF(AND($AO673="FITS BITCH",$AP673="FITS BITCH",$AR673="FITS BITCH"),"BULLISH","")</f>
        <v/>
      </c>
      <c r="AU673" s="91" t="str">
        <f aca="false">IF(AND($AO673="FITS BITCH",$AQ673="FITS BITCH",$AS673="FITS BITCH"),"BEARISH","")</f>
        <v/>
      </c>
      <c r="AV673" s="86"/>
      <c r="AW673" s="86"/>
      <c r="AX673" s="86"/>
    </row>
    <row r="674" customFormat="false" ht="15.75" hidden="false" customHeight="false" outlineLevel="0" collapsed="false">
      <c r="AE674" s="90" t="n">
        <f aca="false">Data!A669</f>
        <v>41997</v>
      </c>
      <c r="AF674" s="17" t="n">
        <f aca="false">Data!B669</f>
        <v>112.58</v>
      </c>
      <c r="AG674" s="17" t="n">
        <f aca="false">Data!F669</f>
        <v>14479611</v>
      </c>
      <c r="AH674" s="17" t="n">
        <f aca="false">Data!C669</f>
        <v>112.71</v>
      </c>
      <c r="AI674" s="17" t="n">
        <f aca="false">Data!D669</f>
        <v>112.01</v>
      </c>
      <c r="AJ674" s="17" t="n">
        <f aca="false">Data!E669</f>
        <v>112.01</v>
      </c>
      <c r="AK674" s="17" t="n">
        <f aca="false">Data!F669</f>
        <v>14479611</v>
      </c>
      <c r="AL674" s="17" t="n">
        <f aca="false">AJ674</f>
        <v>112.01</v>
      </c>
      <c r="AM674" s="17" t="n">
        <f aca="false">(AL674-AL673)/AL674*100</f>
        <v>-1.76769931256137</v>
      </c>
      <c r="AN674" s="17" t="n">
        <f aca="false">(AK674-AK673)/AK674*100</f>
        <v>-132.885752248455</v>
      </c>
      <c r="AO674" s="17" t="str">
        <f aca="false">IF(AN674&lt;-8,"FITS BITCH",IF(AN674&gt;-8,"no"))</f>
        <v>FITS BITCH</v>
      </c>
      <c r="AP674" s="17" t="str">
        <f aca="false">IF(AH675&lt;AH674,"FITS BITCH",IF(AH675&gt;AH674,"no"))</f>
        <v>no</v>
      </c>
      <c r="AQ674" s="17" t="str">
        <f aca="false">IF(AI675&lt;AI674,"FITS BITCH",IF(AI675&gt;AI674,"no"))</f>
        <v>no</v>
      </c>
      <c r="AR674" s="17" t="str">
        <f aca="false">IF(AJ674&lt;AH675,"FITS BITCH",IF(AJ674&gt;AH675,"no"))</f>
        <v>FITS BITCH</v>
      </c>
      <c r="AS674" s="17" t="str">
        <f aca="false">IF(AJ674&gt;AJ675,"FITS BITCH",IF(AJ674&lt;AJ675,"no"))</f>
        <v>no</v>
      </c>
      <c r="AT674" s="91" t="str">
        <f aca="false">IF(AND($AO674="FITS BITCH",$AP674="FITS BITCH",$AR674="FITS BITCH"),"BULLISH","")</f>
        <v/>
      </c>
      <c r="AU674" s="91" t="str">
        <f aca="false">IF(AND($AO674="FITS BITCH",$AQ674="FITS BITCH",$AS674="FITS BITCH"),"BEARISH","")</f>
        <v/>
      </c>
      <c r="AV674" s="86"/>
      <c r="AW674" s="86"/>
      <c r="AX674" s="86"/>
    </row>
    <row r="675" customFormat="false" ht="15.75" hidden="false" customHeight="false" outlineLevel="0" collapsed="false">
      <c r="AE675" s="90" t="n">
        <f aca="false">Data!A670</f>
        <v>41996</v>
      </c>
      <c r="AF675" s="17" t="n">
        <f aca="false">Data!B670</f>
        <v>113.23</v>
      </c>
      <c r="AG675" s="17" t="n">
        <f aca="false">Data!F670</f>
        <v>26028419</v>
      </c>
      <c r="AH675" s="17" t="n">
        <f aca="false">Data!C670</f>
        <v>113.33</v>
      </c>
      <c r="AI675" s="17" t="n">
        <f aca="false">Data!D670</f>
        <v>112.46</v>
      </c>
      <c r="AJ675" s="17" t="n">
        <f aca="false">Data!E670</f>
        <v>112.54</v>
      </c>
      <c r="AK675" s="17" t="n">
        <f aca="false">Data!F670</f>
        <v>26028419</v>
      </c>
      <c r="AL675" s="17" t="n">
        <f aca="false">AJ675</f>
        <v>112.54</v>
      </c>
      <c r="AM675" s="17" t="n">
        <f aca="false">(AL675-AL674)/AL675*100</f>
        <v>0.470943664474854</v>
      </c>
      <c r="AN675" s="17" t="n">
        <f aca="false">(AK675-AK674)/AK675*100</f>
        <v>44.3699941974962</v>
      </c>
      <c r="AO675" s="17" t="str">
        <f aca="false">IF(AN675&lt;-8,"FITS BITCH",IF(AN675&gt;-8,"no"))</f>
        <v>no</v>
      </c>
      <c r="AP675" s="17" t="str">
        <f aca="false">IF(AH676&lt;AH675,"FITS BITCH",IF(AH676&gt;AH675,"no"))</f>
        <v>no</v>
      </c>
      <c r="AQ675" s="17" t="str">
        <f aca="false">IF(AI676&lt;AI675,"FITS BITCH",IF(AI676&gt;AI675,"no"))</f>
        <v>FITS BITCH</v>
      </c>
      <c r="AR675" s="17" t="str">
        <f aca="false">IF(AJ675&lt;AH676,"FITS BITCH",IF(AJ675&gt;AH676,"no"))</f>
        <v>FITS BITCH</v>
      </c>
      <c r="AS675" s="17" t="str">
        <f aca="false">IF(AJ675&gt;AJ676,"FITS BITCH",IF(AJ675&lt;AJ676,"no"))</f>
        <v>no</v>
      </c>
      <c r="AT675" s="91" t="str">
        <f aca="false">IF(AND($AO675="FITS BITCH",$AP675="FITS BITCH",$AR675="FITS BITCH"),"BULLISH","")</f>
        <v/>
      </c>
      <c r="AU675" s="91" t="str">
        <f aca="false">IF(AND($AO675="FITS BITCH",$AQ675="FITS BITCH",$AS675="FITS BITCH"),"BEARISH","")</f>
        <v/>
      </c>
      <c r="AV675" s="86"/>
      <c r="AW675" s="86"/>
      <c r="AX675" s="86"/>
    </row>
    <row r="676" customFormat="false" ht="15.75" hidden="false" customHeight="false" outlineLevel="0" collapsed="false">
      <c r="AE676" s="90" t="n">
        <f aca="false">Data!A671</f>
        <v>41995</v>
      </c>
      <c r="AF676" s="17" t="n">
        <f aca="false">Data!B671</f>
        <v>112.16</v>
      </c>
      <c r="AG676" s="17" t="n">
        <f aca="false">Data!F671</f>
        <v>45167549</v>
      </c>
      <c r="AH676" s="17" t="n">
        <f aca="false">Data!C671</f>
        <v>113.49</v>
      </c>
      <c r="AI676" s="17" t="n">
        <f aca="false">Data!D671</f>
        <v>111.97</v>
      </c>
      <c r="AJ676" s="17" t="n">
        <f aca="false">Data!E671</f>
        <v>112.94</v>
      </c>
      <c r="AK676" s="17" t="n">
        <f aca="false">Data!F671</f>
        <v>45167549</v>
      </c>
      <c r="AL676" s="17" t="n">
        <f aca="false">AJ676</f>
        <v>112.94</v>
      </c>
      <c r="AM676" s="17" t="n">
        <f aca="false">(AL676-AL675)/AL676*100</f>
        <v>0.3541703559412</v>
      </c>
      <c r="AN676" s="17" t="n">
        <f aca="false">(AK676-AK675)/AK676*100</f>
        <v>42.3736297933722</v>
      </c>
      <c r="AO676" s="17" t="str">
        <f aca="false">IF(AN676&lt;-8,"FITS BITCH",IF(AN676&gt;-8,"no"))</f>
        <v>no</v>
      </c>
      <c r="AP676" s="17" t="str">
        <f aca="false">IF(AH677&lt;AH676,"FITS BITCH",IF(AH677&gt;AH676,"no"))</f>
        <v>FITS BITCH</v>
      </c>
      <c r="AQ676" s="17" t="str">
        <f aca="false">IF(AI677&lt;AI676,"FITS BITCH",IF(AI677&gt;AI676,"no"))</f>
        <v>FITS BITCH</v>
      </c>
      <c r="AR676" s="17" t="str">
        <f aca="false">IF(AJ676&lt;AH677,"FITS BITCH",IF(AJ676&gt;AH677,"no"))</f>
        <v>FITS BITCH</v>
      </c>
      <c r="AS676" s="17" t="str">
        <f aca="false">IF(AJ676&gt;AJ677,"FITS BITCH",IF(AJ676&lt;AJ677,"no"))</f>
        <v>FITS BITCH</v>
      </c>
      <c r="AT676" s="91" t="str">
        <f aca="false">IF(AND($AO676="FITS BITCH",$AP676="FITS BITCH",$AR676="FITS BITCH"),"BULLISH","")</f>
        <v/>
      </c>
      <c r="AU676" s="91" t="str">
        <f aca="false">IF(AND($AO676="FITS BITCH",$AQ676="FITS BITCH",$AS676="FITS BITCH"),"BEARISH","")</f>
        <v/>
      </c>
      <c r="AV676" s="86"/>
      <c r="AW676" s="86"/>
      <c r="AX676" s="86"/>
    </row>
    <row r="677" customFormat="false" ht="15.75" hidden="false" customHeight="false" outlineLevel="0" collapsed="false">
      <c r="AE677" s="90" t="n">
        <f aca="false">Data!A672</f>
        <v>41992</v>
      </c>
      <c r="AF677" s="17" t="n">
        <f aca="false">Data!B672</f>
        <v>112.26</v>
      </c>
      <c r="AG677" s="17" t="n">
        <f aca="false">Data!F672</f>
        <v>88429770</v>
      </c>
      <c r="AH677" s="17" t="n">
        <f aca="false">Data!C672</f>
        <v>113.24</v>
      </c>
      <c r="AI677" s="17" t="n">
        <f aca="false">Data!D672</f>
        <v>111.66</v>
      </c>
      <c r="AJ677" s="17" t="n">
        <f aca="false">Data!E672</f>
        <v>111.78</v>
      </c>
      <c r="AK677" s="17" t="n">
        <f aca="false">Data!F672</f>
        <v>88429770</v>
      </c>
      <c r="AL677" s="17" t="n">
        <f aca="false">AJ677</f>
        <v>111.78</v>
      </c>
      <c r="AM677" s="17" t="n">
        <f aca="false">(AL677-AL676)/AL677*100</f>
        <v>-1.03775272857398</v>
      </c>
      <c r="AN677" s="17" t="n">
        <f aca="false">(AK677-AK676)/AK677*100</f>
        <v>48.9226885923146</v>
      </c>
      <c r="AO677" s="17" t="str">
        <f aca="false">IF(AN677&lt;-8,"FITS BITCH",IF(AN677&gt;-8,"no"))</f>
        <v>no</v>
      </c>
      <c r="AP677" s="17" t="str">
        <f aca="false">IF(AH678&lt;AH677,"FITS BITCH",IF(AH678&gt;AH677,"no"))</f>
        <v>FITS BITCH</v>
      </c>
      <c r="AQ677" s="17" t="str">
        <f aca="false">IF(AI678&lt;AI677,"FITS BITCH",IF(AI678&gt;AI677,"no"))</f>
        <v>FITS BITCH</v>
      </c>
      <c r="AR677" s="17" t="str">
        <f aca="false">IF(AJ677&lt;AH678,"FITS BITCH",IF(AJ677&gt;AH678,"no"))</f>
        <v>FITS BITCH</v>
      </c>
      <c r="AS677" s="17" t="str">
        <f aca="false">IF(AJ677&gt;AJ678,"FITS BITCH",IF(AJ677&lt;AJ678,"no"))</f>
        <v>no</v>
      </c>
      <c r="AT677" s="91" t="str">
        <f aca="false">IF(AND($AO677="FITS BITCH",$AP677="FITS BITCH",$AR677="FITS BITCH"),"BULLISH","")</f>
        <v/>
      </c>
      <c r="AU677" s="91" t="str">
        <f aca="false">IF(AND($AO677="FITS BITCH",$AQ677="FITS BITCH",$AS677="FITS BITCH"),"BEARISH","")</f>
        <v/>
      </c>
      <c r="AV677" s="86"/>
      <c r="AW677" s="86"/>
      <c r="AX677" s="86"/>
    </row>
    <row r="678" customFormat="false" ht="15.75" hidden="false" customHeight="false" outlineLevel="0" collapsed="false">
      <c r="AE678" s="90" t="n">
        <f aca="false">Data!A673</f>
        <v>41991</v>
      </c>
      <c r="AF678" s="17" t="n">
        <f aca="false">Data!B673</f>
        <v>111.87</v>
      </c>
      <c r="AG678" s="17" t="n">
        <f aca="false">Data!F673</f>
        <v>59006218</v>
      </c>
      <c r="AH678" s="17" t="n">
        <f aca="false">Data!C673</f>
        <v>112.65</v>
      </c>
      <c r="AI678" s="17" t="n">
        <f aca="false">Data!D673</f>
        <v>110.66</v>
      </c>
      <c r="AJ678" s="17" t="n">
        <f aca="false">Data!E673</f>
        <v>112.65</v>
      </c>
      <c r="AK678" s="17" t="n">
        <f aca="false">Data!F673</f>
        <v>59006218</v>
      </c>
      <c r="AL678" s="17" t="n">
        <f aca="false">AJ678</f>
        <v>112.65</v>
      </c>
      <c r="AM678" s="17" t="n">
        <f aca="false">(AL678-AL677)/AL678*100</f>
        <v>0.772303595206395</v>
      </c>
      <c r="AN678" s="17" t="n">
        <f aca="false">(AK678-AK677)/AK678*100</f>
        <v>-49.8651718366359</v>
      </c>
      <c r="AO678" s="17" t="str">
        <f aca="false">IF(AN678&lt;-8,"FITS BITCH",IF(AN678&gt;-8,"no"))</f>
        <v>FITS BITCH</v>
      </c>
      <c r="AP678" s="17" t="str">
        <f aca="false">IF(AH679&lt;AH678,"FITS BITCH",IF(AH679&gt;AH678,"no"))</f>
        <v>FITS BITCH</v>
      </c>
      <c r="AQ678" s="17" t="str">
        <f aca="false">IF(AI679&lt;AI678,"FITS BITCH",IF(AI679&gt;AI678,"no"))</f>
        <v>FITS BITCH</v>
      </c>
      <c r="AR678" s="17" t="str">
        <f aca="false">IF(AJ678&lt;AH679,"FITS BITCH",IF(AJ678&gt;AH679,"no"))</f>
        <v>no</v>
      </c>
      <c r="AS678" s="17" t="str">
        <f aca="false">IF(AJ678&gt;AJ679,"FITS BITCH",IF(AJ678&lt;AJ679,"no"))</f>
        <v>FITS BITCH</v>
      </c>
      <c r="AT678" s="91" t="str">
        <f aca="false">IF(AND($AO678="FITS BITCH",$AP678="FITS BITCH",$AR678="FITS BITCH"),"BULLISH","")</f>
        <v/>
      </c>
      <c r="AU678" s="91" t="str">
        <f aca="false">IF(AND($AO678="FITS BITCH",$AQ678="FITS BITCH",$AS678="FITS BITCH"),"BEARISH","")</f>
        <v>BEARISH</v>
      </c>
      <c r="AV678" s="86"/>
      <c r="AW678" s="86"/>
      <c r="AX678" s="86"/>
    </row>
    <row r="679" customFormat="false" ht="15.75" hidden="false" customHeight="false" outlineLevel="0" collapsed="false">
      <c r="AE679" s="90" t="n">
        <f aca="false">Data!A674</f>
        <v>41990</v>
      </c>
      <c r="AF679" s="17" t="n">
        <f aca="false">Data!B674</f>
        <v>107.12</v>
      </c>
      <c r="AG679" s="17" t="n">
        <f aca="false">Data!F674</f>
        <v>53411773</v>
      </c>
      <c r="AH679" s="17" t="n">
        <f aca="false">Data!C674</f>
        <v>109.84</v>
      </c>
      <c r="AI679" s="17" t="n">
        <f aca="false">Data!D674</f>
        <v>106.82</v>
      </c>
      <c r="AJ679" s="17" t="n">
        <f aca="false">Data!E674</f>
        <v>109.41</v>
      </c>
      <c r="AK679" s="17" t="n">
        <f aca="false">Data!F674</f>
        <v>53411773</v>
      </c>
      <c r="AL679" s="17" t="n">
        <f aca="false">AJ679</f>
        <v>109.41</v>
      </c>
      <c r="AM679" s="17" t="n">
        <f aca="false">(AL679-AL678)/AL679*100</f>
        <v>-2.96133808609817</v>
      </c>
      <c r="AN679" s="17" t="n">
        <f aca="false">(AK679-AK678)/AK679*100</f>
        <v>-10.4741795409038</v>
      </c>
      <c r="AO679" s="17" t="str">
        <f aca="false">IF(AN679&lt;-8,"FITS BITCH",IF(AN679&gt;-8,"no"))</f>
        <v>FITS BITCH</v>
      </c>
      <c r="AP679" s="17" t="str">
        <f aca="false">IF(AH680&lt;AH679,"FITS BITCH",IF(AH680&gt;AH679,"no"))</f>
        <v>no</v>
      </c>
      <c r="AQ679" s="17" t="str">
        <f aca="false">IF(AI680&lt;AI679,"FITS BITCH",IF(AI680&gt;AI679,"no"))</f>
        <v>FITS BITCH</v>
      </c>
      <c r="AR679" s="17" t="str">
        <f aca="false">IF(AJ679&lt;AH680,"FITS BITCH",IF(AJ679&gt;AH680,"no"))</f>
        <v>FITS BITCH</v>
      </c>
      <c r="AS679" s="17" t="str">
        <f aca="false">IF(AJ679&gt;AJ680,"FITS BITCH",IF(AJ679&lt;AJ680,"no"))</f>
        <v>FITS BITCH</v>
      </c>
      <c r="AT679" s="91" t="str">
        <f aca="false">IF(AND($AO679="FITS BITCH",$AP679="FITS BITCH",$AR679="FITS BITCH"),"BULLISH","")</f>
        <v/>
      </c>
      <c r="AU679" s="91" t="str">
        <f aca="false">IF(AND($AO679="FITS BITCH",$AQ679="FITS BITCH",$AS679="FITS BITCH"),"BEARISH","")</f>
        <v>BEARISH</v>
      </c>
      <c r="AV679" s="86"/>
      <c r="AW679" s="86"/>
      <c r="AX679" s="86"/>
    </row>
    <row r="680" customFormat="false" ht="15.75" hidden="false" customHeight="false" outlineLevel="0" collapsed="false">
      <c r="AE680" s="90" t="n">
        <f aca="false">Data!A675</f>
        <v>41989</v>
      </c>
      <c r="AF680" s="17" t="n">
        <f aca="false">Data!B675</f>
        <v>106.37</v>
      </c>
      <c r="AG680" s="17" t="n">
        <f aca="false">Data!F675</f>
        <v>60790733</v>
      </c>
      <c r="AH680" s="17" t="n">
        <f aca="false">Data!C675</f>
        <v>110.16</v>
      </c>
      <c r="AI680" s="17" t="n">
        <f aca="false">Data!D675</f>
        <v>106.26</v>
      </c>
      <c r="AJ680" s="17" t="n">
        <f aca="false">Data!E675</f>
        <v>106.74</v>
      </c>
      <c r="AK680" s="17" t="n">
        <f aca="false">Data!F675</f>
        <v>60790733</v>
      </c>
      <c r="AL680" s="17" t="n">
        <f aca="false">AJ680</f>
        <v>106.74</v>
      </c>
      <c r="AM680" s="17" t="n">
        <f aca="false">(AL680-AL679)/AL680*100</f>
        <v>-2.50140528386734</v>
      </c>
      <c r="AN680" s="17" t="n">
        <f aca="false">(AK680-AK679)/AK680*100</f>
        <v>12.1382974605685</v>
      </c>
      <c r="AO680" s="17" t="str">
        <f aca="false">IF(AN680&lt;-8,"FITS BITCH",IF(AN680&gt;-8,"no"))</f>
        <v>no</v>
      </c>
      <c r="AP680" s="17" t="str">
        <f aca="false">IF(AH681&lt;AH680,"FITS BITCH",IF(AH681&gt;AH680,"no"))</f>
        <v>no</v>
      </c>
      <c r="AQ680" s="17" t="str">
        <f aca="false">IF(AI681&lt;AI680,"FITS BITCH",IF(AI681&gt;AI680,"no"))</f>
        <v>no</v>
      </c>
      <c r="AR680" s="17" t="str">
        <f aca="false">IF(AJ680&lt;AH681,"FITS BITCH",IF(AJ680&gt;AH681,"no"))</f>
        <v>FITS BITCH</v>
      </c>
      <c r="AS680" s="17" t="str">
        <f aca="false">IF(AJ680&gt;AJ681,"FITS BITCH",IF(AJ680&lt;AJ681,"no"))</f>
        <v>no</v>
      </c>
      <c r="AT680" s="91" t="str">
        <f aca="false">IF(AND($AO680="FITS BITCH",$AP680="FITS BITCH",$AR680="FITS BITCH"),"BULLISH","")</f>
        <v/>
      </c>
      <c r="AU680" s="91" t="str">
        <f aca="false">IF(AND($AO680="FITS BITCH",$AQ680="FITS BITCH",$AS680="FITS BITCH"),"BEARISH","")</f>
        <v/>
      </c>
      <c r="AV680" s="86"/>
      <c r="AW680" s="86"/>
      <c r="AX680" s="86"/>
    </row>
    <row r="681" customFormat="false" ht="15.75" hidden="false" customHeight="false" outlineLevel="0" collapsed="false">
      <c r="AE681" s="90" t="n">
        <f aca="false">Data!A676</f>
        <v>41988</v>
      </c>
      <c r="AF681" s="17" t="n">
        <f aca="false">Data!B676</f>
        <v>110.7</v>
      </c>
      <c r="AG681" s="17" t="n">
        <f aca="false">Data!F676</f>
        <v>67218082</v>
      </c>
      <c r="AH681" s="17" t="n">
        <f aca="false">Data!C676</f>
        <v>111.6</v>
      </c>
      <c r="AI681" s="17" t="n">
        <f aca="false">Data!D676</f>
        <v>106.35</v>
      </c>
      <c r="AJ681" s="17" t="n">
        <f aca="false">Data!E676</f>
        <v>108.22</v>
      </c>
      <c r="AK681" s="17" t="n">
        <f aca="false">Data!F676</f>
        <v>67218082</v>
      </c>
      <c r="AL681" s="17" t="n">
        <f aca="false">AJ681</f>
        <v>108.22</v>
      </c>
      <c r="AM681" s="17" t="n">
        <f aca="false">(AL681-AL680)/AL681*100</f>
        <v>1.36758454999076</v>
      </c>
      <c r="AN681" s="17" t="n">
        <f aca="false">(AK681-AK680)/AK681*100</f>
        <v>9.56193454017328</v>
      </c>
      <c r="AO681" s="17" t="str">
        <f aca="false">IF(AN681&lt;-8,"FITS BITCH",IF(AN681&gt;-8,"no"))</f>
        <v>no</v>
      </c>
      <c r="AP681" s="17" t="str">
        <f aca="false">IF(AH682&lt;AH681,"FITS BITCH",IF(AH682&gt;AH681,"no"))</f>
        <v>no</v>
      </c>
      <c r="AQ681" s="17" t="str">
        <f aca="false">IF(AI682&lt;AI681,"FITS BITCH",IF(AI682&gt;AI681,"no"))</f>
        <v>no</v>
      </c>
      <c r="AR681" s="17" t="str">
        <f aca="false">IF(AJ681&lt;AH682,"FITS BITCH",IF(AJ681&gt;AH682,"no"))</f>
        <v>FITS BITCH</v>
      </c>
      <c r="AS681" s="17" t="str">
        <f aca="false">IF(AJ681&gt;AJ682,"FITS BITCH",IF(AJ681&lt;AJ682,"no"))</f>
        <v>no</v>
      </c>
      <c r="AT681" s="91" t="str">
        <f aca="false">IF(AND($AO681="FITS BITCH",$AP681="FITS BITCH",$AR681="FITS BITCH"),"BULLISH","")</f>
        <v/>
      </c>
      <c r="AU681" s="91" t="str">
        <f aca="false">IF(AND($AO681="FITS BITCH",$AQ681="FITS BITCH",$AS681="FITS BITCH"),"BEARISH","")</f>
        <v/>
      </c>
      <c r="AV681" s="86"/>
      <c r="AW681" s="86"/>
      <c r="AX681" s="86"/>
    </row>
    <row r="682" customFormat="false" ht="15.75" hidden="false" customHeight="false" outlineLevel="0" collapsed="false">
      <c r="AE682" s="90" t="n">
        <f aca="false">Data!A677</f>
        <v>41985</v>
      </c>
      <c r="AF682" s="17" t="n">
        <f aca="false">Data!B677</f>
        <v>110.46</v>
      </c>
      <c r="AG682" s="17" t="n">
        <f aca="false">Data!F677</f>
        <v>56028138</v>
      </c>
      <c r="AH682" s="17" t="n">
        <f aca="false">Data!C677</f>
        <v>111.87</v>
      </c>
      <c r="AI682" s="17" t="n">
        <f aca="false">Data!D677</f>
        <v>109.58</v>
      </c>
      <c r="AJ682" s="17" t="n">
        <f aca="false">Data!E677</f>
        <v>109.73</v>
      </c>
      <c r="AK682" s="17" t="n">
        <f aca="false">Data!F677</f>
        <v>56028138</v>
      </c>
      <c r="AL682" s="17" t="n">
        <f aca="false">AJ682</f>
        <v>109.73</v>
      </c>
      <c r="AM682" s="17" t="n">
        <f aca="false">(AL682-AL681)/AL682*100</f>
        <v>1.3761049849631</v>
      </c>
      <c r="AN682" s="17" t="n">
        <f aca="false">(AK682-AK681)/AK682*100</f>
        <v>-19.9720076365915</v>
      </c>
      <c r="AO682" s="17" t="str">
        <f aca="false">IF(AN682&lt;-8,"FITS BITCH",IF(AN682&gt;-8,"no"))</f>
        <v>FITS BITCH</v>
      </c>
      <c r="AP682" s="17" t="str">
        <f aca="false">IF(AH683&lt;AH682,"FITS BITCH",IF(AH683&gt;AH682,"no"))</f>
        <v>no</v>
      </c>
      <c r="AQ682" s="17" t="str">
        <f aca="false">IF(AI683&lt;AI682,"FITS BITCH",IF(AI683&gt;AI682,"no"))</f>
        <v>no</v>
      </c>
      <c r="AR682" s="17" t="str">
        <f aca="false">IF(AJ682&lt;AH683,"FITS BITCH",IF(AJ682&gt;AH683,"no"))</f>
        <v>FITS BITCH</v>
      </c>
      <c r="AS682" s="17" t="str">
        <f aca="false">IF(AJ682&gt;AJ683,"FITS BITCH",IF(AJ682&lt;AJ683,"no"))</f>
        <v>no</v>
      </c>
      <c r="AT682" s="91" t="str">
        <f aca="false">IF(AND($AO682="FITS BITCH",$AP682="FITS BITCH",$AR682="FITS BITCH"),"BULLISH","")</f>
        <v/>
      </c>
      <c r="AU682" s="91" t="str">
        <f aca="false">IF(AND($AO682="FITS BITCH",$AQ682="FITS BITCH",$AS682="FITS BITCH"),"BEARISH","")</f>
        <v/>
      </c>
      <c r="AV682" s="86"/>
      <c r="AW682" s="86"/>
      <c r="AX682" s="86"/>
    </row>
    <row r="683" customFormat="false" ht="15.75" hidden="false" customHeight="false" outlineLevel="0" collapsed="false">
      <c r="AE683" s="90" t="n">
        <f aca="false">Data!A678</f>
        <v>41984</v>
      </c>
      <c r="AF683" s="17" t="n">
        <f aca="false">Data!B678</f>
        <v>112.26</v>
      </c>
      <c r="AG683" s="17" t="n">
        <f aca="false">Data!F678</f>
        <v>41471578</v>
      </c>
      <c r="AH683" s="17" t="n">
        <f aca="false">Data!C678</f>
        <v>113.8</v>
      </c>
      <c r="AI683" s="17" t="n">
        <f aca="false">Data!D678</f>
        <v>111.34</v>
      </c>
      <c r="AJ683" s="17" t="n">
        <f aca="false">Data!E678</f>
        <v>111.62</v>
      </c>
      <c r="AK683" s="17" t="n">
        <f aca="false">Data!F678</f>
        <v>41471578</v>
      </c>
      <c r="AL683" s="17" t="n">
        <f aca="false">AJ683</f>
        <v>111.62</v>
      </c>
      <c r="AM683" s="17" t="n">
        <f aca="false">(AL683-AL682)/AL683*100</f>
        <v>1.69324493818312</v>
      </c>
      <c r="AN683" s="17" t="n">
        <f aca="false">(AK683-AK682)/AK683*100</f>
        <v>-35.1000871006162</v>
      </c>
      <c r="AO683" s="17" t="str">
        <f aca="false">IF(AN683&lt;-8,"FITS BITCH",IF(AN683&gt;-8,"no"))</f>
        <v>FITS BITCH</v>
      </c>
      <c r="AP683" s="17" t="str">
        <f aca="false">IF(AH684&lt;AH683,"FITS BITCH",IF(AH684&gt;AH683,"no"))</f>
        <v>no</v>
      </c>
      <c r="AQ683" s="17" t="str">
        <f aca="false">IF(AI684&lt;AI683,"FITS BITCH",IF(AI684&gt;AI683,"no"))</f>
        <v>no</v>
      </c>
      <c r="AR683" s="17" t="str">
        <f aca="false">IF(AJ683&lt;AH684,"FITS BITCH",IF(AJ683&gt;AH684,"no"))</f>
        <v>FITS BITCH</v>
      </c>
      <c r="AS683" s="17" t="str">
        <f aca="false">IF(AJ683&gt;AJ684,"FITS BITCH",IF(AJ683&lt;AJ684,"no"))</f>
        <v>no</v>
      </c>
      <c r="AT683" s="91" t="str">
        <f aca="false">IF(AND($AO683="FITS BITCH",$AP683="FITS BITCH",$AR683="FITS BITCH"),"BULLISH","")</f>
        <v/>
      </c>
      <c r="AU683" s="91" t="str">
        <f aca="false">IF(AND($AO683="FITS BITCH",$AQ683="FITS BITCH",$AS683="FITS BITCH"),"BEARISH","")</f>
        <v/>
      </c>
      <c r="AV683" s="86"/>
      <c r="AW683" s="86"/>
      <c r="AX683" s="86"/>
    </row>
    <row r="684" customFormat="false" ht="15.75" hidden="false" customHeight="false" outlineLevel="0" collapsed="false">
      <c r="AE684" s="90" t="n">
        <f aca="false">Data!A679</f>
        <v>41983</v>
      </c>
      <c r="AF684" s="17" t="n">
        <f aca="false">Data!B679</f>
        <v>114.41</v>
      </c>
      <c r="AG684" s="17" t="n">
        <f aca="false">Data!F679</f>
        <v>44565318</v>
      </c>
      <c r="AH684" s="17" t="n">
        <f aca="false">Data!C679</f>
        <v>114.85</v>
      </c>
      <c r="AI684" s="17" t="n">
        <f aca="false">Data!D679</f>
        <v>111.54</v>
      </c>
      <c r="AJ684" s="17" t="n">
        <f aca="false">Data!E679</f>
        <v>111.95</v>
      </c>
      <c r="AK684" s="17" t="n">
        <f aca="false">Data!F679</f>
        <v>44565318</v>
      </c>
      <c r="AL684" s="17" t="n">
        <f aca="false">AJ684</f>
        <v>111.95</v>
      </c>
      <c r="AM684" s="17" t="n">
        <f aca="false">(AL684-AL683)/AL684*100</f>
        <v>0.294774452880749</v>
      </c>
      <c r="AN684" s="17" t="n">
        <f aca="false">(AK684-AK683)/AK684*100</f>
        <v>6.94203505963988</v>
      </c>
      <c r="AO684" s="17" t="str">
        <f aca="false">IF(AN684&lt;-8,"FITS BITCH",IF(AN684&gt;-8,"no"))</f>
        <v>no</v>
      </c>
      <c r="AP684" s="17" t="str">
        <f aca="false">IF(AH685&lt;AH684,"FITS BITCH",IF(AH685&gt;AH684,"no"))</f>
        <v>FITS BITCH</v>
      </c>
      <c r="AQ684" s="17" t="str">
        <f aca="false">IF(AI685&lt;AI684,"FITS BITCH",IF(AI685&gt;AI684,"no"))</f>
        <v>FITS BITCH</v>
      </c>
      <c r="AR684" s="17" t="str">
        <f aca="false">IF(AJ684&lt;AH685,"FITS BITCH",IF(AJ684&gt;AH685,"no"))</f>
        <v>FITS BITCH</v>
      </c>
      <c r="AS684" s="17" t="str">
        <f aca="false">IF(AJ684&gt;AJ685,"FITS BITCH",IF(AJ684&lt;AJ685,"no"))</f>
        <v>no</v>
      </c>
      <c r="AT684" s="91" t="str">
        <f aca="false">IF(AND($AO684="FITS BITCH",$AP684="FITS BITCH",$AR684="FITS BITCH"),"BULLISH","")</f>
        <v/>
      </c>
      <c r="AU684" s="91" t="str">
        <f aca="false">IF(AND($AO684="FITS BITCH",$AQ684="FITS BITCH",$AS684="FITS BITCH"),"BEARISH","")</f>
        <v/>
      </c>
      <c r="AV684" s="86"/>
      <c r="AW684" s="86"/>
      <c r="AX684" s="86"/>
    </row>
    <row r="685" customFormat="false" ht="15.75" hidden="false" customHeight="false" outlineLevel="0" collapsed="false">
      <c r="AE685" s="90" t="n">
        <f aca="false">Data!A680</f>
        <v>41982</v>
      </c>
      <c r="AF685" s="17" t="n">
        <f aca="false">Data!B680</f>
        <v>110.19</v>
      </c>
      <c r="AG685" s="17" t="n">
        <f aca="false">Data!F680</f>
        <v>60208036</v>
      </c>
      <c r="AH685" s="17" t="n">
        <f aca="false">Data!C680</f>
        <v>114.3</v>
      </c>
      <c r="AI685" s="17" t="n">
        <f aca="false">Data!D680</f>
        <v>109.35</v>
      </c>
      <c r="AJ685" s="17" t="n">
        <f aca="false">Data!E680</f>
        <v>114.12</v>
      </c>
      <c r="AK685" s="17" t="n">
        <f aca="false">Data!F680</f>
        <v>60208036</v>
      </c>
      <c r="AL685" s="17" t="n">
        <f aca="false">AJ685</f>
        <v>114.12</v>
      </c>
      <c r="AM685" s="17" t="n">
        <f aca="false">(AL685-AL684)/AL685*100</f>
        <v>1.90150718541886</v>
      </c>
      <c r="AN685" s="17" t="n">
        <f aca="false">(AK685-AK684)/AK685*100</f>
        <v>25.9811132188401</v>
      </c>
      <c r="AO685" s="17" t="str">
        <f aca="false">IF(AN685&lt;-8,"FITS BITCH",IF(AN685&gt;-8,"no"))</f>
        <v>no</v>
      </c>
      <c r="AP685" s="17" t="str">
        <f aca="false">IF(AH686&lt;AH685,"FITS BITCH",IF(AH686&gt;AH685,"no"))</f>
        <v>no</v>
      </c>
      <c r="AQ685" s="17" t="str">
        <f aca="false">IF(AI686&lt;AI685,"FITS BITCH",IF(AI686&gt;AI685,"no"))</f>
        <v>no</v>
      </c>
      <c r="AR685" s="17" t="str">
        <f aca="false">IF(AJ685&lt;AH686,"FITS BITCH",IF(AJ685&gt;AH686,"no"))</f>
        <v>FITS BITCH</v>
      </c>
      <c r="AS685" s="17" t="str">
        <f aca="false">IF(AJ685&gt;AJ686,"FITS BITCH",IF(AJ685&lt;AJ686,"no"))</f>
        <v>FITS BITCH</v>
      </c>
      <c r="AT685" s="91" t="str">
        <f aca="false">IF(AND($AO685="FITS BITCH",$AP685="FITS BITCH",$AR685="FITS BITCH"),"BULLISH","")</f>
        <v/>
      </c>
      <c r="AU685" s="91" t="str">
        <f aca="false">IF(AND($AO685="FITS BITCH",$AQ685="FITS BITCH",$AS685="FITS BITCH"),"BEARISH","")</f>
        <v/>
      </c>
      <c r="AV685" s="86"/>
      <c r="AW685" s="86"/>
      <c r="AX685" s="86"/>
    </row>
    <row r="686" customFormat="false" ht="15.75" hidden="false" customHeight="false" outlineLevel="0" collapsed="false">
      <c r="AE686" s="90" t="n">
        <f aca="false">Data!A681</f>
        <v>41981</v>
      </c>
      <c r="AF686" s="17" t="n">
        <f aca="false">Data!B681</f>
        <v>114.1</v>
      </c>
      <c r="AG686" s="17" t="n">
        <f aca="false">Data!F681</f>
        <v>57664850</v>
      </c>
      <c r="AH686" s="17" t="n">
        <f aca="false">Data!C681</f>
        <v>114.65</v>
      </c>
      <c r="AI686" s="17" t="n">
        <f aca="false">Data!D681</f>
        <v>111.62</v>
      </c>
      <c r="AJ686" s="17" t="n">
        <f aca="false">Data!E681</f>
        <v>112.4</v>
      </c>
      <c r="AK686" s="17" t="n">
        <f aca="false">Data!F681</f>
        <v>57664850</v>
      </c>
      <c r="AL686" s="17" t="n">
        <f aca="false">AJ686</f>
        <v>112.4</v>
      </c>
      <c r="AM686" s="17" t="n">
        <f aca="false">(AL686-AL685)/AL686*100</f>
        <v>-1.53024911032028</v>
      </c>
      <c r="AN686" s="17" t="n">
        <f aca="false">(AK686-AK685)/AK686*100</f>
        <v>-4.41028806976867</v>
      </c>
      <c r="AO686" s="17" t="str">
        <f aca="false">IF(AN686&lt;-8,"FITS BITCH",IF(AN686&gt;-8,"no"))</f>
        <v>no</v>
      </c>
      <c r="AP686" s="17" t="str">
        <f aca="false">IF(AH687&lt;AH686,"FITS BITCH",IF(AH687&gt;AH686,"no"))</f>
        <v>no</v>
      </c>
      <c r="AQ686" s="17" t="str">
        <f aca="false">IF(AI687&lt;AI686,"FITS BITCH",IF(AI687&gt;AI686,"no"))</f>
        <v>no</v>
      </c>
      <c r="AR686" s="17" t="str">
        <f aca="false">IF(AJ686&lt;AH687,"FITS BITCH",IF(AJ686&gt;AH687,"no"))</f>
        <v>FITS BITCH</v>
      </c>
      <c r="AS686" s="17" t="str">
        <f aca="false">IF(AJ686&gt;AJ687,"FITS BITCH",IF(AJ686&lt;AJ687,"no"))</f>
        <v>no</v>
      </c>
      <c r="AT686" s="91" t="str">
        <f aca="false">IF(AND($AO686="FITS BITCH",$AP686="FITS BITCH",$AR686="FITS BITCH"),"BULLISH","")</f>
        <v/>
      </c>
      <c r="AU686" s="91" t="str">
        <f aca="false">IF(AND($AO686="FITS BITCH",$AQ686="FITS BITCH",$AS686="FITS BITCH"),"BEARISH","")</f>
        <v/>
      </c>
      <c r="AV686" s="86"/>
      <c r="AW686" s="86"/>
      <c r="AX686" s="86"/>
    </row>
    <row r="687" customFormat="false" ht="15.75" hidden="false" customHeight="false" outlineLevel="0" collapsed="false">
      <c r="AE687" s="90" t="n">
        <f aca="false">Data!A682</f>
        <v>41978</v>
      </c>
      <c r="AF687" s="17" t="n">
        <f aca="false">Data!B682</f>
        <v>115.99</v>
      </c>
      <c r="AG687" s="17" t="n">
        <f aca="false">Data!F682</f>
        <v>38318895</v>
      </c>
      <c r="AH687" s="17" t="n">
        <f aca="false">Data!C682</f>
        <v>116.08</v>
      </c>
      <c r="AI687" s="17" t="n">
        <f aca="false">Data!D682</f>
        <v>114.64</v>
      </c>
      <c r="AJ687" s="17" t="n">
        <f aca="false">Data!E682</f>
        <v>115</v>
      </c>
      <c r="AK687" s="17" t="n">
        <f aca="false">Data!F682</f>
        <v>38318895</v>
      </c>
      <c r="AL687" s="17" t="n">
        <f aca="false">AJ687</f>
        <v>115</v>
      </c>
      <c r="AM687" s="17" t="n">
        <f aca="false">(AL687-AL686)/AL687*100</f>
        <v>2.26086956521739</v>
      </c>
      <c r="AN687" s="17" t="n">
        <f aca="false">(AK687-AK686)/AK687*100</f>
        <v>-50.4867246302379</v>
      </c>
      <c r="AO687" s="17" t="str">
        <f aca="false">IF(AN687&lt;-8,"FITS BITCH",IF(AN687&gt;-8,"no"))</f>
        <v>FITS BITCH</v>
      </c>
      <c r="AP687" s="17" t="str">
        <f aca="false">IF(AH688&lt;AH687,"FITS BITCH",IF(AH688&gt;AH687,"no"))</f>
        <v>no</v>
      </c>
      <c r="AQ687" s="17" t="str">
        <f aca="false">IF(AI688&lt;AI687,"FITS BITCH",IF(AI688&gt;AI687,"no"))</f>
        <v>no</v>
      </c>
      <c r="AR687" s="17" t="str">
        <f aca="false">IF(AJ687&lt;AH688,"FITS BITCH",IF(AJ687&gt;AH688,"no"))</f>
        <v>FITS BITCH</v>
      </c>
      <c r="AS687" s="17" t="str">
        <f aca="false">IF(AJ687&gt;AJ688,"FITS BITCH",IF(AJ687&lt;AJ688,"no"))</f>
        <v>no</v>
      </c>
      <c r="AT687" s="91" t="str">
        <f aca="false">IF(AND($AO687="FITS BITCH",$AP687="FITS BITCH",$AR687="FITS BITCH"),"BULLISH","")</f>
        <v/>
      </c>
      <c r="AU687" s="91" t="str">
        <f aca="false">IF(AND($AO687="FITS BITCH",$AQ687="FITS BITCH",$AS687="FITS BITCH"),"BEARISH","")</f>
        <v/>
      </c>
      <c r="AV687" s="86"/>
      <c r="AW687" s="86"/>
      <c r="AX687" s="86"/>
    </row>
    <row r="688" customFormat="false" ht="15.75" hidden="false" customHeight="false" outlineLevel="0" collapsed="false">
      <c r="AE688" s="90" t="n">
        <f aca="false">Data!A683</f>
        <v>41977</v>
      </c>
      <c r="AF688" s="17" t="n">
        <f aca="false">Data!B683</f>
        <v>115.77</v>
      </c>
      <c r="AG688" s="17" t="n">
        <f aca="false">Data!F683</f>
        <v>42155776</v>
      </c>
      <c r="AH688" s="17" t="n">
        <f aca="false">Data!C683</f>
        <v>117.2</v>
      </c>
      <c r="AI688" s="17" t="n">
        <f aca="false">Data!D683</f>
        <v>115.29</v>
      </c>
      <c r="AJ688" s="17" t="n">
        <f aca="false">Data!E683</f>
        <v>115.49</v>
      </c>
      <c r="AK688" s="17" t="n">
        <f aca="false">Data!F683</f>
        <v>42155776</v>
      </c>
      <c r="AL688" s="17" t="n">
        <f aca="false">AJ688</f>
        <v>115.49</v>
      </c>
      <c r="AM688" s="17" t="n">
        <f aca="false">(AL688-AL687)/AL688*100</f>
        <v>0.424279158368686</v>
      </c>
      <c r="AN688" s="17" t="n">
        <f aca="false">(AK688-AK687)/AK688*100</f>
        <v>9.10167327959993</v>
      </c>
      <c r="AO688" s="17" t="str">
        <f aca="false">IF(AN688&lt;-8,"FITS BITCH",IF(AN688&gt;-8,"no"))</f>
        <v>no</v>
      </c>
      <c r="AP688" s="17" t="str">
        <f aca="false">IF(AH689&lt;AH688,"FITS BITCH",IF(AH689&gt;AH688,"no"))</f>
        <v>FITS BITCH</v>
      </c>
      <c r="AQ688" s="17" t="str">
        <f aca="false">IF(AI689&lt;AI688,"FITS BITCH",IF(AI689&gt;AI688,"no"))</f>
        <v>FITS BITCH</v>
      </c>
      <c r="AR688" s="17" t="str">
        <f aca="false">IF(AJ688&lt;AH689,"FITS BITCH",IF(AJ688&gt;AH689,"no"))</f>
        <v>FITS BITCH</v>
      </c>
      <c r="AS688" s="17" t="str">
        <f aca="false">IF(AJ688&gt;AJ689,"FITS BITCH",IF(AJ688&lt;AJ689,"no"))</f>
        <v>no</v>
      </c>
      <c r="AT688" s="91" t="str">
        <f aca="false">IF(AND($AO688="FITS BITCH",$AP688="FITS BITCH",$AR688="FITS BITCH"),"BULLISH","")</f>
        <v/>
      </c>
      <c r="AU688" s="91" t="str">
        <f aca="false">IF(AND($AO688="FITS BITCH",$AQ688="FITS BITCH",$AS688="FITS BITCH"),"BEARISH","")</f>
        <v/>
      </c>
      <c r="AV688" s="86"/>
      <c r="AW688" s="86"/>
      <c r="AX688" s="86"/>
    </row>
    <row r="689" customFormat="false" ht="15.75" hidden="false" customHeight="false" outlineLevel="0" collapsed="false">
      <c r="AE689" s="90" t="n">
        <f aca="false">Data!A684</f>
        <v>41976</v>
      </c>
      <c r="AF689" s="17" t="n">
        <f aca="false">Data!B684</f>
        <v>115.75</v>
      </c>
      <c r="AG689" s="17" t="n">
        <f aca="false">Data!F684</f>
        <v>43063440</v>
      </c>
      <c r="AH689" s="17" t="n">
        <f aca="false">Data!C684</f>
        <v>116.35</v>
      </c>
      <c r="AI689" s="17" t="n">
        <f aca="false">Data!D684</f>
        <v>115.11</v>
      </c>
      <c r="AJ689" s="17" t="n">
        <f aca="false">Data!E684</f>
        <v>115.93</v>
      </c>
      <c r="AK689" s="17" t="n">
        <f aca="false">Data!F684</f>
        <v>43063440</v>
      </c>
      <c r="AL689" s="17" t="n">
        <f aca="false">AJ689</f>
        <v>115.93</v>
      </c>
      <c r="AM689" s="17" t="n">
        <f aca="false">(AL689-AL688)/AL689*100</f>
        <v>0.379539377210396</v>
      </c>
      <c r="AN689" s="17" t="n">
        <f aca="false">(AK689-AK688)/AK689*100</f>
        <v>2.10773686449573</v>
      </c>
      <c r="AO689" s="17" t="str">
        <f aca="false">IF(AN689&lt;-8,"FITS BITCH",IF(AN689&gt;-8,"no"))</f>
        <v>no</v>
      </c>
      <c r="AP689" s="17" t="str">
        <f aca="false">IF(AH690&lt;AH689,"FITS BITCH",IF(AH690&gt;AH689,"no"))</f>
        <v>FITS BITCH</v>
      </c>
      <c r="AQ689" s="17" t="str">
        <f aca="false">IF(AI690&lt;AI689,"FITS BITCH",IF(AI690&gt;AI689,"no"))</f>
        <v>FITS BITCH</v>
      </c>
      <c r="AR689" s="17" t="str">
        <f aca="false">IF(AJ689&lt;AH690,"FITS BITCH",IF(AJ689&gt;AH690,"no"))</f>
        <v>no</v>
      </c>
      <c r="AS689" s="17" t="str">
        <f aca="false">IF(AJ689&gt;AJ690,"FITS BITCH",IF(AJ689&lt;AJ690,"no"))</f>
        <v>FITS BITCH</v>
      </c>
      <c r="AT689" s="91" t="str">
        <f aca="false">IF(AND($AO689="FITS BITCH",$AP689="FITS BITCH",$AR689="FITS BITCH"),"BULLISH","")</f>
        <v/>
      </c>
      <c r="AU689" s="91" t="str">
        <f aca="false">IF(AND($AO689="FITS BITCH",$AQ689="FITS BITCH",$AS689="FITS BITCH"),"BEARISH","")</f>
        <v/>
      </c>
      <c r="AV689" s="86"/>
      <c r="AW689" s="86"/>
      <c r="AX689" s="86"/>
    </row>
    <row r="690" customFormat="false" ht="15.75" hidden="false" customHeight="false" outlineLevel="0" collapsed="false">
      <c r="AE690" s="90" t="n">
        <f aca="false">Data!A685</f>
        <v>41975</v>
      </c>
      <c r="AF690" s="17" t="n">
        <f aca="false">Data!B685</f>
        <v>113.5</v>
      </c>
      <c r="AG690" s="17" t="n">
        <f aca="false">Data!F685</f>
        <v>59348940</v>
      </c>
      <c r="AH690" s="17" t="n">
        <f aca="false">Data!C685</f>
        <v>115.75</v>
      </c>
      <c r="AI690" s="17" t="n">
        <f aca="false">Data!D685</f>
        <v>112.75</v>
      </c>
      <c r="AJ690" s="17" t="n">
        <f aca="false">Data!E685</f>
        <v>114.63</v>
      </c>
      <c r="AK690" s="17" t="n">
        <f aca="false">Data!F685</f>
        <v>59348940</v>
      </c>
      <c r="AL690" s="17" t="n">
        <f aca="false">AJ690</f>
        <v>114.63</v>
      </c>
      <c r="AM690" s="17" t="n">
        <f aca="false">(AL690-AL689)/AL690*100</f>
        <v>-1.13408357323564</v>
      </c>
      <c r="AN690" s="17" t="n">
        <f aca="false">(AK690-AK689)/AK690*100</f>
        <v>27.4402541983058</v>
      </c>
      <c r="AO690" s="17" t="str">
        <f aca="false">IF(AN690&lt;-8,"FITS BITCH",IF(AN690&gt;-8,"no"))</f>
        <v>no</v>
      </c>
      <c r="AP690" s="17" t="str">
        <f aca="false">IF(AH691&lt;AH690,"FITS BITCH",IF(AH691&gt;AH690,"no"))</f>
        <v>no</v>
      </c>
      <c r="AQ690" s="17" t="str">
        <f aca="false">IF(AI691&lt;AI690,"FITS BITCH",IF(AI691&gt;AI690,"no"))</f>
        <v>FITS BITCH</v>
      </c>
      <c r="AR690" s="17" t="str">
        <f aca="false">IF(AJ690&lt;AH691,"FITS BITCH",IF(AJ690&gt;AH691,"no"))</f>
        <v>FITS BITCH</v>
      </c>
      <c r="AS690" s="17" t="str">
        <f aca="false">IF(AJ690&gt;AJ691,"FITS BITCH",IF(AJ690&lt;AJ691,"no"))</f>
        <v>no</v>
      </c>
      <c r="AT690" s="91" t="str">
        <f aca="false">IF(AND($AO690="FITS BITCH",$AP690="FITS BITCH",$AR690="FITS BITCH"),"BULLISH","")</f>
        <v/>
      </c>
      <c r="AU690" s="91" t="str">
        <f aca="false">IF(AND($AO690="FITS BITCH",$AQ690="FITS BITCH",$AS690="FITS BITCH"),"BEARISH","")</f>
        <v/>
      </c>
      <c r="AV690" s="86"/>
      <c r="AW690" s="86"/>
      <c r="AX690" s="86"/>
    </row>
    <row r="691" customFormat="false" ht="15.75" hidden="false" customHeight="false" outlineLevel="0" collapsed="false">
      <c r="AE691" s="90" t="n">
        <f aca="false">Data!A686</f>
        <v>41974</v>
      </c>
      <c r="AF691" s="17" t="n">
        <f aca="false">Data!B686</f>
        <v>118.81</v>
      </c>
      <c r="AG691" s="17" t="n">
        <f aca="false">Data!F686</f>
        <v>83814037</v>
      </c>
      <c r="AH691" s="17" t="n">
        <f aca="false">Data!C686</f>
        <v>119.25</v>
      </c>
      <c r="AI691" s="17" t="n">
        <f aca="false">Data!D686</f>
        <v>111.27</v>
      </c>
      <c r="AJ691" s="17" t="n">
        <f aca="false">Data!E686</f>
        <v>115.07</v>
      </c>
      <c r="AK691" s="17" t="n">
        <f aca="false">Data!F686</f>
        <v>83814037</v>
      </c>
      <c r="AL691" s="17" t="n">
        <f aca="false">AJ691</f>
        <v>115.07</v>
      </c>
      <c r="AM691" s="17" t="n">
        <f aca="false">(AL691-AL690)/AL691*100</f>
        <v>0.382375945076908</v>
      </c>
      <c r="AN691" s="17" t="n">
        <f aca="false">(AK691-AK690)/AK691*100</f>
        <v>29.18973703653</v>
      </c>
      <c r="AO691" s="17" t="str">
        <f aca="false">IF(AN691&lt;-8,"FITS BITCH",IF(AN691&gt;-8,"no"))</f>
        <v>no</v>
      </c>
      <c r="AP691" s="17" t="str">
        <f aca="false">IF(AH692&lt;AH691,"FITS BITCH",IF(AH692&gt;AH691,"no"))</f>
        <v>no</v>
      </c>
      <c r="AQ691" s="17" t="str">
        <f aca="false">IF(AI692&lt;AI691,"FITS BITCH",IF(AI692&gt;AI691,"no"))</f>
        <v>no</v>
      </c>
      <c r="AR691" s="17" t="str">
        <f aca="false">IF(AJ691&lt;AH692,"FITS BITCH",IF(AJ691&gt;AH692,"no"))</f>
        <v>FITS BITCH</v>
      </c>
      <c r="AS691" s="17" t="str">
        <f aca="false">IF(AJ691&gt;AJ692,"FITS BITCH",IF(AJ691&lt;AJ692,"no"))</f>
        <v>no</v>
      </c>
      <c r="AT691" s="91" t="str">
        <f aca="false">IF(AND($AO691="FITS BITCH",$AP691="FITS BITCH",$AR691="FITS BITCH"),"BULLISH","")</f>
        <v/>
      </c>
      <c r="AU691" s="91" t="str">
        <f aca="false">IF(AND($AO691="FITS BITCH",$AQ691="FITS BITCH",$AS691="FITS BITCH"),"BEARISH","")</f>
        <v/>
      </c>
      <c r="AV691" s="86"/>
      <c r="AW691" s="86"/>
      <c r="AX691" s="86"/>
    </row>
    <row r="692" customFormat="false" ht="15.75" hidden="false" customHeight="false" outlineLevel="0" collapsed="false">
      <c r="AE692" s="90" t="n">
        <f aca="false">Data!A687</f>
        <v>41971</v>
      </c>
      <c r="AF692" s="17" t="n">
        <f aca="false">Data!B687</f>
        <v>119.27</v>
      </c>
      <c r="AG692" s="17" t="n">
        <f aca="false">Data!F687</f>
        <v>24814402</v>
      </c>
      <c r="AH692" s="17" t="n">
        <f aca="false">Data!C687</f>
        <v>119.4</v>
      </c>
      <c r="AI692" s="17" t="n">
        <f aca="false">Data!D687</f>
        <v>118.05</v>
      </c>
      <c r="AJ692" s="17" t="n">
        <f aca="false">Data!E687</f>
        <v>118.93</v>
      </c>
      <c r="AK692" s="17" t="n">
        <f aca="false">Data!F687</f>
        <v>24814402</v>
      </c>
      <c r="AL692" s="17" t="n">
        <f aca="false">AJ692</f>
        <v>118.93</v>
      </c>
      <c r="AM692" s="17" t="n">
        <f aca="false">(AL692-AL691)/AL692*100</f>
        <v>3.24560665937948</v>
      </c>
      <c r="AN692" s="17" t="n">
        <f aca="false">(AK692-AK691)/AK692*100</f>
        <v>-237.7636785283</v>
      </c>
      <c r="AO692" s="17" t="str">
        <f aca="false">IF(AN692&lt;-8,"FITS BITCH",IF(AN692&gt;-8,"no"))</f>
        <v>FITS BITCH</v>
      </c>
      <c r="AP692" s="17" t="str">
        <f aca="false">IF(AH693&lt;AH692,"FITS BITCH",IF(AH693&gt;AH692,"no"))</f>
        <v>FITS BITCH</v>
      </c>
      <c r="AQ692" s="17" t="str">
        <f aca="false">IF(AI693&lt;AI692,"FITS BITCH",IF(AI693&gt;AI692,"no"))</f>
        <v>FITS BITCH</v>
      </c>
      <c r="AR692" s="17" t="str">
        <f aca="false">IF(AJ692&lt;AH693,"FITS BITCH",IF(AJ692&gt;AH693,"no"))</f>
        <v>FITS BITCH</v>
      </c>
      <c r="AS692" s="17" t="str">
        <f aca="false">IF(AJ692&gt;AJ693,"FITS BITCH",IF(AJ692&lt;AJ693,"no"))</f>
        <v>no</v>
      </c>
      <c r="AT692" s="91" t="str">
        <f aca="false">IF(AND($AO692="FITS BITCH",$AP692="FITS BITCH",$AR692="FITS BITCH"),"BULLISH","")</f>
        <v>BULLISH</v>
      </c>
      <c r="AU692" s="91" t="str">
        <f aca="false">IF(AND($AO692="FITS BITCH",$AQ692="FITS BITCH",$AS692="FITS BITCH"),"BEARISH","")</f>
        <v/>
      </c>
      <c r="AV692" s="86"/>
      <c r="AW692" s="86"/>
      <c r="AX692" s="86"/>
    </row>
    <row r="693" customFormat="false" ht="15.75" hidden="false" customHeight="false" outlineLevel="0" collapsed="false">
      <c r="AE693" s="90" t="n">
        <f aca="false">Data!A688</f>
        <v>41969</v>
      </c>
      <c r="AF693" s="17" t="n">
        <f aca="false">Data!B688</f>
        <v>117.94</v>
      </c>
      <c r="AG693" s="17" t="n">
        <f aca="false">Data!F688</f>
        <v>40831886</v>
      </c>
      <c r="AH693" s="17" t="n">
        <f aca="false">Data!C688</f>
        <v>119.1</v>
      </c>
      <c r="AI693" s="17" t="n">
        <f aca="false">Data!D688</f>
        <v>117.83</v>
      </c>
      <c r="AJ693" s="17" t="n">
        <f aca="false">Data!E688</f>
        <v>119</v>
      </c>
      <c r="AK693" s="17" t="n">
        <f aca="false">Data!F688</f>
        <v>40831886</v>
      </c>
      <c r="AL693" s="17" t="n">
        <f aca="false">AJ693</f>
        <v>119</v>
      </c>
      <c r="AM693" s="17" t="n">
        <f aca="false">(AL693-AL692)/AL693*100</f>
        <v>0.058823529411759</v>
      </c>
      <c r="AN693" s="17" t="n">
        <f aca="false">(AK693-AK692)/AK693*100</f>
        <v>39.227881856841</v>
      </c>
      <c r="AO693" s="17" t="str">
        <f aca="false">IF(AN693&lt;-8,"FITS BITCH",IF(AN693&gt;-8,"no"))</f>
        <v>no</v>
      </c>
      <c r="AP693" s="17" t="str">
        <f aca="false">IF(AH694&lt;AH693,"FITS BITCH",IF(AH694&gt;AH693,"no"))</f>
        <v>no</v>
      </c>
      <c r="AQ693" s="17" t="str">
        <f aca="false">IF(AI694&lt;AI693,"FITS BITCH",IF(AI694&gt;AI693,"no"))</f>
        <v>FITS BITCH</v>
      </c>
      <c r="AR693" s="17" t="str">
        <f aca="false">IF(AJ693&lt;AH694,"FITS BITCH",IF(AJ693&gt;AH694,"no"))</f>
        <v>FITS BITCH</v>
      </c>
      <c r="AS693" s="17" t="str">
        <f aca="false">IF(AJ693&gt;AJ694,"FITS BITCH",IF(AJ693&lt;AJ694,"no"))</f>
        <v>FITS BITCH</v>
      </c>
      <c r="AT693" s="91" t="str">
        <f aca="false">IF(AND($AO693="FITS BITCH",$AP693="FITS BITCH",$AR693="FITS BITCH"),"BULLISH","")</f>
        <v/>
      </c>
      <c r="AU693" s="91" t="str">
        <f aca="false">IF(AND($AO693="FITS BITCH",$AQ693="FITS BITCH",$AS693="FITS BITCH"),"BEARISH","")</f>
        <v/>
      </c>
      <c r="AV693" s="86"/>
      <c r="AW693" s="86"/>
      <c r="AX693" s="86"/>
    </row>
    <row r="694" customFormat="false" ht="15.75" hidden="false" customHeight="false" outlineLevel="0" collapsed="false">
      <c r="AE694" s="90" t="n">
        <f aca="false">Data!A689</f>
        <v>41968</v>
      </c>
      <c r="AF694" s="17" t="n">
        <f aca="false">Data!B689</f>
        <v>119.07</v>
      </c>
      <c r="AG694" s="17" t="n">
        <f aca="false">Data!F689</f>
        <v>68840440</v>
      </c>
      <c r="AH694" s="17" t="n">
        <f aca="false">Data!C689</f>
        <v>119.75</v>
      </c>
      <c r="AI694" s="17" t="n">
        <f aca="false">Data!D689</f>
        <v>117.45</v>
      </c>
      <c r="AJ694" s="17" t="n">
        <f aca="false">Data!E689</f>
        <v>117.6</v>
      </c>
      <c r="AK694" s="17" t="n">
        <f aca="false">Data!F689</f>
        <v>68840440</v>
      </c>
      <c r="AL694" s="17" t="n">
        <f aca="false">AJ694</f>
        <v>117.6</v>
      </c>
      <c r="AM694" s="17" t="n">
        <f aca="false">(AL694-AL693)/AL694*100</f>
        <v>-1.1904761904762</v>
      </c>
      <c r="AN694" s="17" t="n">
        <f aca="false">(AK694-AK693)/AK694*100</f>
        <v>40.6861925926098</v>
      </c>
      <c r="AO694" s="17" t="str">
        <f aca="false">IF(AN694&lt;-8,"FITS BITCH",IF(AN694&gt;-8,"no"))</f>
        <v>no</v>
      </c>
      <c r="AP694" s="17" t="str">
        <f aca="false">IF(AH695&lt;AH694,"FITS BITCH",IF(AH695&gt;AH694,"no"))</f>
        <v>FITS BITCH</v>
      </c>
      <c r="AQ694" s="17" t="str">
        <f aca="false">IF(AI695&lt;AI694,"FITS BITCH",IF(AI695&gt;AI694,"no"))</f>
        <v>FITS BITCH</v>
      </c>
      <c r="AR694" s="17" t="str">
        <f aca="false">IF(AJ694&lt;AH695,"FITS BITCH",IF(AJ694&gt;AH695,"no"))</f>
        <v>FITS BITCH</v>
      </c>
      <c r="AS694" s="17" t="str">
        <f aca="false">IF(AJ694&gt;AJ695,"FITS BITCH",IF(AJ694&lt;AJ695,"no"))</f>
        <v>no</v>
      </c>
      <c r="AT694" s="91" t="str">
        <f aca="false">IF(AND($AO694="FITS BITCH",$AP694="FITS BITCH",$AR694="FITS BITCH"),"BULLISH","")</f>
        <v/>
      </c>
      <c r="AU694" s="91" t="str">
        <f aca="false">IF(AND($AO694="FITS BITCH",$AQ694="FITS BITCH",$AS694="FITS BITCH"),"BEARISH","")</f>
        <v/>
      </c>
      <c r="AV694" s="86"/>
      <c r="AW694" s="86"/>
      <c r="AX694" s="86"/>
    </row>
    <row r="695" customFormat="false" ht="15.75" hidden="false" customHeight="false" outlineLevel="0" collapsed="false">
      <c r="AE695" s="90" t="n">
        <f aca="false">Data!A690</f>
        <v>41967</v>
      </c>
      <c r="AF695" s="17" t="n">
        <f aca="false">Data!B690</f>
        <v>116.85</v>
      </c>
      <c r="AG695" s="17" t="n">
        <f aca="false">Data!F690</f>
        <v>47450824</v>
      </c>
      <c r="AH695" s="17" t="n">
        <f aca="false">Data!C690</f>
        <v>118.77</v>
      </c>
      <c r="AI695" s="17" t="n">
        <f aca="false">Data!D690</f>
        <v>116.62</v>
      </c>
      <c r="AJ695" s="17" t="n">
        <f aca="false">Data!E690</f>
        <v>118.62</v>
      </c>
      <c r="AK695" s="17" t="n">
        <f aca="false">Data!F690</f>
        <v>47450824</v>
      </c>
      <c r="AL695" s="17" t="n">
        <f aca="false">AJ695</f>
        <v>118.62</v>
      </c>
      <c r="AM695" s="17" t="n">
        <f aca="false">(AL695-AL694)/AL695*100</f>
        <v>0.859888720283266</v>
      </c>
      <c r="AN695" s="17" t="n">
        <f aca="false">(AK695-AK694)/AK695*100</f>
        <v>-45.077438486632</v>
      </c>
      <c r="AO695" s="17" t="str">
        <f aca="false">IF(AN695&lt;-8,"FITS BITCH",IF(AN695&gt;-8,"no"))</f>
        <v>FITS BITCH</v>
      </c>
      <c r="AP695" s="17" t="str">
        <f aca="false">IF(AH696&lt;AH695,"FITS BITCH",IF(AH696&gt;AH695,"no"))</f>
        <v>FITS BITCH</v>
      </c>
      <c r="AQ695" s="17" t="str">
        <f aca="false">IF(AI696&lt;AI695,"FITS BITCH",IF(AI696&gt;AI695,"no"))</f>
        <v>FITS BITCH</v>
      </c>
      <c r="AR695" s="17" t="str">
        <f aca="false">IF(AJ695&lt;AH696,"FITS BITCH",IF(AJ695&gt;AH696,"no"))</f>
        <v>no</v>
      </c>
      <c r="AS695" s="17" t="str">
        <f aca="false">IF(AJ695&gt;AJ696,"FITS BITCH",IF(AJ695&lt;AJ696,"no"))</f>
        <v>FITS BITCH</v>
      </c>
      <c r="AT695" s="91" t="str">
        <f aca="false">IF(AND($AO695="FITS BITCH",$AP695="FITS BITCH",$AR695="FITS BITCH"),"BULLISH","")</f>
        <v/>
      </c>
      <c r="AU695" s="91" t="str">
        <f aca="false">IF(AND($AO695="FITS BITCH",$AQ695="FITS BITCH",$AS695="FITS BITCH"),"BEARISH","")</f>
        <v>BEARISH</v>
      </c>
      <c r="AV695" s="86"/>
      <c r="AW695" s="86"/>
      <c r="AX695" s="86"/>
    </row>
    <row r="696" customFormat="false" ht="15.75" hidden="false" customHeight="false" outlineLevel="0" collapsed="false">
      <c r="AE696" s="90" t="n">
        <f aca="false">Data!A691</f>
        <v>41964</v>
      </c>
      <c r="AF696" s="17" t="n">
        <f aca="false">Data!B691</f>
        <v>117.51</v>
      </c>
      <c r="AG696" s="17" t="n">
        <f aca="false">Data!F691</f>
        <v>57179298</v>
      </c>
      <c r="AH696" s="17" t="n">
        <f aca="false">Data!C691</f>
        <v>117.57</v>
      </c>
      <c r="AI696" s="17" t="n">
        <f aca="false">Data!D691</f>
        <v>116.03</v>
      </c>
      <c r="AJ696" s="17" t="n">
        <f aca="false">Data!E691</f>
        <v>116.47</v>
      </c>
      <c r="AK696" s="17" t="n">
        <f aca="false">Data!F691</f>
        <v>57179298</v>
      </c>
      <c r="AL696" s="17" t="n">
        <f aca="false">AJ696</f>
        <v>116.47</v>
      </c>
      <c r="AM696" s="17" t="n">
        <f aca="false">(AL696-AL695)/AL696*100</f>
        <v>-1.84596891903495</v>
      </c>
      <c r="AN696" s="17" t="n">
        <f aca="false">(AK696-AK695)/AK696*100</f>
        <v>17.0139794301077</v>
      </c>
      <c r="AO696" s="17" t="str">
        <f aca="false">IF(AN696&lt;-8,"FITS BITCH",IF(AN696&gt;-8,"no"))</f>
        <v>no</v>
      </c>
      <c r="AP696" s="17" t="str">
        <f aca="false">IF(AH697&lt;AH696,"FITS BITCH",IF(AH697&gt;AH696,"no"))</f>
        <v>FITS BITCH</v>
      </c>
      <c r="AQ696" s="17" t="str">
        <f aca="false">IF(AI697&lt;AI696,"FITS BITCH",IF(AI697&gt;AI696,"no"))</f>
        <v>FITS BITCH</v>
      </c>
      <c r="AR696" s="17" t="str">
        <f aca="false">IF(AJ696&lt;AH697,"FITS BITCH",IF(AJ696&gt;AH697,"no"))</f>
        <v>FITS BITCH</v>
      </c>
      <c r="AS696" s="17" t="str">
        <f aca="false">IF(AJ696&gt;AJ697,"FITS BITCH",IF(AJ696&lt;AJ697,"no"))</f>
        <v>FITS BITCH</v>
      </c>
      <c r="AT696" s="91" t="str">
        <f aca="false">IF(AND($AO696="FITS BITCH",$AP696="FITS BITCH",$AR696="FITS BITCH"),"BULLISH","")</f>
        <v/>
      </c>
      <c r="AU696" s="91" t="str">
        <f aca="false">IF(AND($AO696="FITS BITCH",$AQ696="FITS BITCH",$AS696="FITS BITCH"),"BEARISH","")</f>
        <v/>
      </c>
      <c r="AV696" s="86"/>
      <c r="AW696" s="86"/>
      <c r="AX696" s="86"/>
    </row>
    <row r="697" customFormat="false" ht="15.75" hidden="false" customHeight="false" outlineLevel="0" collapsed="false">
      <c r="AE697" s="90" t="n">
        <f aca="false">Data!A692</f>
        <v>41963</v>
      </c>
      <c r="AF697" s="17" t="n">
        <f aca="false">Data!B692</f>
        <v>114.91</v>
      </c>
      <c r="AG697" s="17" t="n">
        <f aca="false">Data!F692</f>
        <v>43395537</v>
      </c>
      <c r="AH697" s="17" t="n">
        <f aca="false">Data!C692</f>
        <v>116.86</v>
      </c>
      <c r="AI697" s="17" t="n">
        <f aca="false">Data!D692</f>
        <v>114.85</v>
      </c>
      <c r="AJ697" s="17" t="n">
        <f aca="false">Data!E692</f>
        <v>116.31</v>
      </c>
      <c r="AK697" s="17" t="n">
        <f aca="false">Data!F692</f>
        <v>43395537</v>
      </c>
      <c r="AL697" s="17" t="n">
        <f aca="false">AJ697</f>
        <v>116.31</v>
      </c>
      <c r="AM697" s="17" t="n">
        <f aca="false">(AL697-AL696)/AL697*100</f>
        <v>-0.137563408133434</v>
      </c>
      <c r="AN697" s="17" t="n">
        <f aca="false">(AK697-AK696)/AK697*100</f>
        <v>-31.7630843005814</v>
      </c>
      <c r="AO697" s="17" t="str">
        <f aca="false">IF(AN697&lt;-8,"FITS BITCH",IF(AN697&gt;-8,"no"))</f>
        <v>FITS BITCH</v>
      </c>
      <c r="AP697" s="17" t="str">
        <f aca="false">IF(AH698&lt;AH697,"FITS BITCH",IF(AH698&gt;AH697,"no"))</f>
        <v>FITS BITCH</v>
      </c>
      <c r="AQ697" s="17" t="str">
        <f aca="false">IF(AI698&lt;AI697,"FITS BITCH",IF(AI698&gt;AI697,"no"))</f>
        <v>FITS BITCH</v>
      </c>
      <c r="AR697" s="17" t="str">
        <f aca="false">IF(AJ697&lt;AH698,"FITS BITCH",IF(AJ697&gt;AH698,"no"))</f>
        <v>no</v>
      </c>
      <c r="AS697" s="17" t="str">
        <f aca="false">IF(AJ697&gt;AJ698,"FITS BITCH",IF(AJ697&lt;AJ698,"no"))</f>
        <v>FITS BITCH</v>
      </c>
      <c r="AT697" s="91" t="str">
        <f aca="false">IF(AND($AO697="FITS BITCH",$AP697="FITS BITCH",$AR697="FITS BITCH"),"BULLISH","")</f>
        <v/>
      </c>
      <c r="AU697" s="91" t="str">
        <f aca="false">IF(AND($AO697="FITS BITCH",$AQ697="FITS BITCH",$AS697="FITS BITCH"),"BEARISH","")</f>
        <v>BEARISH</v>
      </c>
      <c r="AV697" s="86"/>
      <c r="AW697" s="86"/>
      <c r="AX697" s="86"/>
    </row>
    <row r="698" customFormat="false" ht="15.75" hidden="false" customHeight="false" outlineLevel="0" collapsed="false">
      <c r="AE698" s="90" t="n">
        <f aca="false">Data!A693</f>
        <v>41962</v>
      </c>
      <c r="AF698" s="17" t="n">
        <f aca="false">Data!B693</f>
        <v>115.44</v>
      </c>
      <c r="AG698" s="17" t="n">
        <f aca="false">Data!F693</f>
        <v>41869160</v>
      </c>
      <c r="AH698" s="17" t="n">
        <f aca="false">Data!C693</f>
        <v>115.74</v>
      </c>
      <c r="AI698" s="17" t="n">
        <f aca="false">Data!D693</f>
        <v>113.8</v>
      </c>
      <c r="AJ698" s="17" t="n">
        <f aca="false">Data!E693</f>
        <v>114.67</v>
      </c>
      <c r="AK698" s="17" t="n">
        <f aca="false">Data!F693</f>
        <v>41869160</v>
      </c>
      <c r="AL698" s="17" t="n">
        <f aca="false">AJ698</f>
        <v>114.67</v>
      </c>
      <c r="AM698" s="17" t="n">
        <f aca="false">(AL698-AL697)/AL698*100</f>
        <v>-1.43019098282027</v>
      </c>
      <c r="AN698" s="17" t="n">
        <f aca="false">(AK698-AK697)/AK698*100</f>
        <v>-3.64558782645747</v>
      </c>
      <c r="AO698" s="17" t="str">
        <f aca="false">IF(AN698&lt;-8,"FITS BITCH",IF(AN698&gt;-8,"no"))</f>
        <v>no</v>
      </c>
      <c r="AP698" s="17" t="str">
        <f aca="false">IF(AH699&lt;AH698,"FITS BITCH",IF(AH699&gt;AH698,"no"))</f>
        <v>FITS BITCH</v>
      </c>
      <c r="AQ698" s="17" t="str">
        <f aca="false">IF(AI699&lt;AI698,"FITS BITCH",IF(AI699&gt;AI698,"no"))</f>
        <v>no</v>
      </c>
      <c r="AR698" s="17" t="str">
        <f aca="false">IF(AJ698&lt;AH699,"FITS BITCH",IF(AJ698&gt;AH699,"no"))</f>
        <v>FITS BITCH</v>
      </c>
      <c r="AS698" s="17" t="str">
        <f aca="false">IF(AJ698&gt;AJ699,"FITS BITCH",IF(AJ698&lt;AJ699,"no"))</f>
        <v>no</v>
      </c>
      <c r="AT698" s="91" t="str">
        <f aca="false">IF(AND($AO698="FITS BITCH",$AP698="FITS BITCH",$AR698="FITS BITCH"),"BULLISH","")</f>
        <v/>
      </c>
      <c r="AU698" s="91" t="str">
        <f aca="false">IF(AND($AO698="FITS BITCH",$AQ698="FITS BITCH",$AS698="FITS BITCH"),"BEARISH","")</f>
        <v/>
      </c>
      <c r="AV698" s="86"/>
      <c r="AW698" s="86"/>
      <c r="AX698" s="86"/>
    </row>
    <row r="699" customFormat="false" ht="15.75" hidden="false" customHeight="false" outlineLevel="0" collapsed="false">
      <c r="AE699" s="90" t="n">
        <f aca="false">Data!A694</f>
        <v>41961</v>
      </c>
      <c r="AF699" s="17" t="n">
        <f aca="false">Data!B694</f>
        <v>113.94</v>
      </c>
      <c r="AG699" s="17" t="n">
        <f aca="false">Data!F694</f>
        <v>44223978</v>
      </c>
      <c r="AH699" s="17" t="n">
        <f aca="false">Data!C694</f>
        <v>115.69</v>
      </c>
      <c r="AI699" s="17" t="n">
        <f aca="false">Data!D694</f>
        <v>113.89</v>
      </c>
      <c r="AJ699" s="17" t="n">
        <f aca="false">Data!E694</f>
        <v>115.47</v>
      </c>
      <c r="AK699" s="17" t="n">
        <f aca="false">Data!F694</f>
        <v>44223978</v>
      </c>
      <c r="AL699" s="17" t="n">
        <f aca="false">AJ699</f>
        <v>115.47</v>
      </c>
      <c r="AM699" s="17" t="n">
        <f aca="false">(AL699-AL698)/AL699*100</f>
        <v>0.69282064605525</v>
      </c>
      <c r="AN699" s="17" t="n">
        <f aca="false">(AK699-AK698)/AK699*100</f>
        <v>5.32475391517244</v>
      </c>
      <c r="AO699" s="17" t="str">
        <f aca="false">IF(AN699&lt;-8,"FITS BITCH",IF(AN699&gt;-8,"no"))</f>
        <v>no</v>
      </c>
      <c r="AP699" s="17" t="str">
        <f aca="false">IF(AH700&lt;AH699,"FITS BITCH",IF(AH700&gt;AH699,"no"))</f>
        <v>no</v>
      </c>
      <c r="AQ699" s="17" t="str">
        <f aca="false">IF(AI700&lt;AI699,"FITS BITCH",IF(AI700&gt;AI699,"no"))</f>
        <v>FITS BITCH</v>
      </c>
      <c r="AR699" s="17" t="str">
        <f aca="false">IF(AJ699&lt;AH700,"FITS BITCH",IF(AJ699&gt;AH700,"no"))</f>
        <v>FITS BITCH</v>
      </c>
      <c r="AS699" s="17" t="str">
        <f aca="false">IF(AJ699&gt;AJ700,"FITS BITCH",IF(AJ699&lt;AJ700,"no"))</f>
        <v>FITS BITCH</v>
      </c>
      <c r="AT699" s="91" t="str">
        <f aca="false">IF(AND($AO699="FITS BITCH",$AP699="FITS BITCH",$AR699="FITS BITCH"),"BULLISH","")</f>
        <v/>
      </c>
      <c r="AU699" s="91" t="str">
        <f aca="false">IF(AND($AO699="FITS BITCH",$AQ699="FITS BITCH",$AS699="FITS BITCH"),"BEARISH","")</f>
        <v/>
      </c>
      <c r="AV699" s="86"/>
      <c r="AW699" s="86"/>
      <c r="AX699" s="86"/>
    </row>
    <row r="700" customFormat="false" ht="15.75" hidden="false" customHeight="false" outlineLevel="0" collapsed="false">
      <c r="AE700" s="90" t="n">
        <f aca="false">Data!A695</f>
        <v>41960</v>
      </c>
      <c r="AF700" s="17" t="n">
        <f aca="false">Data!B695</f>
        <v>114.27</v>
      </c>
      <c r="AG700" s="17" t="n">
        <f aca="false">Data!F695</f>
        <v>46746712</v>
      </c>
      <c r="AH700" s="17" t="n">
        <f aca="false">Data!C695</f>
        <v>117.28</v>
      </c>
      <c r="AI700" s="17" t="n">
        <f aca="false">Data!D695</f>
        <v>113.3</v>
      </c>
      <c r="AJ700" s="17" t="n">
        <f aca="false">Data!E695</f>
        <v>113.99</v>
      </c>
      <c r="AK700" s="17" t="n">
        <f aca="false">Data!F695</f>
        <v>46746712</v>
      </c>
      <c r="AL700" s="17" t="n">
        <f aca="false">AJ700</f>
        <v>113.99</v>
      </c>
      <c r="AM700" s="17" t="n">
        <f aca="false">(AL700-AL699)/AL700*100</f>
        <v>-1.29835950521976</v>
      </c>
      <c r="AN700" s="17" t="n">
        <f aca="false">(AK700-AK699)/AK700*100</f>
        <v>5.39660201128156</v>
      </c>
      <c r="AO700" s="17" t="str">
        <f aca="false">IF(AN700&lt;-8,"FITS BITCH",IF(AN700&gt;-8,"no"))</f>
        <v>no</v>
      </c>
      <c r="AP700" s="17" t="str">
        <f aca="false">IF(AH701&lt;AH700,"FITS BITCH",IF(AH701&gt;AH700,"no"))</f>
        <v>FITS BITCH</v>
      </c>
      <c r="AQ700" s="17" t="str">
        <f aca="false">IF(AI701&lt;AI700,"FITS BITCH",IF(AI701&gt;AI700,"no"))</f>
        <v>FITS BITCH</v>
      </c>
      <c r="AR700" s="17" t="str">
        <f aca="false">IF(AJ700&lt;AH701,"FITS BITCH",IF(AJ700&gt;AH701,"no"))</f>
        <v>FITS BITCH</v>
      </c>
      <c r="AS700" s="17" t="str">
        <f aca="false">IF(AJ700&gt;AJ701,"FITS BITCH",IF(AJ700&lt;AJ701,"no"))</f>
        <v>no</v>
      </c>
      <c r="AT700" s="91" t="str">
        <f aca="false">IF(AND($AO700="FITS BITCH",$AP700="FITS BITCH",$AR700="FITS BITCH"),"BULLISH","")</f>
        <v/>
      </c>
      <c r="AU700" s="91" t="str">
        <f aca="false">IF(AND($AO700="FITS BITCH",$AQ700="FITS BITCH",$AS700="FITS BITCH"),"BEARISH","")</f>
        <v/>
      </c>
      <c r="AV700" s="86"/>
      <c r="AW700" s="86"/>
      <c r="AX700" s="86"/>
    </row>
    <row r="701" customFormat="false" ht="15.75" hidden="false" customHeight="false" outlineLevel="0" collapsed="false">
      <c r="AE701" s="90" t="n">
        <f aca="false">Data!A696</f>
        <v>41957</v>
      </c>
      <c r="AF701" s="17" t="n">
        <f aca="false">Data!B696</f>
        <v>113.15</v>
      </c>
      <c r="AG701" s="17" t="n">
        <f aca="false">Data!F696</f>
        <v>44063595</v>
      </c>
      <c r="AH701" s="17" t="n">
        <f aca="false">Data!C696</f>
        <v>114.19</v>
      </c>
      <c r="AI701" s="17" t="n">
        <f aca="false">Data!D696</f>
        <v>113.05</v>
      </c>
      <c r="AJ701" s="17" t="n">
        <f aca="false">Data!E696</f>
        <v>114.18</v>
      </c>
      <c r="AK701" s="17" t="n">
        <f aca="false">Data!F696</f>
        <v>44063595</v>
      </c>
      <c r="AL701" s="17" t="n">
        <f aca="false">AJ701</f>
        <v>114.18</v>
      </c>
      <c r="AM701" s="17" t="n">
        <f aca="false">(AL701-AL700)/AL701*100</f>
        <v>0.166403923629368</v>
      </c>
      <c r="AN701" s="17" t="n">
        <f aca="false">(AK701-AK700)/AK701*100</f>
        <v>-6.08919222319468</v>
      </c>
      <c r="AO701" s="17" t="str">
        <f aca="false">IF(AN701&lt;-8,"FITS BITCH",IF(AN701&gt;-8,"no"))</f>
        <v>no</v>
      </c>
      <c r="AP701" s="17" t="str">
        <f aca="false">IF(AH702&lt;AH701,"FITS BITCH",IF(AH702&gt;AH701,"no"))</f>
        <v>FITS BITCH</v>
      </c>
      <c r="AQ701" s="17" t="str">
        <f aca="false">IF(AI702&lt;AI701,"FITS BITCH",IF(AI702&gt;AI701,"no"))</f>
        <v>FITS BITCH</v>
      </c>
      <c r="AR701" s="17" t="str">
        <f aca="false">IF(AJ701&lt;AH702,"FITS BITCH",IF(AJ701&gt;AH702,"no"))</f>
        <v>no</v>
      </c>
      <c r="AS701" s="17" t="str">
        <f aca="false">IF(AJ701&gt;AJ702,"FITS BITCH",IF(AJ701&lt;AJ702,"no"))</f>
        <v>FITS BITCH</v>
      </c>
      <c r="AT701" s="91" t="str">
        <f aca="false">IF(AND($AO701="FITS BITCH",$AP701="FITS BITCH",$AR701="FITS BITCH"),"BULLISH","")</f>
        <v/>
      </c>
      <c r="AU701" s="91" t="str">
        <f aca="false">IF(AND($AO701="FITS BITCH",$AQ701="FITS BITCH",$AS701="FITS BITCH"),"BEARISH","")</f>
        <v/>
      </c>
      <c r="AV701" s="86"/>
      <c r="AW701" s="86"/>
      <c r="AX701" s="86"/>
    </row>
    <row r="702" customFormat="false" ht="15.75" hidden="false" customHeight="false" outlineLevel="0" collapsed="false">
      <c r="AE702" s="90" t="n">
        <f aca="false">Data!A697</f>
        <v>41956</v>
      </c>
      <c r="AF702" s="17" t="n">
        <f aca="false">Data!B697</f>
        <v>111.8</v>
      </c>
      <c r="AG702" s="17" t="n">
        <f aca="false">Data!F697</f>
        <v>59522855</v>
      </c>
      <c r="AH702" s="17" t="n">
        <f aca="false">Data!C697</f>
        <v>113.45</v>
      </c>
      <c r="AI702" s="17" t="n">
        <f aca="false">Data!D697</f>
        <v>111.6</v>
      </c>
      <c r="AJ702" s="17" t="n">
        <f aca="false">Data!E697</f>
        <v>112.82</v>
      </c>
      <c r="AK702" s="17" t="n">
        <f aca="false">Data!F697</f>
        <v>59522855</v>
      </c>
      <c r="AL702" s="17" t="n">
        <f aca="false">AJ702</f>
        <v>112.82</v>
      </c>
      <c r="AM702" s="17" t="n">
        <f aca="false">(AL702-AL701)/AL702*100</f>
        <v>-1.20546002481831</v>
      </c>
      <c r="AN702" s="17" t="n">
        <f aca="false">(AK702-AK701)/AK702*100</f>
        <v>25.9719732865636</v>
      </c>
      <c r="AO702" s="17" t="str">
        <f aca="false">IF(AN702&lt;-8,"FITS BITCH",IF(AN702&gt;-8,"no"))</f>
        <v>no</v>
      </c>
      <c r="AP702" s="17" t="str">
        <f aca="false">IF(AH703&lt;AH702,"FITS BITCH",IF(AH703&gt;AH702,"no"))</f>
        <v>FITS BITCH</v>
      </c>
      <c r="AQ702" s="17" t="str">
        <f aca="false">IF(AI703&lt;AI702,"FITS BITCH",IF(AI703&gt;AI702,"no"))</f>
        <v>FITS BITCH</v>
      </c>
      <c r="AR702" s="17" t="str">
        <f aca="false">IF(AJ702&lt;AH703,"FITS BITCH",IF(AJ702&gt;AH703,"no"))</f>
        <v>no</v>
      </c>
      <c r="AS702" s="17" t="str">
        <f aca="false">IF(AJ702&gt;AJ703,"FITS BITCH",IF(AJ702&lt;AJ703,"no"))</f>
        <v>FITS BITCH</v>
      </c>
      <c r="AT702" s="91" t="str">
        <f aca="false">IF(AND($AO702="FITS BITCH",$AP702="FITS BITCH",$AR702="FITS BITCH"),"BULLISH","")</f>
        <v/>
      </c>
      <c r="AU702" s="91" t="str">
        <f aca="false">IF(AND($AO702="FITS BITCH",$AQ702="FITS BITCH",$AS702="FITS BITCH"),"BEARISH","")</f>
        <v/>
      </c>
      <c r="AV702" s="86"/>
      <c r="AW702" s="86"/>
      <c r="AX702" s="86"/>
    </row>
    <row r="703" customFormat="false" ht="15.75" hidden="false" customHeight="false" outlineLevel="0" collapsed="false">
      <c r="AE703" s="90" t="n">
        <f aca="false">Data!A698</f>
        <v>41955</v>
      </c>
      <c r="AF703" s="17" t="n">
        <f aca="false">Data!B698</f>
        <v>109.38</v>
      </c>
      <c r="AG703" s="17" t="n">
        <f aca="false">Data!F698</f>
        <v>46942431</v>
      </c>
      <c r="AH703" s="17" t="n">
        <f aca="false">Data!C698</f>
        <v>111.43</v>
      </c>
      <c r="AI703" s="17" t="n">
        <f aca="false">Data!D698</f>
        <v>109.37</v>
      </c>
      <c r="AJ703" s="17" t="n">
        <f aca="false">Data!E698</f>
        <v>111.25</v>
      </c>
      <c r="AK703" s="17" t="n">
        <f aca="false">Data!F698</f>
        <v>46942431</v>
      </c>
      <c r="AL703" s="17" t="n">
        <f aca="false">AJ703</f>
        <v>111.25</v>
      </c>
      <c r="AM703" s="17" t="n">
        <f aca="false">(AL703-AL702)/AL703*100</f>
        <v>-1.41123595505617</v>
      </c>
      <c r="AN703" s="17" t="n">
        <f aca="false">(AK703-AK702)/AK703*100</f>
        <v>-26.7996857682978</v>
      </c>
      <c r="AO703" s="17" t="str">
        <f aca="false">IF(AN703&lt;-8,"FITS BITCH",IF(AN703&gt;-8,"no"))</f>
        <v>FITS BITCH</v>
      </c>
      <c r="AP703" s="17" t="str">
        <f aca="false">IF(AH704&lt;AH703,"FITS BITCH",IF(AH704&gt;AH703,"no"))</f>
        <v>FITS BITCH</v>
      </c>
      <c r="AQ703" s="17" t="str">
        <f aca="false">IF(AI704&lt;AI703,"FITS BITCH",IF(AI704&gt;AI703,"no"))</f>
        <v>FITS BITCH</v>
      </c>
      <c r="AR703" s="17" t="str">
        <f aca="false">IF(AJ703&lt;AH704,"FITS BITCH",IF(AJ703&gt;AH704,"no"))</f>
        <v>no</v>
      </c>
      <c r="AS703" s="17" t="str">
        <f aca="false">IF(AJ703&gt;AJ704,"FITS BITCH",IF(AJ703&lt;AJ704,"no"))</f>
        <v>FITS BITCH</v>
      </c>
      <c r="AT703" s="91" t="str">
        <f aca="false">IF(AND($AO703="FITS BITCH",$AP703="FITS BITCH",$AR703="FITS BITCH"),"BULLISH","")</f>
        <v/>
      </c>
      <c r="AU703" s="91" t="str">
        <f aca="false">IF(AND($AO703="FITS BITCH",$AQ703="FITS BITCH",$AS703="FITS BITCH"),"BEARISH","")</f>
        <v>BEARISH</v>
      </c>
      <c r="AV703" s="86"/>
      <c r="AW703" s="86"/>
      <c r="AX703" s="86"/>
    </row>
    <row r="704" customFormat="false" ht="15.75" hidden="false" customHeight="false" outlineLevel="0" collapsed="false">
      <c r="AE704" s="90" t="n">
        <f aca="false">Data!A699</f>
        <v>41954</v>
      </c>
      <c r="AF704" s="17" t="n">
        <f aca="false">Data!B699</f>
        <v>108.7</v>
      </c>
      <c r="AG704" s="17" t="n">
        <f aca="false">Data!F699</f>
        <v>27442252</v>
      </c>
      <c r="AH704" s="17" t="n">
        <f aca="false">Data!C699</f>
        <v>109.75</v>
      </c>
      <c r="AI704" s="17" t="n">
        <f aca="false">Data!D699</f>
        <v>108.4</v>
      </c>
      <c r="AJ704" s="17" t="n">
        <f aca="false">Data!E699</f>
        <v>109.7</v>
      </c>
      <c r="AK704" s="17" t="n">
        <f aca="false">Data!F699</f>
        <v>27442252</v>
      </c>
      <c r="AL704" s="17" t="n">
        <f aca="false">AJ704</f>
        <v>109.7</v>
      </c>
      <c r="AM704" s="17" t="n">
        <f aca="false">(AL704-AL703)/AL704*100</f>
        <v>-1.41294439380127</v>
      </c>
      <c r="AN704" s="17" t="n">
        <f aca="false">(AK704-AK703)/AK704*100</f>
        <v>-71.0589604672386</v>
      </c>
      <c r="AO704" s="17" t="str">
        <f aca="false">IF(AN704&lt;-8,"FITS BITCH",IF(AN704&gt;-8,"no"))</f>
        <v>FITS BITCH</v>
      </c>
      <c r="AP704" s="17" t="str">
        <f aca="false">IF(AH705&lt;AH704,"FITS BITCH",IF(AH705&gt;AH704,"no"))</f>
        <v>FITS BITCH</v>
      </c>
      <c r="AQ704" s="17" t="str">
        <f aca="false">IF(AI705&lt;AI704,"FITS BITCH",IF(AI705&gt;AI704,"no"))</f>
        <v>no</v>
      </c>
      <c r="AR704" s="17" t="str">
        <f aca="false">IF(AJ704&lt;AH705,"FITS BITCH",IF(AJ704&gt;AH705,"no"))</f>
        <v>no</v>
      </c>
      <c r="AS704" s="17" t="str">
        <f aca="false">IF(AJ704&gt;AJ705,"FITS BITCH",IF(AJ704&lt;AJ705,"no"))</f>
        <v>FITS BITCH</v>
      </c>
      <c r="AT704" s="91" t="str">
        <f aca="false">IF(AND($AO704="FITS BITCH",$AP704="FITS BITCH",$AR704="FITS BITCH"),"BULLISH","")</f>
        <v/>
      </c>
      <c r="AU704" s="91" t="str">
        <f aca="false">IF(AND($AO704="FITS BITCH",$AQ704="FITS BITCH",$AS704="FITS BITCH"),"BEARISH","")</f>
        <v/>
      </c>
      <c r="AV704" s="86"/>
      <c r="AW704" s="86"/>
      <c r="AX704" s="86"/>
    </row>
    <row r="705" customFormat="false" ht="15.75" hidden="false" customHeight="false" outlineLevel="0" collapsed="false">
      <c r="AE705" s="90" t="n">
        <f aca="false">Data!A700</f>
        <v>41953</v>
      </c>
      <c r="AF705" s="17" t="n">
        <f aca="false">Data!B700</f>
        <v>109.02</v>
      </c>
      <c r="AG705" s="17" t="n">
        <f aca="false">Data!F700</f>
        <v>27195547</v>
      </c>
      <c r="AH705" s="17" t="n">
        <f aca="false">Data!C700</f>
        <v>109.33</v>
      </c>
      <c r="AI705" s="17" t="n">
        <f aca="false">Data!D700</f>
        <v>108.67</v>
      </c>
      <c r="AJ705" s="17" t="n">
        <f aca="false">Data!E700</f>
        <v>108.83</v>
      </c>
      <c r="AK705" s="17" t="n">
        <f aca="false">Data!F700</f>
        <v>27195547</v>
      </c>
      <c r="AL705" s="17" t="n">
        <f aca="false">AJ705</f>
        <v>108.83</v>
      </c>
      <c r="AM705" s="17" t="n">
        <f aca="false">(AL705-AL704)/AL705*100</f>
        <v>-0.799411926858407</v>
      </c>
      <c r="AN705" s="17" t="n">
        <f aca="false">(AK705-AK704)/AK705*100</f>
        <v>-0.907152189290401</v>
      </c>
      <c r="AO705" s="17" t="str">
        <f aca="false">IF(AN705&lt;-8,"FITS BITCH",IF(AN705&gt;-8,"no"))</f>
        <v>no</v>
      </c>
      <c r="AP705" s="17" t="str">
        <f aca="false">IF(AH706&lt;AH705,"FITS BITCH",IF(AH706&gt;AH705,"no"))</f>
        <v>FITS BITCH</v>
      </c>
      <c r="AQ705" s="17" t="str">
        <f aca="false">IF(AI706&lt;AI705,"FITS BITCH",IF(AI706&gt;AI705,"no"))</f>
        <v>FITS BITCH</v>
      </c>
      <c r="AR705" s="17" t="str">
        <f aca="false">IF(AJ705&lt;AH706,"FITS BITCH",IF(AJ705&gt;AH706,"no"))</f>
        <v>FITS BITCH</v>
      </c>
      <c r="AS705" s="17" t="str">
        <f aca="false">IF(AJ705&gt;AJ706,"FITS BITCH",IF(AJ705&lt;AJ706,"no"))</f>
        <v>no</v>
      </c>
      <c r="AT705" s="91" t="str">
        <f aca="false">IF(AND($AO705="FITS BITCH",$AP705="FITS BITCH",$AR705="FITS BITCH"),"BULLISH","")</f>
        <v/>
      </c>
      <c r="AU705" s="91" t="str">
        <f aca="false">IF(AND($AO705="FITS BITCH",$AQ705="FITS BITCH",$AS705="FITS BITCH"),"BEARISH","")</f>
        <v/>
      </c>
      <c r="AV705" s="86"/>
      <c r="AW705" s="86"/>
      <c r="AX705" s="86"/>
    </row>
    <row r="706" customFormat="false" ht="15.75" hidden="false" customHeight="false" outlineLevel="0" collapsed="false">
      <c r="AE706" s="90" t="n">
        <f aca="false">Data!A701</f>
        <v>41950</v>
      </c>
      <c r="AF706" s="17" t="n">
        <f aca="false">Data!B701</f>
        <v>108.75</v>
      </c>
      <c r="AG706" s="17" t="n">
        <f aca="false">Data!F701</f>
        <v>33691535</v>
      </c>
      <c r="AH706" s="17" t="n">
        <f aca="false">Data!C701</f>
        <v>109.32</v>
      </c>
      <c r="AI706" s="17" t="n">
        <f aca="false">Data!D701</f>
        <v>108.55</v>
      </c>
      <c r="AJ706" s="17" t="n">
        <f aca="false">Data!E701</f>
        <v>109.01</v>
      </c>
      <c r="AK706" s="17" t="n">
        <f aca="false">Data!F701</f>
        <v>33691535</v>
      </c>
      <c r="AL706" s="17" t="n">
        <f aca="false">AJ706</f>
        <v>109.01</v>
      </c>
      <c r="AM706" s="17" t="n">
        <f aca="false">(AL706-AL705)/AL706*100</f>
        <v>0.165122465828829</v>
      </c>
      <c r="AN706" s="17" t="n">
        <f aca="false">(AK706-AK705)/AK706*100</f>
        <v>19.2807718615373</v>
      </c>
      <c r="AO706" s="17" t="str">
        <f aca="false">IF(AN706&lt;-8,"FITS BITCH",IF(AN706&gt;-8,"no"))</f>
        <v>no</v>
      </c>
      <c r="AP706" s="17" t="str">
        <f aca="false">IF(AH707&lt;AH706,"FITS BITCH",IF(AH707&gt;AH706,"no"))</f>
        <v>FITS BITCH</v>
      </c>
      <c r="AQ706" s="17" t="str">
        <f aca="false">IF(AI707&lt;AI706,"FITS BITCH",IF(AI707&gt;AI706,"no"))</f>
        <v>FITS BITCH</v>
      </c>
      <c r="AR706" s="17" t="str">
        <f aca="false">IF(AJ706&lt;AH707,"FITS BITCH",IF(AJ706&gt;AH707,"no"))</f>
        <v>no</v>
      </c>
      <c r="AS706" s="17" t="str">
        <f aca="false">IF(AJ706&gt;AJ707,"FITS BITCH",IF(AJ706&lt;AJ707,"no"))</f>
        <v>FITS BITCH</v>
      </c>
      <c r="AT706" s="91" t="str">
        <f aca="false">IF(AND($AO706="FITS BITCH",$AP706="FITS BITCH",$AR706="FITS BITCH"),"BULLISH","")</f>
        <v/>
      </c>
      <c r="AU706" s="91" t="str">
        <f aca="false">IF(AND($AO706="FITS BITCH",$AQ706="FITS BITCH",$AS706="FITS BITCH"),"BEARISH","")</f>
        <v/>
      </c>
      <c r="AV706" s="86"/>
      <c r="AW706" s="86"/>
      <c r="AX706" s="86"/>
    </row>
    <row r="707" customFormat="false" ht="15.75" hidden="false" customHeight="false" outlineLevel="0" collapsed="false">
      <c r="AE707" s="90" t="n">
        <f aca="false">Data!A702</f>
        <v>41949</v>
      </c>
      <c r="AF707" s="17" t="n">
        <f aca="false">Data!B702</f>
        <v>108.6</v>
      </c>
      <c r="AG707" s="17" t="n">
        <f aca="false">Data!F702</f>
        <v>34968457</v>
      </c>
      <c r="AH707" s="17" t="n">
        <f aca="false">Data!C702</f>
        <v>108.79</v>
      </c>
      <c r="AI707" s="17" t="n">
        <f aca="false">Data!D702</f>
        <v>107.8</v>
      </c>
      <c r="AJ707" s="17" t="n">
        <f aca="false">Data!E702</f>
        <v>108.7</v>
      </c>
      <c r="AK707" s="17" t="n">
        <f aca="false">Data!F702</f>
        <v>34968457</v>
      </c>
      <c r="AL707" s="17" t="n">
        <f aca="false">AJ707</f>
        <v>108.7</v>
      </c>
      <c r="AM707" s="17" t="n">
        <f aca="false">(AL707-AL706)/AL707*100</f>
        <v>-0.285188592456304</v>
      </c>
      <c r="AN707" s="17" t="n">
        <f aca="false">(AK707-AK706)/AK707*100</f>
        <v>3.65163953330855</v>
      </c>
      <c r="AO707" s="17" t="str">
        <f aca="false">IF(AN707&lt;-8,"FITS BITCH",IF(AN707&gt;-8,"no"))</f>
        <v>no</v>
      </c>
      <c r="AP707" s="17" t="str">
        <f aca="false">IF(AH708&lt;AH707,"FITS BITCH",IF(AH708&gt;AH707,"no"))</f>
        <v>no</v>
      </c>
      <c r="AQ707" s="17" t="str">
        <f aca="false">IF(AI708&lt;AI707,"FITS BITCH",IF(AI708&gt;AI707,"no"))</f>
        <v>no</v>
      </c>
      <c r="AR707" s="17" t="str">
        <f aca="false">IF(AJ707&lt;AH708,"FITS BITCH",IF(AJ707&gt;AH708,"no"))</f>
        <v>FITS BITCH</v>
      </c>
      <c r="AS707" s="17" t="str">
        <f aca="false">IF(AJ707&gt;AJ708,"FITS BITCH",IF(AJ707&lt;AJ708,"no"))</f>
        <v>no</v>
      </c>
      <c r="AT707" s="91" t="str">
        <f aca="false">IF(AND($AO707="FITS BITCH",$AP707="FITS BITCH",$AR707="FITS BITCH"),"BULLISH","")</f>
        <v/>
      </c>
      <c r="AU707" s="91" t="str">
        <f aca="false">IF(AND($AO707="FITS BITCH",$AQ707="FITS BITCH",$AS707="FITS BITCH"),"BEARISH","")</f>
        <v/>
      </c>
      <c r="AV707" s="86"/>
      <c r="AW707" s="86"/>
      <c r="AX707" s="86"/>
    </row>
    <row r="708" customFormat="false" ht="15.75" hidden="false" customHeight="false" outlineLevel="0" collapsed="false">
      <c r="AE708" s="90" t="n">
        <f aca="false">Data!A703</f>
        <v>41948</v>
      </c>
      <c r="AF708" s="17" t="n">
        <f aca="false">Data!B703</f>
        <v>109.1</v>
      </c>
      <c r="AG708" s="17" t="n">
        <f aca="false">Data!F703</f>
        <v>37435905</v>
      </c>
      <c r="AH708" s="17" t="n">
        <f aca="false">Data!C703</f>
        <v>109.3</v>
      </c>
      <c r="AI708" s="17" t="n">
        <f aca="false">Data!D703</f>
        <v>108.12</v>
      </c>
      <c r="AJ708" s="17" t="n">
        <f aca="false">Data!E703</f>
        <v>108.86</v>
      </c>
      <c r="AK708" s="17" t="n">
        <f aca="false">Data!F703</f>
        <v>37435905</v>
      </c>
      <c r="AL708" s="17" t="n">
        <f aca="false">AJ708</f>
        <v>108.86</v>
      </c>
      <c r="AM708" s="17" t="n">
        <f aca="false">(AL708-AL707)/AL708*100</f>
        <v>0.146977769612343</v>
      </c>
      <c r="AN708" s="17" t="n">
        <f aca="false">(AK708-AK707)/AK708*100</f>
        <v>6.59112688740929</v>
      </c>
      <c r="AO708" s="17" t="str">
        <f aca="false">IF(AN708&lt;-8,"FITS BITCH",IF(AN708&gt;-8,"no"))</f>
        <v>no</v>
      </c>
      <c r="AP708" s="17" t="str">
        <f aca="false">IF(AH709&lt;AH708,"FITS BITCH",IF(AH709&gt;AH708,"no"))</f>
        <v>no</v>
      </c>
      <c r="AQ708" s="17" t="str">
        <f aca="false">IF(AI709&lt;AI708,"FITS BITCH",IF(AI709&gt;AI708,"no"))</f>
        <v>FITS BITCH</v>
      </c>
      <c r="AR708" s="17" t="str">
        <f aca="false">IF(AJ708&lt;AH709,"FITS BITCH",IF(AJ708&gt;AH709,"no"))</f>
        <v>FITS BITCH</v>
      </c>
      <c r="AS708" s="17" t="str">
        <f aca="false">IF(AJ708&gt;AJ709,"FITS BITCH",IF(AJ708&lt;AJ709,"no"))</f>
        <v>FITS BITCH</v>
      </c>
      <c r="AT708" s="91" t="str">
        <f aca="false">IF(AND($AO708="FITS BITCH",$AP708="FITS BITCH",$AR708="FITS BITCH"),"BULLISH","")</f>
        <v/>
      </c>
      <c r="AU708" s="91" t="str">
        <f aca="false">IF(AND($AO708="FITS BITCH",$AQ708="FITS BITCH",$AS708="FITS BITCH"),"BEARISH","")</f>
        <v/>
      </c>
      <c r="AV708" s="86"/>
      <c r="AW708" s="86"/>
      <c r="AX708" s="86"/>
    </row>
    <row r="709" customFormat="false" ht="15.75" hidden="false" customHeight="false" outlineLevel="0" collapsed="false">
      <c r="AE709" s="90" t="n">
        <f aca="false">Data!A704</f>
        <v>41947</v>
      </c>
      <c r="AF709" s="17" t="n">
        <f aca="false">Data!B704</f>
        <v>109.36</v>
      </c>
      <c r="AG709" s="17" t="n">
        <f aca="false">Data!F704</f>
        <v>41574365</v>
      </c>
      <c r="AH709" s="17" t="n">
        <f aca="false">Data!C704</f>
        <v>109.49</v>
      </c>
      <c r="AI709" s="17" t="n">
        <f aca="false">Data!D704</f>
        <v>107.72</v>
      </c>
      <c r="AJ709" s="17" t="n">
        <f aca="false">Data!E704</f>
        <v>108.6</v>
      </c>
      <c r="AK709" s="17" t="n">
        <f aca="false">Data!F704</f>
        <v>41574365</v>
      </c>
      <c r="AL709" s="17" t="n">
        <f aca="false">AJ709</f>
        <v>108.6</v>
      </c>
      <c r="AM709" s="17" t="n">
        <f aca="false">(AL709-AL708)/AL709*100</f>
        <v>-0.239410681399636</v>
      </c>
      <c r="AN709" s="17" t="n">
        <f aca="false">(AK709-AK708)/AK709*100</f>
        <v>9.95435528600377</v>
      </c>
      <c r="AO709" s="17" t="str">
        <f aca="false">IF(AN709&lt;-8,"FITS BITCH",IF(AN709&gt;-8,"no"))</f>
        <v>no</v>
      </c>
      <c r="AP709" s="17" t="str">
        <f aca="false">IF(AH710&lt;AH709,"FITS BITCH",IF(AH710&gt;AH709,"no"))</f>
        <v>no</v>
      </c>
      <c r="AQ709" s="17" t="str">
        <f aca="false">IF(AI710&lt;AI709,"FITS BITCH",IF(AI710&gt;AI709,"no"))</f>
        <v>no</v>
      </c>
      <c r="AR709" s="17" t="str">
        <f aca="false">IF(AJ709&lt;AH710,"FITS BITCH",IF(AJ709&gt;AH710,"no"))</f>
        <v>FITS BITCH</v>
      </c>
      <c r="AS709" s="17" t="str">
        <f aca="false">IF(AJ709&gt;AJ710,"FITS BITCH",IF(AJ709&lt;AJ710,"no"))</f>
        <v>no</v>
      </c>
      <c r="AT709" s="91" t="str">
        <f aca="false">IF(AND($AO709="FITS BITCH",$AP709="FITS BITCH",$AR709="FITS BITCH"),"BULLISH","")</f>
        <v/>
      </c>
      <c r="AU709" s="91" t="str">
        <f aca="false">IF(AND($AO709="FITS BITCH",$AQ709="FITS BITCH",$AS709="FITS BITCH"),"BEARISH","")</f>
        <v/>
      </c>
      <c r="AV709" s="86"/>
      <c r="AW709" s="86"/>
      <c r="AX709" s="86"/>
    </row>
    <row r="710" customFormat="false" ht="15.75" hidden="false" customHeight="false" outlineLevel="0" collapsed="false">
      <c r="AE710" s="90" t="n">
        <f aca="false">Data!A705</f>
        <v>41946</v>
      </c>
      <c r="AF710" s="17" t="n">
        <f aca="false">Data!B705</f>
        <v>108.22</v>
      </c>
      <c r="AG710" s="17" t="n">
        <f aca="false">Data!F705</f>
        <v>52282550</v>
      </c>
      <c r="AH710" s="17" t="n">
        <f aca="false">Data!C705</f>
        <v>110.3</v>
      </c>
      <c r="AI710" s="17" t="n">
        <f aca="false">Data!D705</f>
        <v>108.01</v>
      </c>
      <c r="AJ710" s="17" t="n">
        <f aca="false">Data!E705</f>
        <v>109.4</v>
      </c>
      <c r="AK710" s="17" t="n">
        <f aca="false">Data!F705</f>
        <v>52282550</v>
      </c>
      <c r="AL710" s="17" t="n">
        <f aca="false">AJ710</f>
        <v>109.4</v>
      </c>
      <c r="AM710" s="17" t="n">
        <f aca="false">(AL710-AL709)/AL710*100</f>
        <v>0.731261425959791</v>
      </c>
      <c r="AN710" s="17" t="n">
        <f aca="false">(AK710-AK709)/AK710*100</f>
        <v>20.4813747607949</v>
      </c>
      <c r="AO710" s="17" t="str">
        <f aca="false">IF(AN710&lt;-8,"FITS BITCH",IF(AN710&gt;-8,"no"))</f>
        <v>no</v>
      </c>
      <c r="AP710" s="17" t="str">
        <f aca="false">IF(AH711&lt;AH710,"FITS BITCH",IF(AH711&gt;AH710,"no"))</f>
        <v>FITS BITCH</v>
      </c>
      <c r="AQ710" s="17" t="str">
        <f aca="false">IF(AI711&lt;AI710,"FITS BITCH",IF(AI711&gt;AI710,"no"))</f>
        <v>FITS BITCH</v>
      </c>
      <c r="AR710" s="17" t="str">
        <f aca="false">IF(AJ710&lt;AH711,"FITS BITCH",IF(AJ710&gt;AH711,"no"))</f>
        <v>no</v>
      </c>
      <c r="AS710" s="17" t="str">
        <f aca="false">IF(AJ710&gt;AJ711,"FITS BITCH",IF(AJ710&lt;AJ711,"no"))</f>
        <v>FITS BITCH</v>
      </c>
      <c r="AT710" s="91" t="str">
        <f aca="false">IF(AND($AO710="FITS BITCH",$AP710="FITS BITCH",$AR710="FITS BITCH"),"BULLISH","")</f>
        <v/>
      </c>
      <c r="AU710" s="91" t="str">
        <f aca="false">IF(AND($AO710="FITS BITCH",$AQ710="FITS BITCH",$AS710="FITS BITCH"),"BEARISH","")</f>
        <v/>
      </c>
      <c r="AV710" s="86"/>
      <c r="AW710" s="86"/>
      <c r="AX710" s="86"/>
    </row>
    <row r="711" customFormat="false" ht="15.75" hidden="false" customHeight="false" outlineLevel="0" collapsed="false">
      <c r="AE711" s="90" t="n">
        <f aca="false">Data!A706</f>
        <v>41943</v>
      </c>
      <c r="AF711" s="17" t="n">
        <f aca="false">Data!B706</f>
        <v>108.01</v>
      </c>
      <c r="AG711" s="17" t="n">
        <f aca="false">Data!F706</f>
        <v>44639285</v>
      </c>
      <c r="AH711" s="17" t="n">
        <f aca="false">Data!C706</f>
        <v>108.04</v>
      </c>
      <c r="AI711" s="17" t="n">
        <f aca="false">Data!D706</f>
        <v>107.21</v>
      </c>
      <c r="AJ711" s="17" t="n">
        <f aca="false">Data!E706</f>
        <v>108</v>
      </c>
      <c r="AK711" s="17" t="n">
        <f aca="false">Data!F706</f>
        <v>44639285</v>
      </c>
      <c r="AL711" s="17" t="n">
        <f aca="false">AJ711</f>
        <v>108</v>
      </c>
      <c r="AM711" s="17" t="n">
        <f aca="false">(AL711-AL710)/AL711*100</f>
        <v>-1.2962962962963</v>
      </c>
      <c r="AN711" s="17" t="n">
        <f aca="false">(AK711-AK710)/AK711*100</f>
        <v>-17.1222836566491</v>
      </c>
      <c r="AO711" s="17" t="str">
        <f aca="false">IF(AN711&lt;-8,"FITS BITCH",IF(AN711&gt;-8,"no"))</f>
        <v>FITS BITCH</v>
      </c>
      <c r="AP711" s="17" t="str">
        <f aca="false">IF(AH712&lt;AH711,"FITS BITCH",IF(AH712&gt;AH711,"no"))</f>
        <v>FITS BITCH</v>
      </c>
      <c r="AQ711" s="17" t="str">
        <f aca="false">IF(AI712&lt;AI711,"FITS BITCH",IF(AI712&gt;AI711,"no"))</f>
        <v>FITS BITCH</v>
      </c>
      <c r="AR711" s="17" t="str">
        <f aca="false">IF(AJ711&lt;AH712,"FITS BITCH",IF(AJ711&gt;AH712,"no"))</f>
        <v>no</v>
      </c>
      <c r="AS711" s="17" t="str">
        <f aca="false">IF(AJ711&gt;AJ712,"FITS BITCH",IF(AJ711&lt;AJ712,"no"))</f>
        <v>FITS BITCH</v>
      </c>
      <c r="AT711" s="91" t="str">
        <f aca="false">IF(AND($AO711="FITS BITCH",$AP711="FITS BITCH",$AR711="FITS BITCH"),"BULLISH","")</f>
        <v/>
      </c>
      <c r="AU711" s="91" t="str">
        <f aca="false">IF(AND($AO711="FITS BITCH",$AQ711="FITS BITCH",$AS711="FITS BITCH"),"BEARISH","")</f>
        <v>BEARISH</v>
      </c>
      <c r="AV711" s="86"/>
      <c r="AW711" s="86"/>
      <c r="AX711" s="86"/>
    </row>
    <row r="712" customFormat="false" ht="15.75" hidden="false" customHeight="false" outlineLevel="0" collapsed="false">
      <c r="AE712" s="90" t="n">
        <f aca="false">Data!A707</f>
        <v>41942</v>
      </c>
      <c r="AF712" s="17" t="n">
        <f aca="false">Data!B707</f>
        <v>106.96</v>
      </c>
      <c r="AG712" s="17" t="n">
        <f aca="false">Data!F707</f>
        <v>40654793</v>
      </c>
      <c r="AH712" s="17" t="n">
        <f aca="false">Data!C707</f>
        <v>107.35</v>
      </c>
      <c r="AI712" s="17" t="n">
        <f aca="false">Data!D707</f>
        <v>105.9</v>
      </c>
      <c r="AJ712" s="17" t="n">
        <f aca="false">Data!E707</f>
        <v>106.98</v>
      </c>
      <c r="AK712" s="17" t="n">
        <f aca="false">Data!F707</f>
        <v>40654793</v>
      </c>
      <c r="AL712" s="17" t="n">
        <f aca="false">AJ712</f>
        <v>106.98</v>
      </c>
      <c r="AM712" s="17" t="n">
        <f aca="false">(AL712-AL711)/AL712*100</f>
        <v>-0.953449242849127</v>
      </c>
      <c r="AN712" s="17" t="n">
        <f aca="false">(AK712-AK711)/AK712*100</f>
        <v>-9.80079273801739</v>
      </c>
      <c r="AO712" s="17" t="str">
        <f aca="false">IF(AN712&lt;-8,"FITS BITCH",IF(AN712&gt;-8,"no"))</f>
        <v>FITS BITCH</v>
      </c>
      <c r="AP712" s="17" t="str">
        <f aca="false">IF(AH713&lt;AH712,"FITS BITCH",IF(AH713&gt;AH712,"no"))</f>
        <v>no</v>
      </c>
      <c r="AQ712" s="17" t="str">
        <f aca="false">IF(AI713&lt;AI712,"FITS BITCH",IF(AI713&gt;AI712,"no"))</f>
        <v>no</v>
      </c>
      <c r="AR712" s="17" t="str">
        <f aca="false">IF(AJ712&lt;AH713,"FITS BITCH",IF(AJ712&gt;AH713,"no"))</f>
        <v>FITS BITCH</v>
      </c>
      <c r="AS712" s="17" t="str">
        <f aca="false">IF(AJ712&gt;AJ713,"FITS BITCH",IF(AJ712&lt;AJ713,"no"))</f>
        <v>no</v>
      </c>
      <c r="AT712" s="91" t="str">
        <f aca="false">IF(AND($AO712="FITS BITCH",$AP712="FITS BITCH",$AR712="FITS BITCH"),"BULLISH","")</f>
        <v/>
      </c>
      <c r="AU712" s="91" t="str">
        <f aca="false">IF(AND($AO712="FITS BITCH",$AQ712="FITS BITCH",$AS712="FITS BITCH"),"BEARISH","")</f>
        <v/>
      </c>
      <c r="AV712" s="86"/>
      <c r="AW712" s="86"/>
      <c r="AX712" s="86"/>
    </row>
    <row r="713" customFormat="false" ht="15.75" hidden="false" customHeight="false" outlineLevel="0" collapsed="false">
      <c r="AE713" s="90" t="n">
        <f aca="false">Data!A708</f>
        <v>41941</v>
      </c>
      <c r="AF713" s="17" t="n">
        <f aca="false">Data!B708</f>
        <v>106.65</v>
      </c>
      <c r="AG713" s="17" t="n">
        <f aca="false">Data!F708</f>
        <v>52687879</v>
      </c>
      <c r="AH713" s="17" t="n">
        <f aca="false">Data!C708</f>
        <v>107.37</v>
      </c>
      <c r="AI713" s="17" t="n">
        <f aca="false">Data!D708</f>
        <v>106.36</v>
      </c>
      <c r="AJ713" s="17" t="n">
        <f aca="false">Data!E708</f>
        <v>107.34</v>
      </c>
      <c r="AK713" s="17" t="n">
        <f aca="false">Data!F708</f>
        <v>52687879</v>
      </c>
      <c r="AL713" s="17" t="n">
        <f aca="false">AJ713</f>
        <v>107.34</v>
      </c>
      <c r="AM713" s="17" t="n">
        <f aca="false">(AL713-AL712)/AL713*100</f>
        <v>0.33538289547233</v>
      </c>
      <c r="AN713" s="17" t="n">
        <f aca="false">(AK713-AK712)/AK713*100</f>
        <v>22.8384331052689</v>
      </c>
      <c r="AO713" s="17" t="str">
        <f aca="false">IF(AN713&lt;-8,"FITS BITCH",IF(AN713&gt;-8,"no"))</f>
        <v>no</v>
      </c>
      <c r="AP713" s="17" t="str">
        <f aca="false">IF(AH714&lt;AH713,"FITS BITCH",IF(AH714&gt;AH713,"no"))</f>
        <v>FITS BITCH</v>
      </c>
      <c r="AQ713" s="17" t="str">
        <f aca="false">IF(AI714&lt;AI713,"FITS BITCH",IF(AI714&gt;AI713,"no"))</f>
        <v>FITS BITCH</v>
      </c>
      <c r="AR713" s="17" t="str">
        <f aca="false">IF(AJ713&lt;AH714,"FITS BITCH",IF(AJ713&gt;AH714,"no"))</f>
        <v>no</v>
      </c>
      <c r="AS713" s="17" t="str">
        <f aca="false">IF(AJ713&gt;AJ714,"FITS BITCH",IF(AJ713&lt;AJ714,"no"))</f>
        <v>FITS BITCH</v>
      </c>
      <c r="AT713" s="91" t="str">
        <f aca="false">IF(AND($AO713="FITS BITCH",$AP713="FITS BITCH",$AR713="FITS BITCH"),"BULLISH","")</f>
        <v/>
      </c>
      <c r="AU713" s="91" t="str">
        <f aca="false">IF(AND($AO713="FITS BITCH",$AQ713="FITS BITCH",$AS713="FITS BITCH"),"BEARISH","")</f>
        <v/>
      </c>
      <c r="AV713" s="86"/>
      <c r="AW713" s="86"/>
      <c r="AX713" s="86"/>
    </row>
    <row r="714" customFormat="false" ht="15.75" hidden="false" customHeight="false" outlineLevel="0" collapsed="false">
      <c r="AE714" s="90" t="n">
        <f aca="false">Data!A709</f>
        <v>41940</v>
      </c>
      <c r="AF714" s="17" t="n">
        <f aca="false">Data!B709</f>
        <v>105.4</v>
      </c>
      <c r="AG714" s="17" t="n">
        <f aca="false">Data!F709</f>
        <v>48060949</v>
      </c>
      <c r="AH714" s="17" t="n">
        <f aca="false">Data!C709</f>
        <v>106.74</v>
      </c>
      <c r="AI714" s="17" t="n">
        <f aca="false">Data!D709</f>
        <v>105.35</v>
      </c>
      <c r="AJ714" s="17" t="n">
        <f aca="false">Data!E709</f>
        <v>106.74</v>
      </c>
      <c r="AK714" s="17" t="n">
        <f aca="false">Data!F709</f>
        <v>48060949</v>
      </c>
      <c r="AL714" s="17" t="n">
        <f aca="false">AJ714</f>
        <v>106.74</v>
      </c>
      <c r="AM714" s="17" t="n">
        <f aca="false">(AL714-AL713)/AL714*100</f>
        <v>-0.562113546936489</v>
      </c>
      <c r="AN714" s="17" t="n">
        <f aca="false">(AK714-AK713)/AK714*100</f>
        <v>-9.62721314554151</v>
      </c>
      <c r="AO714" s="17" t="str">
        <f aca="false">IF(AN714&lt;-8,"FITS BITCH",IF(AN714&gt;-8,"no"))</f>
        <v>FITS BITCH</v>
      </c>
      <c r="AP714" s="17" t="str">
        <f aca="false">IF(AH715&lt;AH714,"FITS BITCH",IF(AH715&gt;AH714,"no"))</f>
        <v>FITS BITCH</v>
      </c>
      <c r="AQ714" s="17" t="str">
        <f aca="false">IF(AI715&lt;AI714,"FITS BITCH",IF(AI715&gt;AI714,"no"))</f>
        <v>FITS BITCH</v>
      </c>
      <c r="AR714" s="17" t="str">
        <f aca="false">IF(AJ714&lt;AH715,"FITS BITCH",IF(AJ714&gt;AH715,"no"))</f>
        <v>no</v>
      </c>
      <c r="AS714" s="17" t="str">
        <f aca="false">IF(AJ714&gt;AJ715,"FITS BITCH",IF(AJ714&lt;AJ715,"no"))</f>
        <v>FITS BITCH</v>
      </c>
      <c r="AT714" s="91" t="str">
        <f aca="false">IF(AND($AO714="FITS BITCH",$AP714="FITS BITCH",$AR714="FITS BITCH"),"BULLISH","")</f>
        <v/>
      </c>
      <c r="AU714" s="91" t="str">
        <f aca="false">IF(AND($AO714="FITS BITCH",$AQ714="FITS BITCH",$AS714="FITS BITCH"),"BEARISH","")</f>
        <v>BEARISH</v>
      </c>
      <c r="AV714" s="86"/>
      <c r="AW714" s="86"/>
      <c r="AX714" s="86"/>
    </row>
    <row r="715" customFormat="false" ht="15.75" hidden="false" customHeight="false" outlineLevel="0" collapsed="false">
      <c r="AE715" s="90" t="n">
        <f aca="false">Data!A710</f>
        <v>41939</v>
      </c>
      <c r="AF715" s="17" t="n">
        <f aca="false">Data!B710</f>
        <v>104.85</v>
      </c>
      <c r="AG715" s="17" t="n">
        <f aca="false">Data!F710</f>
        <v>34187701</v>
      </c>
      <c r="AH715" s="17" t="n">
        <f aca="false">Data!C710</f>
        <v>105.48</v>
      </c>
      <c r="AI715" s="17" t="n">
        <f aca="false">Data!D710</f>
        <v>104.7</v>
      </c>
      <c r="AJ715" s="17" t="n">
        <f aca="false">Data!E710</f>
        <v>105.11</v>
      </c>
      <c r="AK715" s="17" t="n">
        <f aca="false">Data!F710</f>
        <v>34187701</v>
      </c>
      <c r="AL715" s="17" t="n">
        <f aca="false">AJ715</f>
        <v>105.11</v>
      </c>
      <c r="AM715" s="17" t="n">
        <f aca="false">(AL715-AL714)/AL715*100</f>
        <v>-1.55075635048996</v>
      </c>
      <c r="AN715" s="17" t="n">
        <f aca="false">(AK715-AK714)/AK715*100</f>
        <v>-40.5796458790838</v>
      </c>
      <c r="AO715" s="17" t="str">
        <f aca="false">IF(AN715&lt;-8,"FITS BITCH",IF(AN715&gt;-8,"no"))</f>
        <v>FITS BITCH</v>
      </c>
      <c r="AP715" s="17" t="str">
        <f aca="false">IF(AH716&lt;AH715,"FITS BITCH",IF(AH716&gt;AH715,"no"))</f>
        <v>no</v>
      </c>
      <c r="AQ715" s="17" t="str">
        <f aca="false">IF(AI716&lt;AI715,"FITS BITCH",IF(AI716&gt;AI715,"no"))</f>
        <v>FITS BITCH</v>
      </c>
      <c r="AR715" s="17" t="str">
        <f aca="false">IF(AJ715&lt;AH716,"FITS BITCH",IF(AJ715&gt;AH716,"no"))</f>
        <v>FITS BITCH</v>
      </c>
      <c r="AS715" s="17" t="str">
        <f aca="false">IF(AJ715&gt;AJ716,"FITS BITCH",IF(AJ715&lt;AJ716,"no"))</f>
        <v>no</v>
      </c>
      <c r="AT715" s="91" t="str">
        <f aca="false">IF(AND($AO715="FITS BITCH",$AP715="FITS BITCH",$AR715="FITS BITCH"),"BULLISH","")</f>
        <v/>
      </c>
      <c r="AU715" s="91" t="str">
        <f aca="false">IF(AND($AO715="FITS BITCH",$AQ715="FITS BITCH",$AS715="FITS BITCH"),"BEARISH","")</f>
        <v/>
      </c>
      <c r="AV715" s="86"/>
      <c r="AW715" s="86"/>
      <c r="AX715" s="86"/>
    </row>
    <row r="716" customFormat="false" ht="15.75" hidden="false" customHeight="false" outlineLevel="0" collapsed="false">
      <c r="AE716" s="90" t="n">
        <f aca="false">Data!A711</f>
        <v>41936</v>
      </c>
      <c r="AF716" s="17" t="n">
        <f aca="false">Data!B711</f>
        <v>105.18</v>
      </c>
      <c r="AG716" s="17" t="n">
        <f aca="false">Data!F711</f>
        <v>47053916</v>
      </c>
      <c r="AH716" s="17" t="n">
        <f aca="false">Data!C711</f>
        <v>105.49</v>
      </c>
      <c r="AI716" s="17" t="n">
        <f aca="false">Data!D711</f>
        <v>104.53</v>
      </c>
      <c r="AJ716" s="17" t="n">
        <f aca="false">Data!E711</f>
        <v>105.22</v>
      </c>
      <c r="AK716" s="17" t="n">
        <f aca="false">Data!F711</f>
        <v>47053916</v>
      </c>
      <c r="AL716" s="17" t="n">
        <f aca="false">AJ716</f>
        <v>105.22</v>
      </c>
      <c r="AM716" s="17" t="n">
        <f aca="false">(AL716-AL715)/AL716*100</f>
        <v>0.104542862573655</v>
      </c>
      <c r="AN716" s="17" t="n">
        <f aca="false">(AK716-AK715)/AK716*100</f>
        <v>27.3435583979875</v>
      </c>
      <c r="AO716" s="17" t="str">
        <f aca="false">IF(AN716&lt;-8,"FITS BITCH",IF(AN716&gt;-8,"no"))</f>
        <v>no</v>
      </c>
      <c r="AP716" s="17" t="str">
        <f aca="false">IF(AH717&lt;AH716,"FITS BITCH",IF(AH717&gt;AH716,"no"))</f>
        <v>FITS BITCH</v>
      </c>
      <c r="AQ716" s="17" t="str">
        <f aca="false">IF(AI717&lt;AI716,"FITS BITCH",IF(AI717&gt;AI716,"no"))</f>
        <v>FITS BITCH</v>
      </c>
      <c r="AR716" s="17" t="str">
        <f aca="false">IF(AJ716&lt;AH717,"FITS BITCH",IF(AJ716&gt;AH717,"no"))</f>
        <v>no</v>
      </c>
      <c r="AS716" s="17" t="str">
        <f aca="false">IF(AJ716&gt;AJ717,"FITS BITCH",IF(AJ716&lt;AJ717,"no"))</f>
        <v>FITS BITCH</v>
      </c>
      <c r="AT716" s="91" t="str">
        <f aca="false">IF(AND($AO716="FITS BITCH",$AP716="FITS BITCH",$AR716="FITS BITCH"),"BULLISH","")</f>
        <v/>
      </c>
      <c r="AU716" s="91" t="str">
        <f aca="false">IF(AND($AO716="FITS BITCH",$AQ716="FITS BITCH",$AS716="FITS BITCH"),"BEARISH","")</f>
        <v/>
      </c>
      <c r="AV716" s="86"/>
      <c r="AW716" s="86"/>
      <c r="AX716" s="86"/>
    </row>
    <row r="717" customFormat="false" ht="15.75" hidden="false" customHeight="false" outlineLevel="0" collapsed="false">
      <c r="AE717" s="90" t="n">
        <f aca="false">Data!A712</f>
        <v>41935</v>
      </c>
      <c r="AF717" s="17" t="n">
        <f aca="false">Data!B712</f>
        <v>104.08</v>
      </c>
      <c r="AG717" s="17" t="n">
        <f aca="false">Data!F712</f>
        <v>71074674</v>
      </c>
      <c r="AH717" s="17" t="n">
        <f aca="false">Data!C712</f>
        <v>105.05</v>
      </c>
      <c r="AI717" s="17" t="n">
        <f aca="false">Data!D712</f>
        <v>103.63</v>
      </c>
      <c r="AJ717" s="17" t="n">
        <f aca="false">Data!E712</f>
        <v>104.83</v>
      </c>
      <c r="AK717" s="17" t="n">
        <f aca="false">Data!F712</f>
        <v>71074674</v>
      </c>
      <c r="AL717" s="17" t="n">
        <f aca="false">AJ717</f>
        <v>104.83</v>
      </c>
      <c r="AM717" s="17" t="n">
        <f aca="false">(AL717-AL716)/AL717*100</f>
        <v>-0.372030907183059</v>
      </c>
      <c r="AN717" s="17" t="n">
        <f aca="false">(AK717-AK716)/AK717*100</f>
        <v>33.7965081626685</v>
      </c>
      <c r="AO717" s="17" t="str">
        <f aca="false">IF(AN717&lt;-8,"FITS BITCH",IF(AN717&gt;-8,"no"))</f>
        <v>no</v>
      </c>
      <c r="AP717" s="17" t="str">
        <f aca="false">IF(AH718&lt;AH717,"FITS BITCH",IF(AH718&gt;AH717,"no"))</f>
        <v>FITS BITCH</v>
      </c>
      <c r="AQ717" s="17" t="str">
        <f aca="false">IF(AI718&lt;AI717,"FITS BITCH",IF(AI718&gt;AI717,"no"))</f>
        <v>FITS BITCH</v>
      </c>
      <c r="AR717" s="17" t="str">
        <f aca="false">IF(AJ717&lt;AH718,"FITS BITCH",IF(AJ717&gt;AH718,"no"))</f>
        <v>no</v>
      </c>
      <c r="AS717" s="17" t="str">
        <f aca="false">IF(AJ717&gt;AJ718,"FITS BITCH",IF(AJ717&lt;AJ718,"no"))</f>
        <v>FITS BITCH</v>
      </c>
      <c r="AT717" s="91" t="str">
        <f aca="false">IF(AND($AO717="FITS BITCH",$AP717="FITS BITCH",$AR717="FITS BITCH"),"BULLISH","")</f>
        <v/>
      </c>
      <c r="AU717" s="91" t="str">
        <f aca="false">IF(AND($AO717="FITS BITCH",$AQ717="FITS BITCH",$AS717="FITS BITCH"),"BEARISH","")</f>
        <v/>
      </c>
      <c r="AV717" s="86"/>
      <c r="AW717" s="86"/>
      <c r="AX717" s="86"/>
    </row>
    <row r="718" customFormat="false" ht="15.75" hidden="false" customHeight="false" outlineLevel="0" collapsed="false">
      <c r="AE718" s="90" t="n">
        <f aca="false">Data!A713</f>
        <v>41934</v>
      </c>
      <c r="AF718" s="17" t="n">
        <f aca="false">Data!B713</f>
        <v>102.84</v>
      </c>
      <c r="AG718" s="17" t="n">
        <f aca="false">Data!F713</f>
        <v>68263146</v>
      </c>
      <c r="AH718" s="17" t="n">
        <f aca="false">Data!C713</f>
        <v>104.11</v>
      </c>
      <c r="AI718" s="17" t="n">
        <f aca="false">Data!D713</f>
        <v>102.6</v>
      </c>
      <c r="AJ718" s="17" t="n">
        <f aca="false">Data!E713</f>
        <v>102.99</v>
      </c>
      <c r="AK718" s="17" t="n">
        <f aca="false">Data!F713</f>
        <v>68263146</v>
      </c>
      <c r="AL718" s="17" t="n">
        <f aca="false">AJ718</f>
        <v>102.99</v>
      </c>
      <c r="AM718" s="17" t="n">
        <f aca="false">(AL718-AL717)/AL718*100</f>
        <v>-1.78658122147782</v>
      </c>
      <c r="AN718" s="17" t="n">
        <f aca="false">(AK718-AK717)/AK718*100</f>
        <v>-4.11866162746147</v>
      </c>
      <c r="AO718" s="17" t="str">
        <f aca="false">IF(AN718&lt;-8,"FITS BITCH",IF(AN718&gt;-8,"no"))</f>
        <v>no</v>
      </c>
      <c r="AP718" s="17" t="str">
        <f aca="false">IF(AH719&lt;AH718,"FITS BITCH",IF(AH719&gt;AH718,"no"))</f>
        <v>FITS BITCH</v>
      </c>
      <c r="AQ718" s="17" t="str">
        <f aca="false">IF(AI719&lt;AI718,"FITS BITCH",IF(AI719&gt;AI718,"no"))</f>
        <v>FITS BITCH</v>
      </c>
      <c r="AR718" s="17" t="str">
        <f aca="false">IF(AJ718&lt;AH719,"FITS BITCH",IF(AJ718&gt;AH719,"no"))</f>
        <v>FITS BITCH</v>
      </c>
      <c r="AS718" s="17" t="str">
        <f aca="false">IF(AJ718&gt;AJ719,"FITS BITCH",IF(AJ718&lt;AJ719,"no"))</f>
        <v>FITS BITCH</v>
      </c>
      <c r="AT718" s="91" t="str">
        <f aca="false">IF(AND($AO718="FITS BITCH",$AP718="FITS BITCH",$AR718="FITS BITCH"),"BULLISH","")</f>
        <v/>
      </c>
      <c r="AU718" s="91" t="str">
        <f aca="false">IF(AND($AO718="FITS BITCH",$AQ718="FITS BITCH",$AS718="FITS BITCH"),"BEARISH","")</f>
        <v/>
      </c>
      <c r="AV718" s="86"/>
      <c r="AW718" s="86"/>
      <c r="AX718" s="86"/>
    </row>
    <row r="719" customFormat="false" ht="15.75" hidden="false" customHeight="false" outlineLevel="0" collapsed="false">
      <c r="AE719" s="90" t="n">
        <f aca="false">Data!A714</f>
        <v>41933</v>
      </c>
      <c r="AF719" s="17" t="n">
        <f aca="false">Data!B714</f>
        <v>103.02</v>
      </c>
      <c r="AG719" s="17" t="n">
        <f aca="false">Data!F714</f>
        <v>94623904</v>
      </c>
      <c r="AH719" s="17" t="n">
        <f aca="false">Data!C714</f>
        <v>103.02</v>
      </c>
      <c r="AI719" s="17" t="n">
        <f aca="false">Data!D714</f>
        <v>101.27</v>
      </c>
      <c r="AJ719" s="17" t="n">
        <f aca="false">Data!E714</f>
        <v>102.47</v>
      </c>
      <c r="AK719" s="17" t="n">
        <f aca="false">Data!F714</f>
        <v>94623904</v>
      </c>
      <c r="AL719" s="17" t="n">
        <f aca="false">AJ719</f>
        <v>102.47</v>
      </c>
      <c r="AM719" s="17" t="n">
        <f aca="false">(AL719-AL718)/AL719*100</f>
        <v>-0.50746559968771</v>
      </c>
      <c r="AN719" s="17" t="n">
        <f aca="false">(AK719-AK718)/AK719*100</f>
        <v>27.8584553011045</v>
      </c>
      <c r="AO719" s="17" t="str">
        <f aca="false">IF(AN719&lt;-8,"FITS BITCH",IF(AN719&gt;-8,"no"))</f>
        <v>no</v>
      </c>
      <c r="AP719" s="17" t="str">
        <f aca="false">IF(AH720&lt;AH719,"FITS BITCH",IF(AH720&gt;AH719,"no"))</f>
        <v>FITS BITCH</v>
      </c>
      <c r="AQ719" s="17" t="str">
        <f aca="false">IF(AI720&lt;AI719,"FITS BITCH",IF(AI720&gt;AI719,"no"))</f>
        <v>FITS BITCH</v>
      </c>
      <c r="AR719" s="17" t="str">
        <f aca="false">IF(AJ719&lt;AH720,"FITS BITCH",IF(AJ719&gt;AH720,"no"))</f>
        <v>no</v>
      </c>
      <c r="AS719" s="17" t="str">
        <f aca="false">IF(AJ719&gt;AJ720,"FITS BITCH",IF(AJ719&lt;AJ720,"no"))</f>
        <v>FITS BITCH</v>
      </c>
      <c r="AT719" s="91" t="str">
        <f aca="false">IF(AND($AO719="FITS BITCH",$AP719="FITS BITCH",$AR719="FITS BITCH"),"BULLISH","")</f>
        <v/>
      </c>
      <c r="AU719" s="91" t="str">
        <f aca="false">IF(AND($AO719="FITS BITCH",$AQ719="FITS BITCH",$AS719="FITS BITCH"),"BEARISH","")</f>
        <v/>
      </c>
      <c r="AV719" s="86"/>
      <c r="AW719" s="86"/>
      <c r="AX719" s="86"/>
    </row>
    <row r="720" customFormat="false" ht="15.75" hidden="false" customHeight="false" outlineLevel="0" collapsed="false">
      <c r="AE720" s="90" t="n">
        <f aca="false">Data!A715</f>
        <v>41932</v>
      </c>
      <c r="AF720" s="17" t="n">
        <f aca="false">Data!B715</f>
        <v>98.32</v>
      </c>
      <c r="AG720" s="17" t="n">
        <f aca="false">Data!F715</f>
        <v>77517279</v>
      </c>
      <c r="AH720" s="17" t="n">
        <f aca="false">Data!C715</f>
        <v>99.96</v>
      </c>
      <c r="AI720" s="17" t="n">
        <f aca="false">Data!D715</f>
        <v>98.22</v>
      </c>
      <c r="AJ720" s="17" t="n">
        <f aca="false">Data!E715</f>
        <v>99.76</v>
      </c>
      <c r="AK720" s="17" t="n">
        <f aca="false">Data!F715</f>
        <v>77517279</v>
      </c>
      <c r="AL720" s="17" t="n">
        <f aca="false">AJ720</f>
        <v>99.76</v>
      </c>
      <c r="AM720" s="17" t="n">
        <f aca="false">(AL720-AL719)/AL720*100</f>
        <v>-2.71651964715316</v>
      </c>
      <c r="AN720" s="17" t="n">
        <f aca="false">(AK720-AK719)/AK720*100</f>
        <v>-22.0681443165723</v>
      </c>
      <c r="AO720" s="17" t="str">
        <f aca="false">IF(AN720&lt;-8,"FITS BITCH",IF(AN720&gt;-8,"no"))</f>
        <v>FITS BITCH</v>
      </c>
      <c r="AP720" s="17" t="str">
        <f aca="false">IF(AH721&lt;AH720,"FITS BITCH",IF(AH721&gt;AH720,"no"))</f>
        <v>FITS BITCH</v>
      </c>
      <c r="AQ720" s="17" t="str">
        <f aca="false">IF(AI721&lt;AI720,"FITS BITCH",IF(AI721&gt;AI720,"no"))</f>
        <v>FITS BITCH</v>
      </c>
      <c r="AR720" s="17" t="str">
        <f aca="false">IF(AJ720&lt;AH721,"FITS BITCH",IF(AJ720&gt;AH721,"no"))</f>
        <v>no</v>
      </c>
      <c r="AS720" s="17" t="str">
        <f aca="false">IF(AJ720&gt;AJ721,"FITS BITCH",IF(AJ720&lt;AJ721,"no"))</f>
        <v>FITS BITCH</v>
      </c>
      <c r="AT720" s="91" t="str">
        <f aca="false">IF(AND($AO720="FITS BITCH",$AP720="FITS BITCH",$AR720="FITS BITCH"),"BULLISH","")</f>
        <v/>
      </c>
      <c r="AU720" s="91" t="str">
        <f aca="false">IF(AND($AO720="FITS BITCH",$AQ720="FITS BITCH",$AS720="FITS BITCH"),"BEARISH","")</f>
        <v>BEARISH</v>
      </c>
      <c r="AV720" s="86"/>
      <c r="AW720" s="86"/>
      <c r="AX720" s="86"/>
    </row>
    <row r="721" customFormat="false" ht="15.75" hidden="false" customHeight="false" outlineLevel="0" collapsed="false">
      <c r="AE721" s="90" t="n">
        <f aca="false">Data!A716</f>
        <v>41929</v>
      </c>
      <c r="AF721" s="17" t="n">
        <f aca="false">Data!B716</f>
        <v>97.5</v>
      </c>
      <c r="AG721" s="17" t="n">
        <f aca="false">Data!F716</f>
        <v>68179688</v>
      </c>
      <c r="AH721" s="17" t="n">
        <f aca="false">Data!C716</f>
        <v>99</v>
      </c>
      <c r="AI721" s="17" t="n">
        <f aca="false">Data!D716</f>
        <v>96.81</v>
      </c>
      <c r="AJ721" s="17" t="n">
        <f aca="false">Data!E716</f>
        <v>97.67</v>
      </c>
      <c r="AK721" s="17" t="n">
        <f aca="false">Data!F716</f>
        <v>68179688</v>
      </c>
      <c r="AL721" s="17" t="n">
        <f aca="false">AJ721</f>
        <v>97.67</v>
      </c>
      <c r="AM721" s="17" t="n">
        <f aca="false">(AL721-AL720)/AL721*100</f>
        <v>-2.13985870789393</v>
      </c>
      <c r="AN721" s="17" t="n">
        <f aca="false">(AK721-AK720)/AK721*100</f>
        <v>-13.6955613525248</v>
      </c>
      <c r="AO721" s="17" t="str">
        <f aca="false">IF(AN721&lt;-8,"FITS BITCH",IF(AN721&gt;-8,"no"))</f>
        <v>FITS BITCH</v>
      </c>
      <c r="AP721" s="17" t="str">
        <f aca="false">IF(AH722&lt;AH721,"FITS BITCH",IF(AH722&gt;AH721,"no"))</f>
        <v>FITS BITCH</v>
      </c>
      <c r="AQ721" s="17" t="str">
        <f aca="false">IF(AI722&lt;AI721,"FITS BITCH",IF(AI722&gt;AI721,"no"))</f>
        <v>FITS BITCH</v>
      </c>
      <c r="AR721" s="17" t="str">
        <f aca="false">IF(AJ721&lt;AH722,"FITS BITCH",IF(AJ721&gt;AH722,"no"))</f>
        <v>FITS BITCH</v>
      </c>
      <c r="AS721" s="17" t="str">
        <f aca="false">IF(AJ721&gt;AJ722,"FITS BITCH",IF(AJ721&lt;AJ722,"no"))</f>
        <v>FITS BITCH</v>
      </c>
      <c r="AT721" s="91" t="str">
        <f aca="false">IF(AND($AO721="FITS BITCH",$AP721="FITS BITCH",$AR721="FITS BITCH"),"BULLISH","")</f>
        <v>BULLISH</v>
      </c>
      <c r="AU721" s="91" t="str">
        <f aca="false">IF(AND($AO721="FITS BITCH",$AQ721="FITS BITCH",$AS721="FITS BITCH"),"BEARISH","")</f>
        <v>BEARISH</v>
      </c>
      <c r="AV721" s="86"/>
      <c r="AW721" s="86"/>
      <c r="AX721" s="86"/>
    </row>
    <row r="722" customFormat="false" ht="15.75" hidden="false" customHeight="false" outlineLevel="0" collapsed="false">
      <c r="AE722" s="90" t="n">
        <f aca="false">Data!A717</f>
        <v>41928</v>
      </c>
      <c r="AF722" s="17" t="n">
        <f aca="false">Data!B717</f>
        <v>95.55</v>
      </c>
      <c r="AG722" s="17" t="n">
        <f aca="false">Data!F717</f>
        <v>72154523</v>
      </c>
      <c r="AH722" s="17" t="n">
        <f aca="false">Data!C717</f>
        <v>97.72</v>
      </c>
      <c r="AI722" s="17" t="n">
        <f aca="false">Data!D717</f>
        <v>95.41</v>
      </c>
      <c r="AJ722" s="17" t="n">
        <f aca="false">Data!E717</f>
        <v>96.26</v>
      </c>
      <c r="AK722" s="17" t="n">
        <f aca="false">Data!F717</f>
        <v>72154523</v>
      </c>
      <c r="AL722" s="17" t="n">
        <f aca="false">AJ722</f>
        <v>96.26</v>
      </c>
      <c r="AM722" s="17" t="n">
        <f aca="false">(AL722-AL721)/AL722*100</f>
        <v>-1.46478287970081</v>
      </c>
      <c r="AN722" s="17" t="n">
        <f aca="false">(AK722-AK721)/AK722*100</f>
        <v>5.50878147999121</v>
      </c>
      <c r="AO722" s="17" t="str">
        <f aca="false">IF(AN722&lt;-8,"FITS BITCH",IF(AN722&gt;-8,"no"))</f>
        <v>no</v>
      </c>
      <c r="AP722" s="17" t="str">
        <f aca="false">IF(AH723&lt;AH722,"FITS BITCH",IF(AH723&gt;AH722,"no"))</f>
        <v>no</v>
      </c>
      <c r="AQ722" s="17" t="str">
        <f aca="false">IF(AI723&lt;AI722,"FITS BITCH",IF(AI723&gt;AI722,"no"))</f>
        <v>FITS BITCH</v>
      </c>
      <c r="AR722" s="17" t="str">
        <f aca="false">IF(AJ722&lt;AH723,"FITS BITCH",IF(AJ722&gt;AH723,"no"))</f>
        <v>FITS BITCH</v>
      </c>
      <c r="AS722" s="17" t="str">
        <f aca="false">IF(AJ722&gt;AJ723,"FITS BITCH",IF(AJ722&lt;AJ723,"no"))</f>
        <v>no</v>
      </c>
      <c r="AT722" s="91" t="str">
        <f aca="false">IF(AND($AO722="FITS BITCH",$AP722="FITS BITCH",$AR722="FITS BITCH"),"BULLISH","")</f>
        <v/>
      </c>
      <c r="AU722" s="91" t="str">
        <f aca="false">IF(AND($AO722="FITS BITCH",$AQ722="FITS BITCH",$AS722="FITS BITCH"),"BEARISH","")</f>
        <v/>
      </c>
      <c r="AV722" s="86"/>
      <c r="AW722" s="86"/>
      <c r="AX722" s="86"/>
    </row>
    <row r="723" customFormat="false" ht="15.75" hidden="false" customHeight="false" outlineLevel="0" collapsed="false">
      <c r="AE723" s="90" t="n">
        <f aca="false">Data!A718</f>
        <v>41927</v>
      </c>
      <c r="AF723" s="17" t="n">
        <f aca="false">Data!B718</f>
        <v>97.97</v>
      </c>
      <c r="AG723" s="17" t="n">
        <f aca="false">Data!F718</f>
        <v>100933600</v>
      </c>
      <c r="AH723" s="17" t="n">
        <f aca="false">Data!C718</f>
        <v>99.15</v>
      </c>
      <c r="AI723" s="17" t="n">
        <f aca="false">Data!D718</f>
        <v>95.18</v>
      </c>
      <c r="AJ723" s="17" t="n">
        <f aca="false">Data!E718</f>
        <v>97.54</v>
      </c>
      <c r="AK723" s="17" t="n">
        <f aca="false">Data!F718</f>
        <v>100933600</v>
      </c>
      <c r="AL723" s="17" t="n">
        <f aca="false">AJ723</f>
        <v>97.54</v>
      </c>
      <c r="AM723" s="17" t="n">
        <f aca="false">(AL723-AL722)/AL723*100</f>
        <v>1.31228214066024</v>
      </c>
      <c r="AN723" s="17" t="n">
        <f aca="false">(AK723-AK722)/AK723*100</f>
        <v>28.5128807453613</v>
      </c>
      <c r="AO723" s="17" t="str">
        <f aca="false">IF(AN723&lt;-8,"FITS BITCH",IF(AN723&gt;-8,"no"))</f>
        <v>no</v>
      </c>
      <c r="AP723" s="17" t="str">
        <f aca="false">IF(AH724&lt;AH723,"FITS BITCH",IF(AH724&gt;AH723,"no"))</f>
        <v>no</v>
      </c>
      <c r="AQ723" s="17" t="str">
        <f aca="false">IF(AI724&lt;AI723,"FITS BITCH",IF(AI724&gt;AI723,"no"))</f>
        <v>no</v>
      </c>
      <c r="AR723" s="17" t="str">
        <f aca="false">IF(AJ723&lt;AH724,"FITS BITCH",IF(AJ723&gt;AH724,"no"))</f>
        <v>FITS BITCH</v>
      </c>
      <c r="AS723" s="17" t="str">
        <f aca="false">IF(AJ723&gt;AJ724,"FITS BITCH",IF(AJ723&lt;AJ724,"no"))</f>
        <v>no</v>
      </c>
      <c r="AT723" s="91" t="str">
        <f aca="false">IF(AND($AO723="FITS BITCH",$AP723="FITS BITCH",$AR723="FITS BITCH"),"BULLISH","")</f>
        <v/>
      </c>
      <c r="AU723" s="91" t="str">
        <f aca="false">IF(AND($AO723="FITS BITCH",$AQ723="FITS BITCH",$AS723="FITS BITCH"),"BEARISH","")</f>
        <v/>
      </c>
      <c r="AV723" s="86"/>
      <c r="AW723" s="86"/>
      <c r="AX723" s="86"/>
    </row>
    <row r="724" customFormat="false" ht="15.75" hidden="false" customHeight="false" outlineLevel="0" collapsed="false">
      <c r="AE724" s="90" t="n">
        <f aca="false">Data!A719</f>
        <v>41926</v>
      </c>
      <c r="AF724" s="17" t="n">
        <f aca="false">Data!B719</f>
        <v>100.39</v>
      </c>
      <c r="AG724" s="17" t="n">
        <f aca="false">Data!F719</f>
        <v>63688562</v>
      </c>
      <c r="AH724" s="17" t="n">
        <f aca="false">Data!C719</f>
        <v>100.52</v>
      </c>
      <c r="AI724" s="17" t="n">
        <f aca="false">Data!D719</f>
        <v>98.57</v>
      </c>
      <c r="AJ724" s="17" t="n">
        <f aca="false">Data!E719</f>
        <v>98.75</v>
      </c>
      <c r="AK724" s="17" t="n">
        <f aca="false">Data!F719</f>
        <v>63688562</v>
      </c>
      <c r="AL724" s="17" t="n">
        <f aca="false">AJ724</f>
        <v>98.75</v>
      </c>
      <c r="AM724" s="17" t="n">
        <f aca="false">(AL724-AL723)/AL724*100</f>
        <v>1.2253164556962</v>
      </c>
      <c r="AN724" s="17" t="n">
        <f aca="false">(AK724-AK723)/AK724*100</f>
        <v>-58.4799480949185</v>
      </c>
      <c r="AO724" s="17" t="str">
        <f aca="false">IF(AN724&lt;-8,"FITS BITCH",IF(AN724&gt;-8,"no"))</f>
        <v>FITS BITCH</v>
      </c>
      <c r="AP724" s="17" t="str">
        <f aca="false">IF(AH725&lt;AH724,"FITS BITCH",IF(AH725&gt;AH724,"no"))</f>
        <v>no</v>
      </c>
      <c r="AQ724" s="17" t="str">
        <f aca="false">IF(AI725&lt;AI724,"FITS BITCH",IF(AI725&gt;AI724,"no"))</f>
        <v>no</v>
      </c>
      <c r="AR724" s="17" t="str">
        <f aca="false">IF(AJ724&lt;AH725,"FITS BITCH",IF(AJ724&gt;AH725,"no"))</f>
        <v>FITS BITCH</v>
      </c>
      <c r="AS724" s="17" t="str">
        <f aca="false">IF(AJ724&gt;AJ725,"FITS BITCH",IF(AJ724&lt;AJ725,"no"))</f>
        <v>no</v>
      </c>
      <c r="AT724" s="91" t="str">
        <f aca="false">IF(AND($AO724="FITS BITCH",$AP724="FITS BITCH",$AR724="FITS BITCH"),"BULLISH","")</f>
        <v/>
      </c>
      <c r="AU724" s="91" t="str">
        <f aca="false">IF(AND($AO724="FITS BITCH",$AQ724="FITS BITCH",$AS724="FITS BITCH"),"BEARISH","")</f>
        <v/>
      </c>
      <c r="AV724" s="86"/>
      <c r="AW724" s="86"/>
      <c r="AX724" s="86"/>
    </row>
    <row r="725" customFormat="false" ht="15.75" hidden="false" customHeight="false" outlineLevel="0" collapsed="false">
      <c r="AE725" s="90" t="n">
        <f aca="false">Data!A720</f>
        <v>41925</v>
      </c>
      <c r="AF725" s="17" t="n">
        <f aca="false">Data!B720</f>
        <v>101.33</v>
      </c>
      <c r="AG725" s="17" t="n">
        <f aca="false">Data!F720</f>
        <v>53583368</v>
      </c>
      <c r="AH725" s="17" t="n">
        <f aca="false">Data!C720</f>
        <v>101.78</v>
      </c>
      <c r="AI725" s="17" t="n">
        <f aca="false">Data!D720</f>
        <v>99.81</v>
      </c>
      <c r="AJ725" s="17" t="n">
        <f aca="false">Data!E720</f>
        <v>99.81</v>
      </c>
      <c r="AK725" s="17" t="n">
        <f aca="false">Data!F720</f>
        <v>53583368</v>
      </c>
      <c r="AL725" s="17" t="n">
        <f aca="false">AJ725</f>
        <v>99.81</v>
      </c>
      <c r="AM725" s="17" t="n">
        <f aca="false">(AL725-AL724)/AL725*100</f>
        <v>1.06201783388438</v>
      </c>
      <c r="AN725" s="17" t="n">
        <f aca="false">(AK725-AK724)/AK725*100</f>
        <v>-18.8588257460785</v>
      </c>
      <c r="AO725" s="17" t="str">
        <f aca="false">IF(AN725&lt;-8,"FITS BITCH",IF(AN725&gt;-8,"no"))</f>
        <v>FITS BITCH</v>
      </c>
      <c r="AP725" s="17" t="str">
        <f aca="false">IF(AH726&lt;AH725,"FITS BITCH",IF(AH726&gt;AH725,"no"))</f>
        <v>no</v>
      </c>
      <c r="AQ725" s="17" t="str">
        <f aca="false">IF(AI726&lt;AI725,"FITS BITCH",IF(AI726&gt;AI725,"no"))</f>
        <v>no</v>
      </c>
      <c r="AR725" s="17" t="str">
        <f aca="false">IF(AJ725&lt;AH726,"FITS BITCH",IF(AJ725&gt;AH726,"no"))</f>
        <v>FITS BITCH</v>
      </c>
      <c r="AS725" s="17" t="str">
        <f aca="false">IF(AJ725&gt;AJ726,"FITS BITCH",IF(AJ725&lt;AJ726,"no"))</f>
        <v>no</v>
      </c>
      <c r="AT725" s="91" t="str">
        <f aca="false">IF(AND($AO725="FITS BITCH",$AP725="FITS BITCH",$AR725="FITS BITCH"),"BULLISH","")</f>
        <v/>
      </c>
      <c r="AU725" s="91" t="str">
        <f aca="false">IF(AND($AO725="FITS BITCH",$AQ725="FITS BITCH",$AS725="FITS BITCH"),"BEARISH","")</f>
        <v/>
      </c>
      <c r="AV725" s="86"/>
      <c r="AW725" s="86"/>
      <c r="AX725" s="86"/>
    </row>
    <row r="726" customFormat="false" ht="15.75" hidden="false" customHeight="false" outlineLevel="0" collapsed="false">
      <c r="AE726" s="90" t="n">
        <f aca="false">Data!A721</f>
        <v>41922</v>
      </c>
      <c r="AF726" s="17" t="n">
        <f aca="false">Data!B721</f>
        <v>100.69</v>
      </c>
      <c r="AG726" s="17" t="n">
        <f aca="false">Data!F721</f>
        <v>66331592</v>
      </c>
      <c r="AH726" s="17" t="n">
        <f aca="false">Data!C721</f>
        <v>102.03</v>
      </c>
      <c r="AI726" s="17" t="n">
        <f aca="false">Data!D721</f>
        <v>100.3</v>
      </c>
      <c r="AJ726" s="17" t="n">
        <f aca="false">Data!E721</f>
        <v>100.73</v>
      </c>
      <c r="AK726" s="17" t="n">
        <f aca="false">Data!F721</f>
        <v>66331592</v>
      </c>
      <c r="AL726" s="17" t="n">
        <f aca="false">AJ726</f>
        <v>100.73</v>
      </c>
      <c r="AM726" s="17" t="n">
        <f aca="false">(AL726-AL725)/AL726*100</f>
        <v>0.913332671498066</v>
      </c>
      <c r="AN726" s="17" t="n">
        <f aca="false">(AK726-AK725)/AK726*100</f>
        <v>19.2189326618303</v>
      </c>
      <c r="AO726" s="17" t="str">
        <f aca="false">IF(AN726&lt;-8,"FITS BITCH",IF(AN726&gt;-8,"no"))</f>
        <v>no</v>
      </c>
      <c r="AP726" s="17" t="str">
        <f aca="false">IF(AH727&lt;AH726,"FITS BITCH",IF(AH727&gt;AH726,"no"))</f>
        <v>no</v>
      </c>
      <c r="AQ726" s="17" t="str">
        <f aca="false">IF(AI727&lt;AI726,"FITS BITCH",IF(AI727&gt;AI726,"no"))</f>
        <v>no</v>
      </c>
      <c r="AR726" s="17" t="str">
        <f aca="false">IF(AJ726&lt;AH727,"FITS BITCH",IF(AJ726&gt;AH727,"no"))</f>
        <v>FITS BITCH</v>
      </c>
      <c r="AS726" s="17" t="str">
        <f aca="false">IF(AJ726&gt;AJ727,"FITS BITCH",IF(AJ726&lt;AJ727,"no"))</f>
        <v>no</v>
      </c>
      <c r="AT726" s="91" t="str">
        <f aca="false">IF(AND($AO726="FITS BITCH",$AP726="FITS BITCH",$AR726="FITS BITCH"),"BULLISH","")</f>
        <v/>
      </c>
      <c r="AU726" s="91" t="str">
        <f aca="false">IF(AND($AO726="FITS BITCH",$AQ726="FITS BITCH",$AS726="FITS BITCH"),"BEARISH","")</f>
        <v/>
      </c>
      <c r="AV726" s="86"/>
      <c r="AW726" s="86"/>
      <c r="AX726" s="86"/>
    </row>
    <row r="727" customFormat="false" ht="15.75" hidden="false" customHeight="false" outlineLevel="0" collapsed="false">
      <c r="AE727" s="90" t="n">
        <f aca="false">Data!A722</f>
        <v>41921</v>
      </c>
      <c r="AF727" s="17" t="n">
        <f aca="false">Data!B722</f>
        <v>101.54</v>
      </c>
      <c r="AG727" s="17" t="n">
        <f aca="false">Data!F722</f>
        <v>77376525</v>
      </c>
      <c r="AH727" s="17" t="n">
        <f aca="false">Data!C722</f>
        <v>102.38</v>
      </c>
      <c r="AI727" s="17" t="n">
        <f aca="false">Data!D722</f>
        <v>100.61</v>
      </c>
      <c r="AJ727" s="17" t="n">
        <f aca="false">Data!E722</f>
        <v>101.02</v>
      </c>
      <c r="AK727" s="17" t="n">
        <f aca="false">Data!F722</f>
        <v>77376525</v>
      </c>
      <c r="AL727" s="17" t="n">
        <f aca="false">AJ727</f>
        <v>101.02</v>
      </c>
      <c r="AM727" s="17" t="n">
        <f aca="false">(AL727-AL726)/AL727*100</f>
        <v>0.28707186695703</v>
      </c>
      <c r="AN727" s="17" t="n">
        <f aca="false">(AK727-AK726)/AK727*100</f>
        <v>14.2742685846903</v>
      </c>
      <c r="AO727" s="17" t="str">
        <f aca="false">IF(AN727&lt;-8,"FITS BITCH",IF(AN727&gt;-8,"no"))</f>
        <v>no</v>
      </c>
      <c r="AP727" s="17" t="str">
        <f aca="false">IF(AH728&lt;AH727,"FITS BITCH",IF(AH728&gt;AH727,"no"))</f>
        <v>FITS BITCH</v>
      </c>
      <c r="AQ727" s="17" t="str">
        <f aca="false">IF(AI728&lt;AI727,"FITS BITCH",IF(AI728&gt;AI727,"no"))</f>
        <v>FITS BITCH</v>
      </c>
      <c r="AR727" s="17" t="str">
        <f aca="false">IF(AJ727&lt;AH728,"FITS BITCH",IF(AJ727&gt;AH728,"no"))</f>
        <v>FITS BITCH</v>
      </c>
      <c r="AS727" s="17" t="str">
        <f aca="false">IF(AJ727&gt;AJ728,"FITS BITCH",IF(AJ727&lt;AJ728,"no"))</f>
        <v>FITS BITCH</v>
      </c>
      <c r="AT727" s="91" t="str">
        <f aca="false">IF(AND($AO727="FITS BITCH",$AP727="FITS BITCH",$AR727="FITS BITCH"),"BULLISH","")</f>
        <v/>
      </c>
      <c r="AU727" s="91" t="str">
        <f aca="false">IF(AND($AO727="FITS BITCH",$AQ727="FITS BITCH",$AS727="FITS BITCH"),"BEARISH","")</f>
        <v/>
      </c>
      <c r="AV727" s="86"/>
      <c r="AW727" s="86"/>
      <c r="AX727" s="86"/>
    </row>
    <row r="728" customFormat="false" ht="15.75" hidden="false" customHeight="false" outlineLevel="0" collapsed="false">
      <c r="AE728" s="90" t="n">
        <f aca="false">Data!A723</f>
        <v>41920</v>
      </c>
      <c r="AF728" s="17" t="n">
        <f aca="false">Data!B723</f>
        <v>98.76</v>
      </c>
      <c r="AG728" s="17" t="n">
        <f aca="false">Data!F723</f>
        <v>57404674</v>
      </c>
      <c r="AH728" s="17" t="n">
        <f aca="false">Data!C723</f>
        <v>101.11</v>
      </c>
      <c r="AI728" s="17" t="n">
        <f aca="false">Data!D723</f>
        <v>98.31</v>
      </c>
      <c r="AJ728" s="17" t="n">
        <f aca="false">Data!E723</f>
        <v>100.8</v>
      </c>
      <c r="AK728" s="17" t="n">
        <f aca="false">Data!F723</f>
        <v>57404674</v>
      </c>
      <c r="AL728" s="17" t="n">
        <f aca="false">AJ728</f>
        <v>100.8</v>
      </c>
      <c r="AM728" s="17" t="n">
        <f aca="false">(AL728-AL727)/AL728*100</f>
        <v>-0.218253968253967</v>
      </c>
      <c r="AN728" s="17" t="n">
        <f aca="false">(AK728-AK727)/AK728*100</f>
        <v>-34.7913324967232</v>
      </c>
      <c r="AO728" s="17" t="str">
        <f aca="false">IF(AN728&lt;-8,"FITS BITCH",IF(AN728&gt;-8,"no"))</f>
        <v>FITS BITCH</v>
      </c>
      <c r="AP728" s="17" t="str">
        <f aca="false">IF(AH729&lt;AH728,"FITS BITCH",IF(AH729&gt;AH728,"no"))</f>
        <v>FITS BITCH</v>
      </c>
      <c r="AQ728" s="17" t="str">
        <f aca="false">IF(AI729&lt;AI728,"FITS BITCH",IF(AI729&gt;AI728,"no"))</f>
        <v>no</v>
      </c>
      <c r="AR728" s="17" t="str">
        <f aca="false">IF(AJ728&lt;AH729,"FITS BITCH",IF(AJ728&gt;AH729,"no"))</f>
        <v>no</v>
      </c>
      <c r="AS728" s="17" t="str">
        <f aca="false">IF(AJ728&gt;AJ729,"FITS BITCH",IF(AJ728&lt;AJ729,"no"))</f>
        <v>FITS BITCH</v>
      </c>
      <c r="AT728" s="91" t="str">
        <f aca="false">IF(AND($AO728="FITS BITCH",$AP728="FITS BITCH",$AR728="FITS BITCH"),"BULLISH","")</f>
        <v/>
      </c>
      <c r="AU728" s="91" t="str">
        <f aca="false">IF(AND($AO728="FITS BITCH",$AQ728="FITS BITCH",$AS728="FITS BITCH"),"BEARISH","")</f>
        <v/>
      </c>
      <c r="AV728" s="86"/>
      <c r="AW728" s="86"/>
      <c r="AX728" s="86"/>
    </row>
    <row r="729" customFormat="false" ht="15.75" hidden="false" customHeight="false" outlineLevel="0" collapsed="false">
      <c r="AE729" s="90" t="n">
        <f aca="false">Data!A724</f>
        <v>41919</v>
      </c>
      <c r="AF729" s="17" t="n">
        <f aca="false">Data!B724</f>
        <v>99.43</v>
      </c>
      <c r="AG729" s="17" t="n">
        <f aca="false">Data!F724</f>
        <v>42094183</v>
      </c>
      <c r="AH729" s="17" t="n">
        <f aca="false">Data!C724</f>
        <v>100.12</v>
      </c>
      <c r="AI729" s="17" t="n">
        <f aca="false">Data!D724</f>
        <v>98.73</v>
      </c>
      <c r="AJ729" s="17" t="n">
        <f aca="false">Data!E724</f>
        <v>98.75</v>
      </c>
      <c r="AK729" s="17" t="n">
        <f aca="false">Data!F724</f>
        <v>42094183</v>
      </c>
      <c r="AL729" s="17" t="n">
        <f aca="false">AJ729</f>
        <v>98.75</v>
      </c>
      <c r="AM729" s="17" t="n">
        <f aca="false">(AL729-AL728)/AL729*100</f>
        <v>-2.0759493670886</v>
      </c>
      <c r="AN729" s="17" t="n">
        <f aca="false">(AK729-AK728)/AK729*100</f>
        <v>-36.3719875499187</v>
      </c>
      <c r="AO729" s="17" t="str">
        <f aca="false">IF(AN729&lt;-8,"FITS BITCH",IF(AN729&gt;-8,"no"))</f>
        <v>FITS BITCH</v>
      </c>
      <c r="AP729" s="17" t="str">
        <f aca="false">IF(AH730&lt;AH729,"FITS BITCH",IF(AH730&gt;AH729,"no"))</f>
        <v>no</v>
      </c>
      <c r="AQ729" s="17" t="str">
        <f aca="false">IF(AI730&lt;AI729,"FITS BITCH",IF(AI730&gt;AI729,"no"))</f>
        <v>no</v>
      </c>
      <c r="AR729" s="17" t="str">
        <f aca="false">IF(AJ729&lt;AH730,"FITS BITCH",IF(AJ729&gt;AH730,"no"))</f>
        <v>FITS BITCH</v>
      </c>
      <c r="AS729" s="17" t="str">
        <f aca="false">IF(AJ729&gt;AJ730,"FITS BITCH",IF(AJ729&lt;AJ730,"no"))</f>
        <v>no</v>
      </c>
      <c r="AT729" s="91" t="str">
        <f aca="false">IF(AND($AO729="FITS BITCH",$AP729="FITS BITCH",$AR729="FITS BITCH"),"BULLISH","")</f>
        <v/>
      </c>
      <c r="AU729" s="91" t="str">
        <f aca="false">IF(AND($AO729="FITS BITCH",$AQ729="FITS BITCH",$AS729="FITS BITCH"),"BEARISH","")</f>
        <v/>
      </c>
      <c r="AV729" s="86"/>
      <c r="AW729" s="86"/>
      <c r="AX729" s="86"/>
    </row>
    <row r="730" customFormat="false" ht="15.75" hidden="false" customHeight="false" outlineLevel="0" collapsed="false">
      <c r="AE730" s="90" t="n">
        <f aca="false">Data!A725</f>
        <v>41918</v>
      </c>
      <c r="AF730" s="17" t="n">
        <f aca="false">Data!B725</f>
        <v>99.95</v>
      </c>
      <c r="AG730" s="17" t="n">
        <f aca="false">Data!F725</f>
        <v>37051182</v>
      </c>
      <c r="AH730" s="17" t="n">
        <f aca="false">Data!C725</f>
        <v>100.65</v>
      </c>
      <c r="AI730" s="17" t="n">
        <f aca="false">Data!D725</f>
        <v>99.42</v>
      </c>
      <c r="AJ730" s="17" t="n">
        <f aca="false">Data!E725</f>
        <v>99.62</v>
      </c>
      <c r="AK730" s="17" t="n">
        <f aca="false">Data!F725</f>
        <v>37051182</v>
      </c>
      <c r="AL730" s="17" t="n">
        <f aca="false">AJ730</f>
        <v>99.62</v>
      </c>
      <c r="AM730" s="17" t="n">
        <f aca="false">(AL730-AL729)/AL730*100</f>
        <v>0.873318610720743</v>
      </c>
      <c r="AN730" s="17" t="n">
        <f aca="false">(AK730-AK729)/AK730*100</f>
        <v>-13.6109045050169</v>
      </c>
      <c r="AO730" s="17" t="str">
        <f aca="false">IF(AN730&lt;-8,"FITS BITCH",IF(AN730&gt;-8,"no"))</f>
        <v>FITS BITCH</v>
      </c>
      <c r="AP730" s="17" t="str">
        <f aca="false">IF(AH731&lt;AH730,"FITS BITCH",IF(AH731&gt;AH730,"no"))</f>
        <v>FITS BITCH</v>
      </c>
      <c r="AQ730" s="17" t="str">
        <f aca="false">IF(AI731&lt;AI730,"FITS BITCH",IF(AI731&gt;AI730,"no"))</f>
        <v>FITS BITCH</v>
      </c>
      <c r="AR730" s="17" t="str">
        <f aca="false">IF(AJ730&lt;AH731,"FITS BITCH",IF(AJ730&gt;AH731,"no"))</f>
        <v>FITS BITCH</v>
      </c>
      <c r="AS730" s="17" t="n">
        <f aca="false">IF(AJ730&gt;AJ731,"FITS BITCH",IF(AJ730&lt;AJ731,"no"))</f>
        <v>0</v>
      </c>
      <c r="AT730" s="91" t="str">
        <f aca="false">IF(AND($AO730="FITS BITCH",$AP730="FITS BITCH",$AR730="FITS BITCH"),"BULLISH","")</f>
        <v>BULLISH</v>
      </c>
      <c r="AU730" s="91" t="str">
        <f aca="false">IF(AND($AO730="FITS BITCH",$AQ730="FITS BITCH",$AS730="FITS BITCH"),"BEARISH","")</f>
        <v/>
      </c>
      <c r="AV730" s="86"/>
      <c r="AW730" s="86"/>
      <c r="AX730" s="86"/>
    </row>
    <row r="731" customFormat="false" ht="15.75" hidden="false" customHeight="false" outlineLevel="0" collapsed="false">
      <c r="AE731" s="90" t="n">
        <f aca="false">Data!A726</f>
        <v>41915</v>
      </c>
      <c r="AF731" s="17" t="n">
        <f aca="false">Data!B726</f>
        <v>99.44</v>
      </c>
      <c r="AG731" s="17" t="n">
        <f aca="false">Data!F726</f>
        <v>43469585</v>
      </c>
      <c r="AH731" s="17" t="n">
        <f aca="false">Data!C726</f>
        <v>100.21</v>
      </c>
      <c r="AI731" s="17" t="n">
        <f aca="false">Data!D726</f>
        <v>99.04</v>
      </c>
      <c r="AJ731" s="17" t="n">
        <f aca="false">Data!E726</f>
        <v>99.62</v>
      </c>
      <c r="AK731" s="17" t="n">
        <f aca="false">Data!F726</f>
        <v>43469585</v>
      </c>
      <c r="AL731" s="17" t="n">
        <f aca="false">AJ731</f>
        <v>99.62</v>
      </c>
      <c r="AM731" s="17" t="n">
        <f aca="false">(AL731-AL730)/AL731*100</f>
        <v>0</v>
      </c>
      <c r="AN731" s="17" t="n">
        <f aca="false">(AK731-AK730)/AK731*100</f>
        <v>14.765273236448</v>
      </c>
      <c r="AO731" s="17" t="str">
        <f aca="false">IF(AN731&lt;-8,"FITS BITCH",IF(AN731&gt;-8,"no"))</f>
        <v>no</v>
      </c>
      <c r="AP731" s="17" t="str">
        <f aca="false">IF(AH732&lt;AH731,"FITS BITCH",IF(AH732&gt;AH731,"no"))</f>
        <v>no</v>
      </c>
      <c r="AQ731" s="17" t="str">
        <f aca="false">IF(AI732&lt;AI731,"FITS BITCH",IF(AI732&gt;AI731,"no"))</f>
        <v>FITS BITCH</v>
      </c>
      <c r="AR731" s="17" t="str">
        <f aca="false">IF(AJ731&lt;AH732,"FITS BITCH",IF(AJ731&gt;AH732,"no"))</f>
        <v>FITS BITCH</v>
      </c>
      <c r="AS731" s="17" t="str">
        <f aca="false">IF(AJ731&gt;AJ732,"FITS BITCH",IF(AJ731&lt;AJ732,"no"))</f>
        <v>no</v>
      </c>
      <c r="AT731" s="91" t="str">
        <f aca="false">IF(AND($AO731="FITS BITCH",$AP731="FITS BITCH",$AR731="FITS BITCH"),"BULLISH","")</f>
        <v/>
      </c>
      <c r="AU731" s="91" t="str">
        <f aca="false">IF(AND($AO731="FITS BITCH",$AQ731="FITS BITCH",$AS731="FITS BITCH"),"BEARISH","")</f>
        <v/>
      </c>
      <c r="AV731" s="86"/>
      <c r="AW731" s="86"/>
      <c r="AX731" s="86"/>
    </row>
    <row r="732" customFormat="false" ht="15.75" hidden="false" customHeight="false" outlineLevel="0" collapsed="false">
      <c r="AE732" s="90" t="n">
        <f aca="false">Data!A727</f>
        <v>41914</v>
      </c>
      <c r="AF732" s="17" t="n">
        <f aca="false">Data!B727</f>
        <v>99.27</v>
      </c>
      <c r="AG732" s="17" t="n">
        <f aca="false">Data!F727</f>
        <v>47757828</v>
      </c>
      <c r="AH732" s="17" t="n">
        <f aca="false">Data!C727</f>
        <v>100.22</v>
      </c>
      <c r="AI732" s="17" t="n">
        <f aca="false">Data!D727</f>
        <v>98.04</v>
      </c>
      <c r="AJ732" s="17" t="n">
        <f aca="false">Data!E727</f>
        <v>99.9</v>
      </c>
      <c r="AK732" s="17" t="n">
        <f aca="false">Data!F727</f>
        <v>47757828</v>
      </c>
      <c r="AL732" s="17" t="n">
        <f aca="false">AJ732</f>
        <v>99.9</v>
      </c>
      <c r="AM732" s="17" t="n">
        <f aca="false">(AL732-AL731)/AL732*100</f>
        <v>0.280280280280281</v>
      </c>
      <c r="AN732" s="17" t="n">
        <f aca="false">(AK732-AK731)/AK732*100</f>
        <v>8.97914159747801</v>
      </c>
      <c r="AO732" s="17" t="str">
        <f aca="false">IF(AN732&lt;-8,"FITS BITCH",IF(AN732&gt;-8,"no"))</f>
        <v>no</v>
      </c>
      <c r="AP732" s="17" t="str">
        <f aca="false">IF(AH733&lt;AH732,"FITS BITCH",IF(AH733&gt;AH732,"no"))</f>
        <v>no</v>
      </c>
      <c r="AQ732" s="17" t="str">
        <f aca="false">IF(AI733&lt;AI732,"FITS BITCH",IF(AI733&gt;AI732,"no"))</f>
        <v>no</v>
      </c>
      <c r="AR732" s="17" t="str">
        <f aca="false">IF(AJ732&lt;AH733,"FITS BITCH",IF(AJ732&gt;AH733,"no"))</f>
        <v>FITS BITCH</v>
      </c>
      <c r="AS732" s="17" t="str">
        <f aca="false">IF(AJ732&gt;AJ733,"FITS BITCH",IF(AJ732&lt;AJ733,"no"))</f>
        <v>FITS BITCH</v>
      </c>
      <c r="AT732" s="91" t="str">
        <f aca="false">IF(AND($AO732="FITS BITCH",$AP732="FITS BITCH",$AR732="FITS BITCH"),"BULLISH","")</f>
        <v/>
      </c>
      <c r="AU732" s="91" t="str">
        <f aca="false">IF(AND($AO732="FITS BITCH",$AQ732="FITS BITCH",$AS732="FITS BITCH"),"BEARISH","")</f>
        <v/>
      </c>
      <c r="AV732" s="86"/>
      <c r="AW732" s="86"/>
      <c r="AX732" s="86"/>
    </row>
    <row r="733" customFormat="false" ht="15.75" hidden="false" customHeight="false" outlineLevel="0" collapsed="false">
      <c r="AE733" s="90" t="n">
        <f aca="false">Data!A728</f>
        <v>41913</v>
      </c>
      <c r="AF733" s="17" t="n">
        <f aca="false">Data!B728</f>
        <v>100.59</v>
      </c>
      <c r="AG733" s="17" t="n">
        <f aca="false">Data!F728</f>
        <v>51491286</v>
      </c>
      <c r="AH733" s="17" t="n">
        <f aca="false">Data!C728</f>
        <v>100.69</v>
      </c>
      <c r="AI733" s="17" t="n">
        <f aca="false">Data!D728</f>
        <v>98.7</v>
      </c>
      <c r="AJ733" s="17" t="n">
        <f aca="false">Data!E728</f>
        <v>99.18</v>
      </c>
      <c r="AK733" s="17" t="n">
        <f aca="false">Data!F728</f>
        <v>51491286</v>
      </c>
      <c r="AL733" s="17" t="n">
        <f aca="false">AJ733</f>
        <v>99.18</v>
      </c>
      <c r="AM733" s="17" t="n">
        <f aca="false">(AL733-AL732)/AL733*100</f>
        <v>-0.72595281306715</v>
      </c>
      <c r="AN733" s="17" t="n">
        <f aca="false">(AK733-AK732)/AK733*100</f>
        <v>7.25065984951318</v>
      </c>
      <c r="AO733" s="17" t="str">
        <f aca="false">IF(AN733&lt;-8,"FITS BITCH",IF(AN733&gt;-8,"no"))</f>
        <v>no</v>
      </c>
      <c r="AP733" s="17" t="str">
        <f aca="false">IF(AH734&lt;AH733,"FITS BITCH",IF(AH734&gt;AH733,"no"))</f>
        <v>no</v>
      </c>
      <c r="AQ733" s="17" t="str">
        <f aca="false">IF(AI734&lt;AI733,"FITS BITCH",IF(AI734&gt;AI733,"no"))</f>
        <v>no</v>
      </c>
      <c r="AR733" s="17" t="str">
        <f aca="false">IF(AJ733&lt;AH734,"FITS BITCH",IF(AJ733&gt;AH734,"no"))</f>
        <v>FITS BITCH</v>
      </c>
      <c r="AS733" s="17" t="str">
        <f aca="false">IF(AJ733&gt;AJ734,"FITS BITCH",IF(AJ733&lt;AJ734,"no"))</f>
        <v>no</v>
      </c>
      <c r="AT733" s="91" t="str">
        <f aca="false">IF(AND($AO733="FITS BITCH",$AP733="FITS BITCH",$AR733="FITS BITCH"),"BULLISH","")</f>
        <v/>
      </c>
      <c r="AU733" s="91" t="str">
        <f aca="false">IF(AND($AO733="FITS BITCH",$AQ733="FITS BITCH",$AS733="FITS BITCH"),"BEARISH","")</f>
        <v/>
      </c>
      <c r="AV733" s="86"/>
      <c r="AW733" s="86"/>
      <c r="AX733" s="86"/>
    </row>
    <row r="734" customFormat="false" ht="15.75" hidden="false" customHeight="false" outlineLevel="0" collapsed="false">
      <c r="AE734" s="90" t="n">
        <f aca="false">Data!A729</f>
        <v>41912</v>
      </c>
      <c r="AF734" s="17" t="n">
        <f aca="false">Data!B729</f>
        <v>100.81</v>
      </c>
      <c r="AG734" s="17" t="n">
        <f aca="false">Data!F729</f>
        <v>55264139</v>
      </c>
      <c r="AH734" s="17" t="n">
        <f aca="false">Data!C729</f>
        <v>101.54</v>
      </c>
      <c r="AI734" s="17" t="n">
        <f aca="false">Data!D729</f>
        <v>100.53</v>
      </c>
      <c r="AJ734" s="17" t="n">
        <f aca="false">Data!E729</f>
        <v>100.75</v>
      </c>
      <c r="AK734" s="17" t="n">
        <f aca="false">Data!F729</f>
        <v>55264139</v>
      </c>
      <c r="AL734" s="17" t="n">
        <f aca="false">AJ734</f>
        <v>100.75</v>
      </c>
      <c r="AM734" s="17" t="n">
        <f aca="false">(AL734-AL733)/AL734*100</f>
        <v>1.55831265508684</v>
      </c>
      <c r="AN734" s="17" t="n">
        <f aca="false">(AK734-AK733)/AK734*100</f>
        <v>6.826946132283</v>
      </c>
      <c r="AO734" s="17" t="str">
        <f aca="false">IF(AN734&lt;-8,"FITS BITCH",IF(AN734&gt;-8,"no"))</f>
        <v>no</v>
      </c>
      <c r="AP734" s="17" t="str">
        <f aca="false">IF(AH735&lt;AH734,"FITS BITCH",IF(AH735&gt;AH734,"no"))</f>
        <v>FITS BITCH</v>
      </c>
      <c r="AQ734" s="17" t="str">
        <f aca="false">IF(AI735&lt;AI734,"FITS BITCH",IF(AI735&gt;AI734,"no"))</f>
        <v>FITS BITCH</v>
      </c>
      <c r="AR734" s="17" t="str">
        <f aca="false">IF(AJ734&lt;AH735,"FITS BITCH",IF(AJ734&gt;AH735,"no"))</f>
        <v>no</v>
      </c>
      <c r="AS734" s="17" t="str">
        <f aca="false">IF(AJ734&gt;AJ735,"FITS BITCH",IF(AJ734&lt;AJ735,"no"))</f>
        <v>FITS BITCH</v>
      </c>
      <c r="AT734" s="91" t="str">
        <f aca="false">IF(AND($AO734="FITS BITCH",$AP734="FITS BITCH",$AR734="FITS BITCH"),"BULLISH","")</f>
        <v/>
      </c>
      <c r="AU734" s="91" t="str">
        <f aca="false">IF(AND($AO734="FITS BITCH",$AQ734="FITS BITCH",$AS734="FITS BITCH"),"BEARISH","")</f>
        <v/>
      </c>
      <c r="AV734" s="86"/>
      <c r="AW734" s="86"/>
      <c r="AX734" s="86"/>
    </row>
    <row r="735" customFormat="false" ht="15.75" hidden="false" customHeight="false" outlineLevel="0" collapsed="false">
      <c r="AE735" s="90" t="n">
        <f aca="false">Data!A730</f>
        <v>41911</v>
      </c>
      <c r="AF735" s="17" t="n">
        <f aca="false">Data!B730</f>
        <v>98.65</v>
      </c>
      <c r="AG735" s="17" t="n">
        <f aca="false">Data!F730</f>
        <v>49766312</v>
      </c>
      <c r="AH735" s="17" t="n">
        <f aca="false">Data!C730</f>
        <v>100.44</v>
      </c>
      <c r="AI735" s="17" t="n">
        <f aca="false">Data!D730</f>
        <v>98.63</v>
      </c>
      <c r="AJ735" s="17" t="n">
        <f aca="false">Data!E730</f>
        <v>100.11</v>
      </c>
      <c r="AK735" s="17" t="n">
        <f aca="false">Data!F730</f>
        <v>49766312</v>
      </c>
      <c r="AL735" s="17" t="n">
        <f aca="false">AJ735</f>
        <v>100.11</v>
      </c>
      <c r="AM735" s="17" t="n">
        <f aca="false">(AL735-AL734)/AL735*100</f>
        <v>-0.639296773549096</v>
      </c>
      <c r="AN735" s="17" t="n">
        <f aca="false">(AK735-AK734)/AK735*100</f>
        <v>-11.0472863651219</v>
      </c>
      <c r="AO735" s="17" t="str">
        <f aca="false">IF(AN735&lt;-8,"FITS BITCH",IF(AN735&gt;-8,"no"))</f>
        <v>FITS BITCH</v>
      </c>
      <c r="AP735" s="17" t="str">
        <f aca="false">IF(AH736&lt;AH735,"FITS BITCH",IF(AH736&gt;AH735,"no"))</f>
        <v>no</v>
      </c>
      <c r="AQ735" s="17" t="str">
        <f aca="false">IF(AI736&lt;AI735,"FITS BITCH",IF(AI736&gt;AI735,"no"))</f>
        <v>FITS BITCH</v>
      </c>
      <c r="AR735" s="17" t="str">
        <f aca="false">IF(AJ735&lt;AH736,"FITS BITCH",IF(AJ735&gt;AH736,"no"))</f>
        <v>FITS BITCH</v>
      </c>
      <c r="AS735" s="17" t="str">
        <f aca="false">IF(AJ735&gt;AJ736,"FITS BITCH",IF(AJ735&lt;AJ736,"no"))</f>
        <v>no</v>
      </c>
      <c r="AT735" s="91" t="str">
        <f aca="false">IF(AND($AO735="FITS BITCH",$AP735="FITS BITCH",$AR735="FITS BITCH"),"BULLISH","")</f>
        <v/>
      </c>
      <c r="AU735" s="91" t="str">
        <f aca="false">IF(AND($AO735="FITS BITCH",$AQ735="FITS BITCH",$AS735="FITS BITCH"),"BEARISH","")</f>
        <v/>
      </c>
      <c r="AV735" s="86"/>
      <c r="AW735" s="86"/>
      <c r="AX735" s="86"/>
    </row>
    <row r="736" customFormat="false" ht="15.75" hidden="false" customHeight="false" outlineLevel="0" collapsed="false">
      <c r="AE736" s="90" t="n">
        <f aca="false">Data!A731</f>
        <v>41908</v>
      </c>
      <c r="AF736" s="17" t="n">
        <f aca="false">Data!B731</f>
        <v>98.53</v>
      </c>
      <c r="AG736" s="17" t="n">
        <f aca="false">Data!F731</f>
        <v>62370501</v>
      </c>
      <c r="AH736" s="17" t="n">
        <f aca="false">Data!C731</f>
        <v>100.75</v>
      </c>
      <c r="AI736" s="17" t="n">
        <f aca="false">Data!D731</f>
        <v>98.4</v>
      </c>
      <c r="AJ736" s="17" t="n">
        <f aca="false">Data!E731</f>
        <v>100.75</v>
      </c>
      <c r="AK736" s="17" t="n">
        <f aca="false">Data!F731</f>
        <v>62370501</v>
      </c>
      <c r="AL736" s="17" t="n">
        <f aca="false">AJ736</f>
        <v>100.75</v>
      </c>
      <c r="AM736" s="17" t="n">
        <f aca="false">(AL736-AL735)/AL736*100</f>
        <v>0.635235732009926</v>
      </c>
      <c r="AN736" s="17" t="n">
        <f aca="false">(AK736-AK735)/AK736*100</f>
        <v>20.2085742424933</v>
      </c>
      <c r="AO736" s="17" t="str">
        <f aca="false">IF(AN736&lt;-8,"FITS BITCH",IF(AN736&gt;-8,"no"))</f>
        <v>no</v>
      </c>
      <c r="AP736" s="17" t="str">
        <f aca="false">IF(AH737&lt;AH736,"FITS BITCH",IF(AH737&gt;AH736,"no"))</f>
        <v>FITS BITCH</v>
      </c>
      <c r="AQ736" s="17" t="str">
        <f aca="false">IF(AI737&lt;AI736,"FITS BITCH",IF(AI737&gt;AI736,"no"))</f>
        <v>FITS BITCH</v>
      </c>
      <c r="AR736" s="17" t="str">
        <f aca="false">IF(AJ736&lt;AH737,"FITS BITCH",IF(AJ736&gt;AH737,"no"))</f>
        <v>no</v>
      </c>
      <c r="AS736" s="17" t="str">
        <f aca="false">IF(AJ736&gt;AJ737,"FITS BITCH",IF(AJ736&lt;AJ737,"no"))</f>
        <v>FITS BITCH</v>
      </c>
      <c r="AT736" s="91" t="str">
        <f aca="false">IF(AND($AO736="FITS BITCH",$AP736="FITS BITCH",$AR736="FITS BITCH"),"BULLISH","")</f>
        <v/>
      </c>
      <c r="AU736" s="91" t="str">
        <f aca="false">IF(AND($AO736="FITS BITCH",$AQ736="FITS BITCH",$AS736="FITS BITCH"),"BEARISH","")</f>
        <v/>
      </c>
      <c r="AV736" s="86"/>
      <c r="AW736" s="86"/>
      <c r="AX736" s="86"/>
    </row>
    <row r="737" customFormat="false" ht="15.75" hidden="false" customHeight="false" outlineLevel="0" collapsed="false">
      <c r="AE737" s="90" t="n">
        <f aca="false">Data!A732</f>
        <v>41907</v>
      </c>
      <c r="AF737" s="17" t="n">
        <f aca="false">Data!B732</f>
        <v>100.51</v>
      </c>
      <c r="AG737" s="17" t="n">
        <f aca="false">Data!F732</f>
        <v>100091990</v>
      </c>
      <c r="AH737" s="17" t="n">
        <f aca="false">Data!C732</f>
        <v>100.71</v>
      </c>
      <c r="AI737" s="17" t="n">
        <f aca="false">Data!D732</f>
        <v>97.72</v>
      </c>
      <c r="AJ737" s="17" t="n">
        <f aca="false">Data!E732</f>
        <v>97.87</v>
      </c>
      <c r="AK737" s="17" t="n">
        <f aca="false">Data!F732</f>
        <v>100091990</v>
      </c>
      <c r="AL737" s="17" t="n">
        <f aca="false">AJ737</f>
        <v>97.87</v>
      </c>
      <c r="AM737" s="17" t="n">
        <f aca="false">(AL737-AL736)/AL737*100</f>
        <v>-2.94267906406457</v>
      </c>
      <c r="AN737" s="17" t="n">
        <f aca="false">(AK737-AK736)/AK737*100</f>
        <v>37.6868208934601</v>
      </c>
      <c r="AO737" s="17" t="str">
        <f aca="false">IF(AN737&lt;-8,"FITS BITCH",IF(AN737&gt;-8,"no"))</f>
        <v>no</v>
      </c>
      <c r="AP737" s="17" t="str">
        <f aca="false">IF(AH738&lt;AH737,"FITS BITCH",IF(AH738&gt;AH737,"no"))</f>
        <v>no</v>
      </c>
      <c r="AQ737" s="17" t="str">
        <f aca="false">IF(AI738&lt;AI737,"FITS BITCH",IF(AI738&gt;AI737,"no"))</f>
        <v>no</v>
      </c>
      <c r="AR737" s="17" t="str">
        <f aca="false">IF(AJ737&lt;AH738,"FITS BITCH",IF(AJ737&gt;AH738,"no"))</f>
        <v>FITS BITCH</v>
      </c>
      <c r="AS737" s="17" t="str">
        <f aca="false">IF(AJ737&gt;AJ738,"FITS BITCH",IF(AJ737&lt;AJ738,"no"))</f>
        <v>no</v>
      </c>
      <c r="AT737" s="91" t="str">
        <f aca="false">IF(AND($AO737="FITS BITCH",$AP737="FITS BITCH",$AR737="FITS BITCH"),"BULLISH","")</f>
        <v/>
      </c>
      <c r="AU737" s="91" t="str">
        <f aca="false">IF(AND($AO737="FITS BITCH",$AQ737="FITS BITCH",$AS737="FITS BITCH"),"BEARISH","")</f>
        <v/>
      </c>
      <c r="AV737" s="86"/>
      <c r="AW737" s="86"/>
      <c r="AX737" s="86"/>
    </row>
    <row r="738" customFormat="false" ht="15.75" hidden="false" customHeight="false" outlineLevel="0" collapsed="false">
      <c r="AE738" s="90" t="n">
        <f aca="false">Data!A733</f>
        <v>41906</v>
      </c>
      <c r="AF738" s="17" t="n">
        <f aca="false">Data!B733</f>
        <v>102.16</v>
      </c>
      <c r="AG738" s="17" t="n">
        <f aca="false">Data!F733</f>
        <v>60171828</v>
      </c>
      <c r="AH738" s="17" t="n">
        <f aca="false">Data!C733</f>
        <v>102.85</v>
      </c>
      <c r="AI738" s="17" t="n">
        <f aca="false">Data!D733</f>
        <v>101.2</v>
      </c>
      <c r="AJ738" s="17" t="n">
        <f aca="false">Data!E733</f>
        <v>101.75</v>
      </c>
      <c r="AK738" s="17" t="n">
        <f aca="false">Data!F733</f>
        <v>60171828</v>
      </c>
      <c r="AL738" s="17" t="n">
        <f aca="false">AJ738</f>
        <v>101.75</v>
      </c>
      <c r="AM738" s="17" t="n">
        <f aca="false">(AL738-AL737)/AL738*100</f>
        <v>3.81326781326781</v>
      </c>
      <c r="AN738" s="17" t="n">
        <f aca="false">(AK738-AK737)/AK738*100</f>
        <v>-66.3436085072902</v>
      </c>
      <c r="AO738" s="17" t="str">
        <f aca="false">IF(AN738&lt;-8,"FITS BITCH",IF(AN738&gt;-8,"no"))</f>
        <v>FITS BITCH</v>
      </c>
      <c r="AP738" s="17" t="str">
        <f aca="false">IF(AH739&lt;AH738,"FITS BITCH",IF(AH739&gt;AH738,"no"))</f>
        <v>no</v>
      </c>
      <c r="AQ738" s="17" t="str">
        <f aca="false">IF(AI739&lt;AI738,"FITS BITCH",IF(AI739&gt;AI738,"no"))</f>
        <v>FITS BITCH</v>
      </c>
      <c r="AR738" s="17" t="str">
        <f aca="false">IF(AJ738&lt;AH739,"FITS BITCH",IF(AJ738&gt;AH739,"no"))</f>
        <v>FITS BITCH</v>
      </c>
      <c r="AS738" s="17" t="str">
        <f aca="false">IF(AJ738&gt;AJ739,"FITS BITCH",IF(AJ738&lt;AJ739,"no"))</f>
        <v>no</v>
      </c>
      <c r="AT738" s="91" t="str">
        <f aca="false">IF(AND($AO738="FITS BITCH",$AP738="FITS BITCH",$AR738="FITS BITCH"),"BULLISH","")</f>
        <v/>
      </c>
      <c r="AU738" s="91" t="str">
        <f aca="false">IF(AND($AO738="FITS BITCH",$AQ738="FITS BITCH",$AS738="FITS BITCH"),"BEARISH","")</f>
        <v/>
      </c>
      <c r="AV738" s="86"/>
      <c r="AW738" s="86"/>
      <c r="AX738" s="86"/>
    </row>
    <row r="739" customFormat="false" ht="15.75" hidden="false" customHeight="false" outlineLevel="0" collapsed="false">
      <c r="AE739" s="90" t="n">
        <f aca="false">Data!A734</f>
        <v>41905</v>
      </c>
      <c r="AF739" s="17" t="n">
        <f aca="false">Data!B734</f>
        <v>100.6</v>
      </c>
      <c r="AG739" s="17" t="n">
        <f aca="false">Data!F734</f>
        <v>63402196</v>
      </c>
      <c r="AH739" s="17" t="n">
        <f aca="false">Data!C734</f>
        <v>102.94</v>
      </c>
      <c r="AI739" s="17" t="n">
        <f aca="false">Data!D734</f>
        <v>100.54</v>
      </c>
      <c r="AJ739" s="17" t="n">
        <f aca="false">Data!E734</f>
        <v>102.64</v>
      </c>
      <c r="AK739" s="17" t="n">
        <f aca="false">Data!F734</f>
        <v>63402196</v>
      </c>
      <c r="AL739" s="17" t="n">
        <f aca="false">AJ739</f>
        <v>102.64</v>
      </c>
      <c r="AM739" s="17" t="n">
        <f aca="false">(AL739-AL738)/AL739*100</f>
        <v>0.867108339828527</v>
      </c>
      <c r="AN739" s="17" t="n">
        <f aca="false">(AK739-AK738)/AK739*100</f>
        <v>5.09504118753237</v>
      </c>
      <c r="AO739" s="17" t="str">
        <f aca="false">IF(AN739&lt;-8,"FITS BITCH",IF(AN739&gt;-8,"no"))</f>
        <v>no</v>
      </c>
      <c r="AP739" s="17" t="str">
        <f aca="false">IF(AH740&lt;AH739,"FITS BITCH",IF(AH740&gt;AH739,"no"))</f>
        <v>FITS BITCH</v>
      </c>
      <c r="AQ739" s="17" t="str">
        <f aca="false">IF(AI740&lt;AI739,"FITS BITCH",IF(AI740&gt;AI739,"no"))</f>
        <v>no</v>
      </c>
      <c r="AR739" s="17" t="str">
        <f aca="false">IF(AJ739&lt;AH740,"FITS BITCH",IF(AJ739&gt;AH740,"no"))</f>
        <v>no</v>
      </c>
      <c r="AS739" s="17" t="str">
        <f aca="false">IF(AJ739&gt;AJ740,"FITS BITCH",IF(AJ739&lt;AJ740,"no"))</f>
        <v>FITS BITCH</v>
      </c>
      <c r="AT739" s="91" t="str">
        <f aca="false">IF(AND($AO739="FITS BITCH",$AP739="FITS BITCH",$AR739="FITS BITCH"),"BULLISH","")</f>
        <v/>
      </c>
      <c r="AU739" s="91" t="str">
        <f aca="false">IF(AND($AO739="FITS BITCH",$AQ739="FITS BITCH",$AS739="FITS BITCH"),"BEARISH","")</f>
        <v/>
      </c>
      <c r="AV739" s="86"/>
      <c r="AW739" s="86"/>
      <c r="AX739" s="86"/>
    </row>
    <row r="740" customFormat="false" ht="15.75" hidden="false" customHeight="false" outlineLevel="0" collapsed="false">
      <c r="AE740" s="90" t="n">
        <f aca="false">Data!A735</f>
        <v>41904</v>
      </c>
      <c r="AF740" s="17" t="n">
        <f aca="false">Data!B735</f>
        <v>101.8</v>
      </c>
      <c r="AG740" s="17" t="n">
        <f aca="false">Data!F735</f>
        <v>52788426</v>
      </c>
      <c r="AH740" s="17" t="n">
        <f aca="false">Data!C735</f>
        <v>102.14</v>
      </c>
      <c r="AI740" s="17" t="n">
        <f aca="false">Data!D735</f>
        <v>100.58</v>
      </c>
      <c r="AJ740" s="17" t="n">
        <f aca="false">Data!E735</f>
        <v>101.06</v>
      </c>
      <c r="AK740" s="17" t="n">
        <f aca="false">Data!F735</f>
        <v>52788426</v>
      </c>
      <c r="AL740" s="17" t="n">
        <f aca="false">AJ740</f>
        <v>101.06</v>
      </c>
      <c r="AM740" s="17" t="n">
        <f aca="false">(AL740-AL739)/AL740*100</f>
        <v>-1.56342766673263</v>
      </c>
      <c r="AN740" s="17" t="n">
        <f aca="false">(AK740-AK739)/AK740*100</f>
        <v>-20.1062445013988</v>
      </c>
      <c r="AO740" s="17" t="str">
        <f aca="false">IF(AN740&lt;-8,"FITS BITCH",IF(AN740&gt;-8,"no"))</f>
        <v>FITS BITCH</v>
      </c>
      <c r="AP740" s="17" t="str">
        <f aca="false">IF(AH741&lt;AH740,"FITS BITCH",IF(AH741&gt;AH740,"no"))</f>
        <v>no</v>
      </c>
      <c r="AQ740" s="17" t="str">
        <f aca="false">IF(AI741&lt;AI740,"FITS BITCH",IF(AI741&gt;AI740,"no"))</f>
        <v>no</v>
      </c>
      <c r="AR740" s="17" t="str">
        <f aca="false">IF(AJ740&lt;AH741,"FITS BITCH",IF(AJ740&gt;AH741,"no"))</f>
        <v>FITS BITCH</v>
      </c>
      <c r="AS740" s="17" t="str">
        <f aca="false">IF(AJ740&gt;AJ741,"FITS BITCH",IF(AJ740&lt;AJ741,"no"))</f>
        <v>FITS BITCH</v>
      </c>
      <c r="AT740" s="91" t="str">
        <f aca="false">IF(AND($AO740="FITS BITCH",$AP740="FITS BITCH",$AR740="FITS BITCH"),"BULLISH","")</f>
        <v/>
      </c>
      <c r="AU740" s="91" t="str">
        <f aca="false">IF(AND($AO740="FITS BITCH",$AQ740="FITS BITCH",$AS740="FITS BITCH"),"BEARISH","")</f>
        <v/>
      </c>
      <c r="AV740" s="86"/>
      <c r="AW740" s="86"/>
      <c r="AX740" s="86"/>
    </row>
    <row r="741" customFormat="false" ht="15.75" hidden="false" customHeight="false" outlineLevel="0" collapsed="false">
      <c r="AE741" s="90" t="n">
        <f aca="false">Data!A736</f>
        <v>41901</v>
      </c>
      <c r="AF741" s="17" t="n">
        <f aca="false">Data!B736</f>
        <v>102.29</v>
      </c>
      <c r="AG741" s="17" t="n">
        <f aca="false">Data!F736</f>
        <v>70902406</v>
      </c>
      <c r="AH741" s="17" t="n">
        <f aca="false">Data!C736</f>
        <v>102.35</v>
      </c>
      <c r="AI741" s="17" t="n">
        <f aca="false">Data!D736</f>
        <v>100.88</v>
      </c>
      <c r="AJ741" s="17" t="n">
        <f aca="false">Data!E736</f>
        <v>100.96</v>
      </c>
      <c r="AK741" s="17" t="n">
        <f aca="false">Data!F736</f>
        <v>70902406</v>
      </c>
      <c r="AL741" s="17" t="n">
        <f aca="false">AJ741</f>
        <v>100.96</v>
      </c>
      <c r="AM741" s="17" t="n">
        <f aca="false">(AL741-AL740)/AL741*100</f>
        <v>-0.0990491283676788</v>
      </c>
      <c r="AN741" s="17" t="n">
        <f aca="false">(AK741-AK740)/AK741*100</f>
        <v>25.5477649094165</v>
      </c>
      <c r="AO741" s="17" t="str">
        <f aca="false">IF(AN741&lt;-8,"FITS BITCH",IF(AN741&gt;-8,"no"))</f>
        <v>no</v>
      </c>
      <c r="AP741" s="17" t="n">
        <f aca="false">IF(AH742&lt;AH741,"FITS BITCH",IF(AH742&gt;AH741,"no"))</f>
        <v>0</v>
      </c>
      <c r="AQ741" s="17" t="str">
        <f aca="false">IF(AI742&lt;AI741,"FITS BITCH",IF(AI742&gt;AI741,"no"))</f>
        <v>no</v>
      </c>
      <c r="AR741" s="17" t="str">
        <f aca="false">IF(AJ741&lt;AH742,"FITS BITCH",IF(AJ741&gt;AH742,"no"))</f>
        <v>FITS BITCH</v>
      </c>
      <c r="AS741" s="17" t="str">
        <f aca="false">IF(AJ741&gt;AJ742,"FITS BITCH",IF(AJ741&lt;AJ742,"no"))</f>
        <v>no</v>
      </c>
      <c r="AT741" s="91" t="str">
        <f aca="false">IF(AND($AO741="FITS BITCH",$AP741="FITS BITCH",$AR741="FITS BITCH"),"BULLISH","")</f>
        <v/>
      </c>
      <c r="AU741" s="91" t="str">
        <f aca="false">IF(AND($AO741="FITS BITCH",$AQ741="FITS BITCH",$AS741="FITS BITCH"),"BEARISH","")</f>
        <v/>
      </c>
      <c r="AV741" s="86"/>
      <c r="AW741" s="86"/>
      <c r="AX741" s="86"/>
    </row>
    <row r="742" customFormat="false" ht="15.75" hidden="false" customHeight="false" outlineLevel="0" collapsed="false">
      <c r="AE742" s="90" t="n">
        <f aca="false">Data!A737</f>
        <v>41900</v>
      </c>
      <c r="AF742" s="17" t="n">
        <f aca="false">Data!B737</f>
        <v>101.93</v>
      </c>
      <c r="AG742" s="17" t="n">
        <f aca="false">Data!F737</f>
        <v>37299435</v>
      </c>
      <c r="AH742" s="17" t="n">
        <f aca="false">Data!C737</f>
        <v>102.35</v>
      </c>
      <c r="AI742" s="17" t="n">
        <f aca="false">Data!D737</f>
        <v>101.56</v>
      </c>
      <c r="AJ742" s="17" t="n">
        <f aca="false">Data!E737</f>
        <v>101.79</v>
      </c>
      <c r="AK742" s="17" t="n">
        <f aca="false">Data!F737</f>
        <v>37299435</v>
      </c>
      <c r="AL742" s="17" t="n">
        <f aca="false">AJ742</f>
        <v>101.79</v>
      </c>
      <c r="AM742" s="17" t="n">
        <f aca="false">(AL742-AL741)/AL742*100</f>
        <v>0.815404263680138</v>
      </c>
      <c r="AN742" s="17" t="n">
        <f aca="false">(AK742-AK741)/AK742*100</f>
        <v>-90.0897587322703</v>
      </c>
      <c r="AO742" s="17" t="str">
        <f aca="false">IF(AN742&lt;-8,"FITS BITCH",IF(AN742&gt;-8,"no"))</f>
        <v>FITS BITCH</v>
      </c>
      <c r="AP742" s="17" t="str">
        <f aca="false">IF(AH743&lt;AH742,"FITS BITCH",IF(AH743&gt;AH742,"no"))</f>
        <v>FITS BITCH</v>
      </c>
      <c r="AQ742" s="17" t="str">
        <f aca="false">IF(AI743&lt;AI742,"FITS BITCH",IF(AI743&gt;AI742,"no"))</f>
        <v>FITS BITCH</v>
      </c>
      <c r="AR742" s="17" t="str">
        <f aca="false">IF(AJ742&lt;AH743,"FITS BITCH",IF(AJ742&gt;AH743,"no"))</f>
        <v>FITS BITCH</v>
      </c>
      <c r="AS742" s="17" t="str">
        <f aca="false">IF(AJ742&gt;AJ743,"FITS BITCH",IF(AJ742&lt;AJ743,"no"))</f>
        <v>FITS BITCH</v>
      </c>
      <c r="AT742" s="91" t="str">
        <f aca="false">IF(AND($AO742="FITS BITCH",$AP742="FITS BITCH",$AR742="FITS BITCH"),"BULLISH","")</f>
        <v>BULLISH</v>
      </c>
      <c r="AU742" s="91" t="str">
        <f aca="false">IF(AND($AO742="FITS BITCH",$AQ742="FITS BITCH",$AS742="FITS BITCH"),"BEARISH","")</f>
        <v>BEARISH</v>
      </c>
      <c r="AV742" s="86"/>
      <c r="AW742" s="86"/>
      <c r="AX742" s="86"/>
    </row>
    <row r="743" customFormat="false" ht="15.75" hidden="false" customHeight="false" outlineLevel="0" collapsed="false">
      <c r="AE743" s="90" t="n">
        <f aca="false">Data!A738</f>
        <v>41899</v>
      </c>
      <c r="AF743" s="17" t="n">
        <f aca="false">Data!B738</f>
        <v>101.27</v>
      </c>
      <c r="AG743" s="17" t="n">
        <f aca="false">Data!F738</f>
        <v>60926498</v>
      </c>
      <c r="AH743" s="17" t="n">
        <f aca="false">Data!C738</f>
        <v>101.8</v>
      </c>
      <c r="AI743" s="17" t="n">
        <f aca="false">Data!D738</f>
        <v>100.59</v>
      </c>
      <c r="AJ743" s="17" t="n">
        <f aca="false">Data!E738</f>
        <v>101.58</v>
      </c>
      <c r="AK743" s="17" t="n">
        <f aca="false">Data!F738</f>
        <v>60926498</v>
      </c>
      <c r="AL743" s="17" t="n">
        <f aca="false">AJ743</f>
        <v>101.58</v>
      </c>
      <c r="AM743" s="17" t="n">
        <f aca="false">(AL743-AL742)/AL743*100</f>
        <v>-0.206733608978153</v>
      </c>
      <c r="AN743" s="17" t="n">
        <f aca="false">(AK743-AK742)/AK743*100</f>
        <v>38.7796176960639</v>
      </c>
      <c r="AO743" s="17" t="str">
        <f aca="false">IF(AN743&lt;-8,"FITS BITCH",IF(AN743&gt;-8,"no"))</f>
        <v>no</v>
      </c>
      <c r="AP743" s="17" t="str">
        <f aca="false">IF(AH744&lt;AH743,"FITS BITCH",IF(AH744&gt;AH743,"no"))</f>
        <v>FITS BITCH</v>
      </c>
      <c r="AQ743" s="17" t="str">
        <f aca="false">IF(AI744&lt;AI743,"FITS BITCH",IF(AI744&gt;AI743,"no"))</f>
        <v>FITS BITCH</v>
      </c>
      <c r="AR743" s="17" t="str">
        <f aca="false">IF(AJ743&lt;AH744,"FITS BITCH",IF(AJ743&gt;AH744,"no"))</f>
        <v>no</v>
      </c>
      <c r="AS743" s="17" t="str">
        <f aca="false">IF(AJ743&gt;AJ744,"FITS BITCH",IF(AJ743&lt;AJ744,"no"))</f>
        <v>FITS BITCH</v>
      </c>
      <c r="AT743" s="91" t="str">
        <f aca="false">IF(AND($AO743="FITS BITCH",$AP743="FITS BITCH",$AR743="FITS BITCH"),"BULLISH","")</f>
        <v/>
      </c>
      <c r="AU743" s="91" t="str">
        <f aca="false">IF(AND($AO743="FITS BITCH",$AQ743="FITS BITCH",$AS743="FITS BITCH"),"BEARISH","")</f>
        <v/>
      </c>
      <c r="AV743" s="86"/>
      <c r="AW743" s="86"/>
      <c r="AX743" s="86"/>
    </row>
    <row r="744" customFormat="false" ht="15.75" hidden="false" customHeight="false" outlineLevel="0" collapsed="false">
      <c r="AE744" s="90" t="n">
        <f aca="false">Data!A739</f>
        <v>41898</v>
      </c>
      <c r="AF744" s="17" t="n">
        <f aca="false">Data!B739</f>
        <v>99.8</v>
      </c>
      <c r="AG744" s="17" t="n">
        <f aca="false">Data!F739</f>
        <v>66908133</v>
      </c>
      <c r="AH744" s="17" t="n">
        <f aca="false">Data!C739</f>
        <v>101.26</v>
      </c>
      <c r="AI744" s="17" t="n">
        <f aca="false">Data!D739</f>
        <v>98.89</v>
      </c>
      <c r="AJ744" s="17" t="n">
        <f aca="false">Data!E739</f>
        <v>100.86</v>
      </c>
      <c r="AK744" s="17" t="n">
        <f aca="false">Data!F739</f>
        <v>66908133</v>
      </c>
      <c r="AL744" s="17" t="n">
        <f aca="false">AJ744</f>
        <v>100.86</v>
      </c>
      <c r="AM744" s="17" t="n">
        <f aca="false">(AL744-AL743)/AL744*100</f>
        <v>-0.713860797144556</v>
      </c>
      <c r="AN744" s="17" t="n">
        <f aca="false">(AK744-AK743)/AK744*100</f>
        <v>8.94007160534579</v>
      </c>
      <c r="AO744" s="17" t="str">
        <f aca="false">IF(AN744&lt;-8,"FITS BITCH",IF(AN744&gt;-8,"no"))</f>
        <v>no</v>
      </c>
      <c r="AP744" s="17" t="str">
        <f aca="false">IF(AH745&lt;AH744,"FITS BITCH",IF(AH745&gt;AH744,"no"))</f>
        <v>no</v>
      </c>
      <c r="AQ744" s="17" t="str">
        <f aca="false">IF(AI745&lt;AI744,"FITS BITCH",IF(AI745&gt;AI744,"no"))</f>
        <v>no</v>
      </c>
      <c r="AR744" s="17" t="str">
        <f aca="false">IF(AJ744&lt;AH745,"FITS BITCH",IF(AJ744&gt;AH745,"no"))</f>
        <v>FITS BITCH</v>
      </c>
      <c r="AS744" s="17" t="str">
        <f aca="false">IF(AJ744&gt;AJ745,"FITS BITCH",IF(AJ744&lt;AJ745,"no"))</f>
        <v>no</v>
      </c>
      <c r="AT744" s="91" t="str">
        <f aca="false">IF(AND($AO744="FITS BITCH",$AP744="FITS BITCH",$AR744="FITS BITCH"),"BULLISH","")</f>
        <v/>
      </c>
      <c r="AU744" s="91" t="str">
        <f aca="false">IF(AND($AO744="FITS BITCH",$AQ744="FITS BITCH",$AS744="FITS BITCH"),"BEARISH","")</f>
        <v/>
      </c>
      <c r="AV744" s="86"/>
      <c r="AW744" s="86"/>
      <c r="AX744" s="86"/>
    </row>
    <row r="745" customFormat="false" ht="15.75" hidden="false" customHeight="false" outlineLevel="0" collapsed="false">
      <c r="AE745" s="90" t="n">
        <f aca="false">Data!A740</f>
        <v>41897</v>
      </c>
      <c r="AF745" s="17" t="n">
        <f aca="false">Data!B740</f>
        <v>102.81</v>
      </c>
      <c r="AG745" s="17" t="n">
        <f aca="false">Data!F740</f>
        <v>61316516</v>
      </c>
      <c r="AH745" s="17" t="n">
        <f aca="false">Data!C740</f>
        <v>103.05</v>
      </c>
      <c r="AI745" s="17" t="n">
        <f aca="false">Data!D740</f>
        <v>101.44</v>
      </c>
      <c r="AJ745" s="17" t="n">
        <f aca="false">Data!E740</f>
        <v>101.63</v>
      </c>
      <c r="AK745" s="17" t="n">
        <f aca="false">Data!F740</f>
        <v>61316516</v>
      </c>
      <c r="AL745" s="17" t="n">
        <f aca="false">AJ745</f>
        <v>101.63</v>
      </c>
      <c r="AM745" s="17" t="n">
        <f aca="false">(AL745-AL744)/AL745*100</f>
        <v>0.757650300108232</v>
      </c>
      <c r="AN745" s="17" t="n">
        <f aca="false">(AK745-AK744)/AK745*100</f>
        <v>-9.11926731127385</v>
      </c>
      <c r="AO745" s="17" t="str">
        <f aca="false">IF(AN745&lt;-8,"FITS BITCH",IF(AN745&gt;-8,"no"))</f>
        <v>FITS BITCH</v>
      </c>
      <c r="AP745" s="17" t="str">
        <f aca="false">IF(AH746&lt;AH745,"FITS BITCH",IF(AH746&gt;AH745,"no"))</f>
        <v>FITS BITCH</v>
      </c>
      <c r="AQ745" s="17" t="str">
        <f aca="false">IF(AI746&lt;AI745,"FITS BITCH",IF(AI746&gt;AI745,"no"))</f>
        <v>FITS BITCH</v>
      </c>
      <c r="AR745" s="17" t="str">
        <f aca="false">IF(AJ745&lt;AH746,"FITS BITCH",IF(AJ745&gt;AH746,"no"))</f>
        <v>FITS BITCH</v>
      </c>
      <c r="AS745" s="17" t="str">
        <f aca="false">IF(AJ745&gt;AJ746,"FITS BITCH",IF(AJ745&lt;AJ746,"no"))</f>
        <v>no</v>
      </c>
      <c r="AT745" s="91" t="str">
        <f aca="false">IF(AND($AO745="FITS BITCH",$AP745="FITS BITCH",$AR745="FITS BITCH"),"BULLISH","")</f>
        <v>BULLISH</v>
      </c>
      <c r="AU745" s="91" t="str">
        <f aca="false">IF(AND($AO745="FITS BITCH",$AQ745="FITS BITCH",$AS745="FITS BITCH"),"BEARISH","")</f>
        <v/>
      </c>
      <c r="AV745" s="86"/>
      <c r="AW745" s="86"/>
      <c r="AX745" s="86"/>
    </row>
    <row r="746" customFormat="false" ht="15.75" hidden="false" customHeight="false" outlineLevel="0" collapsed="false">
      <c r="AE746" s="90" t="n">
        <f aca="false">Data!A741</f>
        <v>41894</v>
      </c>
      <c r="AF746" s="17" t="n">
        <f aca="false">Data!B741</f>
        <v>101.21</v>
      </c>
      <c r="AG746" s="17" t="n">
        <f aca="false">Data!F741</f>
        <v>64096903</v>
      </c>
      <c r="AH746" s="17" t="n">
        <f aca="false">Data!C741</f>
        <v>102.19</v>
      </c>
      <c r="AI746" s="17" t="n">
        <f aca="false">Data!D741</f>
        <v>101.08</v>
      </c>
      <c r="AJ746" s="17" t="n">
        <f aca="false">Data!E741</f>
        <v>101.66</v>
      </c>
      <c r="AK746" s="17" t="n">
        <f aca="false">Data!F741</f>
        <v>64096903</v>
      </c>
      <c r="AL746" s="17" t="n">
        <f aca="false">AJ746</f>
        <v>101.66</v>
      </c>
      <c r="AM746" s="17" t="n">
        <f aca="false">(AL746-AL745)/AL746*100</f>
        <v>0.0295101318119232</v>
      </c>
      <c r="AN746" s="17" t="n">
        <f aca="false">(AK746-AK745)/AK746*100</f>
        <v>4.33778680383356</v>
      </c>
      <c r="AO746" s="17" t="str">
        <f aca="false">IF(AN746&lt;-8,"FITS BITCH",IF(AN746&gt;-8,"no"))</f>
        <v>no</v>
      </c>
      <c r="AP746" s="17" t="str">
        <f aca="false">IF(AH747&lt;AH746,"FITS BITCH",IF(AH747&gt;AH746,"no"))</f>
        <v>FITS BITCH</v>
      </c>
      <c r="AQ746" s="17" t="str">
        <f aca="false">IF(AI747&lt;AI746,"FITS BITCH",IF(AI747&gt;AI746,"no"))</f>
        <v>FITS BITCH</v>
      </c>
      <c r="AR746" s="17" t="str">
        <f aca="false">IF(AJ746&lt;AH747,"FITS BITCH",IF(AJ746&gt;AH747,"no"))</f>
        <v>no</v>
      </c>
      <c r="AS746" s="17" t="str">
        <f aca="false">IF(AJ746&gt;AJ747,"FITS BITCH",IF(AJ746&lt;AJ747,"no"))</f>
        <v>FITS BITCH</v>
      </c>
      <c r="AT746" s="91" t="str">
        <f aca="false">IF(AND($AO746="FITS BITCH",$AP746="FITS BITCH",$AR746="FITS BITCH"),"BULLISH","")</f>
        <v/>
      </c>
      <c r="AU746" s="91" t="str">
        <f aca="false">IF(AND($AO746="FITS BITCH",$AQ746="FITS BITCH",$AS746="FITS BITCH"),"BEARISH","")</f>
        <v/>
      </c>
      <c r="AV746" s="86"/>
      <c r="AW746" s="86"/>
      <c r="AX746" s="86"/>
    </row>
    <row r="747" customFormat="false" ht="15.75" hidden="false" customHeight="false" outlineLevel="0" collapsed="false">
      <c r="AE747" s="90" t="n">
        <f aca="false">Data!A742</f>
        <v>41893</v>
      </c>
      <c r="AF747" s="17" t="n">
        <f aca="false">Data!B742</f>
        <v>100.41</v>
      </c>
      <c r="AG747" s="17" t="n">
        <f aca="false">Data!F742</f>
        <v>62399743</v>
      </c>
      <c r="AH747" s="17" t="n">
        <f aca="false">Data!C742</f>
        <v>101.44</v>
      </c>
      <c r="AI747" s="17" t="n">
        <f aca="false">Data!D742</f>
        <v>99.62</v>
      </c>
      <c r="AJ747" s="17" t="n">
        <f aca="false">Data!E742</f>
        <v>101.43</v>
      </c>
      <c r="AK747" s="17" t="n">
        <f aca="false">Data!F742</f>
        <v>62399743</v>
      </c>
      <c r="AL747" s="17" t="n">
        <f aca="false">AJ747</f>
        <v>101.43</v>
      </c>
      <c r="AM747" s="17" t="n">
        <f aca="false">(AL747-AL746)/AL747*100</f>
        <v>-0.226757369614502</v>
      </c>
      <c r="AN747" s="17" t="n">
        <f aca="false">(AK747-AK746)/AK747*100</f>
        <v>-2.71981889412589</v>
      </c>
      <c r="AO747" s="17" t="str">
        <f aca="false">IF(AN747&lt;-8,"FITS BITCH",IF(AN747&gt;-8,"no"))</f>
        <v>no</v>
      </c>
      <c r="AP747" s="17" t="str">
        <f aca="false">IF(AH748&lt;AH747,"FITS BITCH",IF(AH748&gt;AH747,"no"))</f>
        <v>FITS BITCH</v>
      </c>
      <c r="AQ747" s="17" t="str">
        <f aca="false">IF(AI748&lt;AI747,"FITS BITCH",IF(AI748&gt;AI747,"no"))</f>
        <v>FITS BITCH</v>
      </c>
      <c r="AR747" s="17" t="str">
        <f aca="false">IF(AJ747&lt;AH748,"FITS BITCH",IF(AJ747&gt;AH748,"no"))</f>
        <v>no</v>
      </c>
      <c r="AS747" s="17" t="str">
        <f aca="false">IF(AJ747&gt;AJ748,"FITS BITCH",IF(AJ747&lt;AJ748,"no"))</f>
        <v>FITS BITCH</v>
      </c>
      <c r="AT747" s="91" t="str">
        <f aca="false">IF(AND($AO747="FITS BITCH",$AP747="FITS BITCH",$AR747="FITS BITCH"),"BULLISH","")</f>
        <v/>
      </c>
      <c r="AU747" s="91" t="str">
        <f aca="false">IF(AND($AO747="FITS BITCH",$AQ747="FITS BITCH",$AS747="FITS BITCH"),"BEARISH","")</f>
        <v/>
      </c>
      <c r="AV747" s="86"/>
      <c r="AW747" s="86"/>
      <c r="AX747" s="86"/>
    </row>
    <row r="748" customFormat="false" ht="15.75" hidden="false" customHeight="false" outlineLevel="0" collapsed="false">
      <c r="AE748" s="90" t="n">
        <f aca="false">Data!A743</f>
        <v>41892</v>
      </c>
      <c r="AF748" s="17" t="n">
        <f aca="false">Data!B743</f>
        <v>98.01</v>
      </c>
      <c r="AG748" s="17" t="n">
        <f aca="false">Data!F743</f>
        <v>100869587</v>
      </c>
      <c r="AH748" s="17" t="n">
        <f aca="false">Data!C743</f>
        <v>101.11</v>
      </c>
      <c r="AI748" s="17" t="n">
        <f aca="false">Data!D743</f>
        <v>97.76</v>
      </c>
      <c r="AJ748" s="17" t="n">
        <f aca="false">Data!E743</f>
        <v>101</v>
      </c>
      <c r="AK748" s="17" t="n">
        <f aca="false">Data!F743</f>
        <v>100869587</v>
      </c>
      <c r="AL748" s="17" t="n">
        <f aca="false">AJ748</f>
        <v>101</v>
      </c>
      <c r="AM748" s="17" t="n">
        <f aca="false">(AL748-AL747)/AL748*100</f>
        <v>-0.425742574257433</v>
      </c>
      <c r="AN748" s="17" t="n">
        <f aca="false">(AK748-AK747)/AK748*100</f>
        <v>38.1381991779147</v>
      </c>
      <c r="AO748" s="17" t="str">
        <f aca="false">IF(AN748&lt;-8,"FITS BITCH",IF(AN748&gt;-8,"no"))</f>
        <v>no</v>
      </c>
      <c r="AP748" s="17" t="str">
        <f aca="false">IF(AH749&lt;AH748,"FITS BITCH",IF(AH749&gt;AH748,"no"))</f>
        <v>no</v>
      </c>
      <c r="AQ748" s="17" t="str">
        <f aca="false">IF(AI749&lt;AI748,"FITS BITCH",IF(AI749&gt;AI748,"no"))</f>
        <v>FITS BITCH</v>
      </c>
      <c r="AR748" s="17" t="str">
        <f aca="false">IF(AJ748&lt;AH749,"FITS BITCH",IF(AJ748&gt;AH749,"no"))</f>
        <v>FITS BITCH</v>
      </c>
      <c r="AS748" s="17" t="str">
        <f aca="false">IF(AJ748&gt;AJ749,"FITS BITCH",IF(AJ748&lt;AJ749,"no"))</f>
        <v>FITS BITCH</v>
      </c>
      <c r="AT748" s="91" t="str">
        <f aca="false">IF(AND($AO748="FITS BITCH",$AP748="FITS BITCH",$AR748="FITS BITCH"),"BULLISH","")</f>
        <v/>
      </c>
      <c r="AU748" s="91" t="str">
        <f aca="false">IF(AND($AO748="FITS BITCH",$AQ748="FITS BITCH",$AS748="FITS BITCH"),"BEARISH","")</f>
        <v/>
      </c>
      <c r="AV748" s="86"/>
      <c r="AW748" s="86"/>
      <c r="AX748" s="86"/>
    </row>
    <row r="749" customFormat="false" ht="15.75" hidden="false" customHeight="false" outlineLevel="0" collapsed="false">
      <c r="AE749" s="90" t="n">
        <f aca="false">Data!A744</f>
        <v>41891</v>
      </c>
      <c r="AF749" s="17" t="n">
        <f aca="false">Data!B744</f>
        <v>99.08</v>
      </c>
      <c r="AG749" s="17" t="n">
        <f aca="false">Data!F744</f>
        <v>189846255</v>
      </c>
      <c r="AH749" s="17" t="n">
        <f aca="false">Data!C744</f>
        <v>103.08</v>
      </c>
      <c r="AI749" s="17" t="n">
        <f aca="false">Data!D744</f>
        <v>96.14</v>
      </c>
      <c r="AJ749" s="17" t="n">
        <f aca="false">Data!E744</f>
        <v>97.99</v>
      </c>
      <c r="AK749" s="17" t="n">
        <f aca="false">Data!F744</f>
        <v>189846255</v>
      </c>
      <c r="AL749" s="17" t="n">
        <f aca="false">AJ749</f>
        <v>97.99</v>
      </c>
      <c r="AM749" s="17" t="n">
        <f aca="false">(AL749-AL748)/AL749*100</f>
        <v>-3.07174201449128</v>
      </c>
      <c r="AN749" s="17" t="n">
        <f aca="false">(AK749-AK748)/AK749*100</f>
        <v>46.867749906365</v>
      </c>
      <c r="AO749" s="17" t="str">
        <f aca="false">IF(AN749&lt;-8,"FITS BITCH",IF(AN749&gt;-8,"no"))</f>
        <v>no</v>
      </c>
      <c r="AP749" s="17" t="str">
        <f aca="false">IF(AH750&lt;AH749,"FITS BITCH",IF(AH750&gt;AH749,"no"))</f>
        <v>FITS BITCH</v>
      </c>
      <c r="AQ749" s="17" t="str">
        <f aca="false">IF(AI750&lt;AI749,"FITS BITCH",IF(AI750&gt;AI749,"no"))</f>
        <v>no</v>
      </c>
      <c r="AR749" s="17" t="str">
        <f aca="false">IF(AJ749&lt;AH750,"FITS BITCH",IF(AJ749&gt;AH750,"no"))</f>
        <v>FITS BITCH</v>
      </c>
      <c r="AS749" s="17" t="str">
        <f aca="false">IF(AJ749&gt;AJ750,"FITS BITCH",IF(AJ749&lt;AJ750,"no"))</f>
        <v>no</v>
      </c>
      <c r="AT749" s="91" t="str">
        <f aca="false">IF(AND($AO749="FITS BITCH",$AP749="FITS BITCH",$AR749="FITS BITCH"),"BULLISH","")</f>
        <v/>
      </c>
      <c r="AU749" s="91" t="str">
        <f aca="false">IF(AND($AO749="FITS BITCH",$AQ749="FITS BITCH",$AS749="FITS BITCH"),"BEARISH","")</f>
        <v/>
      </c>
      <c r="AV749" s="86"/>
      <c r="AW749" s="86"/>
      <c r="AX749" s="86"/>
    </row>
    <row r="750" customFormat="false" ht="15.75" hidden="false" customHeight="false" outlineLevel="0" collapsed="false">
      <c r="AE750" s="90" t="n">
        <f aca="false">Data!A745</f>
        <v>41890</v>
      </c>
      <c r="AF750" s="17" t="n">
        <f aca="false">Data!B745</f>
        <v>99.3</v>
      </c>
      <c r="AG750" s="17" t="n">
        <f aca="false">Data!F745</f>
        <v>46356742</v>
      </c>
      <c r="AH750" s="17" t="n">
        <f aca="false">Data!C745</f>
        <v>99.31</v>
      </c>
      <c r="AI750" s="17" t="n">
        <f aca="false">Data!D745</f>
        <v>98.05</v>
      </c>
      <c r="AJ750" s="17" t="n">
        <f aca="false">Data!E745</f>
        <v>98.36</v>
      </c>
      <c r="AK750" s="17" t="n">
        <f aca="false">Data!F745</f>
        <v>46356742</v>
      </c>
      <c r="AL750" s="17" t="n">
        <f aca="false">AJ750</f>
        <v>98.36</v>
      </c>
      <c r="AM750" s="17" t="n">
        <f aca="false">(AL750-AL749)/AL750*100</f>
        <v>0.376169174461168</v>
      </c>
      <c r="AN750" s="17" t="n">
        <f aca="false">(AK750-AK749)/AK750*100</f>
        <v>-309.533213097676</v>
      </c>
      <c r="AO750" s="17" t="str">
        <f aca="false">IF(AN750&lt;-8,"FITS BITCH",IF(AN750&gt;-8,"no"))</f>
        <v>FITS BITCH</v>
      </c>
      <c r="AP750" s="17" t="str">
        <f aca="false">IF(AH751&lt;AH750,"FITS BITCH",IF(AH751&gt;AH750,"no"))</f>
        <v>no</v>
      </c>
      <c r="AQ750" s="17" t="str">
        <f aca="false">IF(AI751&lt;AI750,"FITS BITCH",IF(AI751&gt;AI750,"no"))</f>
        <v>no</v>
      </c>
      <c r="AR750" s="17" t="str">
        <f aca="false">IF(AJ750&lt;AH751,"FITS BITCH",IF(AJ750&gt;AH751,"no"))</f>
        <v>FITS BITCH</v>
      </c>
      <c r="AS750" s="17" t="str">
        <f aca="false">IF(AJ750&gt;AJ751,"FITS BITCH",IF(AJ750&lt;AJ751,"no"))</f>
        <v>no</v>
      </c>
      <c r="AT750" s="91" t="str">
        <f aca="false">IF(AND($AO750="FITS BITCH",$AP750="FITS BITCH",$AR750="FITS BITCH"),"BULLISH","")</f>
        <v/>
      </c>
      <c r="AU750" s="91" t="str">
        <f aca="false">IF(AND($AO750="FITS BITCH",$AQ750="FITS BITCH",$AS750="FITS BITCH"),"BEARISH","")</f>
        <v/>
      </c>
      <c r="AV750" s="86"/>
      <c r="AW750" s="86"/>
      <c r="AX750" s="86"/>
    </row>
    <row r="751" customFormat="false" ht="15.75" hidden="false" customHeight="false" outlineLevel="0" collapsed="false">
      <c r="AE751" s="90" t="n">
        <f aca="false">Data!A746</f>
        <v>41887</v>
      </c>
      <c r="AF751" s="17" t="n">
        <f aca="false">Data!B746</f>
        <v>98.8</v>
      </c>
      <c r="AG751" s="17" t="n">
        <f aca="false">Data!F746</f>
        <v>58457035</v>
      </c>
      <c r="AH751" s="17" t="n">
        <f aca="false">Data!C746</f>
        <v>99.39</v>
      </c>
      <c r="AI751" s="17" t="n">
        <f aca="false">Data!D746</f>
        <v>98.31</v>
      </c>
      <c r="AJ751" s="17" t="n">
        <f aca="false">Data!E746</f>
        <v>98.97</v>
      </c>
      <c r="AK751" s="17" t="n">
        <f aca="false">Data!F746</f>
        <v>58457035</v>
      </c>
      <c r="AL751" s="17" t="n">
        <f aca="false">AJ751</f>
        <v>98.97</v>
      </c>
      <c r="AM751" s="17" t="n">
        <f aca="false">(AL751-AL750)/AL751*100</f>
        <v>0.616348388400525</v>
      </c>
      <c r="AN751" s="17" t="n">
        <f aca="false">(AK751-AK750)/AK751*100</f>
        <v>20.6994641449057</v>
      </c>
      <c r="AO751" s="17" t="str">
        <f aca="false">IF(AN751&lt;-8,"FITS BITCH",IF(AN751&gt;-8,"no"))</f>
        <v>no</v>
      </c>
      <c r="AP751" s="17" t="str">
        <f aca="false">IF(AH752&lt;AH751,"FITS BITCH",IF(AH752&gt;AH751,"no"))</f>
        <v>no</v>
      </c>
      <c r="AQ751" s="17" t="str">
        <f aca="false">IF(AI752&lt;AI751,"FITS BITCH",IF(AI752&gt;AI751,"no"))</f>
        <v>FITS BITCH</v>
      </c>
      <c r="AR751" s="17" t="str">
        <f aca="false">IF(AJ751&lt;AH752,"FITS BITCH",IF(AJ751&gt;AH752,"no"))</f>
        <v>FITS BITCH</v>
      </c>
      <c r="AS751" s="17" t="str">
        <f aca="false">IF(AJ751&gt;AJ752,"FITS BITCH",IF(AJ751&lt;AJ752,"no"))</f>
        <v>FITS BITCH</v>
      </c>
      <c r="AT751" s="91" t="str">
        <f aca="false">IF(AND($AO751="FITS BITCH",$AP751="FITS BITCH",$AR751="FITS BITCH"),"BULLISH","")</f>
        <v/>
      </c>
      <c r="AU751" s="91" t="str">
        <f aca="false">IF(AND($AO751="FITS BITCH",$AQ751="FITS BITCH",$AS751="FITS BITCH"),"BEARISH","")</f>
        <v/>
      </c>
      <c r="AV751" s="86"/>
      <c r="AW751" s="86"/>
      <c r="AX751" s="86"/>
    </row>
    <row r="752" customFormat="false" ht="15.75" hidden="false" customHeight="false" outlineLevel="0" collapsed="false">
      <c r="AE752" s="90" t="n">
        <f aca="false">Data!A747</f>
        <v>41886</v>
      </c>
      <c r="AF752" s="17" t="n">
        <f aca="false">Data!B747</f>
        <v>98.85</v>
      </c>
      <c r="AG752" s="17" t="n">
        <f aca="false">Data!F747</f>
        <v>85718221</v>
      </c>
      <c r="AH752" s="17" t="n">
        <f aca="false">Data!C747</f>
        <v>100.09</v>
      </c>
      <c r="AI752" s="17" t="n">
        <f aca="false">Data!D747</f>
        <v>97.79</v>
      </c>
      <c r="AJ752" s="17" t="n">
        <f aca="false">Data!E747</f>
        <v>98.12</v>
      </c>
      <c r="AK752" s="17" t="n">
        <f aca="false">Data!F747</f>
        <v>85718221</v>
      </c>
      <c r="AL752" s="17" t="n">
        <f aca="false">AJ752</f>
        <v>98.12</v>
      </c>
      <c r="AM752" s="17" t="n">
        <f aca="false">(AL752-AL751)/AL752*100</f>
        <v>-0.86628618018752</v>
      </c>
      <c r="AN752" s="17" t="n">
        <f aca="false">(AK752-AK751)/AK752*100</f>
        <v>31.8032568594721</v>
      </c>
      <c r="AO752" s="17" t="str">
        <f aca="false">IF(AN752&lt;-8,"FITS BITCH",IF(AN752&gt;-8,"no"))</f>
        <v>no</v>
      </c>
      <c r="AP752" s="17" t="str">
        <f aca="false">IF(AH753&lt;AH752,"FITS BITCH",IF(AH753&gt;AH752,"no"))</f>
        <v>no</v>
      </c>
      <c r="AQ752" s="17" t="str">
        <f aca="false">IF(AI753&lt;AI752,"FITS BITCH",IF(AI753&gt;AI752,"no"))</f>
        <v>no</v>
      </c>
      <c r="AR752" s="17" t="str">
        <f aca="false">IF(AJ752&lt;AH753,"FITS BITCH",IF(AJ752&gt;AH753,"no"))</f>
        <v>FITS BITCH</v>
      </c>
      <c r="AS752" s="17" t="str">
        <f aca="false">IF(AJ752&gt;AJ753,"FITS BITCH",IF(AJ752&lt;AJ753,"no"))</f>
        <v>no</v>
      </c>
      <c r="AT752" s="91" t="str">
        <f aca="false">IF(AND($AO752="FITS BITCH",$AP752="FITS BITCH",$AR752="FITS BITCH"),"BULLISH","")</f>
        <v/>
      </c>
      <c r="AU752" s="91" t="str">
        <f aca="false">IF(AND($AO752="FITS BITCH",$AQ752="FITS BITCH",$AS752="FITS BITCH"),"BEARISH","")</f>
        <v/>
      </c>
      <c r="AV752" s="86"/>
      <c r="AW752" s="86"/>
      <c r="AX752" s="86"/>
    </row>
    <row r="753" customFormat="false" ht="15.75" hidden="false" customHeight="false" outlineLevel="0" collapsed="false">
      <c r="AE753" s="90" t="n">
        <f aca="false">Data!A748</f>
        <v>41885</v>
      </c>
      <c r="AF753" s="17" t="n">
        <f aca="false">Data!B748</f>
        <v>103.1</v>
      </c>
      <c r="AG753" s="17" t="n">
        <f aca="false">Data!F748</f>
        <v>125420521</v>
      </c>
      <c r="AH753" s="17" t="n">
        <f aca="false">Data!C748</f>
        <v>103.2</v>
      </c>
      <c r="AI753" s="17" t="n">
        <f aca="false">Data!D748</f>
        <v>98.58</v>
      </c>
      <c r="AJ753" s="17" t="n">
        <f aca="false">Data!E748</f>
        <v>98.94</v>
      </c>
      <c r="AK753" s="17" t="n">
        <f aca="false">Data!F748</f>
        <v>125420521</v>
      </c>
      <c r="AL753" s="17" t="n">
        <f aca="false">AJ753</f>
        <v>98.94</v>
      </c>
      <c r="AM753" s="17" t="n">
        <f aca="false">(AL753-AL752)/AL753*100</f>
        <v>0.828785122296334</v>
      </c>
      <c r="AN753" s="17" t="n">
        <f aca="false">(AK753-AK752)/AK753*100</f>
        <v>31.6553460976294</v>
      </c>
      <c r="AO753" s="17" t="str">
        <f aca="false">IF(AN753&lt;-8,"FITS BITCH",IF(AN753&gt;-8,"no"))</f>
        <v>no</v>
      </c>
      <c r="AP753" s="17" t="str">
        <f aca="false">IF(AH754&lt;AH753,"FITS BITCH",IF(AH754&gt;AH753,"no"))</f>
        <v>no</v>
      </c>
      <c r="AQ753" s="17" t="str">
        <f aca="false">IF(AI754&lt;AI753,"FITS BITCH",IF(AI754&gt;AI753,"no"))</f>
        <v>no</v>
      </c>
      <c r="AR753" s="17" t="str">
        <f aca="false">IF(AJ753&lt;AH754,"FITS BITCH",IF(AJ753&gt;AH754,"no"))</f>
        <v>FITS BITCH</v>
      </c>
      <c r="AS753" s="17" t="str">
        <f aca="false">IF(AJ753&gt;AJ754,"FITS BITCH",IF(AJ753&lt;AJ754,"no"))</f>
        <v>no</v>
      </c>
      <c r="AT753" s="91" t="str">
        <f aca="false">IF(AND($AO753="FITS BITCH",$AP753="FITS BITCH",$AR753="FITS BITCH"),"BULLISH","")</f>
        <v/>
      </c>
      <c r="AU753" s="91" t="str">
        <f aca="false">IF(AND($AO753="FITS BITCH",$AQ753="FITS BITCH",$AS753="FITS BITCH"),"BEARISH","")</f>
        <v/>
      </c>
      <c r="AV753" s="86"/>
      <c r="AW753" s="86"/>
      <c r="AX753" s="86"/>
    </row>
    <row r="754" customFormat="false" ht="15.75" hidden="false" customHeight="false" outlineLevel="0" collapsed="false">
      <c r="AE754" s="90" t="n">
        <f aca="false">Data!A749</f>
        <v>41884</v>
      </c>
      <c r="AF754" s="17" t="n">
        <f aca="false">Data!B749</f>
        <v>103.06</v>
      </c>
      <c r="AG754" s="17" t="n">
        <f aca="false">Data!F749</f>
        <v>53564262</v>
      </c>
      <c r="AH754" s="17" t="n">
        <f aca="false">Data!C749</f>
        <v>103.74</v>
      </c>
      <c r="AI754" s="17" t="n">
        <f aca="false">Data!D749</f>
        <v>102.72</v>
      </c>
      <c r="AJ754" s="17" t="n">
        <f aca="false">Data!E749</f>
        <v>103.3</v>
      </c>
      <c r="AK754" s="17" t="n">
        <f aca="false">Data!F749</f>
        <v>53564262</v>
      </c>
      <c r="AL754" s="17" t="n">
        <f aca="false">AJ754</f>
        <v>103.3</v>
      </c>
      <c r="AM754" s="17" t="n">
        <f aca="false">(AL754-AL753)/AL754*100</f>
        <v>4.22071636011617</v>
      </c>
      <c r="AN754" s="17" t="n">
        <f aca="false">(AK754-AK753)/AK754*100</f>
        <v>-134.149629467498</v>
      </c>
      <c r="AO754" s="17" t="str">
        <f aca="false">IF(AN754&lt;-8,"FITS BITCH",IF(AN754&gt;-8,"no"))</f>
        <v>FITS BITCH</v>
      </c>
      <c r="AP754" s="17" t="str">
        <f aca="false">IF(AH755&lt;AH754,"FITS BITCH",IF(AH755&gt;AH754,"no"))</f>
        <v>FITS BITCH</v>
      </c>
      <c r="AQ754" s="17" t="str">
        <f aca="false">IF(AI755&lt;AI754,"FITS BITCH",IF(AI755&gt;AI754,"no"))</f>
        <v>FITS BITCH</v>
      </c>
      <c r="AR754" s="17" t="str">
        <f aca="false">IF(AJ754&lt;AH755,"FITS BITCH",IF(AJ754&gt;AH755,"no"))</f>
        <v>no</v>
      </c>
      <c r="AS754" s="17" t="str">
        <f aca="false">IF(AJ754&gt;AJ755,"FITS BITCH",IF(AJ754&lt;AJ755,"no"))</f>
        <v>FITS BITCH</v>
      </c>
      <c r="AT754" s="91" t="str">
        <f aca="false">IF(AND($AO754="FITS BITCH",$AP754="FITS BITCH",$AR754="FITS BITCH"),"BULLISH","")</f>
        <v/>
      </c>
      <c r="AU754" s="91" t="str">
        <f aca="false">IF(AND($AO754="FITS BITCH",$AQ754="FITS BITCH",$AS754="FITS BITCH"),"BEARISH","")</f>
        <v>BEARISH</v>
      </c>
      <c r="AV754" s="86"/>
      <c r="AW754" s="86"/>
      <c r="AX754" s="86"/>
    </row>
    <row r="755" customFormat="false" ht="15.75" hidden="false" customHeight="false" outlineLevel="0" collapsed="false">
      <c r="AE755" s="90" t="n">
        <f aca="false">Data!A750</f>
        <v>41880</v>
      </c>
      <c r="AF755" s="17" t="n">
        <f aca="false">Data!B750</f>
        <v>102.86</v>
      </c>
      <c r="AG755" s="17" t="n">
        <f aca="false">Data!F750</f>
        <v>44595247</v>
      </c>
      <c r="AH755" s="17" t="n">
        <f aca="false">Data!C750</f>
        <v>102.9</v>
      </c>
      <c r="AI755" s="17" t="n">
        <f aca="false">Data!D750</f>
        <v>102.2</v>
      </c>
      <c r="AJ755" s="17" t="n">
        <f aca="false">Data!E750</f>
        <v>102.5</v>
      </c>
      <c r="AK755" s="17" t="n">
        <f aca="false">Data!F750</f>
        <v>44595247</v>
      </c>
      <c r="AL755" s="17" t="n">
        <f aca="false">AJ755</f>
        <v>102.5</v>
      </c>
      <c r="AM755" s="17" t="n">
        <f aca="false">(AL755-AL754)/AL755*100</f>
        <v>-0.780487804878046</v>
      </c>
      <c r="AN755" s="17" t="n">
        <f aca="false">(AK755-AK754)/AK755*100</f>
        <v>-20.1120424335804</v>
      </c>
      <c r="AO755" s="17" t="str">
        <f aca="false">IF(AN755&lt;-8,"FITS BITCH",IF(AN755&gt;-8,"no"))</f>
        <v>FITS BITCH</v>
      </c>
      <c r="AP755" s="17" t="str">
        <f aca="false">IF(AH756&lt;AH755,"FITS BITCH",IF(AH756&gt;AH755,"no"))</f>
        <v>FITS BITCH</v>
      </c>
      <c r="AQ755" s="17" t="str">
        <f aca="false">IF(AI756&lt;AI755,"FITS BITCH",IF(AI756&gt;AI755,"no"))</f>
        <v>FITS BITCH</v>
      </c>
      <c r="AR755" s="17" t="str">
        <f aca="false">IF(AJ755&lt;AH756,"FITS BITCH",IF(AJ755&gt;AH756,"no"))</f>
        <v>FITS BITCH</v>
      </c>
      <c r="AS755" s="17" t="str">
        <f aca="false">IF(AJ755&gt;AJ756,"FITS BITCH",IF(AJ755&lt;AJ756,"no"))</f>
        <v>FITS BITCH</v>
      </c>
      <c r="AT755" s="91" t="str">
        <f aca="false">IF(AND($AO755="FITS BITCH",$AP755="FITS BITCH",$AR755="FITS BITCH"),"BULLISH","")</f>
        <v>BULLISH</v>
      </c>
      <c r="AU755" s="91" t="str">
        <f aca="false">IF(AND($AO755="FITS BITCH",$AQ755="FITS BITCH",$AS755="FITS BITCH"),"BEARISH","")</f>
        <v>BEARISH</v>
      </c>
      <c r="AV755" s="86"/>
      <c r="AW755" s="86"/>
      <c r="AX755" s="86"/>
    </row>
    <row r="756" customFormat="false" ht="15.75" hidden="false" customHeight="false" outlineLevel="0" collapsed="false">
      <c r="AE756" s="90" t="n">
        <f aca="false">Data!A751</f>
        <v>41879</v>
      </c>
      <c r="AF756" s="17" t="n">
        <f aca="false">Data!B751</f>
        <v>102.13</v>
      </c>
      <c r="AG756" s="17" t="n">
        <f aca="false">Data!F751</f>
        <v>68459801</v>
      </c>
      <c r="AH756" s="17" t="n">
        <f aca="false">Data!C751</f>
        <v>102.78</v>
      </c>
      <c r="AI756" s="17" t="n">
        <f aca="false">Data!D751</f>
        <v>101.56</v>
      </c>
      <c r="AJ756" s="17" t="n">
        <f aca="false">Data!E751</f>
        <v>102.25</v>
      </c>
      <c r="AK756" s="17" t="n">
        <f aca="false">Data!F751</f>
        <v>68459801</v>
      </c>
      <c r="AL756" s="17" t="n">
        <f aca="false">AJ756</f>
        <v>102.25</v>
      </c>
      <c r="AM756" s="17" t="n">
        <f aca="false">(AL756-AL755)/AL756*100</f>
        <v>-0.244498777506112</v>
      </c>
      <c r="AN756" s="17" t="n">
        <f aca="false">(AK756-AK755)/AK756*100</f>
        <v>34.8592219834235</v>
      </c>
      <c r="AO756" s="17" t="str">
        <f aca="false">IF(AN756&lt;-8,"FITS BITCH",IF(AN756&gt;-8,"no"))</f>
        <v>no</v>
      </c>
      <c r="AP756" s="17" t="str">
        <f aca="false">IF(AH757&lt;AH756,"FITS BITCH",IF(AH757&gt;AH756,"no"))</f>
        <v>FITS BITCH</v>
      </c>
      <c r="AQ756" s="17" t="str">
        <f aca="false">IF(AI757&lt;AI756,"FITS BITCH",IF(AI757&gt;AI756,"no"))</f>
        <v>FITS BITCH</v>
      </c>
      <c r="AR756" s="17" t="str">
        <f aca="false">IF(AJ756&lt;AH757,"FITS BITCH",IF(AJ756&gt;AH757,"no"))</f>
        <v>FITS BITCH</v>
      </c>
      <c r="AS756" s="17" t="str">
        <f aca="false">IF(AJ756&gt;AJ757,"FITS BITCH",IF(AJ756&lt;AJ757,"no"))</f>
        <v>FITS BITCH</v>
      </c>
      <c r="AT756" s="91" t="str">
        <f aca="false">IF(AND($AO756="FITS BITCH",$AP756="FITS BITCH",$AR756="FITS BITCH"),"BULLISH","")</f>
        <v/>
      </c>
      <c r="AU756" s="91" t="str">
        <f aca="false">IF(AND($AO756="FITS BITCH",$AQ756="FITS BITCH",$AS756="FITS BITCH"),"BEARISH","")</f>
        <v/>
      </c>
      <c r="AV756" s="86"/>
      <c r="AW756" s="86"/>
      <c r="AX756" s="86"/>
    </row>
    <row r="757" customFormat="false" ht="15.75" hidden="false" customHeight="false" outlineLevel="0" collapsed="false">
      <c r="AE757" s="90" t="n">
        <f aca="false">Data!A752</f>
        <v>41878</v>
      </c>
      <c r="AF757" s="17" t="n">
        <f aca="false">Data!B752</f>
        <v>101.02</v>
      </c>
      <c r="AG757" s="17" t="n">
        <f aca="false">Data!F752</f>
        <v>52369011</v>
      </c>
      <c r="AH757" s="17" t="n">
        <f aca="false">Data!C752</f>
        <v>102.57</v>
      </c>
      <c r="AI757" s="17" t="n">
        <f aca="false">Data!D752</f>
        <v>100.7</v>
      </c>
      <c r="AJ757" s="17" t="n">
        <f aca="false">Data!E752</f>
        <v>102.13</v>
      </c>
      <c r="AK757" s="17" t="n">
        <f aca="false">Data!F752</f>
        <v>52369011</v>
      </c>
      <c r="AL757" s="17" t="n">
        <f aca="false">AJ757</f>
        <v>102.13</v>
      </c>
      <c r="AM757" s="17" t="n">
        <f aca="false">(AL757-AL756)/AL757*100</f>
        <v>-0.117497307353378</v>
      </c>
      <c r="AN757" s="17" t="n">
        <f aca="false">(AK757-AK756)/AK757*100</f>
        <v>-30.7257855222815</v>
      </c>
      <c r="AO757" s="17" t="str">
        <f aca="false">IF(AN757&lt;-8,"FITS BITCH",IF(AN757&gt;-8,"no"))</f>
        <v>FITS BITCH</v>
      </c>
      <c r="AP757" s="17" t="str">
        <f aca="false">IF(AH758&lt;AH757,"FITS BITCH",IF(AH758&gt;AH757,"no"))</f>
        <v>FITS BITCH</v>
      </c>
      <c r="AQ757" s="17" t="str">
        <f aca="false">IF(AI758&lt;AI757,"FITS BITCH",IF(AI758&gt;AI757,"no"))</f>
        <v>no</v>
      </c>
      <c r="AR757" s="17" t="str">
        <f aca="false">IF(AJ757&lt;AH758,"FITS BITCH",IF(AJ757&gt;AH758,"no"))</f>
        <v>no</v>
      </c>
      <c r="AS757" s="17" t="str">
        <f aca="false">IF(AJ757&gt;AJ758,"FITS BITCH",IF(AJ757&lt;AJ758,"no"))</f>
        <v>FITS BITCH</v>
      </c>
      <c r="AT757" s="91" t="str">
        <f aca="false">IF(AND($AO757="FITS BITCH",$AP757="FITS BITCH",$AR757="FITS BITCH"),"BULLISH","")</f>
        <v/>
      </c>
      <c r="AU757" s="91" t="str">
        <f aca="false">IF(AND($AO757="FITS BITCH",$AQ757="FITS BITCH",$AS757="FITS BITCH"),"BEARISH","")</f>
        <v/>
      </c>
      <c r="AV757" s="86"/>
      <c r="AW757" s="86"/>
      <c r="AX757" s="86"/>
    </row>
    <row r="758" customFormat="false" ht="15.75" hidden="false" customHeight="false" outlineLevel="0" collapsed="false">
      <c r="AE758" s="90" t="n">
        <f aca="false">Data!A753</f>
        <v>41877</v>
      </c>
      <c r="AF758" s="17" t="n">
        <f aca="false">Data!B753</f>
        <v>101.42</v>
      </c>
      <c r="AG758" s="17" t="n">
        <f aca="false">Data!F753</f>
        <v>33151984</v>
      </c>
      <c r="AH758" s="17" t="n">
        <f aca="false">Data!C753</f>
        <v>101.5</v>
      </c>
      <c r="AI758" s="17" t="n">
        <f aca="false">Data!D753</f>
        <v>100.86</v>
      </c>
      <c r="AJ758" s="17" t="n">
        <f aca="false">Data!E753</f>
        <v>100.89</v>
      </c>
      <c r="AK758" s="17" t="n">
        <f aca="false">Data!F753</f>
        <v>33151984</v>
      </c>
      <c r="AL758" s="17" t="n">
        <f aca="false">AJ758</f>
        <v>100.89</v>
      </c>
      <c r="AM758" s="17" t="n">
        <f aca="false">(AL758-AL757)/AL758*100</f>
        <v>-1.22906135394984</v>
      </c>
      <c r="AN758" s="17" t="n">
        <f aca="false">(AK758-AK757)/AK758*100</f>
        <v>-57.9664462917212</v>
      </c>
      <c r="AO758" s="17" t="str">
        <f aca="false">IF(AN758&lt;-8,"FITS BITCH",IF(AN758&gt;-8,"no"))</f>
        <v>FITS BITCH</v>
      </c>
      <c r="AP758" s="17" t="str">
        <f aca="false">IF(AH759&lt;AH758,"FITS BITCH",IF(AH759&gt;AH758,"no"))</f>
        <v>no</v>
      </c>
      <c r="AQ758" s="17" t="str">
        <f aca="false">IF(AI759&lt;AI758,"FITS BITCH",IF(AI759&gt;AI758,"no"))</f>
        <v>no</v>
      </c>
      <c r="AR758" s="17" t="str">
        <f aca="false">IF(AJ758&lt;AH759,"FITS BITCH",IF(AJ758&gt;AH759,"no"))</f>
        <v>FITS BITCH</v>
      </c>
      <c r="AS758" s="17" t="str">
        <f aca="false">IF(AJ758&gt;AJ759,"FITS BITCH",IF(AJ758&lt;AJ759,"no"))</f>
        <v>no</v>
      </c>
      <c r="AT758" s="91" t="str">
        <f aca="false">IF(AND($AO758="FITS BITCH",$AP758="FITS BITCH",$AR758="FITS BITCH"),"BULLISH","")</f>
        <v/>
      </c>
      <c r="AU758" s="91" t="str">
        <f aca="false">IF(AND($AO758="FITS BITCH",$AQ758="FITS BITCH",$AS758="FITS BITCH"),"BEARISH","")</f>
        <v/>
      </c>
      <c r="AV758" s="86"/>
      <c r="AW758" s="86"/>
      <c r="AX758" s="86"/>
    </row>
    <row r="759" customFormat="false" ht="15.75" hidden="false" customHeight="false" outlineLevel="0" collapsed="false">
      <c r="AE759" s="90" t="n">
        <f aca="false">Data!A754</f>
        <v>41876</v>
      </c>
      <c r="AF759" s="17" t="n">
        <f aca="false">Data!B754</f>
        <v>101.79</v>
      </c>
      <c r="AG759" s="17" t="n">
        <f aca="false">Data!F754</f>
        <v>40270173</v>
      </c>
      <c r="AH759" s="17" t="n">
        <f aca="false">Data!C754</f>
        <v>102.17</v>
      </c>
      <c r="AI759" s="17" t="n">
        <f aca="false">Data!D754</f>
        <v>101.28</v>
      </c>
      <c r="AJ759" s="17" t="n">
        <f aca="false">Data!E754</f>
        <v>101.54</v>
      </c>
      <c r="AK759" s="17" t="n">
        <f aca="false">Data!F754</f>
        <v>40270173</v>
      </c>
      <c r="AL759" s="17" t="n">
        <f aca="false">AJ759</f>
        <v>101.54</v>
      </c>
      <c r="AM759" s="17" t="n">
        <f aca="false">(AL759-AL758)/AL759*100</f>
        <v>0.640141816033096</v>
      </c>
      <c r="AN759" s="17" t="n">
        <f aca="false">(AK759-AK758)/AK759*100</f>
        <v>17.676082494108</v>
      </c>
      <c r="AO759" s="17" t="str">
        <f aca="false">IF(AN759&lt;-8,"FITS BITCH",IF(AN759&gt;-8,"no"))</f>
        <v>no</v>
      </c>
      <c r="AP759" s="17" t="str">
        <f aca="false">IF(AH760&lt;AH759,"FITS BITCH",IF(AH760&gt;AH759,"no"))</f>
        <v>FITS BITCH</v>
      </c>
      <c r="AQ759" s="17" t="str">
        <f aca="false">IF(AI760&lt;AI759,"FITS BITCH",IF(AI760&gt;AI759,"no"))</f>
        <v>FITS BITCH</v>
      </c>
      <c r="AR759" s="17" t="str">
        <f aca="false">IF(AJ759&lt;AH760,"FITS BITCH",IF(AJ759&gt;AH760,"no"))</f>
        <v>no</v>
      </c>
      <c r="AS759" s="17" t="str">
        <f aca="false">IF(AJ759&gt;AJ760,"FITS BITCH",IF(AJ759&lt;AJ760,"no"))</f>
        <v>FITS BITCH</v>
      </c>
      <c r="AT759" s="91" t="str">
        <f aca="false">IF(AND($AO759="FITS BITCH",$AP759="FITS BITCH",$AR759="FITS BITCH"),"BULLISH","")</f>
        <v/>
      </c>
      <c r="AU759" s="91" t="str">
        <f aca="false">IF(AND($AO759="FITS BITCH",$AQ759="FITS BITCH",$AS759="FITS BITCH"),"BEARISH","")</f>
        <v/>
      </c>
      <c r="AV759" s="86"/>
      <c r="AW759" s="86"/>
      <c r="AX759" s="86"/>
    </row>
    <row r="760" customFormat="false" ht="15.75" hidden="false" customHeight="false" outlineLevel="0" collapsed="false">
      <c r="AE760" s="90" t="n">
        <f aca="false">Data!A755</f>
        <v>41873</v>
      </c>
      <c r="AF760" s="17" t="n">
        <f aca="false">Data!B755</f>
        <v>100.29</v>
      </c>
      <c r="AG760" s="17" t="n">
        <f aca="false">Data!F755</f>
        <v>44183834</v>
      </c>
      <c r="AH760" s="17" t="n">
        <f aca="false">Data!C755</f>
        <v>101.47</v>
      </c>
      <c r="AI760" s="17" t="n">
        <f aca="false">Data!D755</f>
        <v>100.19</v>
      </c>
      <c r="AJ760" s="17" t="n">
        <f aca="false">Data!E755</f>
        <v>101.32</v>
      </c>
      <c r="AK760" s="17" t="n">
        <f aca="false">Data!F755</f>
        <v>44183834</v>
      </c>
      <c r="AL760" s="17" t="n">
        <f aca="false">AJ760</f>
        <v>101.32</v>
      </c>
      <c r="AM760" s="17" t="n">
        <f aca="false">(AL760-AL759)/AL760*100</f>
        <v>-0.217133833399144</v>
      </c>
      <c r="AN760" s="17" t="n">
        <f aca="false">(AK760-AK759)/AK760*100</f>
        <v>8.85767631663653</v>
      </c>
      <c r="AO760" s="17" t="str">
        <f aca="false">IF(AN760&lt;-8,"FITS BITCH",IF(AN760&gt;-8,"no"))</f>
        <v>no</v>
      </c>
      <c r="AP760" s="17" t="str">
        <f aca="false">IF(AH761&lt;AH760,"FITS BITCH",IF(AH761&gt;AH760,"no"))</f>
        <v>FITS BITCH</v>
      </c>
      <c r="AQ760" s="17" t="str">
        <f aca="false">IF(AI761&lt;AI760,"FITS BITCH",IF(AI761&gt;AI760,"no"))</f>
        <v>FITS BITCH</v>
      </c>
      <c r="AR760" s="17" t="str">
        <f aca="false">IF(AJ760&lt;AH761,"FITS BITCH",IF(AJ760&gt;AH761,"no"))</f>
        <v>no</v>
      </c>
      <c r="AS760" s="17" t="str">
        <f aca="false">IF(AJ760&gt;AJ761,"FITS BITCH",IF(AJ760&lt;AJ761,"no"))</f>
        <v>FITS BITCH</v>
      </c>
      <c r="AT760" s="91" t="str">
        <f aca="false">IF(AND($AO760="FITS BITCH",$AP760="FITS BITCH",$AR760="FITS BITCH"),"BULLISH","")</f>
        <v/>
      </c>
      <c r="AU760" s="91" t="str">
        <f aca="false">IF(AND($AO760="FITS BITCH",$AQ760="FITS BITCH",$AS760="FITS BITCH"),"BEARISH","")</f>
        <v/>
      </c>
      <c r="AV760" s="86"/>
      <c r="AW760" s="86"/>
      <c r="AX760" s="86"/>
    </row>
    <row r="761" customFormat="false" ht="15.75" hidden="false" customHeight="false" outlineLevel="0" collapsed="false">
      <c r="AE761" s="90" t="n">
        <f aca="false">Data!A756</f>
        <v>41872</v>
      </c>
      <c r="AF761" s="17" t="n">
        <f aca="false">Data!B756</f>
        <v>100.57</v>
      </c>
      <c r="AG761" s="17" t="n">
        <f aca="false">Data!F756</f>
        <v>33478198</v>
      </c>
      <c r="AH761" s="17" t="n">
        <f aca="false">Data!C756</f>
        <v>100.94</v>
      </c>
      <c r="AI761" s="17" t="n">
        <f aca="false">Data!D756</f>
        <v>100.11</v>
      </c>
      <c r="AJ761" s="17" t="n">
        <f aca="false">Data!E756</f>
        <v>100.58</v>
      </c>
      <c r="AK761" s="17" t="n">
        <f aca="false">Data!F756</f>
        <v>33478198</v>
      </c>
      <c r="AL761" s="17" t="n">
        <f aca="false">AJ761</f>
        <v>100.58</v>
      </c>
      <c r="AM761" s="17" t="n">
        <f aca="false">(AL761-AL760)/AL761*100</f>
        <v>-0.735732750049707</v>
      </c>
      <c r="AN761" s="17" t="n">
        <f aca="false">(AK761-AK760)/AK761*100</f>
        <v>-31.9779338183017</v>
      </c>
      <c r="AO761" s="17" t="str">
        <f aca="false">IF(AN761&lt;-8,"FITS BITCH",IF(AN761&gt;-8,"no"))</f>
        <v>FITS BITCH</v>
      </c>
      <c r="AP761" s="17" t="str">
        <f aca="false">IF(AH762&lt;AH761,"FITS BITCH",IF(AH762&gt;AH761,"no"))</f>
        <v>no</v>
      </c>
      <c r="AQ761" s="17" t="str">
        <f aca="false">IF(AI762&lt;AI761,"FITS BITCH",IF(AI762&gt;AI761,"no"))</f>
        <v>FITS BITCH</v>
      </c>
      <c r="AR761" s="17" t="str">
        <f aca="false">IF(AJ761&lt;AH762,"FITS BITCH",IF(AJ761&gt;AH762,"no"))</f>
        <v>FITS BITCH</v>
      </c>
      <c r="AS761" s="17" t="str">
        <f aca="false">IF(AJ761&gt;AJ762,"FITS BITCH",IF(AJ761&lt;AJ762,"no"))</f>
        <v>FITS BITCH</v>
      </c>
      <c r="AT761" s="91" t="str">
        <f aca="false">IF(AND($AO761="FITS BITCH",$AP761="FITS BITCH",$AR761="FITS BITCH"),"BULLISH","")</f>
        <v/>
      </c>
      <c r="AU761" s="91" t="str">
        <f aca="false">IF(AND($AO761="FITS BITCH",$AQ761="FITS BITCH",$AS761="FITS BITCH"),"BEARISH","")</f>
        <v>BEARISH</v>
      </c>
      <c r="AV761" s="86"/>
      <c r="AW761" s="86"/>
      <c r="AX761" s="86"/>
    </row>
    <row r="762" customFormat="false" ht="15.75" hidden="false" customHeight="false" outlineLevel="0" collapsed="false">
      <c r="AE762" s="90" t="n">
        <f aca="false">Data!A757</f>
        <v>41871</v>
      </c>
      <c r="AF762" s="17" t="n">
        <f aca="false">Data!B757</f>
        <v>100.44</v>
      </c>
      <c r="AG762" s="17" t="n">
        <f aca="false">Data!F757</f>
        <v>52699192</v>
      </c>
      <c r="AH762" s="17" t="n">
        <f aca="false">Data!C757</f>
        <v>101.09</v>
      </c>
      <c r="AI762" s="17" t="n">
        <f aca="false">Data!D757</f>
        <v>99.95</v>
      </c>
      <c r="AJ762" s="17" t="n">
        <f aca="false">Data!E757</f>
        <v>100.57</v>
      </c>
      <c r="AK762" s="17" t="n">
        <f aca="false">Data!F757</f>
        <v>52699192</v>
      </c>
      <c r="AL762" s="17" t="n">
        <f aca="false">AJ762</f>
        <v>100.57</v>
      </c>
      <c r="AM762" s="17" t="n">
        <f aca="false">(AL762-AL761)/AL762*100</f>
        <v>-0.00994332305857126</v>
      </c>
      <c r="AN762" s="17" t="n">
        <f aca="false">(AK762-AK761)/AK762*100</f>
        <v>36.4730335903442</v>
      </c>
      <c r="AO762" s="17" t="str">
        <f aca="false">IF(AN762&lt;-8,"FITS BITCH",IF(AN762&gt;-8,"no"))</f>
        <v>no</v>
      </c>
      <c r="AP762" s="17" t="str">
        <f aca="false">IF(AH763&lt;AH762,"FITS BITCH",IF(AH763&gt;AH762,"no"))</f>
        <v>FITS BITCH</v>
      </c>
      <c r="AQ762" s="17" t="str">
        <f aca="false">IF(AI763&lt;AI762,"FITS BITCH",IF(AI763&gt;AI762,"no"))</f>
        <v>FITS BITCH</v>
      </c>
      <c r="AR762" s="17" t="str">
        <f aca="false">IF(AJ762&lt;AH763,"FITS BITCH",IF(AJ762&gt;AH763,"no"))</f>
        <v>FITS BITCH</v>
      </c>
      <c r="AS762" s="17" t="str">
        <f aca="false">IF(AJ762&gt;AJ763,"FITS BITCH",IF(AJ762&lt;AJ763,"no"))</f>
        <v>FITS BITCH</v>
      </c>
      <c r="AT762" s="91" t="str">
        <f aca="false">IF(AND($AO762="FITS BITCH",$AP762="FITS BITCH",$AR762="FITS BITCH"),"BULLISH","")</f>
        <v/>
      </c>
      <c r="AU762" s="91" t="str">
        <f aca="false">IF(AND($AO762="FITS BITCH",$AQ762="FITS BITCH",$AS762="FITS BITCH"),"BEARISH","")</f>
        <v/>
      </c>
      <c r="AV762" s="86"/>
      <c r="AW762" s="86"/>
      <c r="AX762" s="86"/>
    </row>
    <row r="763" customFormat="false" ht="15.75" hidden="false" customHeight="false" outlineLevel="0" collapsed="false">
      <c r="AE763" s="90" t="n">
        <f aca="false">Data!A758</f>
        <v>41870</v>
      </c>
      <c r="AF763" s="17" t="n">
        <f aca="false">Data!B758</f>
        <v>99.41</v>
      </c>
      <c r="AG763" s="17" t="n">
        <f aca="false">Data!F758</f>
        <v>69399270</v>
      </c>
      <c r="AH763" s="17" t="n">
        <f aca="false">Data!C758</f>
        <v>100.68</v>
      </c>
      <c r="AI763" s="17" t="n">
        <f aca="false">Data!D758</f>
        <v>99.32</v>
      </c>
      <c r="AJ763" s="17" t="n">
        <f aca="false">Data!E758</f>
        <v>100.53</v>
      </c>
      <c r="AK763" s="17" t="n">
        <f aca="false">Data!F758</f>
        <v>69399270</v>
      </c>
      <c r="AL763" s="17" t="n">
        <f aca="false">AJ763</f>
        <v>100.53</v>
      </c>
      <c r="AM763" s="17" t="n">
        <f aca="false">(AL763-AL762)/AL763*100</f>
        <v>-0.0397891176763076</v>
      </c>
      <c r="AN763" s="17" t="n">
        <f aca="false">(AK763-AK762)/AK763*100</f>
        <v>24.0637660886058</v>
      </c>
      <c r="AO763" s="17" t="str">
        <f aca="false">IF(AN763&lt;-8,"FITS BITCH",IF(AN763&gt;-8,"no"))</f>
        <v>no</v>
      </c>
      <c r="AP763" s="17" t="str">
        <f aca="false">IF(AH764&lt;AH763,"FITS BITCH",IF(AH764&gt;AH763,"no"))</f>
        <v>FITS BITCH</v>
      </c>
      <c r="AQ763" s="17" t="str">
        <f aca="false">IF(AI764&lt;AI763,"FITS BITCH",IF(AI764&gt;AI763,"no"))</f>
        <v>FITS BITCH</v>
      </c>
      <c r="AR763" s="17" t="str">
        <f aca="false">IF(AJ763&lt;AH764,"FITS BITCH",IF(AJ763&gt;AH764,"no"))</f>
        <v>no</v>
      </c>
      <c r="AS763" s="17" t="str">
        <f aca="false">IF(AJ763&gt;AJ764,"FITS BITCH",IF(AJ763&lt;AJ764,"no"))</f>
        <v>FITS BITCH</v>
      </c>
      <c r="AT763" s="91" t="str">
        <f aca="false">IF(AND($AO763="FITS BITCH",$AP763="FITS BITCH",$AR763="FITS BITCH"),"BULLISH","")</f>
        <v/>
      </c>
      <c r="AU763" s="91" t="str">
        <f aca="false">IF(AND($AO763="FITS BITCH",$AQ763="FITS BITCH",$AS763="FITS BITCH"),"BEARISH","")</f>
        <v/>
      </c>
      <c r="AV763" s="86"/>
      <c r="AW763" s="86"/>
      <c r="AX763" s="86"/>
    </row>
    <row r="764" customFormat="false" ht="15.75" hidden="false" customHeight="false" outlineLevel="0" collapsed="false">
      <c r="AE764" s="90" t="n">
        <f aca="false">Data!A759</f>
        <v>41869</v>
      </c>
      <c r="AF764" s="17" t="n">
        <f aca="false">Data!B759</f>
        <v>98.49</v>
      </c>
      <c r="AG764" s="17" t="n">
        <f aca="false">Data!F759</f>
        <v>47572413</v>
      </c>
      <c r="AH764" s="17" t="n">
        <f aca="false">Data!C759</f>
        <v>99.37</v>
      </c>
      <c r="AI764" s="17" t="n">
        <f aca="false">Data!D759</f>
        <v>97.98</v>
      </c>
      <c r="AJ764" s="17" t="n">
        <f aca="false">Data!E759</f>
        <v>99.16</v>
      </c>
      <c r="AK764" s="17" t="n">
        <f aca="false">Data!F759</f>
        <v>47572413</v>
      </c>
      <c r="AL764" s="17" t="n">
        <f aca="false">AJ764</f>
        <v>99.16</v>
      </c>
      <c r="AM764" s="17" t="n">
        <f aca="false">(AL764-AL763)/AL764*100</f>
        <v>-1.3816054860831</v>
      </c>
      <c r="AN764" s="17" t="n">
        <f aca="false">(AK764-AK763)/AK764*100</f>
        <v>-45.8813325277404</v>
      </c>
      <c r="AO764" s="17" t="str">
        <f aca="false">IF(AN764&lt;-8,"FITS BITCH",IF(AN764&gt;-8,"no"))</f>
        <v>FITS BITCH</v>
      </c>
      <c r="AP764" s="17" t="str">
        <f aca="false">IF(AH765&lt;AH764,"FITS BITCH",IF(AH765&gt;AH764,"no"))</f>
        <v>FITS BITCH</v>
      </c>
      <c r="AQ764" s="17" t="str">
        <f aca="false">IF(AI765&lt;AI764,"FITS BITCH",IF(AI765&gt;AI764,"no"))</f>
        <v>FITS BITCH</v>
      </c>
      <c r="AR764" s="17" t="str">
        <f aca="false">IF(AJ764&lt;AH765,"FITS BITCH",IF(AJ764&gt;AH765,"no"))</f>
        <v>no</v>
      </c>
      <c r="AS764" s="17" t="str">
        <f aca="false">IF(AJ764&gt;AJ765,"FITS BITCH",IF(AJ764&lt;AJ765,"no"))</f>
        <v>FITS BITCH</v>
      </c>
      <c r="AT764" s="91" t="str">
        <f aca="false">IF(AND($AO764="FITS BITCH",$AP764="FITS BITCH",$AR764="FITS BITCH"),"BULLISH","")</f>
        <v/>
      </c>
      <c r="AU764" s="91" t="str">
        <f aca="false">IF(AND($AO764="FITS BITCH",$AQ764="FITS BITCH",$AS764="FITS BITCH"),"BEARISH","")</f>
        <v>BEARISH</v>
      </c>
      <c r="AV764" s="86"/>
      <c r="AW764" s="86"/>
      <c r="AX764" s="86"/>
    </row>
    <row r="765" customFormat="false" ht="15.75" hidden="false" customHeight="false" outlineLevel="0" collapsed="false">
      <c r="AE765" s="90" t="n">
        <f aca="false">Data!A760</f>
        <v>41866</v>
      </c>
      <c r="AF765" s="17" t="n">
        <f aca="false">Data!B760</f>
        <v>97.9</v>
      </c>
      <c r="AG765" s="17" t="n">
        <f aca="false">Data!F760</f>
        <v>48951331</v>
      </c>
      <c r="AH765" s="17" t="n">
        <f aca="false">Data!C760</f>
        <v>98.19</v>
      </c>
      <c r="AI765" s="17" t="n">
        <f aca="false">Data!D760</f>
        <v>96.86</v>
      </c>
      <c r="AJ765" s="17" t="n">
        <f aca="false">Data!E760</f>
        <v>97.98</v>
      </c>
      <c r="AK765" s="17" t="n">
        <f aca="false">Data!F760</f>
        <v>48951331</v>
      </c>
      <c r="AL765" s="17" t="n">
        <f aca="false">AJ765</f>
        <v>97.98</v>
      </c>
      <c r="AM765" s="17" t="n">
        <f aca="false">(AL765-AL764)/AL765*100</f>
        <v>-1.2043274137579</v>
      </c>
      <c r="AN765" s="17" t="n">
        <f aca="false">(AK765-AK764)/AK765*100</f>
        <v>2.81691625504524</v>
      </c>
      <c r="AO765" s="17" t="str">
        <f aca="false">IF(AN765&lt;-8,"FITS BITCH",IF(AN765&gt;-8,"no"))</f>
        <v>no</v>
      </c>
      <c r="AP765" s="17" t="str">
        <f aca="false">IF(AH766&lt;AH765,"FITS BITCH",IF(AH766&gt;AH765,"no"))</f>
        <v>FITS BITCH</v>
      </c>
      <c r="AQ765" s="17" t="str">
        <f aca="false">IF(AI766&lt;AI765,"FITS BITCH",IF(AI766&gt;AI765,"no"))</f>
        <v>FITS BITCH</v>
      </c>
      <c r="AR765" s="17" t="str">
        <f aca="false">IF(AJ765&lt;AH766,"FITS BITCH",IF(AJ765&gt;AH766,"no"))</f>
        <v>no</v>
      </c>
      <c r="AS765" s="17" t="str">
        <f aca="false">IF(AJ765&gt;AJ766,"FITS BITCH",IF(AJ765&lt;AJ766,"no"))</f>
        <v>FITS BITCH</v>
      </c>
      <c r="AT765" s="91" t="str">
        <f aca="false">IF(AND($AO765="FITS BITCH",$AP765="FITS BITCH",$AR765="FITS BITCH"),"BULLISH","")</f>
        <v/>
      </c>
      <c r="AU765" s="91" t="str">
        <f aca="false">IF(AND($AO765="FITS BITCH",$AQ765="FITS BITCH",$AS765="FITS BITCH"),"BEARISH","")</f>
        <v/>
      </c>
      <c r="AV765" s="86"/>
      <c r="AW765" s="86"/>
      <c r="AX765" s="86"/>
    </row>
    <row r="766" customFormat="false" ht="15.75" hidden="false" customHeight="false" outlineLevel="0" collapsed="false">
      <c r="AE766" s="90" t="n">
        <f aca="false">Data!A761</f>
        <v>41865</v>
      </c>
      <c r="AF766" s="17" t="n">
        <f aca="false">Data!B761</f>
        <v>97.33</v>
      </c>
      <c r="AG766" s="17" t="n">
        <f aca="false">Data!F761</f>
        <v>28115566</v>
      </c>
      <c r="AH766" s="17" t="n">
        <f aca="false">Data!C761</f>
        <v>97.57</v>
      </c>
      <c r="AI766" s="17" t="n">
        <f aca="false">Data!D761</f>
        <v>96.8</v>
      </c>
      <c r="AJ766" s="17" t="n">
        <f aca="false">Data!E761</f>
        <v>97.5</v>
      </c>
      <c r="AK766" s="17" t="n">
        <f aca="false">Data!F761</f>
        <v>28115566</v>
      </c>
      <c r="AL766" s="17" t="n">
        <f aca="false">AJ766</f>
        <v>97.5</v>
      </c>
      <c r="AM766" s="17" t="n">
        <f aca="false">(AL766-AL765)/AL766*100</f>
        <v>-0.492307692307696</v>
      </c>
      <c r="AN766" s="17" t="n">
        <f aca="false">(AK766-AK765)/AK766*100</f>
        <v>-74.107577987226</v>
      </c>
      <c r="AO766" s="17" t="str">
        <f aca="false">IF(AN766&lt;-8,"FITS BITCH",IF(AN766&gt;-8,"no"))</f>
        <v>FITS BITCH</v>
      </c>
      <c r="AP766" s="17" t="str">
        <f aca="false">IF(AH767&lt;AH766,"FITS BITCH",IF(AH767&gt;AH766,"no"))</f>
        <v>FITS BITCH</v>
      </c>
      <c r="AQ766" s="17" t="str">
        <f aca="false">IF(AI767&lt;AI766,"FITS BITCH",IF(AI767&gt;AI766,"no"))</f>
        <v>FITS BITCH</v>
      </c>
      <c r="AR766" s="17" t="str">
        <f aca="false">IF(AJ766&lt;AH767,"FITS BITCH",IF(AJ766&gt;AH767,"no"))</f>
        <v>no</v>
      </c>
      <c r="AS766" s="17" t="str">
        <f aca="false">IF(AJ766&gt;AJ767,"FITS BITCH",IF(AJ766&lt;AJ767,"no"))</f>
        <v>FITS BITCH</v>
      </c>
      <c r="AT766" s="91" t="str">
        <f aca="false">IF(AND($AO766="FITS BITCH",$AP766="FITS BITCH",$AR766="FITS BITCH"),"BULLISH","")</f>
        <v/>
      </c>
      <c r="AU766" s="91" t="str">
        <f aca="false">IF(AND($AO766="FITS BITCH",$AQ766="FITS BITCH",$AS766="FITS BITCH"),"BEARISH","")</f>
        <v>BEARISH</v>
      </c>
      <c r="AV766" s="86"/>
      <c r="AW766" s="86"/>
      <c r="AX766" s="86"/>
    </row>
    <row r="767" customFormat="false" ht="15.75" hidden="false" customHeight="false" outlineLevel="0" collapsed="false">
      <c r="AE767" s="90" t="n">
        <f aca="false">Data!A762</f>
        <v>41864</v>
      </c>
      <c r="AF767" s="17" t="n">
        <f aca="false">Data!B762</f>
        <v>96.15</v>
      </c>
      <c r="AG767" s="17" t="n">
        <f aca="false">Data!F762</f>
        <v>31916439</v>
      </c>
      <c r="AH767" s="17" t="n">
        <f aca="false">Data!C762</f>
        <v>97.24</v>
      </c>
      <c r="AI767" s="17" t="n">
        <f aca="false">Data!D762</f>
        <v>96.04</v>
      </c>
      <c r="AJ767" s="17" t="n">
        <f aca="false">Data!E762</f>
        <v>97.24</v>
      </c>
      <c r="AK767" s="17" t="n">
        <f aca="false">Data!F762</f>
        <v>31916439</v>
      </c>
      <c r="AL767" s="17" t="n">
        <f aca="false">AJ767</f>
        <v>97.24</v>
      </c>
      <c r="AM767" s="17" t="n">
        <f aca="false">(AL767-AL766)/AL767*100</f>
        <v>-0.26737967914439</v>
      </c>
      <c r="AN767" s="17" t="n">
        <f aca="false">(AK767-AK766)/AK767*100</f>
        <v>11.9088254175223</v>
      </c>
      <c r="AO767" s="17" t="str">
        <f aca="false">IF(AN767&lt;-8,"FITS BITCH",IF(AN767&gt;-8,"no"))</f>
        <v>no</v>
      </c>
      <c r="AP767" s="17" t="str">
        <f aca="false">IF(AH768&lt;AH767,"FITS BITCH",IF(AH768&gt;AH767,"no"))</f>
        <v>FITS BITCH</v>
      </c>
      <c r="AQ767" s="17" t="str">
        <f aca="false">IF(AI768&lt;AI767,"FITS BITCH",IF(AI768&gt;AI767,"no"))</f>
        <v>FITS BITCH</v>
      </c>
      <c r="AR767" s="17" t="str">
        <f aca="false">IF(AJ767&lt;AH768,"FITS BITCH",IF(AJ767&gt;AH768,"no"))</f>
        <v>no</v>
      </c>
      <c r="AS767" s="17" t="str">
        <f aca="false">IF(AJ767&gt;AJ768,"FITS BITCH",IF(AJ767&lt;AJ768,"no"))</f>
        <v>FITS BITCH</v>
      </c>
      <c r="AT767" s="91" t="str">
        <f aca="false">IF(AND($AO767="FITS BITCH",$AP767="FITS BITCH",$AR767="FITS BITCH"),"BULLISH","")</f>
        <v/>
      </c>
      <c r="AU767" s="91" t="str">
        <f aca="false">IF(AND($AO767="FITS BITCH",$AQ767="FITS BITCH",$AS767="FITS BITCH"),"BEARISH","")</f>
        <v/>
      </c>
      <c r="AV767" s="86"/>
      <c r="AW767" s="86"/>
      <c r="AX767" s="86"/>
    </row>
    <row r="768" customFormat="false" ht="15.75" hidden="false" customHeight="false" outlineLevel="0" collapsed="false">
      <c r="AE768" s="90" t="n">
        <f aca="false">Data!A763</f>
        <v>41863</v>
      </c>
      <c r="AF768" s="17" t="n">
        <f aca="false">Data!B763</f>
        <v>96.04</v>
      </c>
      <c r="AG768" s="17" t="n">
        <f aca="false">Data!F763</f>
        <v>33795352</v>
      </c>
      <c r="AH768" s="17" t="n">
        <f aca="false">Data!C763</f>
        <v>96.88</v>
      </c>
      <c r="AI768" s="17" t="n">
        <f aca="false">Data!D763</f>
        <v>95.61</v>
      </c>
      <c r="AJ768" s="17" t="n">
        <f aca="false">Data!E763</f>
        <v>95.97</v>
      </c>
      <c r="AK768" s="17" t="n">
        <f aca="false">Data!F763</f>
        <v>33795352</v>
      </c>
      <c r="AL768" s="17" t="n">
        <f aca="false">AJ768</f>
        <v>95.97</v>
      </c>
      <c r="AM768" s="17" t="n">
        <f aca="false">(AL768-AL767)/AL768*100</f>
        <v>-1.32333020735646</v>
      </c>
      <c r="AN768" s="17" t="n">
        <f aca="false">(AK768-AK767)/AK768*100</f>
        <v>5.55967873925385</v>
      </c>
      <c r="AO768" s="17" t="str">
        <f aca="false">IF(AN768&lt;-8,"FITS BITCH",IF(AN768&gt;-8,"no"))</f>
        <v>no</v>
      </c>
      <c r="AP768" s="17" t="str">
        <f aca="false">IF(AH769&lt;AH768,"FITS BITCH",IF(AH769&gt;AH768,"no"))</f>
        <v>FITS BITCH</v>
      </c>
      <c r="AQ768" s="17" t="str">
        <f aca="false">IF(AI769&lt;AI768,"FITS BITCH",IF(AI769&gt;AI768,"no"))</f>
        <v>FITS BITCH</v>
      </c>
      <c r="AR768" s="17" t="str">
        <f aca="false">IF(AJ768&lt;AH769,"FITS BITCH",IF(AJ768&gt;AH769,"no"))</f>
        <v>FITS BITCH</v>
      </c>
      <c r="AS768" s="17" t="str">
        <f aca="false">IF(AJ768&gt;AJ769,"FITS BITCH",IF(AJ768&lt;AJ769,"no"))</f>
        <v>no</v>
      </c>
      <c r="AT768" s="91" t="str">
        <f aca="false">IF(AND($AO768="FITS BITCH",$AP768="FITS BITCH",$AR768="FITS BITCH"),"BULLISH","")</f>
        <v/>
      </c>
      <c r="AU768" s="91" t="str">
        <f aca="false">IF(AND($AO768="FITS BITCH",$AQ768="FITS BITCH",$AS768="FITS BITCH"),"BEARISH","")</f>
        <v/>
      </c>
      <c r="AV768" s="86"/>
      <c r="AW768" s="86"/>
      <c r="AX768" s="86"/>
    </row>
    <row r="769" customFormat="false" ht="15.75" hidden="false" customHeight="false" outlineLevel="0" collapsed="false">
      <c r="AE769" s="90" t="n">
        <f aca="false">Data!A764</f>
        <v>41862</v>
      </c>
      <c r="AF769" s="17" t="n">
        <f aca="false">Data!B764</f>
        <v>95.27</v>
      </c>
      <c r="AG769" s="17" t="n">
        <f aca="false">Data!F764</f>
        <v>36584844</v>
      </c>
      <c r="AH769" s="17" t="n">
        <f aca="false">Data!C764</f>
        <v>96.08</v>
      </c>
      <c r="AI769" s="17" t="n">
        <f aca="false">Data!D764</f>
        <v>94.84</v>
      </c>
      <c r="AJ769" s="17" t="n">
        <f aca="false">Data!E764</f>
        <v>95.99</v>
      </c>
      <c r="AK769" s="17" t="n">
        <f aca="false">Data!F764</f>
        <v>36584844</v>
      </c>
      <c r="AL769" s="17" t="n">
        <f aca="false">AJ769</f>
        <v>95.99</v>
      </c>
      <c r="AM769" s="17" t="n">
        <f aca="false">(AL769-AL768)/AL769*100</f>
        <v>0.0208355036982978</v>
      </c>
      <c r="AN769" s="17" t="n">
        <f aca="false">(AK769-AK768)/AK769*100</f>
        <v>7.62472022567597</v>
      </c>
      <c r="AO769" s="17" t="str">
        <f aca="false">IF(AN769&lt;-8,"FITS BITCH",IF(AN769&gt;-8,"no"))</f>
        <v>no</v>
      </c>
      <c r="AP769" s="17" t="str">
        <f aca="false">IF(AH770&lt;AH769,"FITS BITCH",IF(AH770&gt;AH769,"no"))</f>
        <v>FITS BITCH</v>
      </c>
      <c r="AQ769" s="17" t="str">
        <f aca="false">IF(AI770&lt;AI769,"FITS BITCH",IF(AI770&gt;AI769,"no"))</f>
        <v>FITS BITCH</v>
      </c>
      <c r="AR769" s="17" t="str">
        <f aca="false">IF(AJ769&lt;AH770,"FITS BITCH",IF(AJ769&gt;AH770,"no"))</f>
        <v>no</v>
      </c>
      <c r="AS769" s="17" t="str">
        <f aca="false">IF(AJ769&gt;AJ770,"FITS BITCH",IF(AJ769&lt;AJ770,"no"))</f>
        <v>FITS BITCH</v>
      </c>
      <c r="AT769" s="91" t="str">
        <f aca="false">IF(AND($AO769="FITS BITCH",$AP769="FITS BITCH",$AR769="FITS BITCH"),"BULLISH","")</f>
        <v/>
      </c>
      <c r="AU769" s="91" t="str">
        <f aca="false">IF(AND($AO769="FITS BITCH",$AQ769="FITS BITCH",$AS769="FITS BITCH"),"BEARISH","")</f>
        <v/>
      </c>
      <c r="AV769" s="86"/>
      <c r="AW769" s="86"/>
      <c r="AX769" s="86"/>
    </row>
    <row r="770" customFormat="false" ht="15.75" hidden="false" customHeight="false" outlineLevel="0" collapsed="false">
      <c r="AE770" s="90" t="n">
        <f aca="false">Data!A765</f>
        <v>41859</v>
      </c>
      <c r="AF770" s="17" t="n">
        <f aca="false">Data!B765</f>
        <v>94.26</v>
      </c>
      <c r="AG770" s="17" t="n">
        <f aca="false">Data!F765</f>
        <v>41865193</v>
      </c>
      <c r="AH770" s="17" t="n">
        <f aca="false">Data!C765</f>
        <v>94.82</v>
      </c>
      <c r="AI770" s="17" t="n">
        <f aca="false">Data!D765</f>
        <v>93.28</v>
      </c>
      <c r="AJ770" s="17" t="n">
        <f aca="false">Data!E765</f>
        <v>94.74</v>
      </c>
      <c r="AK770" s="17" t="n">
        <f aca="false">Data!F765</f>
        <v>41865193</v>
      </c>
      <c r="AL770" s="17" t="n">
        <f aca="false">AJ770</f>
        <v>94.74</v>
      </c>
      <c r="AM770" s="17" t="n">
        <f aca="false">(AL770-AL769)/AL770*100</f>
        <v>-1.31940046442896</v>
      </c>
      <c r="AN770" s="17" t="n">
        <f aca="false">(AK770-AK769)/AK770*100</f>
        <v>12.6127425233654</v>
      </c>
      <c r="AO770" s="17" t="str">
        <f aca="false">IF(AN770&lt;-8,"FITS BITCH",IF(AN770&gt;-8,"no"))</f>
        <v>no</v>
      </c>
      <c r="AP770" s="17" t="str">
        <f aca="false">IF(AH771&lt;AH770,"FITS BITCH",IF(AH771&gt;AH770,"no"))</f>
        <v>no</v>
      </c>
      <c r="AQ770" s="17" t="str">
        <f aca="false">IF(AI771&lt;AI770,"FITS BITCH",IF(AI771&gt;AI770,"no"))</f>
        <v>no</v>
      </c>
      <c r="AR770" s="17" t="str">
        <f aca="false">IF(AJ770&lt;AH771,"FITS BITCH",IF(AJ770&gt;AH771,"no"))</f>
        <v>FITS BITCH</v>
      </c>
      <c r="AS770" s="17" t="str">
        <f aca="false">IF(AJ770&gt;AJ771,"FITS BITCH",IF(AJ770&lt;AJ771,"no"))</f>
        <v>FITS BITCH</v>
      </c>
      <c r="AT770" s="91" t="str">
        <f aca="false">IF(AND($AO770="FITS BITCH",$AP770="FITS BITCH",$AR770="FITS BITCH"),"BULLISH","")</f>
        <v/>
      </c>
      <c r="AU770" s="91" t="str">
        <f aca="false">IF(AND($AO770="FITS BITCH",$AQ770="FITS BITCH",$AS770="FITS BITCH"),"BEARISH","")</f>
        <v/>
      </c>
      <c r="AV770" s="86"/>
      <c r="AW770" s="86"/>
      <c r="AX770" s="86"/>
    </row>
    <row r="771" customFormat="false" ht="15.75" hidden="false" customHeight="false" outlineLevel="0" collapsed="false">
      <c r="AE771" s="90" t="n">
        <f aca="false">Data!A766</f>
        <v>41858</v>
      </c>
      <c r="AF771" s="17" t="n">
        <f aca="false">Data!B766</f>
        <v>94.93</v>
      </c>
      <c r="AG771" s="17" t="n">
        <f aca="false">Data!F766</f>
        <v>46711179</v>
      </c>
      <c r="AH771" s="17" t="n">
        <f aca="false">Data!C766</f>
        <v>95.95</v>
      </c>
      <c r="AI771" s="17" t="n">
        <f aca="false">Data!D766</f>
        <v>94.1</v>
      </c>
      <c r="AJ771" s="17" t="n">
        <f aca="false">Data!E766</f>
        <v>94.48</v>
      </c>
      <c r="AK771" s="17" t="n">
        <f aca="false">Data!F766</f>
        <v>46711179</v>
      </c>
      <c r="AL771" s="17" t="n">
        <f aca="false">AJ771</f>
        <v>94.48</v>
      </c>
      <c r="AM771" s="17" t="n">
        <f aca="false">(AL771-AL770)/AL771*100</f>
        <v>-0.275190516511421</v>
      </c>
      <c r="AN771" s="17" t="n">
        <f aca="false">(AK771-AK770)/AK771*100</f>
        <v>10.3743602789388</v>
      </c>
      <c r="AO771" s="17" t="str">
        <f aca="false">IF(AN771&lt;-8,"FITS BITCH",IF(AN771&gt;-8,"no"))</f>
        <v>no</v>
      </c>
      <c r="AP771" s="17" t="str">
        <f aca="false">IF(AH772&lt;AH771,"FITS BITCH",IF(AH772&gt;AH771,"no"))</f>
        <v>FITS BITCH</v>
      </c>
      <c r="AQ771" s="17" t="str">
        <f aca="false">IF(AI772&lt;AI771,"FITS BITCH",IF(AI772&gt;AI771,"no"))</f>
        <v>no</v>
      </c>
      <c r="AR771" s="17" t="str">
        <f aca="false">IF(AJ771&lt;AH772,"FITS BITCH",IF(AJ771&gt;AH772,"no"))</f>
        <v>FITS BITCH</v>
      </c>
      <c r="AS771" s="17" t="str">
        <f aca="false">IF(AJ771&gt;AJ772,"FITS BITCH",IF(AJ771&lt;AJ772,"no"))</f>
        <v>no</v>
      </c>
      <c r="AT771" s="91" t="str">
        <f aca="false">IF(AND($AO771="FITS BITCH",$AP771="FITS BITCH",$AR771="FITS BITCH"),"BULLISH","")</f>
        <v/>
      </c>
      <c r="AU771" s="91" t="str">
        <f aca="false">IF(AND($AO771="FITS BITCH",$AQ771="FITS BITCH",$AS771="FITS BITCH"),"BEARISH","")</f>
        <v/>
      </c>
      <c r="AV771" s="86"/>
      <c r="AW771" s="86"/>
      <c r="AX771" s="86"/>
    </row>
    <row r="772" customFormat="false" ht="15.75" hidden="false" customHeight="false" outlineLevel="0" collapsed="false">
      <c r="AE772" s="90" t="n">
        <f aca="false">Data!A767</f>
        <v>41857</v>
      </c>
      <c r="AF772" s="17" t="n">
        <f aca="false">Data!B767</f>
        <v>94.75</v>
      </c>
      <c r="AG772" s="17" t="n">
        <f aca="false">Data!F767</f>
        <v>38558342</v>
      </c>
      <c r="AH772" s="17" t="n">
        <f aca="false">Data!C767</f>
        <v>95.48</v>
      </c>
      <c r="AI772" s="17" t="n">
        <f aca="false">Data!D767</f>
        <v>94.71</v>
      </c>
      <c r="AJ772" s="17" t="n">
        <f aca="false">Data!E767</f>
        <v>94.96</v>
      </c>
      <c r="AK772" s="17" t="n">
        <f aca="false">Data!F767</f>
        <v>38558342</v>
      </c>
      <c r="AL772" s="17" t="n">
        <f aca="false">AJ772</f>
        <v>94.96</v>
      </c>
      <c r="AM772" s="17" t="n">
        <f aca="false">(AL772-AL771)/AL772*100</f>
        <v>0.50547598989047</v>
      </c>
      <c r="AN772" s="17" t="n">
        <f aca="false">(AK772-AK771)/AK772*100</f>
        <v>-21.1441586362816</v>
      </c>
      <c r="AO772" s="17" t="str">
        <f aca="false">IF(AN772&lt;-8,"FITS BITCH",IF(AN772&gt;-8,"no"))</f>
        <v>FITS BITCH</v>
      </c>
      <c r="AP772" s="17" t="str">
        <f aca="false">IF(AH773&lt;AH772,"FITS BITCH",IF(AH773&gt;AH772,"no"))</f>
        <v>no</v>
      </c>
      <c r="AQ772" s="17" t="str">
        <f aca="false">IF(AI773&lt;AI772,"FITS BITCH",IF(AI773&gt;AI772,"no"))</f>
        <v>FITS BITCH</v>
      </c>
      <c r="AR772" s="17" t="str">
        <f aca="false">IF(AJ772&lt;AH773,"FITS BITCH",IF(AJ772&gt;AH773,"no"))</f>
        <v>FITS BITCH</v>
      </c>
      <c r="AS772" s="17" t="str">
        <f aca="false">IF(AJ772&gt;AJ773,"FITS BITCH",IF(AJ772&lt;AJ773,"no"))</f>
        <v>no</v>
      </c>
      <c r="AT772" s="91" t="str">
        <f aca="false">IF(AND($AO772="FITS BITCH",$AP772="FITS BITCH",$AR772="FITS BITCH"),"BULLISH","")</f>
        <v/>
      </c>
      <c r="AU772" s="91" t="str">
        <f aca="false">IF(AND($AO772="FITS BITCH",$AQ772="FITS BITCH",$AS772="FITS BITCH"),"BEARISH","")</f>
        <v/>
      </c>
      <c r="AV772" s="86"/>
      <c r="AW772" s="86"/>
      <c r="AX772" s="86"/>
    </row>
    <row r="773" customFormat="false" ht="15.75" hidden="false" customHeight="false" outlineLevel="0" collapsed="false">
      <c r="AE773" s="90" t="n">
        <f aca="false">Data!A768</f>
        <v>41856</v>
      </c>
      <c r="AF773" s="17" t="n">
        <f aca="false">Data!B768</f>
        <v>95.36</v>
      </c>
      <c r="AG773" s="17" t="n">
        <f aca="false">Data!F768</f>
        <v>55932663</v>
      </c>
      <c r="AH773" s="17" t="n">
        <f aca="false">Data!C768</f>
        <v>95.68</v>
      </c>
      <c r="AI773" s="17" t="n">
        <f aca="false">Data!D768</f>
        <v>94.36</v>
      </c>
      <c r="AJ773" s="17" t="n">
        <f aca="false">Data!E768</f>
        <v>95.12</v>
      </c>
      <c r="AK773" s="17" t="n">
        <f aca="false">Data!F768</f>
        <v>55932663</v>
      </c>
      <c r="AL773" s="17" t="n">
        <f aca="false">AJ773</f>
        <v>95.12</v>
      </c>
      <c r="AM773" s="17" t="n">
        <f aca="false">(AL773-AL772)/AL773*100</f>
        <v>0.168208578637522</v>
      </c>
      <c r="AN773" s="17" t="n">
        <f aca="false">(AK773-AK772)/AK773*100</f>
        <v>31.0629247171729</v>
      </c>
      <c r="AO773" s="17" t="str">
        <f aca="false">IF(AN773&lt;-8,"FITS BITCH",IF(AN773&gt;-8,"no"))</f>
        <v>no</v>
      </c>
      <c r="AP773" s="17" t="str">
        <f aca="false">IF(AH774&lt;AH773,"FITS BITCH",IF(AH774&gt;AH773,"no"))</f>
        <v>no</v>
      </c>
      <c r="AQ773" s="17" t="str">
        <f aca="false">IF(AI774&lt;AI773,"FITS BITCH",IF(AI774&gt;AI773,"no"))</f>
        <v>no</v>
      </c>
      <c r="AR773" s="17" t="str">
        <f aca="false">IF(AJ773&lt;AH774,"FITS BITCH",IF(AJ773&gt;AH774,"no"))</f>
        <v>FITS BITCH</v>
      </c>
      <c r="AS773" s="17" t="str">
        <f aca="false">IF(AJ773&gt;AJ774,"FITS BITCH",IF(AJ773&lt;AJ774,"no"))</f>
        <v>no</v>
      </c>
      <c r="AT773" s="91" t="str">
        <f aca="false">IF(AND($AO773="FITS BITCH",$AP773="FITS BITCH",$AR773="FITS BITCH"),"BULLISH","")</f>
        <v/>
      </c>
      <c r="AU773" s="91" t="str">
        <f aca="false">IF(AND($AO773="FITS BITCH",$AQ773="FITS BITCH",$AS773="FITS BITCH"),"BEARISH","")</f>
        <v/>
      </c>
      <c r="AV773" s="86"/>
      <c r="AW773" s="86"/>
      <c r="AX773" s="86"/>
    </row>
    <row r="774" customFormat="false" ht="15.75" hidden="false" customHeight="false" outlineLevel="0" collapsed="false">
      <c r="AE774" s="90" t="n">
        <f aca="false">Data!A769</f>
        <v>41855</v>
      </c>
      <c r="AF774" s="17" t="n">
        <f aca="false">Data!B769</f>
        <v>96.37</v>
      </c>
      <c r="AG774" s="17" t="n">
        <f aca="false">Data!F769</f>
        <v>39958144</v>
      </c>
      <c r="AH774" s="17" t="n">
        <f aca="false">Data!C769</f>
        <v>96.58</v>
      </c>
      <c r="AI774" s="17" t="n">
        <f aca="false">Data!D769</f>
        <v>95.17</v>
      </c>
      <c r="AJ774" s="17" t="n">
        <f aca="false">Data!E769</f>
        <v>95.59</v>
      </c>
      <c r="AK774" s="17" t="n">
        <f aca="false">Data!F769</f>
        <v>39958144</v>
      </c>
      <c r="AL774" s="17" t="n">
        <f aca="false">AJ774</f>
        <v>95.59</v>
      </c>
      <c r="AM774" s="17" t="n">
        <f aca="false">(AL774-AL773)/AL774*100</f>
        <v>0.491683230463436</v>
      </c>
      <c r="AN774" s="17" t="n">
        <f aca="false">(AK774-AK773)/AK774*100</f>
        <v>-39.9781306158764</v>
      </c>
      <c r="AO774" s="17" t="str">
        <f aca="false">IF(AN774&lt;-8,"FITS BITCH",IF(AN774&gt;-8,"no"))</f>
        <v>FITS BITCH</v>
      </c>
      <c r="AP774" s="17" t="str">
        <f aca="false">IF(AH775&lt;AH774,"FITS BITCH",IF(AH775&gt;AH774,"no"))</f>
        <v>no</v>
      </c>
      <c r="AQ774" s="17" t="str">
        <f aca="false">IF(AI775&lt;AI774,"FITS BITCH",IF(AI775&gt;AI774,"no"))</f>
        <v>FITS BITCH</v>
      </c>
      <c r="AR774" s="17" t="str">
        <f aca="false">IF(AJ774&lt;AH775,"FITS BITCH",IF(AJ774&gt;AH775,"no"))</f>
        <v>FITS BITCH</v>
      </c>
      <c r="AS774" s="17" t="str">
        <f aca="false">IF(AJ774&gt;AJ775,"FITS BITCH",IF(AJ774&lt;AJ775,"no"))</f>
        <v>no</v>
      </c>
      <c r="AT774" s="91" t="str">
        <f aca="false">IF(AND($AO774="FITS BITCH",$AP774="FITS BITCH",$AR774="FITS BITCH"),"BULLISH","")</f>
        <v/>
      </c>
      <c r="AU774" s="91" t="str">
        <f aca="false">IF(AND($AO774="FITS BITCH",$AQ774="FITS BITCH",$AS774="FITS BITCH"),"BEARISH","")</f>
        <v/>
      </c>
      <c r="AV774" s="86"/>
      <c r="AW774" s="86"/>
      <c r="AX774" s="86"/>
    </row>
    <row r="775" customFormat="false" ht="15.75" hidden="false" customHeight="false" outlineLevel="0" collapsed="false">
      <c r="AE775" s="90" t="n">
        <f aca="false">Data!A770</f>
        <v>41852</v>
      </c>
      <c r="AF775" s="17" t="n">
        <f aca="false">Data!B770</f>
        <v>94.9</v>
      </c>
      <c r="AG775" s="17" t="n">
        <f aca="false">Data!F770</f>
        <v>48511286</v>
      </c>
      <c r="AH775" s="17" t="n">
        <f aca="false">Data!C770</f>
        <v>96.62</v>
      </c>
      <c r="AI775" s="17" t="n">
        <f aca="false">Data!D770</f>
        <v>94.81</v>
      </c>
      <c r="AJ775" s="17" t="n">
        <f aca="false">Data!E770</f>
        <v>96.13</v>
      </c>
      <c r="AK775" s="17" t="n">
        <f aca="false">Data!F770</f>
        <v>48511286</v>
      </c>
      <c r="AL775" s="17" t="n">
        <f aca="false">AJ775</f>
        <v>96.13</v>
      </c>
      <c r="AM775" s="17" t="n">
        <f aca="false">(AL775-AL774)/AL775*100</f>
        <v>0.561739311349206</v>
      </c>
      <c r="AN775" s="17" t="n">
        <f aca="false">(AK775-AK774)/AK775*100</f>
        <v>17.6312415218182</v>
      </c>
      <c r="AO775" s="17" t="str">
        <f aca="false">IF(AN775&lt;-8,"FITS BITCH",IF(AN775&gt;-8,"no"))</f>
        <v>no</v>
      </c>
      <c r="AP775" s="17" t="str">
        <f aca="false">IF(AH776&lt;AH775,"FITS BITCH",IF(AH776&gt;AH775,"no"))</f>
        <v>no</v>
      </c>
      <c r="AQ775" s="17" t="str">
        <f aca="false">IF(AI776&lt;AI775,"FITS BITCH",IF(AI776&gt;AI775,"no"))</f>
        <v>no</v>
      </c>
      <c r="AR775" s="17" t="str">
        <f aca="false">IF(AJ775&lt;AH776,"FITS BITCH",IF(AJ775&gt;AH776,"no"))</f>
        <v>FITS BITCH</v>
      </c>
      <c r="AS775" s="17" t="str">
        <f aca="false">IF(AJ775&gt;AJ776,"FITS BITCH",IF(AJ775&lt;AJ776,"no"))</f>
        <v>FITS BITCH</v>
      </c>
      <c r="AT775" s="91" t="str">
        <f aca="false">IF(AND($AO775="FITS BITCH",$AP775="FITS BITCH",$AR775="FITS BITCH"),"BULLISH","")</f>
        <v/>
      </c>
      <c r="AU775" s="91" t="str">
        <f aca="false">IF(AND($AO775="FITS BITCH",$AQ775="FITS BITCH",$AS775="FITS BITCH"),"BEARISH","")</f>
        <v/>
      </c>
      <c r="AV775" s="86"/>
      <c r="AW775" s="86"/>
      <c r="AX775" s="86"/>
    </row>
    <row r="776" customFormat="false" ht="15.75" hidden="false" customHeight="false" outlineLevel="0" collapsed="false">
      <c r="AE776" s="90" t="n">
        <f aca="false">Data!A771</f>
        <v>41851</v>
      </c>
      <c r="AF776" s="17" t="n">
        <f aca="false">Data!B771</f>
        <v>97.16</v>
      </c>
      <c r="AG776" s="17" t="n">
        <f aca="false">Data!F771</f>
        <v>56842647</v>
      </c>
      <c r="AH776" s="17" t="n">
        <f aca="false">Data!C771</f>
        <v>97.45</v>
      </c>
      <c r="AI776" s="17" t="n">
        <f aca="false">Data!D771</f>
        <v>95.33</v>
      </c>
      <c r="AJ776" s="17" t="n">
        <f aca="false">Data!E771</f>
        <v>95.6</v>
      </c>
      <c r="AK776" s="17" t="n">
        <f aca="false">Data!F771</f>
        <v>56842647</v>
      </c>
      <c r="AL776" s="17" t="n">
        <f aca="false">AJ776</f>
        <v>95.6</v>
      </c>
      <c r="AM776" s="17" t="n">
        <f aca="false">(AL776-AL775)/AL776*100</f>
        <v>-0.554393305439332</v>
      </c>
      <c r="AN776" s="17" t="n">
        <f aca="false">(AK776-AK775)/AK776*100</f>
        <v>14.6568842932315</v>
      </c>
      <c r="AO776" s="17" t="str">
        <f aca="false">IF(AN776&lt;-8,"FITS BITCH",IF(AN776&gt;-8,"no"))</f>
        <v>no</v>
      </c>
      <c r="AP776" s="17" t="str">
        <f aca="false">IF(AH777&lt;AH776,"FITS BITCH",IF(AH777&gt;AH776,"no"))</f>
        <v>no</v>
      </c>
      <c r="AQ776" s="17" t="str">
        <f aca="false">IF(AI777&lt;AI776,"FITS BITCH",IF(AI777&gt;AI776,"no"))</f>
        <v>no</v>
      </c>
      <c r="AR776" s="17" t="str">
        <f aca="false">IF(AJ776&lt;AH777,"FITS BITCH",IF(AJ776&gt;AH777,"no"))</f>
        <v>FITS BITCH</v>
      </c>
      <c r="AS776" s="17" t="str">
        <f aca="false">IF(AJ776&gt;AJ777,"FITS BITCH",IF(AJ776&lt;AJ777,"no"))</f>
        <v>no</v>
      </c>
      <c r="AT776" s="91" t="str">
        <f aca="false">IF(AND($AO776="FITS BITCH",$AP776="FITS BITCH",$AR776="FITS BITCH"),"BULLISH","")</f>
        <v/>
      </c>
      <c r="AU776" s="91" t="str">
        <f aca="false">IF(AND($AO776="FITS BITCH",$AQ776="FITS BITCH",$AS776="FITS BITCH"),"BEARISH","")</f>
        <v/>
      </c>
      <c r="AV776" s="86"/>
      <c r="AW776" s="86"/>
      <c r="AX776" s="86"/>
    </row>
    <row r="777" customFormat="false" ht="15.75" hidden="false" customHeight="false" outlineLevel="0" collapsed="false">
      <c r="AE777" s="90" t="n">
        <f aca="false">Data!A772</f>
        <v>41850</v>
      </c>
      <c r="AF777" s="17" t="n">
        <f aca="false">Data!B772</f>
        <v>98.44</v>
      </c>
      <c r="AG777" s="17" t="n">
        <f aca="false">Data!F772</f>
        <v>33010001</v>
      </c>
      <c r="AH777" s="17" t="n">
        <f aca="false">Data!C772</f>
        <v>98.7</v>
      </c>
      <c r="AI777" s="17" t="n">
        <f aca="false">Data!D772</f>
        <v>97.67</v>
      </c>
      <c r="AJ777" s="17" t="n">
        <f aca="false">Data!E772</f>
        <v>98.15</v>
      </c>
      <c r="AK777" s="17" t="n">
        <f aca="false">Data!F772</f>
        <v>33010001</v>
      </c>
      <c r="AL777" s="17" t="n">
        <f aca="false">AJ777</f>
        <v>98.15</v>
      </c>
      <c r="AM777" s="17" t="n">
        <f aca="false">(AL777-AL776)/AL777*100</f>
        <v>2.59806418746817</v>
      </c>
      <c r="AN777" s="17" t="n">
        <f aca="false">(AK777-AK776)/AK777*100</f>
        <v>-72.1982589458268</v>
      </c>
      <c r="AO777" s="17" t="str">
        <f aca="false">IF(AN777&lt;-8,"FITS BITCH",IF(AN777&gt;-8,"no"))</f>
        <v>FITS BITCH</v>
      </c>
      <c r="AP777" s="17" t="str">
        <f aca="false">IF(AH778&lt;AH777,"FITS BITCH",IF(AH778&gt;AH777,"no"))</f>
        <v>no</v>
      </c>
      <c r="AQ777" s="17" t="str">
        <f aca="false">IF(AI778&lt;AI777,"FITS BITCH",IF(AI778&gt;AI777,"no"))</f>
        <v>no</v>
      </c>
      <c r="AR777" s="17" t="str">
        <f aca="false">IF(AJ777&lt;AH778,"FITS BITCH",IF(AJ777&gt;AH778,"no"))</f>
        <v>FITS BITCH</v>
      </c>
      <c r="AS777" s="17" t="str">
        <f aca="false">IF(AJ777&gt;AJ778,"FITS BITCH",IF(AJ777&lt;AJ778,"no"))</f>
        <v>no</v>
      </c>
      <c r="AT777" s="91" t="str">
        <f aca="false">IF(AND($AO777="FITS BITCH",$AP777="FITS BITCH",$AR777="FITS BITCH"),"BULLISH","")</f>
        <v/>
      </c>
      <c r="AU777" s="91" t="str">
        <f aca="false">IF(AND($AO777="FITS BITCH",$AQ777="FITS BITCH",$AS777="FITS BITCH"),"BEARISH","")</f>
        <v/>
      </c>
      <c r="AV777" s="86"/>
      <c r="AW777" s="86"/>
      <c r="AX777" s="86"/>
    </row>
    <row r="778" customFormat="false" ht="15.75" hidden="false" customHeight="false" outlineLevel="0" collapsed="false">
      <c r="AE778" s="90" t="n">
        <f aca="false">Data!A773</f>
        <v>41849</v>
      </c>
      <c r="AF778" s="17" t="n">
        <f aca="false">Data!B773</f>
        <v>99.33</v>
      </c>
      <c r="AG778" s="17" t="n">
        <f aca="false">Data!F773</f>
        <v>43143095</v>
      </c>
      <c r="AH778" s="17" t="n">
        <f aca="false">Data!C773</f>
        <v>99.44</v>
      </c>
      <c r="AI778" s="17" t="n">
        <f aca="false">Data!D773</f>
        <v>98.25</v>
      </c>
      <c r="AJ778" s="17" t="n">
        <f aca="false">Data!E773</f>
        <v>98.38</v>
      </c>
      <c r="AK778" s="17" t="n">
        <f aca="false">Data!F773</f>
        <v>43143095</v>
      </c>
      <c r="AL778" s="17" t="n">
        <f aca="false">AJ778</f>
        <v>98.38</v>
      </c>
      <c r="AM778" s="17" t="n">
        <f aca="false">(AL778-AL777)/AL778*100</f>
        <v>0.233787355153476</v>
      </c>
      <c r="AN778" s="17" t="n">
        <f aca="false">(AK778-AK777)/AK778*100</f>
        <v>23.4871744829619</v>
      </c>
      <c r="AO778" s="17" t="str">
        <f aca="false">IF(AN778&lt;-8,"FITS BITCH",IF(AN778&gt;-8,"no"))</f>
        <v>no</v>
      </c>
      <c r="AP778" s="17" t="str">
        <f aca="false">IF(AH779&lt;AH778,"FITS BITCH",IF(AH779&gt;AH778,"no"))</f>
        <v>FITS BITCH</v>
      </c>
      <c r="AQ778" s="17" t="str">
        <f aca="false">IF(AI779&lt;AI778,"FITS BITCH",IF(AI779&gt;AI778,"no"))</f>
        <v>FITS BITCH</v>
      </c>
      <c r="AR778" s="17" t="str">
        <f aca="false">IF(AJ778&lt;AH779,"FITS BITCH",IF(AJ778&gt;AH779,"no"))</f>
        <v>FITS BITCH</v>
      </c>
      <c r="AS778" s="17" t="str">
        <f aca="false">IF(AJ778&gt;AJ779,"FITS BITCH",IF(AJ778&lt;AJ779,"no"))</f>
        <v>no</v>
      </c>
      <c r="AT778" s="91" t="str">
        <f aca="false">IF(AND($AO778="FITS BITCH",$AP778="FITS BITCH",$AR778="FITS BITCH"),"BULLISH","")</f>
        <v/>
      </c>
      <c r="AU778" s="91" t="str">
        <f aca="false">IF(AND($AO778="FITS BITCH",$AQ778="FITS BITCH",$AS778="FITS BITCH"),"BEARISH","")</f>
        <v/>
      </c>
      <c r="AV778" s="86"/>
      <c r="AW778" s="86"/>
      <c r="AX778" s="86"/>
    </row>
    <row r="779" customFormat="false" ht="15.75" hidden="false" customHeight="false" outlineLevel="0" collapsed="false">
      <c r="AE779" s="90" t="n">
        <f aca="false">Data!A774</f>
        <v>41848</v>
      </c>
      <c r="AF779" s="17" t="n">
        <f aca="false">Data!B774</f>
        <v>97.82</v>
      </c>
      <c r="AG779" s="17" t="n">
        <f aca="false">Data!F774</f>
        <v>55317689</v>
      </c>
      <c r="AH779" s="17" t="n">
        <f aca="false">Data!C774</f>
        <v>99.24</v>
      </c>
      <c r="AI779" s="17" t="n">
        <f aca="false">Data!D774</f>
        <v>97.55</v>
      </c>
      <c r="AJ779" s="17" t="n">
        <f aca="false">Data!E774</f>
        <v>99.02</v>
      </c>
      <c r="AK779" s="17" t="n">
        <f aca="false">Data!F774</f>
        <v>55317689</v>
      </c>
      <c r="AL779" s="17" t="n">
        <f aca="false">AJ779</f>
        <v>99.02</v>
      </c>
      <c r="AM779" s="17" t="n">
        <f aca="false">(AL779-AL778)/AL779*100</f>
        <v>0.64633407392446</v>
      </c>
      <c r="AN779" s="17" t="n">
        <f aca="false">(AK779-AK778)/AK779*100</f>
        <v>22.0085007528062</v>
      </c>
      <c r="AO779" s="17" t="str">
        <f aca="false">IF(AN779&lt;-8,"FITS BITCH",IF(AN779&gt;-8,"no"))</f>
        <v>no</v>
      </c>
      <c r="AP779" s="17" t="str">
        <f aca="false">IF(AH780&lt;AH779,"FITS BITCH",IF(AH780&gt;AH779,"no"))</f>
        <v>FITS BITCH</v>
      </c>
      <c r="AQ779" s="17" t="str">
        <f aca="false">IF(AI780&lt;AI779,"FITS BITCH",IF(AI780&gt;AI779,"no"))</f>
        <v>FITS BITCH</v>
      </c>
      <c r="AR779" s="17" t="str">
        <f aca="false">IF(AJ779&lt;AH780,"FITS BITCH",IF(AJ779&gt;AH780,"no"))</f>
        <v>no</v>
      </c>
      <c r="AS779" s="17" t="str">
        <f aca="false">IF(AJ779&gt;AJ780,"FITS BITCH",IF(AJ779&lt;AJ780,"no"))</f>
        <v>FITS BITCH</v>
      </c>
      <c r="AT779" s="91" t="str">
        <f aca="false">IF(AND($AO779="FITS BITCH",$AP779="FITS BITCH",$AR779="FITS BITCH"),"BULLISH","")</f>
        <v/>
      </c>
      <c r="AU779" s="91" t="str">
        <f aca="false">IF(AND($AO779="FITS BITCH",$AQ779="FITS BITCH",$AS779="FITS BITCH"),"BEARISH","")</f>
        <v/>
      </c>
      <c r="AV779" s="86"/>
      <c r="AW779" s="86"/>
      <c r="AX779" s="86"/>
    </row>
    <row r="780" customFormat="false" ht="15.75" hidden="false" customHeight="false" outlineLevel="0" collapsed="false">
      <c r="AE780" s="90" t="n">
        <f aca="false">Data!A775</f>
        <v>41845</v>
      </c>
      <c r="AF780" s="17" t="n">
        <f aca="false">Data!B775</f>
        <v>96.85</v>
      </c>
      <c r="AG780" s="17" t="n">
        <f aca="false">Data!F775</f>
        <v>43469117</v>
      </c>
      <c r="AH780" s="17" t="n">
        <f aca="false">Data!C775</f>
        <v>97.84</v>
      </c>
      <c r="AI780" s="17" t="n">
        <f aca="false">Data!D775</f>
        <v>96.64</v>
      </c>
      <c r="AJ780" s="17" t="n">
        <f aca="false">Data!E775</f>
        <v>97.67</v>
      </c>
      <c r="AK780" s="17" t="n">
        <f aca="false">Data!F775</f>
        <v>43469117</v>
      </c>
      <c r="AL780" s="17" t="n">
        <f aca="false">AJ780</f>
        <v>97.67</v>
      </c>
      <c r="AM780" s="17" t="n">
        <f aca="false">(AL780-AL779)/AL780*100</f>
        <v>-1.38220538548172</v>
      </c>
      <c r="AN780" s="17" t="n">
        <f aca="false">(AK780-AK779)/AK780*100</f>
        <v>-27.2574480866497</v>
      </c>
      <c r="AO780" s="17" t="str">
        <f aca="false">IF(AN780&lt;-8,"FITS BITCH",IF(AN780&gt;-8,"no"))</f>
        <v>FITS BITCH</v>
      </c>
      <c r="AP780" s="17" t="str">
        <f aca="false">IF(AH781&lt;AH780,"FITS BITCH",IF(AH781&gt;AH780,"no"))</f>
        <v>FITS BITCH</v>
      </c>
      <c r="AQ780" s="17" t="str">
        <f aca="false">IF(AI781&lt;AI780,"FITS BITCH",IF(AI781&gt;AI780,"no"))</f>
        <v>FITS BITCH</v>
      </c>
      <c r="AR780" s="17" t="str">
        <f aca="false">IF(AJ780&lt;AH781,"FITS BITCH",IF(AJ780&gt;AH781,"no"))</f>
        <v>no</v>
      </c>
      <c r="AS780" s="17" t="str">
        <f aca="false">IF(AJ780&gt;AJ781,"FITS BITCH",IF(AJ780&lt;AJ781,"no"))</f>
        <v>FITS BITCH</v>
      </c>
      <c r="AT780" s="91" t="str">
        <f aca="false">IF(AND($AO780="FITS BITCH",$AP780="FITS BITCH",$AR780="FITS BITCH"),"BULLISH","")</f>
        <v/>
      </c>
      <c r="AU780" s="91" t="str">
        <f aca="false">IF(AND($AO780="FITS BITCH",$AQ780="FITS BITCH",$AS780="FITS BITCH"),"BEARISH","")</f>
        <v>BEARISH</v>
      </c>
      <c r="AV780" s="86"/>
      <c r="AW780" s="86"/>
      <c r="AX780" s="86"/>
    </row>
    <row r="781" customFormat="false" ht="15.75" hidden="false" customHeight="false" outlineLevel="0" collapsed="false">
      <c r="AE781" s="90" t="n">
        <f aca="false">Data!A776</f>
        <v>41844</v>
      </c>
      <c r="AF781" s="17" t="n">
        <f aca="false">Data!B776</f>
        <v>97.04</v>
      </c>
      <c r="AG781" s="17" t="n">
        <f aca="false">Data!F776</f>
        <v>45728843</v>
      </c>
      <c r="AH781" s="17" t="n">
        <f aca="false">Data!C776</f>
        <v>97.32</v>
      </c>
      <c r="AI781" s="17" t="n">
        <f aca="false">Data!D776</f>
        <v>96.42</v>
      </c>
      <c r="AJ781" s="17" t="n">
        <f aca="false">Data!E776</f>
        <v>97.03</v>
      </c>
      <c r="AK781" s="17" t="n">
        <f aca="false">Data!F776</f>
        <v>45728843</v>
      </c>
      <c r="AL781" s="17" t="n">
        <f aca="false">AJ781</f>
        <v>97.03</v>
      </c>
      <c r="AM781" s="17" t="n">
        <f aca="false">(AL781-AL780)/AL781*100</f>
        <v>-0.659589817582192</v>
      </c>
      <c r="AN781" s="17" t="n">
        <f aca="false">(AK781-AK780)/AK781*100</f>
        <v>4.94157702612332</v>
      </c>
      <c r="AO781" s="17" t="str">
        <f aca="false">IF(AN781&lt;-8,"FITS BITCH",IF(AN781&gt;-8,"no"))</f>
        <v>no</v>
      </c>
      <c r="AP781" s="17" t="str">
        <f aca="false">IF(AH782&lt;AH781,"FITS BITCH",IF(AH782&gt;AH781,"no"))</f>
        <v>no</v>
      </c>
      <c r="AQ781" s="17" t="str">
        <f aca="false">IF(AI782&lt;AI781,"FITS BITCH",IF(AI782&gt;AI781,"no"))</f>
        <v>FITS BITCH</v>
      </c>
      <c r="AR781" s="17" t="str">
        <f aca="false">IF(AJ781&lt;AH782,"FITS BITCH",IF(AJ781&gt;AH782,"no"))</f>
        <v>FITS BITCH</v>
      </c>
      <c r="AS781" s="17" t="str">
        <f aca="false">IF(AJ781&gt;AJ782,"FITS BITCH",IF(AJ781&lt;AJ782,"no"))</f>
        <v>no</v>
      </c>
      <c r="AT781" s="91" t="str">
        <f aca="false">IF(AND($AO781="FITS BITCH",$AP781="FITS BITCH",$AR781="FITS BITCH"),"BULLISH","")</f>
        <v/>
      </c>
      <c r="AU781" s="91" t="str">
        <f aca="false">IF(AND($AO781="FITS BITCH",$AQ781="FITS BITCH",$AS781="FITS BITCH"),"BEARISH","")</f>
        <v/>
      </c>
      <c r="AV781" s="86"/>
      <c r="AW781" s="86"/>
      <c r="AX781" s="86"/>
    </row>
    <row r="782" customFormat="false" ht="15.75" hidden="false" customHeight="false" outlineLevel="0" collapsed="false">
      <c r="AE782" s="90" t="n">
        <f aca="false">Data!A777</f>
        <v>41843</v>
      </c>
      <c r="AF782" s="17" t="n">
        <f aca="false">Data!B777</f>
        <v>95.42</v>
      </c>
      <c r="AG782" s="17" t="n">
        <f aca="false">Data!F777</f>
        <v>92917719</v>
      </c>
      <c r="AH782" s="17" t="n">
        <f aca="false">Data!C777</f>
        <v>97.88</v>
      </c>
      <c r="AI782" s="17" t="n">
        <f aca="false">Data!D777</f>
        <v>95.17</v>
      </c>
      <c r="AJ782" s="17" t="n">
        <f aca="false">Data!E777</f>
        <v>97.19</v>
      </c>
      <c r="AK782" s="17" t="n">
        <f aca="false">Data!F777</f>
        <v>92917719</v>
      </c>
      <c r="AL782" s="17" t="n">
        <f aca="false">AJ782</f>
        <v>97.19</v>
      </c>
      <c r="AM782" s="17" t="n">
        <f aca="false">(AL782-AL781)/AL782*100</f>
        <v>0.16462599032822</v>
      </c>
      <c r="AN782" s="17" t="n">
        <f aca="false">(AK782-AK781)/AK782*100</f>
        <v>50.7856590840333</v>
      </c>
      <c r="AO782" s="17" t="str">
        <f aca="false">IF(AN782&lt;-8,"FITS BITCH",IF(AN782&gt;-8,"no"))</f>
        <v>no</v>
      </c>
      <c r="AP782" s="17" t="str">
        <f aca="false">IF(AH783&lt;AH782,"FITS BITCH",IF(AH783&gt;AH782,"no"))</f>
        <v>FITS BITCH</v>
      </c>
      <c r="AQ782" s="17" t="str">
        <f aca="false">IF(AI783&lt;AI782,"FITS BITCH",IF(AI783&gt;AI782,"no"))</f>
        <v>FITS BITCH</v>
      </c>
      <c r="AR782" s="17" t="str">
        <f aca="false">IF(AJ782&lt;AH783,"FITS BITCH",IF(AJ782&gt;AH783,"no"))</f>
        <v>no</v>
      </c>
      <c r="AS782" s="17" t="str">
        <f aca="false">IF(AJ782&gt;AJ783,"FITS BITCH",IF(AJ782&lt;AJ783,"no"))</f>
        <v>FITS BITCH</v>
      </c>
      <c r="AT782" s="91" t="str">
        <f aca="false">IF(AND($AO782="FITS BITCH",$AP782="FITS BITCH",$AR782="FITS BITCH"),"BULLISH","")</f>
        <v/>
      </c>
      <c r="AU782" s="91" t="str">
        <f aca="false">IF(AND($AO782="FITS BITCH",$AQ782="FITS BITCH",$AS782="FITS BITCH"),"BEARISH","")</f>
        <v/>
      </c>
      <c r="AV782" s="86"/>
      <c r="AW782" s="86"/>
      <c r="AX782" s="86"/>
    </row>
    <row r="783" customFormat="false" ht="15.75" hidden="false" customHeight="false" outlineLevel="0" collapsed="false">
      <c r="AE783" s="90" t="n">
        <f aca="false">Data!A778</f>
        <v>41842</v>
      </c>
      <c r="AF783" s="17" t="n">
        <f aca="false">Data!B778</f>
        <v>94.68</v>
      </c>
      <c r="AG783" s="17" t="n">
        <f aca="false">Data!F778</f>
        <v>55196597</v>
      </c>
      <c r="AH783" s="17" t="n">
        <f aca="false">Data!C778</f>
        <v>94.89</v>
      </c>
      <c r="AI783" s="17" t="n">
        <f aca="false">Data!D778</f>
        <v>94.12</v>
      </c>
      <c r="AJ783" s="17" t="n">
        <f aca="false">Data!E778</f>
        <v>94.72</v>
      </c>
      <c r="AK783" s="17" t="n">
        <f aca="false">Data!F778</f>
        <v>55196597</v>
      </c>
      <c r="AL783" s="17" t="n">
        <f aca="false">AJ783</f>
        <v>94.72</v>
      </c>
      <c r="AM783" s="17" t="n">
        <f aca="false">(AL783-AL782)/AL783*100</f>
        <v>-2.60768581081081</v>
      </c>
      <c r="AN783" s="17" t="n">
        <f aca="false">(AK783-AK782)/AK783*100</f>
        <v>-68.3395789780301</v>
      </c>
      <c r="AO783" s="17" t="str">
        <f aca="false">IF(AN783&lt;-8,"FITS BITCH",IF(AN783&gt;-8,"no"))</f>
        <v>FITS BITCH</v>
      </c>
      <c r="AP783" s="17" t="str">
        <f aca="false">IF(AH784&lt;AH783,"FITS BITCH",IF(AH784&gt;AH783,"no"))</f>
        <v>no</v>
      </c>
      <c r="AQ783" s="17" t="str">
        <f aca="false">IF(AI784&lt;AI783,"FITS BITCH",IF(AI784&gt;AI783,"no"))</f>
        <v>FITS BITCH</v>
      </c>
      <c r="AR783" s="17" t="str">
        <f aca="false">IF(AJ783&lt;AH784,"FITS BITCH",IF(AJ783&gt;AH784,"no"))</f>
        <v>FITS BITCH</v>
      </c>
      <c r="AS783" s="17" t="str">
        <f aca="false">IF(AJ783&gt;AJ784,"FITS BITCH",IF(AJ783&lt;AJ784,"no"))</f>
        <v>FITS BITCH</v>
      </c>
      <c r="AT783" s="91" t="str">
        <f aca="false">IF(AND($AO783="FITS BITCH",$AP783="FITS BITCH",$AR783="FITS BITCH"),"BULLISH","")</f>
        <v/>
      </c>
      <c r="AU783" s="91" t="str">
        <f aca="false">IF(AND($AO783="FITS BITCH",$AQ783="FITS BITCH",$AS783="FITS BITCH"),"BEARISH","")</f>
        <v>BEARISH</v>
      </c>
      <c r="AV783" s="86"/>
      <c r="AW783" s="86"/>
      <c r="AX783" s="86"/>
    </row>
    <row r="784" customFormat="false" ht="15.75" hidden="false" customHeight="false" outlineLevel="0" collapsed="false">
      <c r="AE784" s="90" t="n">
        <f aca="false">Data!A779</f>
        <v>41841</v>
      </c>
      <c r="AF784" s="17" t="n">
        <f aca="false">Data!B779</f>
        <v>94.99</v>
      </c>
      <c r="AG784" s="17" t="n">
        <f aca="false">Data!F779</f>
        <v>39079002</v>
      </c>
      <c r="AH784" s="17" t="n">
        <f aca="false">Data!C779</f>
        <v>95</v>
      </c>
      <c r="AI784" s="17" t="n">
        <f aca="false">Data!D779</f>
        <v>93.72</v>
      </c>
      <c r="AJ784" s="17" t="n">
        <f aca="false">Data!E779</f>
        <v>93.94</v>
      </c>
      <c r="AK784" s="17" t="n">
        <f aca="false">Data!F779</f>
        <v>39079002</v>
      </c>
      <c r="AL784" s="17" t="n">
        <f aca="false">AJ784</f>
        <v>93.94</v>
      </c>
      <c r="AM784" s="17" t="n">
        <f aca="false">(AL784-AL783)/AL784*100</f>
        <v>-0.830317223759848</v>
      </c>
      <c r="AN784" s="17" t="n">
        <f aca="false">(AK784-AK783)/AK784*100</f>
        <v>-41.2436197833302</v>
      </c>
      <c r="AO784" s="17" t="str">
        <f aca="false">IF(AN784&lt;-8,"FITS BITCH",IF(AN784&gt;-8,"no"))</f>
        <v>FITS BITCH</v>
      </c>
      <c r="AP784" s="17" t="str">
        <f aca="false">IF(AH785&lt;AH784,"FITS BITCH",IF(AH785&gt;AH784,"no"))</f>
        <v>FITS BITCH</v>
      </c>
      <c r="AQ784" s="17" t="str">
        <f aca="false">IF(AI785&lt;AI784,"FITS BITCH",IF(AI785&gt;AI784,"no"))</f>
        <v>FITS BITCH</v>
      </c>
      <c r="AR784" s="17" t="str">
        <f aca="false">IF(AJ784&lt;AH785,"FITS BITCH",IF(AJ784&gt;AH785,"no"))</f>
        <v>FITS BITCH</v>
      </c>
      <c r="AS784" s="17" t="str">
        <f aca="false">IF(AJ784&gt;AJ785,"FITS BITCH",IF(AJ784&lt;AJ785,"no"))</f>
        <v>no</v>
      </c>
      <c r="AT784" s="91" t="str">
        <f aca="false">IF(AND($AO784="FITS BITCH",$AP784="FITS BITCH",$AR784="FITS BITCH"),"BULLISH","")</f>
        <v>BULLISH</v>
      </c>
      <c r="AU784" s="91" t="str">
        <f aca="false">IF(AND($AO784="FITS BITCH",$AQ784="FITS BITCH",$AS784="FITS BITCH"),"BEARISH","")</f>
        <v/>
      </c>
      <c r="AV784" s="86"/>
      <c r="AW784" s="86"/>
      <c r="AX784" s="86"/>
    </row>
    <row r="785" customFormat="false" ht="15.75" hidden="false" customHeight="false" outlineLevel="0" collapsed="false">
      <c r="AE785" s="90" t="n">
        <f aca="false">Data!A780</f>
        <v>41838</v>
      </c>
      <c r="AF785" s="17" t="n">
        <f aca="false">Data!B780</f>
        <v>93.62</v>
      </c>
      <c r="AG785" s="17" t="n">
        <f aca="false">Data!F780</f>
        <v>49987593</v>
      </c>
      <c r="AH785" s="17" t="n">
        <f aca="false">Data!C780</f>
        <v>94.74</v>
      </c>
      <c r="AI785" s="17" t="n">
        <f aca="false">Data!D780</f>
        <v>93.02</v>
      </c>
      <c r="AJ785" s="17" t="n">
        <f aca="false">Data!E780</f>
        <v>94.43</v>
      </c>
      <c r="AK785" s="17" t="n">
        <f aca="false">Data!F780</f>
        <v>49987593</v>
      </c>
      <c r="AL785" s="17" t="n">
        <f aca="false">AJ785</f>
        <v>94.43</v>
      </c>
      <c r="AM785" s="17" t="n">
        <f aca="false">(AL785-AL784)/AL785*100</f>
        <v>0.518902891030403</v>
      </c>
      <c r="AN785" s="17" t="n">
        <f aca="false">(AK785-AK784)/AK785*100</f>
        <v>21.8225970592343</v>
      </c>
      <c r="AO785" s="17" t="str">
        <f aca="false">IF(AN785&lt;-8,"FITS BITCH",IF(AN785&gt;-8,"no"))</f>
        <v>no</v>
      </c>
      <c r="AP785" s="17" t="str">
        <f aca="false">IF(AH786&lt;AH785,"FITS BITCH",IF(AH786&gt;AH785,"no"))</f>
        <v>no</v>
      </c>
      <c r="AQ785" s="17" t="str">
        <f aca="false">IF(AI786&lt;AI785,"FITS BITCH",IF(AI786&gt;AI785,"no"))</f>
        <v>FITS BITCH</v>
      </c>
      <c r="AR785" s="17" t="str">
        <f aca="false">IF(AJ785&lt;AH786,"FITS BITCH",IF(AJ785&gt;AH786,"no"))</f>
        <v>FITS BITCH</v>
      </c>
      <c r="AS785" s="17" t="str">
        <f aca="false">IF(AJ785&gt;AJ786,"FITS BITCH",IF(AJ785&lt;AJ786,"no"))</f>
        <v>FITS BITCH</v>
      </c>
      <c r="AT785" s="91" t="str">
        <f aca="false">IF(AND($AO785="FITS BITCH",$AP785="FITS BITCH",$AR785="FITS BITCH"),"BULLISH","")</f>
        <v/>
      </c>
      <c r="AU785" s="91" t="str">
        <f aca="false">IF(AND($AO785="FITS BITCH",$AQ785="FITS BITCH",$AS785="FITS BITCH"),"BEARISH","")</f>
        <v/>
      </c>
      <c r="AV785" s="86"/>
      <c r="AW785" s="86"/>
      <c r="AX785" s="86"/>
    </row>
    <row r="786" customFormat="false" ht="15.75" hidden="false" customHeight="false" outlineLevel="0" collapsed="false">
      <c r="AE786" s="90" t="n">
        <f aca="false">Data!A781</f>
        <v>41837</v>
      </c>
      <c r="AF786" s="17" t="n">
        <f aca="false">Data!B781</f>
        <v>95.03</v>
      </c>
      <c r="AG786" s="17" t="n">
        <f aca="false">Data!F781</f>
        <v>57298243</v>
      </c>
      <c r="AH786" s="17" t="n">
        <f aca="false">Data!C781</f>
        <v>95.28</v>
      </c>
      <c r="AI786" s="17" t="n">
        <f aca="false">Data!D781</f>
        <v>92.57</v>
      </c>
      <c r="AJ786" s="17" t="n">
        <f aca="false">Data!E781</f>
        <v>93.09</v>
      </c>
      <c r="AK786" s="17" t="n">
        <f aca="false">Data!F781</f>
        <v>57298243</v>
      </c>
      <c r="AL786" s="17" t="n">
        <f aca="false">AJ786</f>
        <v>93.09</v>
      </c>
      <c r="AM786" s="17" t="n">
        <f aca="false">(AL786-AL785)/AL786*100</f>
        <v>-1.43946718229671</v>
      </c>
      <c r="AN786" s="17" t="n">
        <f aca="false">(AK786-AK785)/AK786*100</f>
        <v>12.75894271313</v>
      </c>
      <c r="AO786" s="17" t="str">
        <f aca="false">IF(AN786&lt;-8,"FITS BITCH",IF(AN786&gt;-8,"no"))</f>
        <v>no</v>
      </c>
      <c r="AP786" s="17" t="str">
        <f aca="false">IF(AH787&lt;AH786,"FITS BITCH",IF(AH787&gt;AH786,"no"))</f>
        <v>no</v>
      </c>
      <c r="AQ786" s="17" t="str">
        <f aca="false">IF(AI787&lt;AI786,"FITS BITCH",IF(AI787&gt;AI786,"no"))</f>
        <v>no</v>
      </c>
      <c r="AR786" s="17" t="str">
        <f aca="false">IF(AJ786&lt;AH787,"FITS BITCH",IF(AJ786&gt;AH787,"no"))</f>
        <v>FITS BITCH</v>
      </c>
      <c r="AS786" s="17" t="str">
        <f aca="false">IF(AJ786&gt;AJ787,"FITS BITCH",IF(AJ786&lt;AJ787,"no"))</f>
        <v>no</v>
      </c>
      <c r="AT786" s="91" t="str">
        <f aca="false">IF(AND($AO786="FITS BITCH",$AP786="FITS BITCH",$AR786="FITS BITCH"),"BULLISH","")</f>
        <v/>
      </c>
      <c r="AU786" s="91" t="str">
        <f aca="false">IF(AND($AO786="FITS BITCH",$AQ786="FITS BITCH",$AS786="FITS BITCH"),"BEARISH","")</f>
        <v/>
      </c>
      <c r="AV786" s="86"/>
      <c r="AW786" s="86"/>
      <c r="AX786" s="86"/>
    </row>
    <row r="787" customFormat="false" ht="15.75" hidden="false" customHeight="false" outlineLevel="0" collapsed="false">
      <c r="AE787" s="90" t="n">
        <f aca="false">Data!A782</f>
        <v>41836</v>
      </c>
      <c r="AF787" s="17" t="n">
        <f aca="false">Data!B782</f>
        <v>96.97</v>
      </c>
      <c r="AG787" s="17" t="n">
        <f aca="false">Data!F782</f>
        <v>53502415</v>
      </c>
      <c r="AH787" s="17" t="n">
        <f aca="false">Data!C782</f>
        <v>97.1</v>
      </c>
      <c r="AI787" s="17" t="n">
        <f aca="false">Data!D782</f>
        <v>94.74</v>
      </c>
      <c r="AJ787" s="17" t="n">
        <f aca="false">Data!E782</f>
        <v>94.78</v>
      </c>
      <c r="AK787" s="17" t="n">
        <f aca="false">Data!F782</f>
        <v>53502415</v>
      </c>
      <c r="AL787" s="17" t="n">
        <f aca="false">AJ787</f>
        <v>94.78</v>
      </c>
      <c r="AM787" s="17" t="n">
        <f aca="false">(AL787-AL786)/AL787*100</f>
        <v>1.78307659843849</v>
      </c>
      <c r="AN787" s="17" t="n">
        <f aca="false">(AK787-AK786)/AK787*100</f>
        <v>-7.09468535205373</v>
      </c>
      <c r="AO787" s="17" t="str">
        <f aca="false">IF(AN787&lt;-8,"FITS BITCH",IF(AN787&gt;-8,"no"))</f>
        <v>no</v>
      </c>
      <c r="AP787" s="17" t="str">
        <f aca="false">IF(AH788&lt;AH787,"FITS BITCH",IF(AH788&gt;AH787,"no"))</f>
        <v>FITS BITCH</v>
      </c>
      <c r="AQ787" s="17" t="str">
        <f aca="false">IF(AI788&lt;AI787,"FITS BITCH",IF(AI788&gt;AI787,"no"))</f>
        <v>no</v>
      </c>
      <c r="AR787" s="17" t="str">
        <f aca="false">IF(AJ787&lt;AH788,"FITS BITCH",IF(AJ787&gt;AH788,"no"))</f>
        <v>FITS BITCH</v>
      </c>
      <c r="AS787" s="17" t="str">
        <f aca="false">IF(AJ787&gt;AJ788,"FITS BITCH",IF(AJ787&lt;AJ788,"no"))</f>
        <v>no</v>
      </c>
      <c r="AT787" s="91" t="str">
        <f aca="false">IF(AND($AO787="FITS BITCH",$AP787="FITS BITCH",$AR787="FITS BITCH"),"BULLISH","")</f>
        <v/>
      </c>
      <c r="AU787" s="91" t="str">
        <f aca="false">IF(AND($AO787="FITS BITCH",$AQ787="FITS BITCH",$AS787="FITS BITCH"),"BEARISH","")</f>
        <v/>
      </c>
      <c r="AV787" s="86"/>
      <c r="AW787" s="86"/>
      <c r="AX787" s="86"/>
    </row>
    <row r="788" customFormat="false" ht="15.75" hidden="false" customHeight="false" outlineLevel="0" collapsed="false">
      <c r="AE788" s="90" t="n">
        <f aca="false">Data!A783</f>
        <v>41835</v>
      </c>
      <c r="AF788" s="17" t="n">
        <f aca="false">Data!B783</f>
        <v>96.8</v>
      </c>
      <c r="AG788" s="17" t="n">
        <f aca="false">Data!F783</f>
        <v>45696176</v>
      </c>
      <c r="AH788" s="17" t="n">
        <f aca="false">Data!C783</f>
        <v>96.85</v>
      </c>
      <c r="AI788" s="17" t="n">
        <f aca="false">Data!D783</f>
        <v>95.03</v>
      </c>
      <c r="AJ788" s="17" t="n">
        <f aca="false">Data!E783</f>
        <v>95.32</v>
      </c>
      <c r="AK788" s="17" t="n">
        <f aca="false">Data!F783</f>
        <v>45696176</v>
      </c>
      <c r="AL788" s="17" t="n">
        <f aca="false">AJ788</f>
        <v>95.32</v>
      </c>
      <c r="AM788" s="17" t="n">
        <f aca="false">(AL788-AL787)/AL788*100</f>
        <v>0.566512798992858</v>
      </c>
      <c r="AN788" s="17" t="n">
        <f aca="false">(AK788-AK787)/AK788*100</f>
        <v>-17.0829152093602</v>
      </c>
      <c r="AO788" s="17" t="str">
        <f aca="false">IF(AN788&lt;-8,"FITS BITCH",IF(AN788&gt;-8,"no"))</f>
        <v>FITS BITCH</v>
      </c>
      <c r="AP788" s="17" t="str">
        <f aca="false">IF(AH789&lt;AH788,"FITS BITCH",IF(AH789&gt;AH788,"no"))</f>
        <v>no</v>
      </c>
      <c r="AQ788" s="17" t="str">
        <f aca="false">IF(AI789&lt;AI788,"FITS BITCH",IF(AI789&gt;AI788,"no"))</f>
        <v>no</v>
      </c>
      <c r="AR788" s="17" t="str">
        <f aca="false">IF(AJ788&lt;AH789,"FITS BITCH",IF(AJ788&gt;AH789,"no"))</f>
        <v>FITS BITCH</v>
      </c>
      <c r="AS788" s="17" t="str">
        <f aca="false">IF(AJ788&gt;AJ789,"FITS BITCH",IF(AJ788&lt;AJ789,"no"))</f>
        <v>no</v>
      </c>
      <c r="AT788" s="91" t="str">
        <f aca="false">IF(AND($AO788="FITS BITCH",$AP788="FITS BITCH",$AR788="FITS BITCH"),"BULLISH","")</f>
        <v/>
      </c>
      <c r="AU788" s="91" t="str">
        <f aca="false">IF(AND($AO788="FITS BITCH",$AQ788="FITS BITCH",$AS788="FITS BITCH"),"BEARISH","")</f>
        <v/>
      </c>
      <c r="AV788" s="86"/>
      <c r="AW788" s="86"/>
      <c r="AX788" s="86"/>
    </row>
    <row r="789" customFormat="false" ht="15.75" hidden="false" customHeight="false" outlineLevel="0" collapsed="false">
      <c r="AE789" s="90" t="n">
        <f aca="false">Data!A784</f>
        <v>41834</v>
      </c>
      <c r="AF789" s="17" t="n">
        <f aca="false">Data!B784</f>
        <v>95.86</v>
      </c>
      <c r="AG789" s="17" t="n">
        <f aca="false">Data!F784</f>
        <v>42810155</v>
      </c>
      <c r="AH789" s="17" t="n">
        <f aca="false">Data!C784</f>
        <v>96.89</v>
      </c>
      <c r="AI789" s="17" t="n">
        <f aca="false">Data!D784</f>
        <v>95.65</v>
      </c>
      <c r="AJ789" s="17" t="n">
        <f aca="false">Data!E784</f>
        <v>96.45</v>
      </c>
      <c r="AK789" s="17" t="n">
        <f aca="false">Data!F784</f>
        <v>42810155</v>
      </c>
      <c r="AL789" s="17" t="n">
        <f aca="false">AJ789</f>
        <v>96.45</v>
      </c>
      <c r="AM789" s="17" t="n">
        <f aca="false">(AL789-AL788)/AL789*100</f>
        <v>1.1715914981856</v>
      </c>
      <c r="AN789" s="17" t="n">
        <f aca="false">(AK789-AK788)/AK789*100</f>
        <v>-6.74144020268088</v>
      </c>
      <c r="AO789" s="17" t="str">
        <f aca="false">IF(AN789&lt;-8,"FITS BITCH",IF(AN789&gt;-8,"no"))</f>
        <v>no</v>
      </c>
      <c r="AP789" s="17" t="str">
        <f aca="false">IF(AH790&lt;AH789,"FITS BITCH",IF(AH790&gt;AH789,"no"))</f>
        <v>FITS BITCH</v>
      </c>
      <c r="AQ789" s="17" t="str">
        <f aca="false">IF(AI790&lt;AI789,"FITS BITCH",IF(AI790&gt;AI789,"no"))</f>
        <v>FITS BITCH</v>
      </c>
      <c r="AR789" s="17" t="str">
        <f aca="false">IF(AJ789&lt;AH790,"FITS BITCH",IF(AJ789&gt;AH790,"no"))</f>
        <v>no</v>
      </c>
      <c r="AS789" s="17" t="str">
        <f aca="false">IF(AJ789&gt;AJ790,"FITS BITCH",IF(AJ789&lt;AJ790,"no"))</f>
        <v>FITS BITCH</v>
      </c>
      <c r="AT789" s="91" t="str">
        <f aca="false">IF(AND($AO789="FITS BITCH",$AP789="FITS BITCH",$AR789="FITS BITCH"),"BULLISH","")</f>
        <v/>
      </c>
      <c r="AU789" s="91" t="str">
        <f aca="false">IF(AND($AO789="FITS BITCH",$AQ789="FITS BITCH",$AS789="FITS BITCH"),"BEARISH","")</f>
        <v/>
      </c>
      <c r="AV789" s="86"/>
      <c r="AW789" s="86"/>
      <c r="AX789" s="86"/>
    </row>
    <row r="790" customFormat="false" ht="15.75" hidden="false" customHeight="false" outlineLevel="0" collapsed="false">
      <c r="AE790" s="90" t="n">
        <f aca="false">Data!A785</f>
        <v>41831</v>
      </c>
      <c r="AF790" s="17" t="n">
        <f aca="false">Data!B785</f>
        <v>95.36</v>
      </c>
      <c r="AG790" s="17" t="n">
        <f aca="false">Data!F785</f>
        <v>34018228</v>
      </c>
      <c r="AH790" s="17" t="n">
        <f aca="false">Data!C785</f>
        <v>95.89</v>
      </c>
      <c r="AI790" s="17" t="n">
        <f aca="false">Data!D785</f>
        <v>94.86</v>
      </c>
      <c r="AJ790" s="17" t="n">
        <f aca="false">Data!E785</f>
        <v>95.22</v>
      </c>
      <c r="AK790" s="17" t="n">
        <f aca="false">Data!F785</f>
        <v>34018228</v>
      </c>
      <c r="AL790" s="17" t="n">
        <f aca="false">AJ790</f>
        <v>95.22</v>
      </c>
      <c r="AM790" s="17" t="n">
        <f aca="false">(AL790-AL789)/AL790*100</f>
        <v>-1.29174543163201</v>
      </c>
      <c r="AN790" s="17" t="n">
        <f aca="false">(AK790-AK789)/AK790*100</f>
        <v>-25.8447529953647</v>
      </c>
      <c r="AO790" s="17" t="str">
        <f aca="false">IF(AN790&lt;-8,"FITS BITCH",IF(AN790&gt;-8,"no"))</f>
        <v>FITS BITCH</v>
      </c>
      <c r="AP790" s="17" t="str">
        <f aca="false">IF(AH791&lt;AH790,"FITS BITCH",IF(AH791&gt;AH790,"no"))</f>
        <v>FITS BITCH</v>
      </c>
      <c r="AQ790" s="17" t="str">
        <f aca="false">IF(AI791&lt;AI790,"FITS BITCH",IF(AI791&gt;AI790,"no"))</f>
        <v>FITS BITCH</v>
      </c>
      <c r="AR790" s="17" t="str">
        <f aca="false">IF(AJ790&lt;AH791,"FITS BITCH",IF(AJ790&gt;AH791,"no"))</f>
        <v>FITS BITCH</v>
      </c>
      <c r="AS790" s="17" t="str">
        <f aca="false">IF(AJ790&gt;AJ791,"FITS BITCH",IF(AJ790&lt;AJ791,"no"))</f>
        <v>FITS BITCH</v>
      </c>
      <c r="AT790" s="91" t="str">
        <f aca="false">IF(AND($AO790="FITS BITCH",$AP790="FITS BITCH",$AR790="FITS BITCH"),"BULLISH","")</f>
        <v>BULLISH</v>
      </c>
      <c r="AU790" s="91" t="str">
        <f aca="false">IF(AND($AO790="FITS BITCH",$AQ790="FITS BITCH",$AS790="FITS BITCH"),"BEARISH","")</f>
        <v>BEARISH</v>
      </c>
      <c r="AV790" s="86"/>
      <c r="AW790" s="86"/>
      <c r="AX790" s="86"/>
    </row>
    <row r="791" customFormat="false" ht="15.75" hidden="false" customHeight="false" outlineLevel="0" collapsed="false">
      <c r="AE791" s="90" t="n">
        <f aca="false">Data!A786</f>
        <v>41830</v>
      </c>
      <c r="AF791" s="17" t="n">
        <f aca="false">Data!B786</f>
        <v>93.76</v>
      </c>
      <c r="AG791" s="17" t="n">
        <f aca="false">Data!F786</f>
        <v>39685552</v>
      </c>
      <c r="AH791" s="17" t="n">
        <f aca="false">Data!C786</f>
        <v>95.55</v>
      </c>
      <c r="AI791" s="17" t="n">
        <f aca="false">Data!D786</f>
        <v>93.52</v>
      </c>
      <c r="AJ791" s="17" t="n">
        <f aca="false">Data!E786</f>
        <v>95.04</v>
      </c>
      <c r="AK791" s="17" t="n">
        <f aca="false">Data!F786</f>
        <v>39685552</v>
      </c>
      <c r="AL791" s="17" t="n">
        <f aca="false">AJ791</f>
        <v>95.04</v>
      </c>
      <c r="AM791" s="17" t="n">
        <f aca="false">(AL791-AL790)/AL791*100</f>
        <v>-0.189393939393932</v>
      </c>
      <c r="AN791" s="17" t="n">
        <f aca="false">(AK791-AK790)/AK791*100</f>
        <v>14.2805724360342</v>
      </c>
      <c r="AO791" s="17" t="str">
        <f aca="false">IF(AN791&lt;-8,"FITS BITCH",IF(AN791&gt;-8,"no"))</f>
        <v>no</v>
      </c>
      <c r="AP791" s="17" t="str">
        <f aca="false">IF(AH792&lt;AH791,"FITS BITCH",IF(AH792&gt;AH791,"no"))</f>
        <v>no</v>
      </c>
      <c r="AQ791" s="17" t="str">
        <f aca="false">IF(AI792&lt;AI791,"FITS BITCH",IF(AI792&gt;AI791,"no"))</f>
        <v>no</v>
      </c>
      <c r="AR791" s="17" t="str">
        <f aca="false">IF(AJ791&lt;AH792,"FITS BITCH",IF(AJ791&gt;AH792,"no"))</f>
        <v>FITS BITCH</v>
      </c>
      <c r="AS791" s="17" t="str">
        <f aca="false">IF(AJ791&gt;AJ792,"FITS BITCH",IF(AJ791&lt;AJ792,"no"))</f>
        <v>no</v>
      </c>
      <c r="AT791" s="91" t="str">
        <f aca="false">IF(AND($AO791="FITS BITCH",$AP791="FITS BITCH",$AR791="FITS BITCH"),"BULLISH","")</f>
        <v/>
      </c>
      <c r="AU791" s="91" t="str">
        <f aca="false">IF(AND($AO791="FITS BITCH",$AQ791="FITS BITCH",$AS791="FITS BITCH"),"BEARISH","")</f>
        <v/>
      </c>
      <c r="AV791" s="86"/>
      <c r="AW791" s="86"/>
      <c r="AX791" s="86"/>
    </row>
    <row r="792" customFormat="false" ht="15.75" hidden="false" customHeight="false" outlineLevel="0" collapsed="false">
      <c r="AE792" s="90" t="n">
        <f aca="false">Data!A787</f>
        <v>41829</v>
      </c>
      <c r="AF792" s="17" t="n">
        <f aca="false">Data!B787</f>
        <v>95.44</v>
      </c>
      <c r="AG792" s="17" t="n">
        <f aca="false">Data!F787</f>
        <v>36436440</v>
      </c>
      <c r="AH792" s="17" t="n">
        <f aca="false">Data!C787</f>
        <v>95.95</v>
      </c>
      <c r="AI792" s="17" t="n">
        <f aca="false">Data!D787</f>
        <v>94.76</v>
      </c>
      <c r="AJ792" s="17" t="n">
        <f aca="false">Data!E787</f>
        <v>95.39</v>
      </c>
      <c r="AK792" s="17" t="n">
        <f aca="false">Data!F787</f>
        <v>36436440</v>
      </c>
      <c r="AL792" s="17" t="n">
        <f aca="false">AJ792</f>
        <v>95.39</v>
      </c>
      <c r="AM792" s="17" t="n">
        <f aca="false">(AL792-AL791)/AL792*100</f>
        <v>0.366914770940344</v>
      </c>
      <c r="AN792" s="17" t="n">
        <f aca="false">(AK792-AK791)/AK792*100</f>
        <v>-8.9172048641415</v>
      </c>
      <c r="AO792" s="17" t="str">
        <f aca="false">IF(AN792&lt;-8,"FITS BITCH",IF(AN792&gt;-8,"no"))</f>
        <v>FITS BITCH</v>
      </c>
      <c r="AP792" s="17" t="str">
        <f aca="false">IF(AH793&lt;AH792,"FITS BITCH",IF(AH793&gt;AH792,"no"))</f>
        <v>no</v>
      </c>
      <c r="AQ792" s="17" t="str">
        <f aca="false">IF(AI793&lt;AI792,"FITS BITCH",IF(AI793&gt;AI792,"no"))</f>
        <v>FITS BITCH</v>
      </c>
      <c r="AR792" s="17" t="str">
        <f aca="false">IF(AJ792&lt;AH793,"FITS BITCH",IF(AJ792&gt;AH793,"no"))</f>
        <v>FITS BITCH</v>
      </c>
      <c r="AS792" s="17" t="str">
        <f aca="false">IF(AJ792&gt;AJ793,"FITS BITCH",IF(AJ792&lt;AJ793,"no"))</f>
        <v>FITS BITCH</v>
      </c>
      <c r="AT792" s="91" t="str">
        <f aca="false">IF(AND($AO792="FITS BITCH",$AP792="FITS BITCH",$AR792="FITS BITCH"),"BULLISH","")</f>
        <v/>
      </c>
      <c r="AU792" s="91" t="str">
        <f aca="false">IF(AND($AO792="FITS BITCH",$AQ792="FITS BITCH",$AS792="FITS BITCH"),"BEARISH","")</f>
        <v>BEARISH</v>
      </c>
      <c r="AV792" s="86"/>
      <c r="AW792" s="86"/>
      <c r="AX792" s="86"/>
    </row>
    <row r="793" customFormat="false" ht="15.75" hidden="false" customHeight="false" outlineLevel="0" collapsed="false">
      <c r="AE793" s="90" t="n">
        <f aca="false">Data!A788</f>
        <v>41828</v>
      </c>
      <c r="AF793" s="17" t="n">
        <f aca="false">Data!B788</f>
        <v>96.27</v>
      </c>
      <c r="AG793" s="17" t="n">
        <f aca="false">Data!F788</f>
        <v>65221678</v>
      </c>
      <c r="AH793" s="17" t="n">
        <f aca="false">Data!C788</f>
        <v>96.8</v>
      </c>
      <c r="AI793" s="17" t="n">
        <f aca="false">Data!D788</f>
        <v>93.92</v>
      </c>
      <c r="AJ793" s="17" t="n">
        <f aca="false">Data!E788</f>
        <v>95.35</v>
      </c>
      <c r="AK793" s="17" t="n">
        <f aca="false">Data!F788</f>
        <v>65221678</v>
      </c>
      <c r="AL793" s="17" t="n">
        <f aca="false">AJ793</f>
        <v>95.35</v>
      </c>
      <c r="AM793" s="17" t="n">
        <f aca="false">(AL793-AL792)/AL793*100</f>
        <v>-0.0419507079182027</v>
      </c>
      <c r="AN793" s="17" t="n">
        <f aca="false">(AK793-AK792)/AK793*100</f>
        <v>44.1344640044373</v>
      </c>
      <c r="AO793" s="17" t="str">
        <f aca="false">IF(AN793&lt;-8,"FITS BITCH",IF(AN793&gt;-8,"no"))</f>
        <v>no</v>
      </c>
      <c r="AP793" s="17" t="str">
        <f aca="false">IF(AH794&lt;AH793,"FITS BITCH",IF(AH794&gt;AH793,"no"))</f>
        <v>FITS BITCH</v>
      </c>
      <c r="AQ793" s="17" t="str">
        <f aca="false">IF(AI794&lt;AI793,"FITS BITCH",IF(AI794&gt;AI793,"no"))</f>
        <v>no</v>
      </c>
      <c r="AR793" s="17" t="str">
        <f aca="false">IF(AJ793&lt;AH794,"FITS BITCH",IF(AJ793&gt;AH794,"no"))</f>
        <v>FITS BITCH</v>
      </c>
      <c r="AS793" s="17" t="str">
        <f aca="false">IF(AJ793&gt;AJ794,"FITS BITCH",IF(AJ793&lt;AJ794,"no"))</f>
        <v>no</v>
      </c>
      <c r="AT793" s="91" t="str">
        <f aca="false">IF(AND($AO793="FITS BITCH",$AP793="FITS BITCH",$AR793="FITS BITCH"),"BULLISH","")</f>
        <v/>
      </c>
      <c r="AU793" s="91" t="str">
        <f aca="false">IF(AND($AO793="FITS BITCH",$AQ793="FITS BITCH",$AS793="FITS BITCH"),"BEARISH","")</f>
        <v/>
      </c>
      <c r="AV793" s="86"/>
      <c r="AW793" s="86"/>
      <c r="AX793" s="86"/>
    </row>
    <row r="794" customFormat="false" ht="15.75" hidden="false" customHeight="false" outlineLevel="0" collapsed="false">
      <c r="AE794" s="90" t="n">
        <f aca="false">Data!A789</f>
        <v>41827</v>
      </c>
      <c r="AF794" s="17" t="n">
        <f aca="false">Data!B789</f>
        <v>94.14</v>
      </c>
      <c r="AG794" s="17" t="n">
        <f aca="false">Data!F789</f>
        <v>56467939</v>
      </c>
      <c r="AH794" s="17" t="n">
        <f aca="false">Data!C789</f>
        <v>95.99</v>
      </c>
      <c r="AI794" s="17" t="n">
        <f aca="false">Data!D789</f>
        <v>94.1</v>
      </c>
      <c r="AJ794" s="17" t="n">
        <f aca="false">Data!E789</f>
        <v>95.97</v>
      </c>
      <c r="AK794" s="17" t="n">
        <f aca="false">Data!F789</f>
        <v>56467939</v>
      </c>
      <c r="AL794" s="17" t="n">
        <f aca="false">AJ794</f>
        <v>95.97</v>
      </c>
      <c r="AM794" s="17" t="n">
        <f aca="false">(AL794-AL793)/AL794*100</f>
        <v>0.646035219339382</v>
      </c>
      <c r="AN794" s="17" t="n">
        <f aca="false">(AK794-AK793)/AK794*100</f>
        <v>-15.5021400727942</v>
      </c>
      <c r="AO794" s="17" t="str">
        <f aca="false">IF(AN794&lt;-8,"FITS BITCH",IF(AN794&gt;-8,"no"))</f>
        <v>FITS BITCH</v>
      </c>
      <c r="AP794" s="17" t="str">
        <f aca="false">IF(AH795&lt;AH794,"FITS BITCH",IF(AH795&gt;AH794,"no"))</f>
        <v>FITS BITCH</v>
      </c>
      <c r="AQ794" s="17" t="str">
        <f aca="false">IF(AI795&lt;AI794,"FITS BITCH",IF(AI795&gt;AI794,"no"))</f>
        <v>FITS BITCH</v>
      </c>
      <c r="AR794" s="17" t="str">
        <f aca="false">IF(AJ794&lt;AH795,"FITS BITCH",IF(AJ794&gt;AH795,"no"))</f>
        <v>no</v>
      </c>
      <c r="AS794" s="17" t="str">
        <f aca="false">IF(AJ794&gt;AJ795,"FITS BITCH",IF(AJ794&lt;AJ795,"no"))</f>
        <v>FITS BITCH</v>
      </c>
      <c r="AT794" s="91" t="str">
        <f aca="false">IF(AND($AO794="FITS BITCH",$AP794="FITS BITCH",$AR794="FITS BITCH"),"BULLISH","")</f>
        <v/>
      </c>
      <c r="AU794" s="91" t="str">
        <f aca="false">IF(AND($AO794="FITS BITCH",$AQ794="FITS BITCH",$AS794="FITS BITCH"),"BEARISH","")</f>
        <v>BEARISH</v>
      </c>
      <c r="AV794" s="86"/>
      <c r="AW794" s="86"/>
      <c r="AX794" s="86"/>
    </row>
    <row r="795" customFormat="false" ht="15.75" hidden="false" customHeight="false" outlineLevel="0" collapsed="false">
      <c r="AE795" s="90" t="n">
        <f aca="false">Data!A790</f>
        <v>41823</v>
      </c>
      <c r="AF795" s="17" t="n">
        <f aca="false">Data!B790</f>
        <v>93.67</v>
      </c>
      <c r="AG795" s="17" t="n">
        <f aca="false">Data!F790</f>
        <v>22891753</v>
      </c>
      <c r="AH795" s="17" t="n">
        <f aca="false">Data!C790</f>
        <v>94.1</v>
      </c>
      <c r="AI795" s="17" t="n">
        <f aca="false">Data!D790</f>
        <v>93.2</v>
      </c>
      <c r="AJ795" s="17" t="n">
        <f aca="false">Data!E790</f>
        <v>94.03</v>
      </c>
      <c r="AK795" s="17" t="n">
        <f aca="false">Data!F790</f>
        <v>22891753</v>
      </c>
      <c r="AL795" s="17" t="n">
        <f aca="false">AJ795</f>
        <v>94.03</v>
      </c>
      <c r="AM795" s="17" t="n">
        <f aca="false">(AL795-AL794)/AL795*100</f>
        <v>-2.06317132829948</v>
      </c>
      <c r="AN795" s="17" t="n">
        <f aca="false">(AK795-AK794)/AK795*100</f>
        <v>-146.673721317891</v>
      </c>
      <c r="AO795" s="17" t="str">
        <f aca="false">IF(AN795&lt;-8,"FITS BITCH",IF(AN795&gt;-8,"no"))</f>
        <v>FITS BITCH</v>
      </c>
      <c r="AP795" s="17" t="str">
        <f aca="false">IF(AH796&lt;AH795,"FITS BITCH",IF(AH796&gt;AH795,"no"))</f>
        <v>FITS BITCH</v>
      </c>
      <c r="AQ795" s="17" t="str">
        <f aca="false">IF(AI796&lt;AI795,"FITS BITCH",IF(AI796&gt;AI795,"no"))</f>
        <v>FITS BITCH</v>
      </c>
      <c r="AR795" s="17" t="str">
        <f aca="false">IF(AJ795&lt;AH796,"FITS BITCH",IF(AJ795&gt;AH796,"no"))</f>
        <v>FITS BITCH</v>
      </c>
      <c r="AS795" s="17" t="str">
        <f aca="false">IF(AJ795&gt;AJ796,"FITS BITCH",IF(AJ795&lt;AJ796,"no"))</f>
        <v>FITS BITCH</v>
      </c>
      <c r="AT795" s="91" t="str">
        <f aca="false">IF(AND($AO795="FITS BITCH",$AP795="FITS BITCH",$AR795="FITS BITCH"),"BULLISH","")</f>
        <v>BULLISH</v>
      </c>
      <c r="AU795" s="91" t="str">
        <f aca="false">IF(AND($AO795="FITS BITCH",$AQ795="FITS BITCH",$AS795="FITS BITCH"),"BEARISH","")</f>
        <v>BEARISH</v>
      </c>
      <c r="AV795" s="86"/>
      <c r="AW795" s="86"/>
      <c r="AX795" s="86"/>
    </row>
    <row r="796" customFormat="false" ht="15.75" hidden="false" customHeight="false" outlineLevel="0" collapsed="false">
      <c r="AE796" s="90" t="n">
        <f aca="false">Data!A791</f>
        <v>41822</v>
      </c>
      <c r="AF796" s="17" t="n">
        <f aca="false">Data!B791</f>
        <v>93.86</v>
      </c>
      <c r="AG796" s="17" t="n">
        <f aca="false">Data!F791</f>
        <v>28465073</v>
      </c>
      <c r="AH796" s="17" t="n">
        <f aca="false">Data!C791</f>
        <v>94.06</v>
      </c>
      <c r="AI796" s="17" t="n">
        <f aca="false">Data!D791</f>
        <v>93.09</v>
      </c>
      <c r="AJ796" s="17" t="n">
        <f aca="false">Data!E791</f>
        <v>93.48</v>
      </c>
      <c r="AK796" s="17" t="n">
        <f aca="false">Data!F791</f>
        <v>28465073</v>
      </c>
      <c r="AL796" s="17" t="n">
        <f aca="false">AJ796</f>
        <v>93.48</v>
      </c>
      <c r="AM796" s="17" t="n">
        <f aca="false">(AL796-AL795)/AL796*100</f>
        <v>-0.588361146769359</v>
      </c>
      <c r="AN796" s="17" t="n">
        <f aca="false">(AK796-AK795)/AK796*100</f>
        <v>19.5795036253728</v>
      </c>
      <c r="AO796" s="17" t="str">
        <f aca="false">IF(AN796&lt;-8,"FITS BITCH",IF(AN796&gt;-8,"no"))</f>
        <v>no</v>
      </c>
      <c r="AP796" s="17" t="str">
        <f aca="false">IF(AH797&lt;AH796,"FITS BITCH",IF(AH797&gt;AH796,"no"))</f>
        <v>no</v>
      </c>
      <c r="AQ796" s="17" t="str">
        <f aca="false">IF(AI797&lt;AI796,"FITS BITCH",IF(AI797&gt;AI796,"no"))</f>
        <v>no</v>
      </c>
      <c r="AR796" s="17" t="str">
        <f aca="false">IF(AJ796&lt;AH797,"FITS BITCH",IF(AJ796&gt;AH797,"no"))</f>
        <v>FITS BITCH</v>
      </c>
      <c r="AS796" s="17" t="str">
        <f aca="false">IF(AJ796&gt;AJ797,"FITS BITCH",IF(AJ796&lt;AJ797,"no"))</f>
        <v>no</v>
      </c>
      <c r="AT796" s="91" t="str">
        <f aca="false">IF(AND($AO796="FITS BITCH",$AP796="FITS BITCH",$AR796="FITS BITCH"),"BULLISH","")</f>
        <v/>
      </c>
      <c r="AU796" s="91" t="str">
        <f aca="false">IF(AND($AO796="FITS BITCH",$AQ796="FITS BITCH",$AS796="FITS BITCH"),"BEARISH","")</f>
        <v/>
      </c>
      <c r="AV796" s="86"/>
      <c r="AW796" s="86"/>
      <c r="AX796" s="86"/>
    </row>
    <row r="797" customFormat="false" ht="15.75" hidden="false" customHeight="false" outlineLevel="0" collapsed="false">
      <c r="AE797" s="90" t="n">
        <f aca="false">Data!A792</f>
        <v>41821</v>
      </c>
      <c r="AF797" s="17" t="n">
        <f aca="false">Data!B792</f>
        <v>93.52</v>
      </c>
      <c r="AG797" s="17" t="n">
        <f aca="false">Data!F792</f>
        <v>38223477</v>
      </c>
      <c r="AH797" s="17" t="n">
        <f aca="false">Data!C792</f>
        <v>94.07</v>
      </c>
      <c r="AI797" s="17" t="n">
        <f aca="false">Data!D792</f>
        <v>93.13</v>
      </c>
      <c r="AJ797" s="17" t="n">
        <f aca="false">Data!E792</f>
        <v>93.52</v>
      </c>
      <c r="AK797" s="17" t="n">
        <f aca="false">Data!F792</f>
        <v>38223477</v>
      </c>
      <c r="AL797" s="17" t="n">
        <f aca="false">AJ797</f>
        <v>93.52</v>
      </c>
      <c r="AM797" s="17" t="n">
        <f aca="false">(AL797-AL796)/AL797*100</f>
        <v>0.0427715996578187</v>
      </c>
      <c r="AN797" s="17" t="n">
        <f aca="false">(AK797-AK796)/AK797*100</f>
        <v>25.5298700324934</v>
      </c>
      <c r="AO797" s="17" t="str">
        <f aca="false">IF(AN797&lt;-8,"FITS BITCH",IF(AN797&gt;-8,"no"))</f>
        <v>no</v>
      </c>
      <c r="AP797" s="17" t="str">
        <f aca="false">IF(AH798&lt;AH797,"FITS BITCH",IF(AH798&gt;AH797,"no"))</f>
        <v>FITS BITCH</v>
      </c>
      <c r="AQ797" s="17" t="str">
        <f aca="false">IF(AI798&lt;AI797,"FITS BITCH",IF(AI798&gt;AI797,"no"))</f>
        <v>FITS BITCH</v>
      </c>
      <c r="AR797" s="17" t="str">
        <f aca="false">IF(AJ797&lt;AH798,"FITS BITCH",IF(AJ797&gt;AH798,"no"))</f>
        <v>FITS BITCH</v>
      </c>
      <c r="AS797" s="17" t="str">
        <f aca="false">IF(AJ797&gt;AJ798,"FITS BITCH",IF(AJ797&lt;AJ798,"no"))</f>
        <v>FITS BITCH</v>
      </c>
      <c r="AT797" s="91" t="str">
        <f aca="false">IF(AND($AO797="FITS BITCH",$AP797="FITS BITCH",$AR797="FITS BITCH"),"BULLISH","")</f>
        <v/>
      </c>
      <c r="AU797" s="91" t="str">
        <f aca="false">IF(AND($AO797="FITS BITCH",$AQ797="FITS BITCH",$AS797="FITS BITCH"),"BEARISH","")</f>
        <v/>
      </c>
      <c r="AV797" s="86"/>
      <c r="AW797" s="86"/>
      <c r="AX797" s="86"/>
    </row>
    <row r="798" customFormat="false" ht="15.75" hidden="false" customHeight="false" outlineLevel="0" collapsed="false">
      <c r="AE798" s="90" t="n">
        <f aca="false">Data!A793</f>
        <v>41820</v>
      </c>
      <c r="AF798" s="17" t="n">
        <f aca="false">Data!B793</f>
        <v>92.1</v>
      </c>
      <c r="AG798" s="17" t="n">
        <f aca="false">Data!F793</f>
        <v>49589028</v>
      </c>
      <c r="AH798" s="17" t="n">
        <f aca="false">Data!C793</f>
        <v>93.72</v>
      </c>
      <c r="AI798" s="17" t="n">
        <f aca="false">Data!D793</f>
        <v>92.09</v>
      </c>
      <c r="AJ798" s="17" t="n">
        <f aca="false">Data!E793</f>
        <v>92.93</v>
      </c>
      <c r="AK798" s="17" t="n">
        <f aca="false">Data!F793</f>
        <v>49589028</v>
      </c>
      <c r="AL798" s="17" t="n">
        <f aca="false">AJ798</f>
        <v>92.93</v>
      </c>
      <c r="AM798" s="17" t="n">
        <f aca="false">(AL798-AL797)/AL798*100</f>
        <v>-0.634886473689862</v>
      </c>
      <c r="AN798" s="17" t="n">
        <f aca="false">(AK798-AK797)/AK798*100</f>
        <v>22.9194873511132</v>
      </c>
      <c r="AO798" s="17" t="str">
        <f aca="false">IF(AN798&lt;-8,"FITS BITCH",IF(AN798&gt;-8,"no"))</f>
        <v>no</v>
      </c>
      <c r="AP798" s="17" t="str">
        <f aca="false">IF(AH799&lt;AH798,"FITS BITCH",IF(AH799&gt;AH798,"no"))</f>
        <v>FITS BITCH</v>
      </c>
      <c r="AQ798" s="17" t="str">
        <f aca="false">IF(AI799&lt;AI798,"FITS BITCH",IF(AI799&gt;AI798,"no"))</f>
        <v>FITS BITCH</v>
      </c>
      <c r="AR798" s="17" t="str">
        <f aca="false">IF(AJ798&lt;AH799,"FITS BITCH",IF(AJ798&gt;AH799,"no"))</f>
        <v>no</v>
      </c>
      <c r="AS798" s="17" t="str">
        <f aca="false">IF(AJ798&gt;AJ799,"FITS BITCH",IF(AJ798&lt;AJ799,"no"))</f>
        <v>FITS BITCH</v>
      </c>
      <c r="AT798" s="91" t="str">
        <f aca="false">IF(AND($AO798="FITS BITCH",$AP798="FITS BITCH",$AR798="FITS BITCH"),"BULLISH","")</f>
        <v/>
      </c>
      <c r="AU798" s="91" t="str">
        <f aca="false">IF(AND($AO798="FITS BITCH",$AQ798="FITS BITCH",$AS798="FITS BITCH"),"BEARISH","")</f>
        <v/>
      </c>
      <c r="AV798" s="86"/>
      <c r="AW798" s="86"/>
      <c r="AX798" s="86"/>
    </row>
    <row r="799" customFormat="false" ht="15.75" hidden="false" customHeight="false" outlineLevel="0" collapsed="false">
      <c r="AE799" s="90" t="n">
        <f aca="false">Data!A794</f>
        <v>41817</v>
      </c>
      <c r="AF799" s="17" t="n">
        <f aca="false">Data!B794</f>
        <v>90.82</v>
      </c>
      <c r="AG799" s="17" t="n">
        <f aca="false">Data!F794</f>
        <v>64028803</v>
      </c>
      <c r="AH799" s="17" t="n">
        <f aca="false">Data!C794</f>
        <v>92</v>
      </c>
      <c r="AI799" s="17" t="n">
        <f aca="false">Data!D794</f>
        <v>90.77</v>
      </c>
      <c r="AJ799" s="17" t="n">
        <f aca="false">Data!E794</f>
        <v>91.98</v>
      </c>
      <c r="AK799" s="17" t="n">
        <f aca="false">Data!F794</f>
        <v>64028803</v>
      </c>
      <c r="AL799" s="17" t="n">
        <f aca="false">AJ799</f>
        <v>91.98</v>
      </c>
      <c r="AM799" s="17" t="n">
        <f aca="false">(AL799-AL798)/AL799*100</f>
        <v>-1.03283322461405</v>
      </c>
      <c r="AN799" s="17" t="n">
        <f aca="false">(AK799-AK798)/AK799*100</f>
        <v>22.5519989808337</v>
      </c>
      <c r="AO799" s="17" t="str">
        <f aca="false">IF(AN799&lt;-8,"FITS BITCH",IF(AN799&gt;-8,"no"))</f>
        <v>no</v>
      </c>
      <c r="AP799" s="17" t="str">
        <f aca="false">IF(AH800&lt;AH799,"FITS BITCH",IF(AH800&gt;AH799,"no"))</f>
        <v>FITS BITCH</v>
      </c>
      <c r="AQ799" s="17" t="str">
        <f aca="false">IF(AI800&lt;AI799,"FITS BITCH",IF(AI800&gt;AI799,"no"))</f>
        <v>FITS BITCH</v>
      </c>
      <c r="AR799" s="17" t="str">
        <f aca="false">IF(AJ799&lt;AH800,"FITS BITCH",IF(AJ799&gt;AH800,"no"))</f>
        <v>no</v>
      </c>
      <c r="AS799" s="17" t="str">
        <f aca="false">IF(AJ799&gt;AJ800,"FITS BITCH",IF(AJ799&lt;AJ800,"no"))</f>
        <v>FITS BITCH</v>
      </c>
      <c r="AT799" s="91" t="str">
        <f aca="false">IF(AND($AO799="FITS BITCH",$AP799="FITS BITCH",$AR799="FITS BITCH"),"BULLISH","")</f>
        <v/>
      </c>
      <c r="AU799" s="91" t="str">
        <f aca="false">IF(AND($AO799="FITS BITCH",$AQ799="FITS BITCH",$AS799="FITS BITCH"),"BEARISH","")</f>
        <v/>
      </c>
      <c r="AV799" s="86"/>
      <c r="AW799" s="86"/>
      <c r="AX799" s="86"/>
    </row>
    <row r="800" customFormat="false" ht="15.75" hidden="false" customHeight="false" outlineLevel="0" collapsed="false">
      <c r="AE800" s="90" t="n">
        <f aca="false">Data!A795</f>
        <v>41816</v>
      </c>
      <c r="AF800" s="17" t="n">
        <f aca="false">Data!B795</f>
        <v>90.37</v>
      </c>
      <c r="AG800" s="17" t="n">
        <f aca="false">Data!F795</f>
        <v>32629359</v>
      </c>
      <c r="AH800" s="17" t="n">
        <f aca="false">Data!C795</f>
        <v>91.05</v>
      </c>
      <c r="AI800" s="17" t="n">
        <f aca="false">Data!D795</f>
        <v>89.8</v>
      </c>
      <c r="AJ800" s="17" t="n">
        <f aca="false">Data!E795</f>
        <v>90.9</v>
      </c>
      <c r="AK800" s="17" t="n">
        <f aca="false">Data!F795</f>
        <v>32629359</v>
      </c>
      <c r="AL800" s="17" t="n">
        <f aca="false">AJ800</f>
        <v>90.9</v>
      </c>
      <c r="AM800" s="17" t="n">
        <f aca="false">(AL800-AL799)/AL800*100</f>
        <v>-1.18811881188119</v>
      </c>
      <c r="AN800" s="17" t="n">
        <f aca="false">(AK800-AK799)/AK800*100</f>
        <v>-96.2306492137955</v>
      </c>
      <c r="AO800" s="17" t="str">
        <f aca="false">IF(AN800&lt;-8,"FITS BITCH",IF(AN800&gt;-8,"no"))</f>
        <v>FITS BITCH</v>
      </c>
      <c r="AP800" s="17" t="str">
        <f aca="false">IF(AH801&lt;AH800,"FITS BITCH",IF(AH801&gt;AH800,"no"))</f>
        <v>FITS BITCH</v>
      </c>
      <c r="AQ800" s="17" t="str">
        <f aca="false">IF(AI801&lt;AI800,"FITS BITCH",IF(AI801&gt;AI800,"no"))</f>
        <v>FITS BITCH</v>
      </c>
      <c r="AR800" s="17" t="str">
        <f aca="false">IF(AJ800&lt;AH801,"FITS BITCH",IF(AJ800&gt;AH801,"no"))</f>
        <v>no</v>
      </c>
      <c r="AS800" s="17" t="str">
        <f aca="false">IF(AJ800&gt;AJ801,"FITS BITCH",IF(AJ800&lt;AJ801,"no"))</f>
        <v>FITS BITCH</v>
      </c>
      <c r="AT800" s="91" t="str">
        <f aca="false">IF(AND($AO800="FITS BITCH",$AP800="FITS BITCH",$AR800="FITS BITCH"),"BULLISH","")</f>
        <v/>
      </c>
      <c r="AU800" s="91" t="str">
        <f aca="false">IF(AND($AO800="FITS BITCH",$AQ800="FITS BITCH",$AS800="FITS BITCH"),"BEARISH","")</f>
        <v>BEARISH</v>
      </c>
      <c r="AV800" s="86"/>
      <c r="AW800" s="86"/>
      <c r="AX800" s="86"/>
    </row>
    <row r="801" customFormat="false" ht="15.75" hidden="false" customHeight="false" outlineLevel="0" collapsed="false">
      <c r="AE801" s="90" t="n">
        <f aca="false">Data!A796</f>
        <v>41815</v>
      </c>
      <c r="AF801" s="17" t="n">
        <f aca="false">Data!B796</f>
        <v>90.21</v>
      </c>
      <c r="AG801" s="17" t="n">
        <f aca="false">Data!F796</f>
        <v>36868541</v>
      </c>
      <c r="AH801" s="17" t="n">
        <f aca="false">Data!C796</f>
        <v>90.7</v>
      </c>
      <c r="AI801" s="17" t="n">
        <f aca="false">Data!D796</f>
        <v>89.65</v>
      </c>
      <c r="AJ801" s="17" t="n">
        <f aca="false">Data!E796</f>
        <v>90.36</v>
      </c>
      <c r="AK801" s="17" t="n">
        <f aca="false">Data!F796</f>
        <v>36868541</v>
      </c>
      <c r="AL801" s="17" t="n">
        <f aca="false">AJ801</f>
        <v>90.36</v>
      </c>
      <c r="AM801" s="17" t="n">
        <f aca="false">(AL801-AL800)/AL801*100</f>
        <v>-0.597609561752995</v>
      </c>
      <c r="AN801" s="17" t="n">
        <f aca="false">(AK801-AK800)/AK801*100</f>
        <v>11.4981007791982</v>
      </c>
      <c r="AO801" s="17" t="str">
        <f aca="false">IF(AN801&lt;-8,"FITS BITCH",IF(AN801&gt;-8,"no"))</f>
        <v>no</v>
      </c>
      <c r="AP801" s="17" t="str">
        <f aca="false">IF(AH802&lt;AH801,"FITS BITCH",IF(AH802&gt;AH801,"no"))</f>
        <v>no</v>
      </c>
      <c r="AQ801" s="17" t="str">
        <f aca="false">IF(AI802&lt;AI801,"FITS BITCH",IF(AI802&gt;AI801,"no"))</f>
        <v>no</v>
      </c>
      <c r="AR801" s="17" t="str">
        <f aca="false">IF(AJ801&lt;AH802,"FITS BITCH",IF(AJ801&gt;AH802,"no"))</f>
        <v>FITS BITCH</v>
      </c>
      <c r="AS801" s="17" t="str">
        <f aca="false">IF(AJ801&gt;AJ802,"FITS BITCH",IF(AJ801&lt;AJ802,"no"))</f>
        <v>FITS BITCH</v>
      </c>
      <c r="AT801" s="91" t="str">
        <f aca="false">IF(AND($AO801="FITS BITCH",$AP801="FITS BITCH",$AR801="FITS BITCH"),"BULLISH","")</f>
        <v/>
      </c>
      <c r="AU801" s="91" t="str">
        <f aca="false">IF(AND($AO801="FITS BITCH",$AQ801="FITS BITCH",$AS801="FITS BITCH"),"BEARISH","")</f>
        <v/>
      </c>
      <c r="AV801" s="86"/>
      <c r="AW801" s="86"/>
      <c r="AX801" s="86"/>
    </row>
    <row r="802" customFormat="false" ht="15.75" hidden="false" customHeight="false" outlineLevel="0" collapsed="false">
      <c r="AE802" s="90" t="n">
        <f aca="false">Data!A797</f>
        <v>41814</v>
      </c>
      <c r="AF802" s="17" t="n">
        <f aca="false">Data!B797</f>
        <v>90.75</v>
      </c>
      <c r="AG802" s="17" t="n">
        <f aca="false">Data!F797</f>
        <v>39036087</v>
      </c>
      <c r="AH802" s="17" t="n">
        <f aca="false">Data!C797</f>
        <v>91.74</v>
      </c>
      <c r="AI802" s="17" t="n">
        <f aca="false">Data!D797</f>
        <v>90.19</v>
      </c>
      <c r="AJ802" s="17" t="n">
        <f aca="false">Data!E797</f>
        <v>90.28</v>
      </c>
      <c r="AK802" s="17" t="n">
        <f aca="false">Data!F797</f>
        <v>39036087</v>
      </c>
      <c r="AL802" s="17" t="n">
        <f aca="false">AJ802</f>
        <v>90.28</v>
      </c>
      <c r="AM802" s="17" t="n">
        <f aca="false">(AL802-AL801)/AL802*100</f>
        <v>-0.0886132033672999</v>
      </c>
      <c r="AN802" s="17" t="n">
        <f aca="false">(AK802-AK801)/AK802*100</f>
        <v>5.55267232599415</v>
      </c>
      <c r="AO802" s="17" t="str">
        <f aca="false">IF(AN802&lt;-8,"FITS BITCH",IF(AN802&gt;-8,"no"))</f>
        <v>no</v>
      </c>
      <c r="AP802" s="17" t="str">
        <f aca="false">IF(AH803&lt;AH802,"FITS BITCH",IF(AH803&gt;AH802,"no"))</f>
        <v>FITS BITCH</v>
      </c>
      <c r="AQ802" s="17" t="str">
        <f aca="false">IF(AI803&lt;AI802,"FITS BITCH",IF(AI803&gt;AI802,"no"))</f>
        <v>no</v>
      </c>
      <c r="AR802" s="17" t="str">
        <f aca="false">IF(AJ802&lt;AH803,"FITS BITCH",IF(AJ802&gt;AH803,"no"))</f>
        <v>FITS BITCH</v>
      </c>
      <c r="AS802" s="17" t="str">
        <f aca="false">IF(AJ802&gt;AJ803,"FITS BITCH",IF(AJ802&lt;AJ803,"no"))</f>
        <v>no</v>
      </c>
      <c r="AT802" s="91" t="str">
        <f aca="false">IF(AND($AO802="FITS BITCH",$AP802="FITS BITCH",$AR802="FITS BITCH"),"BULLISH","")</f>
        <v/>
      </c>
      <c r="AU802" s="91" t="str">
        <f aca="false">IF(AND($AO802="FITS BITCH",$AQ802="FITS BITCH",$AS802="FITS BITCH"),"BEARISH","")</f>
        <v/>
      </c>
      <c r="AV802" s="86"/>
      <c r="AW802" s="86"/>
      <c r="AX802" s="86"/>
    </row>
    <row r="803" customFormat="false" ht="15.75" hidden="false" customHeight="false" outlineLevel="0" collapsed="false">
      <c r="AE803" s="90" t="n">
        <f aca="false">Data!A798</f>
        <v>41813</v>
      </c>
      <c r="AF803" s="17" t="n">
        <f aca="false">Data!B798</f>
        <v>91.32</v>
      </c>
      <c r="AG803" s="17" t="n">
        <f aca="false">Data!F798</f>
        <v>43694391</v>
      </c>
      <c r="AH803" s="17" t="n">
        <f aca="false">Data!C798</f>
        <v>91.62</v>
      </c>
      <c r="AI803" s="17" t="n">
        <f aca="false">Data!D798</f>
        <v>90.6</v>
      </c>
      <c r="AJ803" s="17" t="n">
        <f aca="false">Data!E798</f>
        <v>90.83</v>
      </c>
      <c r="AK803" s="17" t="n">
        <f aca="false">Data!F798</f>
        <v>43694391</v>
      </c>
      <c r="AL803" s="17" t="n">
        <f aca="false">AJ803</f>
        <v>90.83</v>
      </c>
      <c r="AM803" s="17" t="n">
        <f aca="false">(AL803-AL802)/AL803*100</f>
        <v>0.605526808323238</v>
      </c>
      <c r="AN803" s="17" t="n">
        <f aca="false">(AK803-AK802)/AK803*100</f>
        <v>10.661102931953</v>
      </c>
      <c r="AO803" s="17" t="str">
        <f aca="false">IF(AN803&lt;-8,"FITS BITCH",IF(AN803&gt;-8,"no"))</f>
        <v>no</v>
      </c>
      <c r="AP803" s="17" t="str">
        <f aca="false">IF(AH804&lt;AH803,"FITS BITCH",IF(AH804&gt;AH803,"no"))</f>
        <v>no</v>
      </c>
      <c r="AQ803" s="17" t="str">
        <f aca="false">IF(AI804&lt;AI803,"FITS BITCH",IF(AI804&gt;AI803,"no"))</f>
        <v>no</v>
      </c>
      <c r="AR803" s="17" t="str">
        <f aca="false">IF(AJ803&lt;AH804,"FITS BITCH",IF(AJ803&gt;AH804,"no"))</f>
        <v>FITS BITCH</v>
      </c>
      <c r="AS803" s="17" t="str">
        <f aca="false">IF(AJ803&gt;AJ804,"FITS BITCH",IF(AJ803&lt;AJ804,"no"))</f>
        <v>no</v>
      </c>
      <c r="AT803" s="91" t="str">
        <f aca="false">IF(AND($AO803="FITS BITCH",$AP803="FITS BITCH",$AR803="FITS BITCH"),"BULLISH","")</f>
        <v/>
      </c>
      <c r="AU803" s="91" t="str">
        <f aca="false">IF(AND($AO803="FITS BITCH",$AQ803="FITS BITCH",$AS803="FITS BITCH"),"BEARISH","")</f>
        <v/>
      </c>
      <c r="AV803" s="86"/>
      <c r="AW803" s="86"/>
      <c r="AX803" s="86"/>
    </row>
    <row r="804" customFormat="false" ht="15.75" hidden="false" customHeight="false" outlineLevel="0" collapsed="false">
      <c r="AE804" s="90" t="n">
        <f aca="false">Data!A799</f>
        <v>41810</v>
      </c>
      <c r="AF804" s="17" t="n">
        <f aca="false">Data!B799</f>
        <v>91.85</v>
      </c>
      <c r="AG804" s="17" t="n">
        <f aca="false">Data!F799</f>
        <v>100898066</v>
      </c>
      <c r="AH804" s="17" t="n">
        <f aca="false">Data!C799</f>
        <v>92.55</v>
      </c>
      <c r="AI804" s="17" t="n">
        <f aca="false">Data!D799</f>
        <v>90.9</v>
      </c>
      <c r="AJ804" s="17" t="n">
        <f aca="false">Data!E799</f>
        <v>90.91</v>
      </c>
      <c r="AK804" s="17" t="n">
        <f aca="false">Data!F799</f>
        <v>100898066</v>
      </c>
      <c r="AL804" s="17" t="n">
        <f aca="false">AJ804</f>
        <v>90.91</v>
      </c>
      <c r="AM804" s="17" t="n">
        <f aca="false">(AL804-AL803)/AL804*100</f>
        <v>0.087999120008798</v>
      </c>
      <c r="AN804" s="17" t="n">
        <f aca="false">(AK804-AK803)/AK804*100</f>
        <v>56.6945207849673</v>
      </c>
      <c r="AO804" s="17" t="str">
        <f aca="false">IF(AN804&lt;-8,"FITS BITCH",IF(AN804&gt;-8,"no"))</f>
        <v>no</v>
      </c>
      <c r="AP804" s="17" t="str">
        <f aca="false">IF(AH805&lt;AH804,"FITS BITCH",IF(AH805&gt;AH804,"no"))</f>
        <v>FITS BITCH</v>
      </c>
      <c r="AQ804" s="17" t="str">
        <f aca="false">IF(AI805&lt;AI804,"FITS BITCH",IF(AI805&gt;AI804,"no"))</f>
        <v>no</v>
      </c>
      <c r="AR804" s="17" t="str">
        <f aca="false">IF(AJ804&lt;AH805,"FITS BITCH",IF(AJ804&gt;AH805,"no"))</f>
        <v>FITS BITCH</v>
      </c>
      <c r="AS804" s="17" t="str">
        <f aca="false">IF(AJ804&gt;AJ805,"FITS BITCH",IF(AJ804&lt;AJ805,"no"))</f>
        <v>no</v>
      </c>
      <c r="AT804" s="91" t="str">
        <f aca="false">IF(AND($AO804="FITS BITCH",$AP804="FITS BITCH",$AR804="FITS BITCH"),"BULLISH","")</f>
        <v/>
      </c>
      <c r="AU804" s="91" t="str">
        <f aca="false">IF(AND($AO804="FITS BITCH",$AQ804="FITS BITCH",$AS804="FITS BITCH"),"BEARISH","")</f>
        <v/>
      </c>
      <c r="AV804" s="86"/>
      <c r="AW804" s="86"/>
      <c r="AX804" s="86"/>
    </row>
    <row r="805" customFormat="false" ht="15.75" hidden="false" customHeight="false" outlineLevel="0" collapsed="false">
      <c r="AE805" s="90" t="n">
        <f aca="false">Data!A800</f>
        <v>41809</v>
      </c>
      <c r="AF805" s="17" t="n">
        <f aca="false">Data!B800</f>
        <v>92.29</v>
      </c>
      <c r="AG805" s="17" t="n">
        <f aca="false">Data!F800</f>
        <v>35527686</v>
      </c>
      <c r="AH805" s="17" t="n">
        <f aca="false">Data!C800</f>
        <v>92.3</v>
      </c>
      <c r="AI805" s="17" t="n">
        <f aca="false">Data!D800</f>
        <v>91.34</v>
      </c>
      <c r="AJ805" s="17" t="n">
        <f aca="false">Data!E800</f>
        <v>91.86</v>
      </c>
      <c r="AK805" s="17" t="n">
        <f aca="false">Data!F800</f>
        <v>35527686</v>
      </c>
      <c r="AL805" s="17" t="n">
        <f aca="false">AJ805</f>
        <v>91.86</v>
      </c>
      <c r="AM805" s="17" t="n">
        <f aca="false">(AL805-AL804)/AL805*100</f>
        <v>1.03418245155672</v>
      </c>
      <c r="AN805" s="17" t="n">
        <f aca="false">(AK805-AK804)/AK805*100</f>
        <v>-183.998417459555</v>
      </c>
      <c r="AO805" s="17" t="str">
        <f aca="false">IF(AN805&lt;-8,"FITS BITCH",IF(AN805&gt;-8,"no"))</f>
        <v>FITS BITCH</v>
      </c>
      <c r="AP805" s="17" t="str">
        <f aca="false">IF(AH806&lt;AH805,"FITS BITCH",IF(AH806&gt;AH805,"no"))</f>
        <v>FITS BITCH</v>
      </c>
      <c r="AQ805" s="17" t="str">
        <f aca="false">IF(AI806&lt;AI805,"FITS BITCH",IF(AI806&gt;AI805,"no"))</f>
        <v>no</v>
      </c>
      <c r="AR805" s="17" t="str">
        <f aca="false">IF(AJ805&lt;AH806,"FITS BITCH",IF(AJ805&gt;AH806,"no"))</f>
        <v>FITS BITCH</v>
      </c>
      <c r="AS805" s="17" t="str">
        <f aca="false">IF(AJ805&gt;AJ806,"FITS BITCH",IF(AJ805&lt;AJ806,"no"))</f>
        <v>no</v>
      </c>
      <c r="AT805" s="91" t="str">
        <f aca="false">IF(AND($AO805="FITS BITCH",$AP805="FITS BITCH",$AR805="FITS BITCH"),"BULLISH","")</f>
        <v>BULLISH</v>
      </c>
      <c r="AU805" s="91" t="str">
        <f aca="false">IF(AND($AO805="FITS BITCH",$AQ805="FITS BITCH",$AS805="FITS BITCH"),"BEARISH","")</f>
        <v/>
      </c>
      <c r="AV805" s="86"/>
      <c r="AW805" s="86"/>
      <c r="AX805" s="86"/>
    </row>
    <row r="806" customFormat="false" ht="15.75" hidden="false" customHeight="false" outlineLevel="0" collapsed="false">
      <c r="AE806" s="90" t="n">
        <f aca="false">Data!A801</f>
        <v>41808</v>
      </c>
      <c r="AF806" s="17" t="n">
        <f aca="false">Data!B801</f>
        <v>92.27</v>
      </c>
      <c r="AG806" s="17" t="n">
        <f aca="false">Data!F801</f>
        <v>33514108</v>
      </c>
      <c r="AH806" s="17" t="n">
        <f aca="false">Data!C801</f>
        <v>92.29</v>
      </c>
      <c r="AI806" s="17" t="n">
        <f aca="false">Data!D801</f>
        <v>91.35</v>
      </c>
      <c r="AJ806" s="17" t="n">
        <f aca="false">Data!E801</f>
        <v>92.18</v>
      </c>
      <c r="AK806" s="17" t="n">
        <f aca="false">Data!F801</f>
        <v>33514108</v>
      </c>
      <c r="AL806" s="17" t="n">
        <f aca="false">AJ806</f>
        <v>92.18</v>
      </c>
      <c r="AM806" s="17" t="n">
        <f aca="false">(AL806-AL805)/AL806*100</f>
        <v>0.347146886526369</v>
      </c>
      <c r="AN806" s="17" t="n">
        <f aca="false">(AK806-AK805)/AK806*100</f>
        <v>-6.00815035864896</v>
      </c>
      <c r="AO806" s="17" t="str">
        <f aca="false">IF(AN806&lt;-8,"FITS BITCH",IF(AN806&gt;-8,"no"))</f>
        <v>no</v>
      </c>
      <c r="AP806" s="17" t="str">
        <f aca="false">IF(AH807&lt;AH806,"FITS BITCH",IF(AH807&gt;AH806,"no"))</f>
        <v>no</v>
      </c>
      <c r="AQ806" s="17" t="str">
        <f aca="false">IF(AI807&lt;AI806,"FITS BITCH",IF(AI807&gt;AI806,"no"))</f>
        <v>no</v>
      </c>
      <c r="AR806" s="17" t="str">
        <f aca="false">IF(AJ806&lt;AH807,"FITS BITCH",IF(AJ806&gt;AH807,"no"))</f>
        <v>FITS BITCH</v>
      </c>
      <c r="AS806" s="17" t="str">
        <f aca="false">IF(AJ806&gt;AJ807,"FITS BITCH",IF(AJ806&lt;AJ807,"no"))</f>
        <v>FITS BITCH</v>
      </c>
      <c r="AT806" s="91" t="str">
        <f aca="false">IF(AND($AO806="FITS BITCH",$AP806="FITS BITCH",$AR806="FITS BITCH"),"BULLISH","")</f>
        <v/>
      </c>
      <c r="AU806" s="91" t="str">
        <f aca="false">IF(AND($AO806="FITS BITCH",$AQ806="FITS BITCH",$AS806="FITS BITCH"),"BEARISH","")</f>
        <v/>
      </c>
      <c r="AV806" s="86"/>
      <c r="AW806" s="86"/>
      <c r="AX806" s="86"/>
    </row>
    <row r="807" customFormat="false" ht="15.75" hidden="false" customHeight="false" outlineLevel="0" collapsed="false">
      <c r="AE807" s="90" t="n">
        <f aca="false">Data!A802</f>
        <v>41807</v>
      </c>
      <c r="AF807" s="17" t="n">
        <f aca="false">Data!B802</f>
        <v>92.31</v>
      </c>
      <c r="AG807" s="17" t="n">
        <f aca="false">Data!F802</f>
        <v>29726347</v>
      </c>
      <c r="AH807" s="17" t="n">
        <f aca="false">Data!C802</f>
        <v>92.7</v>
      </c>
      <c r="AI807" s="17" t="n">
        <f aca="false">Data!D802</f>
        <v>91.8</v>
      </c>
      <c r="AJ807" s="17" t="n">
        <f aca="false">Data!E802</f>
        <v>92.08</v>
      </c>
      <c r="AK807" s="17" t="n">
        <f aca="false">Data!F802</f>
        <v>29726347</v>
      </c>
      <c r="AL807" s="17" t="n">
        <f aca="false">AJ807</f>
        <v>92.08</v>
      </c>
      <c r="AM807" s="17" t="n">
        <f aca="false">(AL807-AL806)/AL807*100</f>
        <v>-0.108601216333632</v>
      </c>
      <c r="AN807" s="17" t="n">
        <f aca="false">(AK807-AK806)/AK807*100</f>
        <v>-12.742100467306</v>
      </c>
      <c r="AO807" s="17" t="str">
        <f aca="false">IF(AN807&lt;-8,"FITS BITCH",IF(AN807&gt;-8,"no"))</f>
        <v>FITS BITCH</v>
      </c>
      <c r="AP807" s="17" t="str">
        <f aca="false">IF(AH808&lt;AH807,"FITS BITCH",IF(AH808&gt;AH807,"no"))</f>
        <v>no</v>
      </c>
      <c r="AQ807" s="17" t="str">
        <f aca="false">IF(AI808&lt;AI807,"FITS BITCH",IF(AI808&gt;AI807,"no"))</f>
        <v>FITS BITCH</v>
      </c>
      <c r="AR807" s="17" t="str">
        <f aca="false">IF(AJ807&lt;AH808,"FITS BITCH",IF(AJ807&gt;AH808,"no"))</f>
        <v>FITS BITCH</v>
      </c>
      <c r="AS807" s="17" t="str">
        <f aca="false">IF(AJ807&gt;AJ808,"FITS BITCH",IF(AJ807&lt;AJ808,"no"))</f>
        <v>no</v>
      </c>
      <c r="AT807" s="91" t="str">
        <f aca="false">IF(AND($AO807="FITS BITCH",$AP807="FITS BITCH",$AR807="FITS BITCH"),"BULLISH","")</f>
        <v/>
      </c>
      <c r="AU807" s="91" t="str">
        <f aca="false">IF(AND($AO807="FITS BITCH",$AQ807="FITS BITCH",$AS807="FITS BITCH"),"BEARISH","")</f>
        <v/>
      </c>
      <c r="AV807" s="86"/>
      <c r="AW807" s="86"/>
      <c r="AX807" s="86"/>
    </row>
    <row r="808" customFormat="false" ht="15.75" hidden="false" customHeight="false" outlineLevel="0" collapsed="false">
      <c r="AE808" s="90" t="n">
        <f aca="false">Data!A803</f>
        <v>41806</v>
      </c>
      <c r="AF808" s="17" t="n">
        <f aca="false">Data!B803</f>
        <v>91.51</v>
      </c>
      <c r="AG808" s="17" t="n">
        <f aca="false">Data!F803</f>
        <v>35561270</v>
      </c>
      <c r="AH808" s="17" t="n">
        <f aca="false">Data!C803</f>
        <v>92.75</v>
      </c>
      <c r="AI808" s="17" t="n">
        <f aca="false">Data!D803</f>
        <v>91.45</v>
      </c>
      <c r="AJ808" s="17" t="n">
        <f aca="false">Data!E803</f>
        <v>92.2</v>
      </c>
      <c r="AK808" s="17" t="n">
        <f aca="false">Data!F803</f>
        <v>35561270</v>
      </c>
      <c r="AL808" s="17" t="n">
        <f aca="false">AJ808</f>
        <v>92.2</v>
      </c>
      <c r="AM808" s="17" t="n">
        <f aca="false">(AL808-AL807)/AL808*100</f>
        <v>0.130151843817792</v>
      </c>
      <c r="AN808" s="17" t="n">
        <f aca="false">(AK808-AK807)/AK808*100</f>
        <v>16.4080838507736</v>
      </c>
      <c r="AO808" s="17" t="str">
        <f aca="false">IF(AN808&lt;-8,"FITS BITCH",IF(AN808&gt;-8,"no"))</f>
        <v>no</v>
      </c>
      <c r="AP808" s="17" t="str">
        <f aca="false">IF(AH809&lt;AH808,"FITS BITCH",IF(AH809&gt;AH808,"no"))</f>
        <v>FITS BITCH</v>
      </c>
      <c r="AQ808" s="17" t="str">
        <f aca="false">IF(AI809&lt;AI808,"FITS BITCH",IF(AI809&gt;AI808,"no"))</f>
        <v>FITS BITCH</v>
      </c>
      <c r="AR808" s="17" t="str">
        <f aca="false">IF(AJ808&lt;AH809,"FITS BITCH",IF(AJ808&gt;AH809,"no"))</f>
        <v>FITS BITCH</v>
      </c>
      <c r="AS808" s="17" t="str">
        <f aca="false">IF(AJ808&gt;AJ809,"FITS BITCH",IF(AJ808&lt;AJ809,"no"))</f>
        <v>FITS BITCH</v>
      </c>
      <c r="AT808" s="91" t="str">
        <f aca="false">IF(AND($AO808="FITS BITCH",$AP808="FITS BITCH",$AR808="FITS BITCH"),"BULLISH","")</f>
        <v/>
      </c>
      <c r="AU808" s="91" t="str">
        <f aca="false">IF(AND($AO808="FITS BITCH",$AQ808="FITS BITCH",$AS808="FITS BITCH"),"BEARISH","")</f>
        <v/>
      </c>
      <c r="AV808" s="86"/>
      <c r="AW808" s="86"/>
      <c r="AX808" s="86"/>
    </row>
    <row r="809" customFormat="false" ht="15.75" hidden="false" customHeight="false" outlineLevel="0" collapsed="false">
      <c r="AE809" s="90" t="n">
        <f aca="false">Data!A804</f>
        <v>41803</v>
      </c>
      <c r="AF809" s="17" t="n">
        <f aca="false">Data!B804</f>
        <v>92.2</v>
      </c>
      <c r="AG809" s="17" t="n">
        <f aca="false">Data!F804</f>
        <v>54525280</v>
      </c>
      <c r="AH809" s="17" t="n">
        <f aca="false">Data!C804</f>
        <v>92.44</v>
      </c>
      <c r="AI809" s="17" t="n">
        <f aca="false">Data!D804</f>
        <v>90.88</v>
      </c>
      <c r="AJ809" s="17" t="n">
        <f aca="false">Data!E804</f>
        <v>91.28</v>
      </c>
      <c r="AK809" s="17" t="n">
        <f aca="false">Data!F804</f>
        <v>54525280</v>
      </c>
      <c r="AL809" s="17" t="n">
        <f aca="false">AJ809</f>
        <v>91.28</v>
      </c>
      <c r="AM809" s="17" t="n">
        <f aca="false">(AL809-AL808)/AL809*100</f>
        <v>-1.00788781770377</v>
      </c>
      <c r="AN809" s="17" t="n">
        <f aca="false">(AK809-AK808)/AK809*100</f>
        <v>34.7802157091169</v>
      </c>
      <c r="AO809" s="17" t="str">
        <f aca="false">IF(AN809&lt;-8,"FITS BITCH",IF(AN809&gt;-8,"no"))</f>
        <v>no</v>
      </c>
      <c r="AP809" s="17" t="str">
        <f aca="false">IF(AH810&lt;AH809,"FITS BITCH",IF(AH810&gt;AH809,"no"))</f>
        <v>no</v>
      </c>
      <c r="AQ809" s="17" t="str">
        <f aca="false">IF(AI810&lt;AI809,"FITS BITCH",IF(AI810&gt;AI809,"no"))</f>
        <v>no</v>
      </c>
      <c r="AR809" s="17" t="str">
        <f aca="false">IF(AJ809&lt;AH810,"FITS BITCH",IF(AJ809&gt;AH810,"no"))</f>
        <v>FITS BITCH</v>
      </c>
      <c r="AS809" s="17" t="str">
        <f aca="false">IF(AJ809&gt;AJ810,"FITS BITCH",IF(AJ809&lt;AJ810,"no"))</f>
        <v>no</v>
      </c>
      <c r="AT809" s="91" t="str">
        <f aca="false">IF(AND($AO809="FITS BITCH",$AP809="FITS BITCH",$AR809="FITS BITCH"),"BULLISH","")</f>
        <v/>
      </c>
      <c r="AU809" s="91" t="str">
        <f aca="false">IF(AND($AO809="FITS BITCH",$AQ809="FITS BITCH",$AS809="FITS BITCH"),"BEARISH","")</f>
        <v/>
      </c>
      <c r="AV809" s="86"/>
      <c r="AW809" s="86"/>
      <c r="AX809" s="86"/>
    </row>
    <row r="810" customFormat="false" ht="15.75" hidden="false" customHeight="false" outlineLevel="0" collapsed="false">
      <c r="AE810" s="90" t="n">
        <f aca="false">Data!A805</f>
        <v>41802</v>
      </c>
      <c r="AF810" s="17" t="n">
        <f aca="false">Data!B805</f>
        <v>94.04</v>
      </c>
      <c r="AG810" s="17" t="n">
        <f aca="false">Data!F805</f>
        <v>54748791</v>
      </c>
      <c r="AH810" s="17" t="n">
        <f aca="false">Data!C805</f>
        <v>94.12</v>
      </c>
      <c r="AI810" s="17" t="n">
        <f aca="false">Data!D805</f>
        <v>91.9</v>
      </c>
      <c r="AJ810" s="17" t="n">
        <f aca="false">Data!E805</f>
        <v>92.29</v>
      </c>
      <c r="AK810" s="17" t="n">
        <f aca="false">Data!F805</f>
        <v>54748791</v>
      </c>
      <c r="AL810" s="17" t="n">
        <f aca="false">AJ810</f>
        <v>92.29</v>
      </c>
      <c r="AM810" s="17" t="n">
        <f aca="false">(AL810-AL809)/AL810*100</f>
        <v>1.09437642214758</v>
      </c>
      <c r="AN810" s="17" t="n">
        <f aca="false">(AK810-AK809)/AK810*100</f>
        <v>0.408248284423304</v>
      </c>
      <c r="AO810" s="17" t="str">
        <f aca="false">IF(AN810&lt;-8,"FITS BITCH",IF(AN810&gt;-8,"no"))</f>
        <v>no</v>
      </c>
      <c r="AP810" s="17" t="str">
        <f aca="false">IF(AH811&lt;AH810,"FITS BITCH",IF(AH811&gt;AH810,"no"))</f>
        <v>no</v>
      </c>
      <c r="AQ810" s="17" t="str">
        <f aca="false">IF(AI811&lt;AI810,"FITS BITCH",IF(AI811&gt;AI810,"no"))</f>
        <v>no</v>
      </c>
      <c r="AR810" s="17" t="str">
        <f aca="false">IF(AJ810&lt;AH811,"FITS BITCH",IF(AJ810&gt;AH811,"no"))</f>
        <v>FITS BITCH</v>
      </c>
      <c r="AS810" s="17" t="str">
        <f aca="false">IF(AJ810&gt;AJ811,"FITS BITCH",IF(AJ810&lt;AJ811,"no"))</f>
        <v>no</v>
      </c>
      <c r="AT810" s="91" t="str">
        <f aca="false">IF(AND($AO810="FITS BITCH",$AP810="FITS BITCH",$AR810="FITS BITCH"),"BULLISH","")</f>
        <v/>
      </c>
      <c r="AU810" s="91" t="str">
        <f aca="false">IF(AND($AO810="FITS BITCH",$AQ810="FITS BITCH",$AS810="FITS BITCH"),"BEARISH","")</f>
        <v/>
      </c>
      <c r="AV810" s="86"/>
      <c r="AW810" s="86"/>
      <c r="AX810" s="86"/>
    </row>
    <row r="811" customFormat="false" ht="15.75" hidden="false" customHeight="false" outlineLevel="0" collapsed="false">
      <c r="AE811" s="90" t="n">
        <f aca="false">Data!A806</f>
        <v>41801</v>
      </c>
      <c r="AF811" s="17" t="n">
        <f aca="false">Data!B806</f>
        <v>94.13</v>
      </c>
      <c r="AG811" s="17" t="n">
        <f aca="false">Data!F806</f>
        <v>45681114</v>
      </c>
      <c r="AH811" s="17" t="n">
        <f aca="false">Data!C806</f>
        <v>94.76</v>
      </c>
      <c r="AI811" s="17" t="n">
        <f aca="false">Data!D806</f>
        <v>93.47</v>
      </c>
      <c r="AJ811" s="17" t="n">
        <f aca="false">Data!E806</f>
        <v>93.86</v>
      </c>
      <c r="AK811" s="17" t="n">
        <f aca="false">Data!F806</f>
        <v>45681114</v>
      </c>
      <c r="AL811" s="17" t="n">
        <f aca="false">AJ811</f>
        <v>93.86</v>
      </c>
      <c r="AM811" s="17" t="n">
        <f aca="false">(AL811-AL810)/AL811*100</f>
        <v>1.67270402727466</v>
      </c>
      <c r="AN811" s="17" t="n">
        <f aca="false">(AK811-AK810)/AK811*100</f>
        <v>-19.8499471794843</v>
      </c>
      <c r="AO811" s="17" t="str">
        <f aca="false">IF(AN811&lt;-8,"FITS BITCH",IF(AN811&gt;-8,"no"))</f>
        <v>FITS BITCH</v>
      </c>
      <c r="AP811" s="17" t="str">
        <f aca="false">IF(AH812&lt;AH811,"FITS BITCH",IF(AH812&gt;AH811,"no"))</f>
        <v>no</v>
      </c>
      <c r="AQ811" s="17" t="str">
        <f aca="false">IF(AI812&lt;AI811,"FITS BITCH",IF(AI812&gt;AI811,"no"))</f>
        <v>no</v>
      </c>
      <c r="AR811" s="17" t="str">
        <f aca="false">IF(AJ811&lt;AH812,"FITS BITCH",IF(AJ811&gt;AH812,"no"))</f>
        <v>FITS BITCH</v>
      </c>
      <c r="AS811" s="17" t="str">
        <f aca="false">IF(AJ811&gt;AJ812,"FITS BITCH",IF(AJ811&lt;AJ812,"no"))</f>
        <v>no</v>
      </c>
      <c r="AT811" s="91" t="str">
        <f aca="false">IF(AND($AO811="FITS BITCH",$AP811="FITS BITCH",$AR811="FITS BITCH"),"BULLISH","")</f>
        <v/>
      </c>
      <c r="AU811" s="91" t="str">
        <f aca="false">IF(AND($AO811="FITS BITCH",$AQ811="FITS BITCH",$AS811="FITS BITCH"),"BEARISH","")</f>
        <v/>
      </c>
      <c r="AV811" s="86"/>
      <c r="AW811" s="86"/>
      <c r="AX811" s="86"/>
    </row>
    <row r="812" customFormat="false" ht="15.75" hidden="false" customHeight="false" outlineLevel="0" collapsed="false">
      <c r="AE812" s="90" t="n">
        <f aca="false">Data!A807</f>
        <v>41800</v>
      </c>
      <c r="AF812" s="17" t="n">
        <f aca="false">Data!B807</f>
        <v>94.73</v>
      </c>
      <c r="AG812" s="17" t="n">
        <f aca="false">Data!F807</f>
        <v>62777042</v>
      </c>
      <c r="AH812" s="17" t="n">
        <f aca="false">Data!C807</f>
        <v>95.05</v>
      </c>
      <c r="AI812" s="17" t="n">
        <f aca="false">Data!D807</f>
        <v>93.57</v>
      </c>
      <c r="AJ812" s="17" t="n">
        <f aca="false">Data!E807</f>
        <v>94.25</v>
      </c>
      <c r="AK812" s="17" t="n">
        <f aca="false">Data!F807</f>
        <v>62777042</v>
      </c>
      <c r="AL812" s="17" t="n">
        <f aca="false">AJ812</f>
        <v>94.25</v>
      </c>
      <c r="AM812" s="17" t="n">
        <f aca="false">(AL812-AL811)/AL812*100</f>
        <v>0.413793103448277</v>
      </c>
      <c r="AN812" s="17" t="n">
        <f aca="false">(AK812-AK811)/AK812*100</f>
        <v>27.2327708591303</v>
      </c>
      <c r="AO812" s="17" t="str">
        <f aca="false">IF(AN812&lt;-8,"FITS BITCH",IF(AN812&gt;-8,"no"))</f>
        <v>no</v>
      </c>
      <c r="AP812" s="17" t="str">
        <f aca="false">IF(AH813&lt;AH812,"FITS BITCH",IF(AH813&gt;AH812,"no"))</f>
        <v>FITS BITCH</v>
      </c>
      <c r="AQ812" s="17" t="str">
        <f aca="false">IF(AI813&lt;AI812,"FITS BITCH",IF(AI813&gt;AI812,"no"))</f>
        <v>FITS BITCH</v>
      </c>
      <c r="AR812" s="17" t="str">
        <f aca="false">IF(AJ812&lt;AH813,"FITS BITCH",IF(AJ812&gt;AH813,"no"))</f>
        <v>no</v>
      </c>
      <c r="AS812" s="17" t="str">
        <f aca="false">IF(AJ812&gt;AJ813,"FITS BITCH",IF(AJ812&lt;AJ813,"no"))</f>
        <v>FITS BITCH</v>
      </c>
      <c r="AT812" s="91" t="str">
        <f aca="false">IF(AND($AO812="FITS BITCH",$AP812="FITS BITCH",$AR812="FITS BITCH"),"BULLISH","")</f>
        <v/>
      </c>
      <c r="AU812" s="91" t="str">
        <f aca="false">IF(AND($AO812="FITS BITCH",$AQ812="FITS BITCH",$AS812="FITS BITCH"),"BEARISH","")</f>
        <v/>
      </c>
      <c r="AV812" s="86"/>
      <c r="AW812" s="86"/>
      <c r="AX812" s="86"/>
    </row>
    <row r="813" customFormat="false" ht="15.75" hidden="false" customHeight="false" outlineLevel="0" collapsed="false">
      <c r="AE813" s="90" t="n">
        <f aca="false">Data!A808</f>
        <v>41799</v>
      </c>
      <c r="AF813" s="17" t="n">
        <f aca="false">Data!B808</f>
        <v>92.7</v>
      </c>
      <c r="AG813" s="17" t="n">
        <f aca="false">Data!F808</f>
        <v>75414804</v>
      </c>
      <c r="AH813" s="17" t="n">
        <f aca="false">Data!C808</f>
        <v>93.88</v>
      </c>
      <c r="AI813" s="17" t="n">
        <f aca="false">Data!D808</f>
        <v>91.75</v>
      </c>
      <c r="AJ813" s="17" t="n">
        <f aca="false">Data!E808</f>
        <v>93.7</v>
      </c>
      <c r="AK813" s="17" t="n">
        <f aca="false">Data!F808</f>
        <v>75414804</v>
      </c>
      <c r="AL813" s="17" t="n">
        <f aca="false">AJ813</f>
        <v>93.7</v>
      </c>
      <c r="AM813" s="17" t="n">
        <f aca="false">(AL813-AL812)/AL813*100</f>
        <v>-0.586979722518674</v>
      </c>
      <c r="AN813" s="17" t="n">
        <f aca="false">(AK813-AK812)/AK813*100</f>
        <v>16.7576673672718</v>
      </c>
      <c r="AO813" s="17" t="str">
        <f aca="false">IF(AN813&lt;-8,"FITS BITCH",IF(AN813&gt;-8,"no"))</f>
        <v>no</v>
      </c>
      <c r="AP813" s="17" t="str">
        <f aca="false">IF(AH814&lt;AH813,"FITS BITCH",IF(AH814&gt;AH813,"no"))</f>
        <v>FITS BITCH</v>
      </c>
      <c r="AQ813" s="17" t="str">
        <f aca="false">IF(AI814&lt;AI813,"FITS BITCH",IF(AI814&gt;AI813,"no"))</f>
        <v>no</v>
      </c>
      <c r="AR813" s="17" t="str">
        <f aca="false">IF(AJ813&lt;AH814,"FITS BITCH",IF(AJ813&gt;AH814,"no"))</f>
        <v>no</v>
      </c>
      <c r="AS813" s="17" t="str">
        <f aca="false">IF(AJ813&gt;AJ814,"FITS BITCH",IF(AJ813&lt;AJ814,"no"))</f>
        <v>FITS BITCH</v>
      </c>
      <c r="AT813" s="91" t="str">
        <f aca="false">IF(AND($AO813="FITS BITCH",$AP813="FITS BITCH",$AR813="FITS BITCH"),"BULLISH","")</f>
        <v/>
      </c>
      <c r="AU813" s="91" t="str">
        <f aca="false">IF(AND($AO813="FITS BITCH",$AQ813="FITS BITCH",$AS813="FITS BITCH"),"BEARISH","")</f>
        <v/>
      </c>
      <c r="AV813" s="86"/>
      <c r="AW813" s="86"/>
      <c r="AX813" s="86"/>
    </row>
    <row r="814" customFormat="false" ht="15.75" hidden="false" customHeight="false" outlineLevel="0" collapsed="false">
      <c r="AE814" s="90" t="n">
        <f aca="false">Data!A809</f>
        <v>41796</v>
      </c>
      <c r="AF814" s="17" t="n">
        <f aca="false">Data!B809</f>
        <v>92.84</v>
      </c>
      <c r="AG814" s="17" t="n">
        <f aca="false">Data!F809</f>
        <v>87620911</v>
      </c>
      <c r="AH814" s="17" t="n">
        <f aca="false">Data!C809</f>
        <v>93.04</v>
      </c>
      <c r="AI814" s="17" t="n">
        <f aca="false">Data!D809</f>
        <v>92.07</v>
      </c>
      <c r="AJ814" s="17" t="n">
        <f aca="false">Data!E809</f>
        <v>92.22</v>
      </c>
      <c r="AK814" s="17" t="n">
        <f aca="false">Data!F809</f>
        <v>87620911</v>
      </c>
      <c r="AL814" s="17" t="n">
        <f aca="false">AJ814</f>
        <v>92.22</v>
      </c>
      <c r="AM814" s="17" t="n">
        <f aca="false">(AL814-AL813)/AL814*100</f>
        <v>-1.6048579483843</v>
      </c>
      <c r="AN814" s="17" t="n">
        <f aca="false">(AK814-AK813)/AK814*100</f>
        <v>13.9305867294623</v>
      </c>
      <c r="AO814" s="17" t="str">
        <f aca="false">IF(AN814&lt;-8,"FITS BITCH",IF(AN814&gt;-8,"no"))</f>
        <v>no</v>
      </c>
      <c r="AP814" s="17" t="str">
        <f aca="false">IF(AH815&lt;AH814,"FITS BITCH",IF(AH815&gt;AH814,"no"))</f>
        <v>FITS BITCH</v>
      </c>
      <c r="AQ814" s="17" t="str">
        <f aca="false">IF(AI815&lt;AI814,"FITS BITCH",IF(AI815&gt;AI814,"no"))</f>
        <v>FITS BITCH</v>
      </c>
      <c r="AR814" s="17" t="str">
        <f aca="false">IF(AJ814&lt;AH815,"FITS BITCH",IF(AJ814&gt;AH815,"no"))</f>
        <v>FITS BITCH</v>
      </c>
      <c r="AS814" s="17" t="str">
        <f aca="false">IF(AJ814&gt;AJ815,"FITS BITCH",IF(AJ814&lt;AJ815,"no"))</f>
        <v>no</v>
      </c>
      <c r="AT814" s="91" t="str">
        <f aca="false">IF(AND($AO814="FITS BITCH",$AP814="FITS BITCH",$AR814="FITS BITCH"),"BULLISH","")</f>
        <v/>
      </c>
      <c r="AU814" s="91" t="str">
        <f aca="false">IF(AND($AO814="FITS BITCH",$AQ814="FITS BITCH",$AS814="FITS BITCH"),"BEARISH","")</f>
        <v/>
      </c>
      <c r="AV814" s="86"/>
      <c r="AW814" s="86"/>
      <c r="AX814" s="86"/>
    </row>
    <row r="815" customFormat="false" ht="15.75" hidden="false" customHeight="false" outlineLevel="0" collapsed="false">
      <c r="AE815" s="90" t="n">
        <f aca="false">Data!A810</f>
        <v>41795</v>
      </c>
      <c r="AF815" s="17" t="n">
        <f aca="false">Data!B810</f>
        <v>92.31</v>
      </c>
      <c r="AG815" s="17" t="n">
        <f aca="false">Data!F810</f>
        <v>75951141</v>
      </c>
      <c r="AH815" s="17" t="n">
        <f aca="false">Data!C810</f>
        <v>92.77</v>
      </c>
      <c r="AI815" s="17" t="n">
        <f aca="false">Data!D810</f>
        <v>91.8</v>
      </c>
      <c r="AJ815" s="17" t="n">
        <f aca="false">Data!E810</f>
        <v>92.48</v>
      </c>
      <c r="AK815" s="17" t="n">
        <f aca="false">Data!F810</f>
        <v>75951141</v>
      </c>
      <c r="AL815" s="17" t="n">
        <f aca="false">AJ815</f>
        <v>92.48</v>
      </c>
      <c r="AM815" s="17" t="n">
        <f aca="false">(AL815-AL814)/AL815*100</f>
        <v>0.281141868512116</v>
      </c>
      <c r="AN815" s="17" t="n">
        <f aca="false">(AK815-AK814)/AK815*100</f>
        <v>-15.364838297821</v>
      </c>
      <c r="AO815" s="17" t="str">
        <f aca="false">IF(AN815&lt;-8,"FITS BITCH",IF(AN815&gt;-8,"no"))</f>
        <v>FITS BITCH</v>
      </c>
      <c r="AP815" s="17" t="str">
        <f aca="false">IF(AH816&lt;AH815,"FITS BITCH",IF(AH816&gt;AH815,"no"))</f>
        <v>FITS BITCH</v>
      </c>
      <c r="AQ815" s="17" t="str">
        <f aca="false">IF(AI816&lt;AI815,"FITS BITCH",IF(AI816&gt;AI815,"no"))</f>
        <v>FITS BITCH</v>
      </c>
      <c r="AR815" s="17" t="str">
        <f aca="false">IF(AJ815&lt;AH816,"FITS BITCH",IF(AJ815&gt;AH816,"no"))</f>
        <v>FITS BITCH</v>
      </c>
      <c r="AS815" s="17" t="str">
        <f aca="false">IF(AJ815&gt;AJ816,"FITS BITCH",IF(AJ815&lt;AJ816,"no"))</f>
        <v>FITS BITCH</v>
      </c>
      <c r="AT815" s="91" t="str">
        <f aca="false">IF(AND($AO815="FITS BITCH",$AP815="FITS BITCH",$AR815="FITS BITCH"),"BULLISH","")</f>
        <v>BULLISH</v>
      </c>
      <c r="AU815" s="91" t="str">
        <f aca="false">IF(AND($AO815="FITS BITCH",$AQ815="FITS BITCH",$AS815="FITS BITCH"),"BEARISH","")</f>
        <v>BEARISH</v>
      </c>
      <c r="AV815" s="86"/>
      <c r="AW815" s="86"/>
      <c r="AX815" s="86"/>
    </row>
    <row r="816" customFormat="false" ht="15.75" hidden="false" customHeight="false" outlineLevel="0" collapsed="false">
      <c r="AE816" s="90" t="n">
        <f aca="false">Data!A811</f>
        <v>41794</v>
      </c>
      <c r="AF816" s="17" t="n">
        <f aca="false">Data!B811</f>
        <v>91.06</v>
      </c>
      <c r="AG816" s="17" t="n">
        <f aca="false">Data!F811</f>
        <v>83870521</v>
      </c>
      <c r="AH816" s="17" t="n">
        <f aca="false">Data!C811</f>
        <v>92.56</v>
      </c>
      <c r="AI816" s="17" t="n">
        <f aca="false">Data!D811</f>
        <v>90.87</v>
      </c>
      <c r="AJ816" s="17" t="n">
        <f aca="false">Data!E811</f>
        <v>92.12</v>
      </c>
      <c r="AK816" s="17" t="n">
        <f aca="false">Data!F811</f>
        <v>83870521</v>
      </c>
      <c r="AL816" s="17" t="n">
        <f aca="false">AJ816</f>
        <v>92.12</v>
      </c>
      <c r="AM816" s="17" t="n">
        <f aca="false">(AL816-AL815)/AL816*100</f>
        <v>-0.390794615718627</v>
      </c>
      <c r="AN816" s="17" t="n">
        <f aca="false">(AK816-AK815)/AK816*100</f>
        <v>9.44238798755048</v>
      </c>
      <c r="AO816" s="17" t="str">
        <f aca="false">IF(AN816&lt;-8,"FITS BITCH",IF(AN816&gt;-8,"no"))</f>
        <v>no</v>
      </c>
      <c r="AP816" s="17" t="str">
        <f aca="false">IF(AH817&lt;AH816,"FITS BITCH",IF(AH817&gt;AH816,"no"))</f>
        <v>FITS BITCH</v>
      </c>
      <c r="AQ816" s="17" t="str">
        <f aca="false">IF(AI817&lt;AI816,"FITS BITCH",IF(AI817&gt;AI816,"no"))</f>
        <v>FITS BITCH</v>
      </c>
      <c r="AR816" s="17" t="str">
        <f aca="false">IF(AJ816&lt;AH817,"FITS BITCH",IF(AJ816&gt;AH817,"no"))</f>
        <v>no</v>
      </c>
      <c r="AS816" s="17" t="str">
        <f aca="false">IF(AJ816&gt;AJ817,"FITS BITCH",IF(AJ816&lt;AJ817,"no"))</f>
        <v>FITS BITCH</v>
      </c>
      <c r="AT816" s="91" t="str">
        <f aca="false">IF(AND($AO816="FITS BITCH",$AP816="FITS BITCH",$AR816="FITS BITCH"),"BULLISH","")</f>
        <v/>
      </c>
      <c r="AU816" s="91" t="str">
        <f aca="false">IF(AND($AO816="FITS BITCH",$AQ816="FITS BITCH",$AS816="FITS BITCH"),"BEARISH","")</f>
        <v/>
      </c>
      <c r="AV816" s="86"/>
      <c r="AW816" s="86"/>
      <c r="AX816" s="86"/>
    </row>
    <row r="817" customFormat="false" ht="15.75" hidden="false" customHeight="false" outlineLevel="0" collapsed="false">
      <c r="AE817" s="90" t="n">
        <f aca="false">Data!A812</f>
        <v>41793</v>
      </c>
      <c r="AF817" s="17" t="n">
        <f aca="false">Data!B812</f>
        <v>89.78</v>
      </c>
      <c r="AG817" s="17" t="n">
        <f aca="false">Data!F812</f>
        <v>73231620</v>
      </c>
      <c r="AH817" s="17" t="n">
        <f aca="false">Data!C812</f>
        <v>91.25</v>
      </c>
      <c r="AI817" s="17" t="n">
        <f aca="false">Data!D812</f>
        <v>89.75</v>
      </c>
      <c r="AJ817" s="17" t="n">
        <f aca="false">Data!E812</f>
        <v>91.08</v>
      </c>
      <c r="AK817" s="17" t="n">
        <f aca="false">Data!F812</f>
        <v>73231620</v>
      </c>
      <c r="AL817" s="17" t="n">
        <f aca="false">AJ817</f>
        <v>91.08</v>
      </c>
      <c r="AM817" s="17" t="n">
        <f aca="false">(AL817-AL816)/AL817*100</f>
        <v>-1.14185331576637</v>
      </c>
      <c r="AN817" s="17" t="n">
        <f aca="false">(AK817-AK816)/AK817*100</f>
        <v>-14.5277422512297</v>
      </c>
      <c r="AO817" s="17" t="str">
        <f aca="false">IF(AN817&lt;-8,"FITS BITCH",IF(AN817&gt;-8,"no"))</f>
        <v>FITS BITCH</v>
      </c>
      <c r="AP817" s="17" t="str">
        <f aca="false">IF(AH818&lt;AH817,"FITS BITCH",IF(AH818&gt;AH817,"no"))</f>
        <v>FITS BITCH</v>
      </c>
      <c r="AQ817" s="17" t="str">
        <f aca="false">IF(AI818&lt;AI817,"FITS BITCH",IF(AI818&gt;AI817,"no"))</f>
        <v>FITS BITCH</v>
      </c>
      <c r="AR817" s="17" t="str">
        <f aca="false">IF(AJ817&lt;AH818,"FITS BITCH",IF(AJ817&gt;AH818,"no"))</f>
        <v>no</v>
      </c>
      <c r="AS817" s="17" t="str">
        <f aca="false">IF(AJ817&gt;AJ818,"FITS BITCH",IF(AJ817&lt;AJ818,"no"))</f>
        <v>FITS BITCH</v>
      </c>
      <c r="AT817" s="91" t="str">
        <f aca="false">IF(AND($AO817="FITS BITCH",$AP817="FITS BITCH",$AR817="FITS BITCH"),"BULLISH","")</f>
        <v/>
      </c>
      <c r="AU817" s="91" t="str">
        <f aca="false">IF(AND($AO817="FITS BITCH",$AQ817="FITS BITCH",$AS817="FITS BITCH"),"BEARISH","")</f>
        <v>BEARISH</v>
      </c>
      <c r="AV817" s="86"/>
      <c r="AW817" s="86"/>
      <c r="AX817" s="86"/>
    </row>
    <row r="818" customFormat="false" ht="15.75" hidden="false" customHeight="false" outlineLevel="0" collapsed="false">
      <c r="AE818" s="90" t="n">
        <f aca="false">Data!A813</f>
        <v>41792</v>
      </c>
      <c r="AF818" s="17" t="n">
        <f aca="false">Data!B813</f>
        <v>90.57</v>
      </c>
      <c r="AG818" s="17" t="n">
        <f aca="false">Data!F813</f>
        <v>92337903</v>
      </c>
      <c r="AH818" s="17" t="n">
        <f aca="false">Data!C813</f>
        <v>90.69</v>
      </c>
      <c r="AI818" s="17" t="n">
        <f aca="false">Data!D813</f>
        <v>88.93</v>
      </c>
      <c r="AJ818" s="17" t="n">
        <f aca="false">Data!E813</f>
        <v>89.81</v>
      </c>
      <c r="AK818" s="17" t="n">
        <f aca="false">Data!F813</f>
        <v>92337903</v>
      </c>
      <c r="AL818" s="17" t="n">
        <f aca="false">AJ818</f>
        <v>89.81</v>
      </c>
      <c r="AM818" s="17" t="n">
        <f aca="false">(AL818-AL817)/AL818*100</f>
        <v>-1.41409642578777</v>
      </c>
      <c r="AN818" s="17" t="n">
        <f aca="false">(AK818-AK817)/AK818*100</f>
        <v>20.691701218296</v>
      </c>
      <c r="AO818" s="17" t="str">
        <f aca="false">IF(AN818&lt;-8,"FITS BITCH",IF(AN818&gt;-8,"no"))</f>
        <v>no</v>
      </c>
      <c r="AP818" s="17" t="str">
        <f aca="false">IF(AH819&lt;AH818,"FITS BITCH",IF(AH819&gt;AH818,"no"))</f>
        <v>no</v>
      </c>
      <c r="AQ818" s="17" t="str">
        <f aca="false">IF(AI819&lt;AI818,"FITS BITCH",IF(AI819&gt;AI818,"no"))</f>
        <v>no</v>
      </c>
      <c r="AR818" s="17" t="str">
        <f aca="false">IF(AJ818&lt;AH819,"FITS BITCH",IF(AJ818&gt;AH819,"no"))</f>
        <v>FITS BITCH</v>
      </c>
      <c r="AS818" s="17" t="str">
        <f aca="false">IF(AJ818&gt;AJ819,"FITS BITCH",IF(AJ818&lt;AJ819,"no"))</f>
        <v>no</v>
      </c>
      <c r="AT818" s="91" t="str">
        <f aca="false">IF(AND($AO818="FITS BITCH",$AP818="FITS BITCH",$AR818="FITS BITCH"),"BULLISH","")</f>
        <v/>
      </c>
      <c r="AU818" s="91" t="str">
        <f aca="false">IF(AND($AO818="FITS BITCH",$AQ818="FITS BITCH",$AS818="FITS BITCH"),"BEARISH","")</f>
        <v/>
      </c>
      <c r="AV818" s="86"/>
      <c r="AW818" s="86"/>
      <c r="AX818" s="86"/>
    </row>
    <row r="819" customFormat="false" ht="15.75" hidden="false" customHeight="false" outlineLevel="0" collapsed="false">
      <c r="AE819" s="90" t="n">
        <f aca="false">Data!A814</f>
        <v>41789</v>
      </c>
      <c r="AF819" s="17" t="n">
        <f aca="false">Data!B814</f>
        <v>91.14</v>
      </c>
      <c r="AG819" s="17" t="n">
        <f aca="false">Data!F814</f>
        <v>141005137</v>
      </c>
      <c r="AH819" s="17" t="n">
        <f aca="false">Data!C814</f>
        <v>92.02</v>
      </c>
      <c r="AI819" s="17" t="n">
        <f aca="false">Data!D814</f>
        <v>89.84</v>
      </c>
      <c r="AJ819" s="17" t="n">
        <f aca="false">Data!E814</f>
        <v>90.43</v>
      </c>
      <c r="AK819" s="17" t="n">
        <f aca="false">Data!F814</f>
        <v>141005137</v>
      </c>
      <c r="AL819" s="17" t="n">
        <f aca="false">AJ819</f>
        <v>90.43</v>
      </c>
      <c r="AM819" s="17" t="n">
        <f aca="false">(AL819-AL818)/AL819*100</f>
        <v>0.685613181466333</v>
      </c>
      <c r="AN819" s="17" t="n">
        <f aca="false">(AK819-AK818)/AK819*100</f>
        <v>34.5145113401081</v>
      </c>
      <c r="AO819" s="17" t="str">
        <f aca="false">IF(AN819&lt;-8,"FITS BITCH",IF(AN819&gt;-8,"no"))</f>
        <v>no</v>
      </c>
      <c r="AP819" s="17" t="str">
        <f aca="false">IF(AH820&lt;AH819,"FITS BITCH",IF(AH820&gt;AH819,"no"))</f>
        <v>FITS BITCH</v>
      </c>
      <c r="AQ819" s="17" t="str">
        <f aca="false">IF(AI820&lt;AI819,"FITS BITCH",IF(AI820&gt;AI819,"no"))</f>
        <v>FITS BITCH</v>
      </c>
      <c r="AR819" s="17" t="str">
        <f aca="false">IF(AJ819&lt;AH820,"FITS BITCH",IF(AJ819&gt;AH820,"no"))</f>
        <v>FITS BITCH</v>
      </c>
      <c r="AS819" s="17" t="str">
        <f aca="false">IF(AJ819&gt;AJ820,"FITS BITCH",IF(AJ819&lt;AJ820,"no"))</f>
        <v>no</v>
      </c>
      <c r="AT819" s="91" t="str">
        <f aca="false">IF(AND($AO819="FITS BITCH",$AP819="FITS BITCH",$AR819="FITS BITCH"),"BULLISH","")</f>
        <v/>
      </c>
      <c r="AU819" s="91" t="str">
        <f aca="false">IF(AND($AO819="FITS BITCH",$AQ819="FITS BITCH",$AS819="FITS BITCH"),"BEARISH","")</f>
        <v/>
      </c>
      <c r="AV819" s="86"/>
      <c r="AW819" s="86"/>
      <c r="AX819" s="86"/>
    </row>
    <row r="820" customFormat="false" ht="15.75" hidden="false" customHeight="false" outlineLevel="0" collapsed="false">
      <c r="AE820" s="90" t="n">
        <f aca="false">Data!A815</f>
        <v>41788</v>
      </c>
      <c r="AF820" s="17" t="n">
        <f aca="false">Data!B815</f>
        <v>89.69</v>
      </c>
      <c r="AG820" s="17" t="n">
        <f aca="false">Data!F815</f>
        <v>94118633</v>
      </c>
      <c r="AH820" s="17" t="n">
        <f aca="false">Data!C815</f>
        <v>90.98</v>
      </c>
      <c r="AI820" s="17" t="n">
        <f aca="false">Data!D815</f>
        <v>89.68</v>
      </c>
      <c r="AJ820" s="17" t="n">
        <f aca="false">Data!E815</f>
        <v>90.77</v>
      </c>
      <c r="AK820" s="17" t="n">
        <f aca="false">Data!F815</f>
        <v>94118633</v>
      </c>
      <c r="AL820" s="17" t="n">
        <f aca="false">AJ820</f>
        <v>90.77</v>
      </c>
      <c r="AM820" s="17" t="n">
        <f aca="false">(AL820-AL819)/AL820*100</f>
        <v>0.374573096838151</v>
      </c>
      <c r="AN820" s="17" t="n">
        <f aca="false">(AK820-AK819)/AK820*100</f>
        <v>-49.8163886421937</v>
      </c>
      <c r="AO820" s="17" t="str">
        <f aca="false">IF(AN820&lt;-8,"FITS BITCH",IF(AN820&gt;-8,"no"))</f>
        <v>FITS BITCH</v>
      </c>
      <c r="AP820" s="17" t="str">
        <f aca="false">IF(AH821&lt;AH820,"FITS BITCH",IF(AH821&gt;AH820,"no"))</f>
        <v>FITS BITCH</v>
      </c>
      <c r="AQ820" s="17" t="str">
        <f aca="false">IF(AI821&lt;AI820,"FITS BITCH",IF(AI821&gt;AI820,"no"))</f>
        <v>FITS BITCH</v>
      </c>
      <c r="AR820" s="17" t="str">
        <f aca="false">IF(AJ820&lt;AH821,"FITS BITCH",IF(AJ820&gt;AH821,"no"))</f>
        <v>no</v>
      </c>
      <c r="AS820" s="17" t="str">
        <f aca="false">IF(AJ820&gt;AJ821,"FITS BITCH",IF(AJ820&lt;AJ821,"no"))</f>
        <v>FITS BITCH</v>
      </c>
      <c r="AT820" s="91" t="str">
        <f aca="false">IF(AND($AO820="FITS BITCH",$AP820="FITS BITCH",$AR820="FITS BITCH"),"BULLISH","")</f>
        <v/>
      </c>
      <c r="AU820" s="91" t="str">
        <f aca="false">IF(AND($AO820="FITS BITCH",$AQ820="FITS BITCH",$AS820="FITS BITCH"),"BEARISH","")</f>
        <v>BEARISH</v>
      </c>
      <c r="AV820" s="86"/>
      <c r="AW820" s="86"/>
      <c r="AX820" s="86"/>
    </row>
    <row r="821" customFormat="false" ht="15.75" hidden="false" customHeight="false" outlineLevel="0" collapsed="false">
      <c r="AE821" s="90" t="n">
        <f aca="false">Data!A816</f>
        <v>41787</v>
      </c>
      <c r="AF821" s="17" t="n">
        <f aca="false">Data!B816</f>
        <v>89.43</v>
      </c>
      <c r="AG821" s="17" t="n">
        <f aca="false">Data!F816</f>
        <v>78921885</v>
      </c>
      <c r="AH821" s="17" t="n">
        <f aca="false">Data!C816</f>
        <v>89.98</v>
      </c>
      <c r="AI821" s="17" t="n">
        <f aca="false">Data!D816</f>
        <v>89.11</v>
      </c>
      <c r="AJ821" s="17" t="n">
        <f aca="false">Data!E816</f>
        <v>89.14</v>
      </c>
      <c r="AK821" s="17" t="n">
        <f aca="false">Data!F816</f>
        <v>78921885</v>
      </c>
      <c r="AL821" s="17" t="n">
        <f aca="false">AJ821</f>
        <v>89.14</v>
      </c>
      <c r="AM821" s="17" t="n">
        <f aca="false">(AL821-AL820)/AL821*100</f>
        <v>-1.82858424949517</v>
      </c>
      <c r="AN821" s="17" t="n">
        <f aca="false">(AK821-AK820)/AK821*100</f>
        <v>-19.2554295934518</v>
      </c>
      <c r="AO821" s="17" t="str">
        <f aca="false">IF(AN821&lt;-8,"FITS BITCH",IF(AN821&gt;-8,"no"))</f>
        <v>FITS BITCH</v>
      </c>
      <c r="AP821" s="17" t="str">
        <f aca="false">IF(AH822&lt;AH821,"FITS BITCH",IF(AH822&gt;AH821,"no"))</f>
        <v>FITS BITCH</v>
      </c>
      <c r="AQ821" s="17" t="str">
        <f aca="false">IF(AI822&lt;AI821,"FITS BITCH",IF(AI822&gt;AI821,"no"))</f>
        <v>FITS BITCH</v>
      </c>
      <c r="AR821" s="17" t="str">
        <f aca="false">IF(AJ821&lt;AH822,"FITS BITCH",IF(AJ821&gt;AH822,"no"))</f>
        <v>FITS BITCH</v>
      </c>
      <c r="AS821" s="17" t="str">
        <f aca="false">IF(AJ821&gt;AJ822,"FITS BITCH",IF(AJ821&lt;AJ822,"no"))</f>
        <v>no</v>
      </c>
      <c r="AT821" s="91" t="str">
        <f aca="false">IF(AND($AO821="FITS BITCH",$AP821="FITS BITCH",$AR821="FITS BITCH"),"BULLISH","")</f>
        <v>BULLISH</v>
      </c>
      <c r="AU821" s="91" t="str">
        <f aca="false">IF(AND($AO821="FITS BITCH",$AQ821="FITS BITCH",$AS821="FITS BITCH"),"BEARISH","")</f>
        <v/>
      </c>
      <c r="AV821" s="86"/>
      <c r="AW821" s="86"/>
      <c r="AX821" s="86"/>
    </row>
    <row r="822" customFormat="false" ht="15.75" hidden="false" customHeight="false" outlineLevel="0" collapsed="false">
      <c r="AE822" s="90" t="n">
        <f aca="false">Data!A817</f>
        <v>41786</v>
      </c>
      <c r="AF822" s="17" t="n">
        <f aca="false">Data!B817</f>
        <v>87.98</v>
      </c>
      <c r="AG822" s="17" t="n">
        <f aca="false">Data!F817</f>
        <v>87216605</v>
      </c>
      <c r="AH822" s="17" t="n">
        <f aca="false">Data!C817</f>
        <v>89.41</v>
      </c>
      <c r="AI822" s="17" t="n">
        <f aca="false">Data!D817</f>
        <v>87.95</v>
      </c>
      <c r="AJ822" s="17" t="n">
        <f aca="false">Data!E817</f>
        <v>89.38</v>
      </c>
      <c r="AK822" s="17" t="n">
        <f aca="false">Data!F817</f>
        <v>87216605</v>
      </c>
      <c r="AL822" s="17" t="n">
        <f aca="false">AJ822</f>
        <v>89.38</v>
      </c>
      <c r="AM822" s="17" t="n">
        <f aca="false">(AL822-AL821)/AL822*100</f>
        <v>0.26851644663235</v>
      </c>
      <c r="AN822" s="17" t="n">
        <f aca="false">(AK822-AK821)/AK822*100</f>
        <v>9.51048255088581</v>
      </c>
      <c r="AO822" s="17" t="str">
        <f aca="false">IF(AN822&lt;-8,"FITS BITCH",IF(AN822&gt;-8,"no"))</f>
        <v>no</v>
      </c>
      <c r="AP822" s="17" t="str">
        <f aca="false">IF(AH823&lt;AH822,"FITS BITCH",IF(AH823&gt;AH822,"no"))</f>
        <v>FITS BITCH</v>
      </c>
      <c r="AQ822" s="17" t="str">
        <f aca="false">IF(AI823&lt;AI822,"FITS BITCH",IF(AI823&gt;AI822,"no"))</f>
        <v>FITS BITCH</v>
      </c>
      <c r="AR822" s="17" t="str">
        <f aca="false">IF(AJ822&lt;AH823,"FITS BITCH",IF(AJ822&gt;AH823,"no"))</f>
        <v>no</v>
      </c>
      <c r="AS822" s="17" t="str">
        <f aca="false">IF(AJ822&gt;AJ823,"FITS BITCH",IF(AJ822&lt;AJ823,"no"))</f>
        <v>FITS BITCH</v>
      </c>
      <c r="AT822" s="91" t="str">
        <f aca="false">IF(AND($AO822="FITS BITCH",$AP822="FITS BITCH",$AR822="FITS BITCH"),"BULLISH","")</f>
        <v/>
      </c>
      <c r="AU822" s="91" t="str">
        <f aca="false">IF(AND($AO822="FITS BITCH",$AQ822="FITS BITCH",$AS822="FITS BITCH"),"BEARISH","")</f>
        <v/>
      </c>
      <c r="AV822" s="86"/>
      <c r="AW822" s="86"/>
      <c r="AX822" s="86"/>
    </row>
    <row r="823" customFormat="false" ht="15.75" hidden="false" customHeight="false" outlineLevel="0" collapsed="false">
      <c r="AE823" s="90" t="n">
        <f aca="false">Data!A818</f>
        <v>41782</v>
      </c>
      <c r="AF823" s="17" t="n">
        <f aca="false">Data!B818</f>
        <v>86.75</v>
      </c>
      <c r="AG823" s="17" t="n">
        <f aca="false">Data!F818</f>
        <v>58052491</v>
      </c>
      <c r="AH823" s="17" t="n">
        <f aca="false">Data!C818</f>
        <v>87.82</v>
      </c>
      <c r="AI823" s="17" t="n">
        <f aca="false">Data!D818</f>
        <v>86.64</v>
      </c>
      <c r="AJ823" s="17" t="n">
        <f aca="false">Data!E818</f>
        <v>87.73</v>
      </c>
      <c r="AK823" s="17" t="n">
        <f aca="false">Data!F818</f>
        <v>58052491</v>
      </c>
      <c r="AL823" s="17" t="n">
        <f aca="false">AJ823</f>
        <v>87.73</v>
      </c>
      <c r="AM823" s="17" t="n">
        <f aca="false">(AL823-AL822)/AL823*100</f>
        <v>-1.88077054599338</v>
      </c>
      <c r="AN823" s="17" t="n">
        <f aca="false">(AK823-AK822)/AK823*100</f>
        <v>-50.2374893783628</v>
      </c>
      <c r="AO823" s="17" t="str">
        <f aca="false">IF(AN823&lt;-8,"FITS BITCH",IF(AN823&gt;-8,"no"))</f>
        <v>FITS BITCH</v>
      </c>
      <c r="AP823" s="17" t="str">
        <f aca="false">IF(AH824&lt;AH823,"FITS BITCH",IF(AH824&gt;AH823,"no"))</f>
        <v>FITS BITCH</v>
      </c>
      <c r="AQ823" s="17" t="str">
        <f aca="false">IF(AI824&lt;AI823,"FITS BITCH",IF(AI824&gt;AI823,"no"))</f>
        <v>FITS BITCH</v>
      </c>
      <c r="AR823" s="17" t="str">
        <f aca="false">IF(AJ823&lt;AH824,"FITS BITCH",IF(AJ823&gt;AH824,"no"))</f>
        <v>no</v>
      </c>
      <c r="AS823" s="17" t="str">
        <f aca="false">IF(AJ823&gt;AJ824,"FITS BITCH",IF(AJ823&lt;AJ824,"no"))</f>
        <v>FITS BITCH</v>
      </c>
      <c r="AT823" s="91" t="str">
        <f aca="false">IF(AND($AO823="FITS BITCH",$AP823="FITS BITCH",$AR823="FITS BITCH"),"BULLISH","")</f>
        <v/>
      </c>
      <c r="AU823" s="91" t="str">
        <f aca="false">IF(AND($AO823="FITS BITCH",$AQ823="FITS BITCH",$AS823="FITS BITCH"),"BEARISH","")</f>
        <v>BEARISH</v>
      </c>
      <c r="AV823" s="86"/>
      <c r="AW823" s="86"/>
      <c r="AX823" s="86"/>
    </row>
    <row r="824" customFormat="false" ht="15.75" hidden="false" customHeight="false" outlineLevel="0" collapsed="false">
      <c r="AE824" s="90" t="n">
        <f aca="false">Data!A819</f>
        <v>41781</v>
      </c>
      <c r="AF824" s="17" t="n">
        <f aca="false">Data!B819</f>
        <v>86.66</v>
      </c>
      <c r="AG824" s="17" t="n">
        <f aca="false">Data!F819</f>
        <v>50218945</v>
      </c>
      <c r="AH824" s="17" t="n">
        <f aca="false">Data!C819</f>
        <v>87.12</v>
      </c>
      <c r="AI824" s="17" t="n">
        <f aca="false">Data!D819</f>
        <v>86.3</v>
      </c>
      <c r="AJ824" s="17" t="n">
        <f aca="false">Data!E819</f>
        <v>86.75</v>
      </c>
      <c r="AK824" s="17" t="n">
        <f aca="false">Data!F819</f>
        <v>50218945</v>
      </c>
      <c r="AL824" s="17" t="n">
        <f aca="false">AJ824</f>
        <v>86.75</v>
      </c>
      <c r="AM824" s="17" t="n">
        <f aca="false">(AL824-AL823)/AL824*100</f>
        <v>-1.12968299711816</v>
      </c>
      <c r="AN824" s="17" t="n">
        <f aca="false">(AK824-AK823)/AK824*100</f>
        <v>-15.5987864739094</v>
      </c>
      <c r="AO824" s="17" t="str">
        <f aca="false">IF(AN824&lt;-8,"FITS BITCH",IF(AN824&gt;-8,"no"))</f>
        <v>FITS BITCH</v>
      </c>
      <c r="AP824" s="17" t="str">
        <f aca="false">IF(AH825&lt;AH824,"FITS BITCH",IF(AH825&gt;AH824,"no"))</f>
        <v>FITS BITCH</v>
      </c>
      <c r="AQ824" s="17" t="str">
        <f aca="false">IF(AI825&lt;AI824,"FITS BITCH",IF(AI825&gt;AI824,"no"))</f>
        <v>FITS BITCH</v>
      </c>
      <c r="AR824" s="17" t="str">
        <f aca="false">IF(AJ824&lt;AH825,"FITS BITCH",IF(AJ824&gt;AH825,"no"))</f>
        <v>no</v>
      </c>
      <c r="AS824" s="17" t="str">
        <f aca="false">IF(AJ824&gt;AJ825,"FITS BITCH",IF(AJ824&lt;AJ825,"no"))</f>
        <v>FITS BITCH</v>
      </c>
      <c r="AT824" s="91" t="str">
        <f aca="false">IF(AND($AO824="FITS BITCH",$AP824="FITS BITCH",$AR824="FITS BITCH"),"BULLISH","")</f>
        <v/>
      </c>
      <c r="AU824" s="91" t="str">
        <f aca="false">IF(AND($AO824="FITS BITCH",$AQ824="FITS BITCH",$AS824="FITS BITCH"),"BEARISH","")</f>
        <v>BEARISH</v>
      </c>
      <c r="AV824" s="86"/>
      <c r="AW824" s="86"/>
      <c r="AX824" s="86"/>
    </row>
    <row r="825" customFormat="false" ht="15.75" hidden="false" customHeight="false" outlineLevel="0" collapsed="false">
      <c r="AE825" s="90" t="n">
        <f aca="false">Data!A820</f>
        <v>41780</v>
      </c>
      <c r="AF825" s="17" t="n">
        <f aca="false">Data!B820</f>
        <v>86.26</v>
      </c>
      <c r="AG825" s="17" t="n">
        <f aca="false">Data!F820</f>
        <v>49249914</v>
      </c>
      <c r="AH825" s="17" t="n">
        <f aca="false">Data!C820</f>
        <v>86.67</v>
      </c>
      <c r="AI825" s="17" t="n">
        <f aca="false">Data!D820</f>
        <v>86.01</v>
      </c>
      <c r="AJ825" s="17" t="n">
        <f aca="false">Data!E820</f>
        <v>86.62</v>
      </c>
      <c r="AK825" s="17" t="n">
        <f aca="false">Data!F820</f>
        <v>49249914</v>
      </c>
      <c r="AL825" s="17" t="n">
        <f aca="false">AJ825</f>
        <v>86.62</v>
      </c>
      <c r="AM825" s="17" t="n">
        <f aca="false">(AL825-AL824)/AL825*100</f>
        <v>-0.150080812745319</v>
      </c>
      <c r="AN825" s="17" t="n">
        <f aca="false">(AK825-AK824)/AK825*100</f>
        <v>-1.96757907029036</v>
      </c>
      <c r="AO825" s="17" t="str">
        <f aca="false">IF(AN825&lt;-8,"FITS BITCH",IF(AN825&gt;-8,"no"))</f>
        <v>no</v>
      </c>
      <c r="AP825" s="17" t="str">
        <f aca="false">IF(AH826&lt;AH825,"FITS BITCH",IF(AH826&gt;AH825,"no"))</f>
        <v>FITS BITCH</v>
      </c>
      <c r="AQ825" s="17" t="str">
        <f aca="false">IF(AI826&lt;AI825,"FITS BITCH",IF(AI826&gt;AI825,"no"))</f>
        <v>FITS BITCH</v>
      </c>
      <c r="AR825" s="17" t="str">
        <f aca="false">IF(AJ825&lt;AH826,"FITS BITCH",IF(AJ825&gt;AH826,"no"))</f>
        <v>FITS BITCH</v>
      </c>
      <c r="AS825" s="17" t="str">
        <f aca="false">IF(AJ825&gt;AJ826,"FITS BITCH",IF(AJ825&lt;AJ826,"no"))</f>
        <v>FITS BITCH</v>
      </c>
      <c r="AT825" s="91" t="str">
        <f aca="false">IF(AND($AO825="FITS BITCH",$AP825="FITS BITCH",$AR825="FITS BITCH"),"BULLISH","")</f>
        <v/>
      </c>
      <c r="AU825" s="91" t="str">
        <f aca="false">IF(AND($AO825="FITS BITCH",$AQ825="FITS BITCH",$AS825="FITS BITCH"),"BEARISH","")</f>
        <v/>
      </c>
      <c r="AV825" s="86"/>
      <c r="AW825" s="86"/>
      <c r="AX825" s="86"/>
    </row>
    <row r="826" customFormat="false" ht="15.75" hidden="false" customHeight="false" outlineLevel="0" collapsed="false">
      <c r="AE826" s="90" t="n">
        <f aca="false">Data!A821</f>
        <v>41779</v>
      </c>
      <c r="AF826" s="17" t="n">
        <f aca="false">Data!B821</f>
        <v>86.36</v>
      </c>
      <c r="AG826" s="17" t="n">
        <f aca="false">Data!F821</f>
        <v>58708986</v>
      </c>
      <c r="AH826" s="17" t="n">
        <f aca="false">Data!C821</f>
        <v>86.63</v>
      </c>
      <c r="AI826" s="17" t="n">
        <f aca="false">Data!D821</f>
        <v>85.82</v>
      </c>
      <c r="AJ826" s="17" t="n">
        <f aca="false">Data!E821</f>
        <v>86.39</v>
      </c>
      <c r="AK826" s="17" t="n">
        <f aca="false">Data!F821</f>
        <v>58708986</v>
      </c>
      <c r="AL826" s="17" t="n">
        <f aca="false">AJ826</f>
        <v>86.39</v>
      </c>
      <c r="AM826" s="17" t="n">
        <f aca="false">(AL826-AL825)/AL826*100</f>
        <v>-0.266234517884019</v>
      </c>
      <c r="AN826" s="17" t="n">
        <f aca="false">(AK826-AK825)/AK826*100</f>
        <v>16.1117959012271</v>
      </c>
      <c r="AO826" s="17" t="str">
        <f aca="false">IF(AN826&lt;-8,"FITS BITCH",IF(AN826&gt;-8,"no"))</f>
        <v>no</v>
      </c>
      <c r="AP826" s="17" t="str">
        <f aca="false">IF(AH827&lt;AH826,"FITS BITCH",IF(AH827&gt;AH826,"no"))</f>
        <v>no</v>
      </c>
      <c r="AQ826" s="17" t="str">
        <f aca="false">IF(AI827&lt;AI826,"FITS BITCH",IF(AI827&gt;AI826,"no"))</f>
        <v>FITS BITCH</v>
      </c>
      <c r="AR826" s="17" t="str">
        <f aca="false">IF(AJ826&lt;AH827,"FITS BITCH",IF(AJ826&gt;AH827,"no"))</f>
        <v>FITS BITCH</v>
      </c>
      <c r="AS826" s="17" t="str">
        <f aca="false">IF(AJ826&gt;AJ827,"FITS BITCH",IF(AJ826&lt;AJ827,"no"))</f>
        <v>FITS BITCH</v>
      </c>
      <c r="AT826" s="91" t="str">
        <f aca="false">IF(AND($AO826="FITS BITCH",$AP826="FITS BITCH",$AR826="FITS BITCH"),"BULLISH","")</f>
        <v/>
      </c>
      <c r="AU826" s="91" t="str">
        <f aca="false">IF(AND($AO826="FITS BITCH",$AQ826="FITS BITCH",$AS826="FITS BITCH"),"BEARISH","")</f>
        <v/>
      </c>
      <c r="AV826" s="86"/>
      <c r="AW826" s="86"/>
      <c r="AX826" s="86"/>
    </row>
    <row r="827" customFormat="false" ht="15.75" hidden="false" customHeight="false" outlineLevel="0" collapsed="false">
      <c r="AE827" s="90" t="n">
        <f aca="false">Data!A822</f>
        <v>41778</v>
      </c>
      <c r="AF827" s="17" t="n">
        <f aca="false">Data!B822</f>
        <v>85.41</v>
      </c>
      <c r="AG827" s="17" t="n">
        <f aca="false">Data!F822</f>
        <v>79439024</v>
      </c>
      <c r="AH827" s="17" t="n">
        <f aca="false">Data!C822</f>
        <v>86.76</v>
      </c>
      <c r="AI827" s="17" t="n">
        <f aca="false">Data!D822</f>
        <v>85.33</v>
      </c>
      <c r="AJ827" s="17" t="n">
        <f aca="false">Data!E822</f>
        <v>86.37</v>
      </c>
      <c r="AK827" s="17" t="n">
        <f aca="false">Data!F822</f>
        <v>79439024</v>
      </c>
      <c r="AL827" s="17" t="n">
        <f aca="false">AJ827</f>
        <v>86.37</v>
      </c>
      <c r="AM827" s="17" t="n">
        <f aca="false">(AL827-AL826)/AL827*100</f>
        <v>-0.0231561884913697</v>
      </c>
      <c r="AN827" s="17" t="n">
        <f aca="false">(AK827-AK826)/AK827*100</f>
        <v>26.0955346077766</v>
      </c>
      <c r="AO827" s="17" t="str">
        <f aca="false">IF(AN827&lt;-8,"FITS BITCH",IF(AN827&gt;-8,"no"))</f>
        <v>no</v>
      </c>
      <c r="AP827" s="17" t="str">
        <f aca="false">IF(AH828&lt;AH827,"FITS BITCH",IF(AH828&gt;AH827,"no"))</f>
        <v>FITS BITCH</v>
      </c>
      <c r="AQ827" s="17" t="str">
        <f aca="false">IF(AI828&lt;AI827,"FITS BITCH",IF(AI828&gt;AI827,"no"))</f>
        <v>FITS BITCH</v>
      </c>
      <c r="AR827" s="17" t="str">
        <f aca="false">IF(AJ827&lt;AH828,"FITS BITCH",IF(AJ827&gt;AH828,"no"))</f>
        <v>no</v>
      </c>
      <c r="AS827" s="17" t="str">
        <f aca="false">IF(AJ827&gt;AJ828,"FITS BITCH",IF(AJ827&lt;AJ828,"no"))</f>
        <v>FITS BITCH</v>
      </c>
      <c r="AT827" s="91" t="str">
        <f aca="false">IF(AND($AO827="FITS BITCH",$AP827="FITS BITCH",$AR827="FITS BITCH"),"BULLISH","")</f>
        <v/>
      </c>
      <c r="AU827" s="91" t="str">
        <f aca="false">IF(AND($AO827="FITS BITCH",$AQ827="FITS BITCH",$AS827="FITS BITCH"),"BEARISH","")</f>
        <v/>
      </c>
      <c r="AV827" s="86"/>
      <c r="AW827" s="86"/>
      <c r="AX827" s="86"/>
    </row>
    <row r="828" customFormat="false" ht="15.75" hidden="false" customHeight="false" outlineLevel="0" collapsed="false">
      <c r="AE828" s="90" t="n">
        <f aca="false">Data!A823</f>
        <v>41775</v>
      </c>
      <c r="AF828" s="17" t="n">
        <f aca="false">Data!B823</f>
        <v>84.09</v>
      </c>
      <c r="AG828" s="17" t="n">
        <f aca="false">Data!F823</f>
        <v>69091834</v>
      </c>
      <c r="AH828" s="17" t="n">
        <f aca="false">Data!C823</f>
        <v>85.36</v>
      </c>
      <c r="AI828" s="17" t="n">
        <f aca="false">Data!D823</f>
        <v>83.63</v>
      </c>
      <c r="AJ828" s="17" t="n">
        <f aca="false">Data!E823</f>
        <v>85.36</v>
      </c>
      <c r="AK828" s="17" t="n">
        <f aca="false">Data!F823</f>
        <v>69091834</v>
      </c>
      <c r="AL828" s="17" t="n">
        <f aca="false">AJ828</f>
        <v>85.36</v>
      </c>
      <c r="AM828" s="17" t="n">
        <f aca="false">(AL828-AL827)/AL828*100</f>
        <v>-1.18322399250235</v>
      </c>
      <c r="AN828" s="17" t="n">
        <f aca="false">(AK828-AK827)/AK828*100</f>
        <v>-14.9759955713435</v>
      </c>
      <c r="AO828" s="17" t="str">
        <f aca="false">IF(AN828&lt;-8,"FITS BITCH",IF(AN828&gt;-8,"no"))</f>
        <v>FITS BITCH</v>
      </c>
      <c r="AP828" s="17" t="str">
        <f aca="false">IF(AH829&lt;AH828,"FITS BITCH",IF(AH829&gt;AH828,"no"))</f>
        <v>FITS BITCH</v>
      </c>
      <c r="AQ828" s="17" t="str">
        <f aca="false">IF(AI829&lt;AI828,"FITS BITCH",IF(AI829&gt;AI828,"no"))</f>
        <v>no</v>
      </c>
      <c r="AR828" s="17" t="str">
        <f aca="false">IF(AJ828&lt;AH829,"FITS BITCH",IF(AJ828&gt;AH829,"no"))</f>
        <v>no</v>
      </c>
      <c r="AS828" s="17" t="str">
        <f aca="false">IF(AJ828&gt;AJ829,"FITS BITCH",IF(AJ828&lt;AJ829,"no"))</f>
        <v>FITS BITCH</v>
      </c>
      <c r="AT828" s="91" t="str">
        <f aca="false">IF(AND($AO828="FITS BITCH",$AP828="FITS BITCH",$AR828="FITS BITCH"),"BULLISH","")</f>
        <v/>
      </c>
      <c r="AU828" s="91" t="str">
        <f aca="false">IF(AND($AO828="FITS BITCH",$AQ828="FITS BITCH",$AS828="FITS BITCH"),"BEARISH","")</f>
        <v/>
      </c>
      <c r="AV828" s="86"/>
      <c r="AW828" s="86"/>
      <c r="AX828" s="86"/>
    </row>
    <row r="829" customFormat="false" ht="15.75" hidden="false" customHeight="false" outlineLevel="0" collapsed="false">
      <c r="AE829" s="90" t="n">
        <f aca="false">Data!A824</f>
        <v>41774</v>
      </c>
      <c r="AF829" s="17" t="n">
        <f aca="false">Data!B824</f>
        <v>84.96</v>
      </c>
      <c r="AG829" s="17" t="n">
        <f aca="false">Data!F824</f>
        <v>57711731</v>
      </c>
      <c r="AH829" s="17" t="n">
        <f aca="false">Data!C824</f>
        <v>85.23</v>
      </c>
      <c r="AI829" s="17" t="n">
        <f aca="false">Data!D824</f>
        <v>84.01</v>
      </c>
      <c r="AJ829" s="17" t="n">
        <f aca="false">Data!E824</f>
        <v>84.12</v>
      </c>
      <c r="AK829" s="17" t="n">
        <f aca="false">Data!F824</f>
        <v>57711731</v>
      </c>
      <c r="AL829" s="17" t="n">
        <f aca="false">AJ829</f>
        <v>84.12</v>
      </c>
      <c r="AM829" s="17" t="n">
        <f aca="false">(AL829-AL828)/AL829*100</f>
        <v>-1.47408464098906</v>
      </c>
      <c r="AN829" s="17" t="n">
        <f aca="false">(AK829-AK828)/AK829*100</f>
        <v>-19.718873100514</v>
      </c>
      <c r="AO829" s="17" t="str">
        <f aca="false">IF(AN829&lt;-8,"FITS BITCH",IF(AN829&gt;-8,"no"))</f>
        <v>FITS BITCH</v>
      </c>
      <c r="AP829" s="17" t="str">
        <f aca="false">IF(AH830&lt;AH829,"FITS BITCH",IF(AH830&gt;AH829,"no"))</f>
        <v>no</v>
      </c>
      <c r="AQ829" s="17" t="str">
        <f aca="false">IF(AI830&lt;AI829,"FITS BITCH",IF(AI830&gt;AI829,"no"))</f>
        <v>no</v>
      </c>
      <c r="AR829" s="17" t="str">
        <f aca="false">IF(AJ829&lt;AH830,"FITS BITCH",IF(AJ829&gt;AH830,"no"))</f>
        <v>FITS BITCH</v>
      </c>
      <c r="AS829" s="17" t="str">
        <f aca="false">IF(AJ829&gt;AJ830,"FITS BITCH",IF(AJ829&lt;AJ830,"no"))</f>
        <v>no</v>
      </c>
      <c r="AT829" s="91" t="str">
        <f aca="false">IF(AND($AO829="FITS BITCH",$AP829="FITS BITCH",$AR829="FITS BITCH"),"BULLISH","")</f>
        <v/>
      </c>
      <c r="AU829" s="91" t="str">
        <f aca="false">IF(AND($AO829="FITS BITCH",$AQ829="FITS BITCH",$AS829="FITS BITCH"),"BEARISH","")</f>
        <v/>
      </c>
      <c r="AV829" s="86"/>
      <c r="AW829" s="86"/>
      <c r="AX829" s="86"/>
    </row>
    <row r="830" customFormat="false" ht="15.75" hidden="false" customHeight="false" outlineLevel="0" collapsed="false">
      <c r="AE830" s="90" t="n">
        <f aca="false">Data!A825</f>
        <v>41773</v>
      </c>
      <c r="AF830" s="17" t="n">
        <f aca="false">Data!B825</f>
        <v>84.63</v>
      </c>
      <c r="AG830" s="17" t="n">
        <f aca="false">Data!F825</f>
        <v>41600846</v>
      </c>
      <c r="AH830" s="17" t="n">
        <f aca="false">Data!C825</f>
        <v>85.34</v>
      </c>
      <c r="AI830" s="17" t="n">
        <f aca="false">Data!D825</f>
        <v>84.53</v>
      </c>
      <c r="AJ830" s="17" t="n">
        <f aca="false">Data!E825</f>
        <v>84.84</v>
      </c>
      <c r="AK830" s="17" t="n">
        <f aca="false">Data!F825</f>
        <v>41600846</v>
      </c>
      <c r="AL830" s="17" t="n">
        <f aca="false">AJ830</f>
        <v>84.84</v>
      </c>
      <c r="AM830" s="17" t="n">
        <f aca="false">(AL830-AL829)/AL830*100</f>
        <v>0.848656294200847</v>
      </c>
      <c r="AN830" s="17" t="n">
        <f aca="false">(AK830-AK829)/AK830*100</f>
        <v>-38.727301363054</v>
      </c>
      <c r="AO830" s="17" t="str">
        <f aca="false">IF(AN830&lt;-8,"FITS BITCH",IF(AN830&gt;-8,"no"))</f>
        <v>FITS BITCH</v>
      </c>
      <c r="AP830" s="17" t="str">
        <f aca="false">IF(AH831&lt;AH830,"FITS BITCH",IF(AH831&gt;AH830,"no"))</f>
        <v>FITS BITCH</v>
      </c>
      <c r="AQ830" s="17" t="str">
        <f aca="false">IF(AI831&lt;AI830,"FITS BITCH",IF(AI831&gt;AI830,"no"))</f>
        <v>FITS BITCH</v>
      </c>
      <c r="AR830" s="17" t="str">
        <f aca="false">IF(AJ830&lt;AH831,"FITS BITCH",IF(AJ830&gt;AH831,"no"))</f>
        <v>FITS BITCH</v>
      </c>
      <c r="AS830" s="17" t="str">
        <f aca="false">IF(AJ830&gt;AJ831,"FITS BITCH",IF(AJ830&lt;AJ831,"no"))</f>
        <v>FITS BITCH</v>
      </c>
      <c r="AT830" s="91" t="str">
        <f aca="false">IF(AND($AO830="FITS BITCH",$AP830="FITS BITCH",$AR830="FITS BITCH"),"BULLISH","")</f>
        <v>BULLISH</v>
      </c>
      <c r="AU830" s="91" t="str">
        <f aca="false">IF(AND($AO830="FITS BITCH",$AQ830="FITS BITCH",$AS830="FITS BITCH"),"BEARISH","")</f>
        <v>BEARISH</v>
      </c>
      <c r="AV830" s="86"/>
      <c r="AW830" s="86"/>
      <c r="AX830" s="86"/>
    </row>
    <row r="831" customFormat="false" ht="15.75" hidden="false" customHeight="false" outlineLevel="0" collapsed="false">
      <c r="AE831" s="90" t="n">
        <f aca="false">Data!A826</f>
        <v>41772</v>
      </c>
      <c r="AF831" s="17" t="n">
        <f aca="false">Data!B826</f>
        <v>84.57</v>
      </c>
      <c r="AG831" s="17" t="n">
        <f aca="false">Data!F826</f>
        <v>39934594</v>
      </c>
      <c r="AH831" s="17" t="n">
        <f aca="false">Data!C826</f>
        <v>84.93</v>
      </c>
      <c r="AI831" s="17" t="n">
        <f aca="false">Data!D826</f>
        <v>84.39</v>
      </c>
      <c r="AJ831" s="17" t="n">
        <f aca="false">Data!E826</f>
        <v>84.82</v>
      </c>
      <c r="AK831" s="17" t="n">
        <f aca="false">Data!F826</f>
        <v>39934594</v>
      </c>
      <c r="AL831" s="17" t="n">
        <f aca="false">AJ831</f>
        <v>84.82</v>
      </c>
      <c r="AM831" s="17" t="n">
        <f aca="false">(AL831-AL830)/AL831*100</f>
        <v>-0.0235793444942351</v>
      </c>
      <c r="AN831" s="17" t="n">
        <f aca="false">(AK831-AK830)/AK831*100</f>
        <v>-4.17245258584575</v>
      </c>
      <c r="AO831" s="17" t="str">
        <f aca="false">IF(AN831&lt;-8,"FITS BITCH",IF(AN831&gt;-8,"no"))</f>
        <v>no</v>
      </c>
      <c r="AP831" s="17" t="str">
        <f aca="false">IF(AH832&lt;AH831,"FITS BITCH",IF(AH832&gt;AH831,"no"))</f>
        <v>FITS BITCH</v>
      </c>
      <c r="AQ831" s="17" t="str">
        <f aca="false">IF(AI832&lt;AI831,"FITS BITCH",IF(AI832&gt;AI831,"no"))</f>
        <v>FITS BITCH</v>
      </c>
      <c r="AR831" s="17" t="str">
        <f aca="false">IF(AJ831&lt;AH832,"FITS BITCH",IF(AJ831&gt;AH832,"no"))</f>
        <v>no</v>
      </c>
      <c r="AS831" s="17" t="str">
        <f aca="false">IF(AJ831&gt;AJ832,"FITS BITCH",IF(AJ831&lt;AJ832,"no"))</f>
        <v>FITS BITCH</v>
      </c>
      <c r="AT831" s="91" t="str">
        <f aca="false">IF(AND($AO831="FITS BITCH",$AP831="FITS BITCH",$AR831="FITS BITCH"),"BULLISH","")</f>
        <v/>
      </c>
      <c r="AU831" s="91" t="str">
        <f aca="false">IF(AND($AO831="FITS BITCH",$AQ831="FITS BITCH",$AS831="FITS BITCH"),"BEARISH","")</f>
        <v/>
      </c>
      <c r="AV831" s="86"/>
      <c r="AW831" s="86"/>
      <c r="AX831" s="86"/>
    </row>
    <row r="832" customFormat="false" ht="15.75" hidden="false" customHeight="false" outlineLevel="0" collapsed="false">
      <c r="AE832" s="90" t="n">
        <f aca="false">Data!A827</f>
        <v>41771</v>
      </c>
      <c r="AF832" s="17" t="n">
        <f aca="false">Data!B827</f>
        <v>83.93</v>
      </c>
      <c r="AG832" s="17" t="n">
        <f aca="false">Data!F827</f>
        <v>53324677</v>
      </c>
      <c r="AH832" s="17" t="n">
        <f aca="false">Data!C827</f>
        <v>84.81</v>
      </c>
      <c r="AI832" s="17" t="n">
        <f aca="false">Data!D827</f>
        <v>83.91</v>
      </c>
      <c r="AJ832" s="17" t="n">
        <f aca="false">Data!E827</f>
        <v>84.69</v>
      </c>
      <c r="AK832" s="17" t="n">
        <f aca="false">Data!F827</f>
        <v>53324677</v>
      </c>
      <c r="AL832" s="17" t="n">
        <f aca="false">AJ832</f>
        <v>84.69</v>
      </c>
      <c r="AM832" s="17" t="n">
        <f aca="false">(AL832-AL831)/AL832*100</f>
        <v>-0.153501003660403</v>
      </c>
      <c r="AN832" s="17" t="n">
        <f aca="false">(AK832-AK831)/AK832*100</f>
        <v>25.1104812130414</v>
      </c>
      <c r="AO832" s="17" t="str">
        <f aca="false">IF(AN832&lt;-8,"FITS BITCH",IF(AN832&gt;-8,"no"))</f>
        <v>no</v>
      </c>
      <c r="AP832" s="17" t="str">
        <f aca="false">IF(AH833&lt;AH832,"FITS BITCH",IF(AH833&gt;AH832,"no"))</f>
        <v>FITS BITCH</v>
      </c>
      <c r="AQ832" s="17" t="str">
        <f aca="false">IF(AI833&lt;AI832,"FITS BITCH",IF(AI833&gt;AI832,"no"))</f>
        <v>FITS BITCH</v>
      </c>
      <c r="AR832" s="17" t="str">
        <f aca="false">IF(AJ832&lt;AH833,"FITS BITCH",IF(AJ832&gt;AH833,"no"))</f>
        <v>no</v>
      </c>
      <c r="AS832" s="17" t="str">
        <f aca="false">IF(AJ832&gt;AJ833,"FITS BITCH",IF(AJ832&lt;AJ833,"no"))</f>
        <v>FITS BITCH</v>
      </c>
      <c r="AT832" s="91" t="str">
        <f aca="false">IF(AND($AO832="FITS BITCH",$AP832="FITS BITCH",$AR832="FITS BITCH"),"BULLISH","")</f>
        <v/>
      </c>
      <c r="AU832" s="91" t="str">
        <f aca="false">IF(AND($AO832="FITS BITCH",$AQ832="FITS BITCH",$AS832="FITS BITCH"),"BEARISH","")</f>
        <v/>
      </c>
      <c r="AV832" s="86"/>
      <c r="AW832" s="86"/>
      <c r="AX832" s="86"/>
    </row>
    <row r="833" customFormat="false" ht="15.75" hidden="false" customHeight="false" outlineLevel="0" collapsed="false">
      <c r="AE833" s="90" t="n">
        <f aca="false">Data!A828</f>
        <v>41768</v>
      </c>
      <c r="AF833" s="17" t="n">
        <f aca="false">Data!B828</f>
        <v>83.51</v>
      </c>
      <c r="AG833" s="17" t="n">
        <f aca="false">Data!F828</f>
        <v>72899498</v>
      </c>
      <c r="AH833" s="17" t="n">
        <f aca="false">Data!C828</f>
        <v>83.75</v>
      </c>
      <c r="AI833" s="17" t="n">
        <f aca="false">Data!D828</f>
        <v>82.9</v>
      </c>
      <c r="AJ833" s="17" t="n">
        <f aca="false">Data!E828</f>
        <v>83.65</v>
      </c>
      <c r="AK833" s="17" t="n">
        <f aca="false">Data!F828</f>
        <v>72899498</v>
      </c>
      <c r="AL833" s="17" t="n">
        <f aca="false">AJ833</f>
        <v>83.65</v>
      </c>
      <c r="AM833" s="17" t="n">
        <f aca="false">(AL833-AL832)/AL833*100</f>
        <v>-1.24327555289897</v>
      </c>
      <c r="AN833" s="17" t="n">
        <f aca="false">(AK833-AK832)/AK833*100</f>
        <v>26.8517912153524</v>
      </c>
      <c r="AO833" s="17" t="str">
        <f aca="false">IF(AN833&lt;-8,"FITS BITCH",IF(AN833&gt;-8,"no"))</f>
        <v>no</v>
      </c>
      <c r="AP833" s="17" t="str">
        <f aca="false">IF(AH834&lt;AH833,"FITS BITCH",IF(AH834&gt;AH833,"no"))</f>
        <v>no</v>
      </c>
      <c r="AQ833" s="17" t="str">
        <f aca="false">IF(AI834&lt;AI833,"FITS BITCH",IF(AI834&gt;AI833,"no"))</f>
        <v>no</v>
      </c>
      <c r="AR833" s="17" t="str">
        <f aca="false">IF(AJ833&lt;AH834,"FITS BITCH",IF(AJ833&gt;AH834,"no"))</f>
        <v>FITS BITCH</v>
      </c>
      <c r="AS833" s="17" t="str">
        <f aca="false">IF(AJ833&gt;AJ834,"FITS BITCH",IF(AJ833&lt;AJ834,"no"))</f>
        <v>no</v>
      </c>
      <c r="AT833" s="91" t="str">
        <f aca="false">IF(AND($AO833="FITS BITCH",$AP833="FITS BITCH",$AR833="FITS BITCH"),"BULLISH","")</f>
        <v/>
      </c>
      <c r="AU833" s="91" t="str">
        <f aca="false">IF(AND($AO833="FITS BITCH",$AQ833="FITS BITCH",$AS833="FITS BITCH"),"BEARISH","")</f>
        <v/>
      </c>
      <c r="AV833" s="86"/>
      <c r="AW833" s="86"/>
      <c r="AX833" s="86"/>
    </row>
    <row r="834" customFormat="false" ht="15.75" hidden="false" customHeight="false" outlineLevel="0" collapsed="false">
      <c r="AE834" s="90" t="n">
        <f aca="false">Data!A829</f>
        <v>41767</v>
      </c>
      <c r="AF834" s="17" t="n">
        <f aca="false">Data!B829</f>
        <v>84.04</v>
      </c>
      <c r="AG834" s="17" t="n">
        <f aca="false">Data!F829</f>
        <v>57574363</v>
      </c>
      <c r="AH834" s="17" t="n">
        <f aca="false">Data!C829</f>
        <v>84.92</v>
      </c>
      <c r="AI834" s="17" t="n">
        <f aca="false">Data!D829</f>
        <v>83.77</v>
      </c>
      <c r="AJ834" s="17" t="n">
        <f aca="false">Data!E829</f>
        <v>84</v>
      </c>
      <c r="AK834" s="17" t="n">
        <f aca="false">Data!F829</f>
        <v>57574363</v>
      </c>
      <c r="AL834" s="17" t="n">
        <f aca="false">AJ834</f>
        <v>84</v>
      </c>
      <c r="AM834" s="17" t="n">
        <f aca="false">(AL834-AL833)/AL834*100</f>
        <v>0.41666666666666</v>
      </c>
      <c r="AN834" s="17" t="n">
        <f aca="false">(AK834-AK833)/AK834*100</f>
        <v>-26.6179844664543</v>
      </c>
      <c r="AO834" s="17" t="str">
        <f aca="false">IF(AN834&lt;-8,"FITS BITCH",IF(AN834&gt;-8,"no"))</f>
        <v>FITS BITCH</v>
      </c>
      <c r="AP834" s="17" t="str">
        <f aca="false">IF(AH835&lt;AH834,"FITS BITCH",IF(AH835&gt;AH834,"no"))</f>
        <v>no</v>
      </c>
      <c r="AQ834" s="17" t="str">
        <f aca="false">IF(AI835&lt;AI834,"FITS BITCH",IF(AI835&gt;AI834,"no"))</f>
        <v>no</v>
      </c>
      <c r="AR834" s="17" t="str">
        <f aca="false">IF(AJ834&lt;AH835,"FITS BITCH",IF(AJ834&gt;AH835,"no"))</f>
        <v>FITS BITCH</v>
      </c>
      <c r="AS834" s="17" t="str">
        <f aca="false">IF(AJ834&gt;AJ835,"FITS BITCH",IF(AJ834&lt;AJ835,"no"))</f>
        <v>no</v>
      </c>
      <c r="AT834" s="91" t="str">
        <f aca="false">IF(AND($AO834="FITS BITCH",$AP834="FITS BITCH",$AR834="FITS BITCH"),"BULLISH","")</f>
        <v/>
      </c>
      <c r="AU834" s="91" t="str">
        <f aca="false">IF(AND($AO834="FITS BITCH",$AQ834="FITS BITCH",$AS834="FITS BITCH"),"BEARISH","")</f>
        <v/>
      </c>
      <c r="AV834" s="86"/>
      <c r="AW834" s="86"/>
      <c r="AX834" s="86"/>
    </row>
    <row r="835" customFormat="false" ht="15.75" hidden="false" customHeight="false" outlineLevel="0" collapsed="false">
      <c r="AE835" s="90" t="n">
        <f aca="false">Data!A830</f>
        <v>41766</v>
      </c>
      <c r="AF835" s="17" t="n">
        <f aca="false">Data!B830</f>
        <v>85.04</v>
      </c>
      <c r="AG835" s="17" t="n">
        <f aca="false">Data!F830</f>
        <v>70715988</v>
      </c>
      <c r="AH835" s="17" t="n">
        <f aca="false">Data!C830</f>
        <v>85.33</v>
      </c>
      <c r="AI835" s="17" t="n">
        <f aca="false">Data!D830</f>
        <v>83.96</v>
      </c>
      <c r="AJ835" s="17" t="n">
        <f aca="false">Data!E830</f>
        <v>84.62</v>
      </c>
      <c r="AK835" s="17" t="n">
        <f aca="false">Data!F830</f>
        <v>70715988</v>
      </c>
      <c r="AL835" s="17" t="n">
        <f aca="false">AJ835</f>
        <v>84.62</v>
      </c>
      <c r="AM835" s="17" t="n">
        <f aca="false">(AL835-AL834)/AL835*100</f>
        <v>0.732687307965025</v>
      </c>
      <c r="AN835" s="17" t="n">
        <f aca="false">(AK835-AK834)/AK835*100</f>
        <v>18.5836688020254</v>
      </c>
      <c r="AO835" s="17" t="str">
        <f aca="false">IF(AN835&lt;-8,"FITS BITCH",IF(AN835&gt;-8,"no"))</f>
        <v>no</v>
      </c>
      <c r="AP835" s="17" t="str">
        <f aca="false">IF(AH836&lt;AH835,"FITS BITCH",IF(AH836&gt;AH835,"no"))</f>
        <v>no</v>
      </c>
      <c r="AQ835" s="17" t="str">
        <f aca="false">IF(AI836&lt;AI835,"FITS BITCH",IF(AI836&gt;AI835,"no"))</f>
        <v>no</v>
      </c>
      <c r="AR835" s="17" t="str">
        <f aca="false">IF(AJ835&lt;AH836,"FITS BITCH",IF(AJ835&gt;AH836,"no"))</f>
        <v>FITS BITCH</v>
      </c>
      <c r="AS835" s="17" t="str">
        <f aca="false">IF(AJ835&gt;AJ836,"FITS BITCH",IF(AJ835&lt;AJ836,"no"))</f>
        <v>no</v>
      </c>
      <c r="AT835" s="91" t="str">
        <f aca="false">IF(AND($AO835="FITS BITCH",$AP835="FITS BITCH",$AR835="FITS BITCH"),"BULLISH","")</f>
        <v/>
      </c>
      <c r="AU835" s="91" t="str">
        <f aca="false">IF(AND($AO835="FITS BITCH",$AQ835="FITS BITCH",$AS835="FITS BITCH"),"BEARISH","")</f>
        <v/>
      </c>
      <c r="AV835" s="86"/>
      <c r="AW835" s="86"/>
      <c r="AX835" s="86"/>
    </row>
    <row r="836" customFormat="false" ht="15.75" hidden="false" customHeight="false" outlineLevel="0" collapsed="false">
      <c r="AE836" s="90" t="n">
        <f aca="false">Data!A831</f>
        <v>41765</v>
      </c>
      <c r="AF836" s="17" t="n">
        <f aca="false">Data!B831</f>
        <v>85.97</v>
      </c>
      <c r="AG836" s="17" t="n">
        <f aca="false">Data!F831</f>
        <v>93641373</v>
      </c>
      <c r="AH836" s="17" t="n">
        <f aca="false">Data!C831</f>
        <v>86.34</v>
      </c>
      <c r="AI836" s="17" t="n">
        <f aca="false">Data!D831</f>
        <v>84.92</v>
      </c>
      <c r="AJ836" s="17" t="n">
        <f aca="false">Data!E831</f>
        <v>84.92</v>
      </c>
      <c r="AK836" s="17" t="n">
        <f aca="false">Data!F831</f>
        <v>93641373</v>
      </c>
      <c r="AL836" s="17" t="n">
        <f aca="false">AJ836</f>
        <v>84.92</v>
      </c>
      <c r="AM836" s="17" t="n">
        <f aca="false">(AL836-AL835)/AL836*100</f>
        <v>0.353273669335842</v>
      </c>
      <c r="AN836" s="17" t="n">
        <f aca="false">(AK836-AK835)/AK836*100</f>
        <v>24.4821111283791</v>
      </c>
      <c r="AO836" s="17" t="str">
        <f aca="false">IF(AN836&lt;-8,"FITS BITCH",IF(AN836&gt;-8,"no"))</f>
        <v>no</v>
      </c>
      <c r="AP836" s="17" t="str">
        <f aca="false">IF(AH837&lt;AH836,"FITS BITCH",IF(AH837&gt;AH836,"no"))</f>
        <v>FITS BITCH</v>
      </c>
      <c r="AQ836" s="17" t="str">
        <f aca="false">IF(AI837&lt;AI836,"FITS BITCH",IF(AI837&gt;AI836,"no"))</f>
        <v>FITS BITCH</v>
      </c>
      <c r="AR836" s="17" t="str">
        <f aca="false">IF(AJ836&lt;AH837,"FITS BITCH",IF(AJ836&gt;AH837,"no"))</f>
        <v>FITS BITCH</v>
      </c>
      <c r="AS836" s="17" t="str">
        <f aca="false">IF(AJ836&gt;AJ837,"FITS BITCH",IF(AJ836&lt;AJ837,"no"))</f>
        <v>no</v>
      </c>
      <c r="AT836" s="91" t="str">
        <f aca="false">IF(AND($AO836="FITS BITCH",$AP836="FITS BITCH",$AR836="FITS BITCH"),"BULLISH","")</f>
        <v/>
      </c>
      <c r="AU836" s="91" t="str">
        <f aca="false">IF(AND($AO836="FITS BITCH",$AQ836="FITS BITCH",$AS836="FITS BITCH"),"BEARISH","")</f>
        <v/>
      </c>
      <c r="AV836" s="86"/>
      <c r="AW836" s="86"/>
      <c r="AX836" s="86"/>
    </row>
    <row r="837" customFormat="false" ht="15.75" hidden="false" customHeight="false" outlineLevel="0" collapsed="false">
      <c r="AE837" s="90" t="n">
        <f aca="false">Data!A832</f>
        <v>41764</v>
      </c>
      <c r="AF837" s="17" t="n">
        <f aca="false">Data!B832</f>
        <v>84.31</v>
      </c>
      <c r="AG837" s="17" t="n">
        <f aca="false">Data!F832</f>
        <v>71766758</v>
      </c>
      <c r="AH837" s="17" t="n">
        <f aca="false">Data!C832</f>
        <v>85.86</v>
      </c>
      <c r="AI837" s="17" t="n">
        <f aca="false">Data!D832</f>
        <v>84.29</v>
      </c>
      <c r="AJ837" s="17" t="n">
        <f aca="false">Data!E832</f>
        <v>85.85</v>
      </c>
      <c r="AK837" s="17" t="n">
        <f aca="false">Data!F832</f>
        <v>71766758</v>
      </c>
      <c r="AL837" s="17" t="n">
        <f aca="false">AJ837</f>
        <v>85.85</v>
      </c>
      <c r="AM837" s="17" t="n">
        <f aca="false">(AL837-AL836)/AL837*100</f>
        <v>1.08328479906813</v>
      </c>
      <c r="AN837" s="17" t="n">
        <f aca="false">(AK837-AK836)/AK837*100</f>
        <v>-30.4801493192712</v>
      </c>
      <c r="AO837" s="17" t="str">
        <f aca="false">IF(AN837&lt;-8,"FITS BITCH",IF(AN837&gt;-8,"no"))</f>
        <v>FITS BITCH</v>
      </c>
      <c r="AP837" s="17" t="str">
        <f aca="false">IF(AH838&lt;AH837,"FITS BITCH",IF(AH838&gt;AH837,"no"))</f>
        <v>FITS BITCH</v>
      </c>
      <c r="AQ837" s="17" t="str">
        <f aca="false">IF(AI838&lt;AI837,"FITS BITCH",IF(AI838&gt;AI837,"no"))</f>
        <v>FITS BITCH</v>
      </c>
      <c r="AR837" s="17" t="str">
        <f aca="false">IF(AJ837&lt;AH838,"FITS BITCH",IF(AJ837&gt;AH838,"no"))</f>
        <v>no</v>
      </c>
      <c r="AS837" s="17" t="str">
        <f aca="false">IF(AJ837&gt;AJ838,"FITS BITCH",IF(AJ837&lt;AJ838,"no"))</f>
        <v>FITS BITCH</v>
      </c>
      <c r="AT837" s="91" t="str">
        <f aca="false">IF(AND($AO837="FITS BITCH",$AP837="FITS BITCH",$AR837="FITS BITCH"),"BULLISH","")</f>
        <v/>
      </c>
      <c r="AU837" s="91" t="str">
        <f aca="false">IF(AND($AO837="FITS BITCH",$AQ837="FITS BITCH",$AS837="FITS BITCH"),"BEARISH","")</f>
        <v>BEARISH</v>
      </c>
      <c r="AV837" s="86"/>
      <c r="AW837" s="86"/>
      <c r="AX837" s="86"/>
    </row>
    <row r="838" customFormat="false" ht="15.75" hidden="false" customHeight="false" outlineLevel="0" collapsed="false">
      <c r="AE838" s="90" t="n">
        <f aca="false">Data!A833</f>
        <v>41761</v>
      </c>
      <c r="AF838" s="17" t="n">
        <f aca="false">Data!B833</f>
        <v>84.62</v>
      </c>
      <c r="AG838" s="17" t="n">
        <f aca="false">Data!F833</f>
        <v>47878572</v>
      </c>
      <c r="AH838" s="17" t="n">
        <f aca="false">Data!C833</f>
        <v>84.89</v>
      </c>
      <c r="AI838" s="17" t="n">
        <f aca="false">Data!D833</f>
        <v>84.24</v>
      </c>
      <c r="AJ838" s="17" t="n">
        <f aca="false">Data!E833</f>
        <v>84.65</v>
      </c>
      <c r="AK838" s="17" t="n">
        <f aca="false">Data!F833</f>
        <v>47878572</v>
      </c>
      <c r="AL838" s="17" t="n">
        <f aca="false">AJ838</f>
        <v>84.65</v>
      </c>
      <c r="AM838" s="17" t="n">
        <f aca="false">(AL838-AL837)/AL838*100</f>
        <v>-1.41760189013584</v>
      </c>
      <c r="AN838" s="17" t="n">
        <f aca="false">(AK838-AK837)/AK838*100</f>
        <v>-49.8932716706756</v>
      </c>
      <c r="AO838" s="17" t="str">
        <f aca="false">IF(AN838&lt;-8,"FITS BITCH",IF(AN838&gt;-8,"no"))</f>
        <v>FITS BITCH</v>
      </c>
      <c r="AP838" s="17" t="str">
        <f aca="false">IF(AH839&lt;AH838,"FITS BITCH",IF(AH839&gt;AH838,"no"))</f>
        <v>no</v>
      </c>
      <c r="AQ838" s="17" t="str">
        <f aca="false">IF(AI839&lt;AI838,"FITS BITCH",IF(AI839&gt;AI838,"no"))</f>
        <v>FITS BITCH</v>
      </c>
      <c r="AR838" s="17" t="str">
        <f aca="false">IF(AJ838&lt;AH839,"FITS BITCH",IF(AJ838&gt;AH839,"no"))</f>
        <v>FITS BITCH</v>
      </c>
      <c r="AS838" s="17" t="str">
        <f aca="false">IF(AJ838&gt;AJ839,"FITS BITCH",IF(AJ838&lt;AJ839,"no"))</f>
        <v>FITS BITCH</v>
      </c>
      <c r="AT838" s="91" t="str">
        <f aca="false">IF(AND($AO838="FITS BITCH",$AP838="FITS BITCH",$AR838="FITS BITCH"),"BULLISH","")</f>
        <v/>
      </c>
      <c r="AU838" s="91" t="str">
        <f aca="false">IF(AND($AO838="FITS BITCH",$AQ838="FITS BITCH",$AS838="FITS BITCH"),"BEARISH","")</f>
        <v>BEARISH</v>
      </c>
      <c r="AV838" s="86"/>
      <c r="AW838" s="86"/>
      <c r="AX838" s="86"/>
    </row>
    <row r="839" customFormat="false" ht="15.75" hidden="false" customHeight="false" outlineLevel="0" collapsed="false">
      <c r="AE839" s="90" t="n">
        <f aca="false">Data!A834</f>
        <v>41760</v>
      </c>
      <c r="AF839" s="17" t="n">
        <f aca="false">Data!B834</f>
        <v>84.57</v>
      </c>
      <c r="AG839" s="17" t="n">
        <f aca="false">Data!F834</f>
        <v>61052418</v>
      </c>
      <c r="AH839" s="17" t="n">
        <f aca="false">Data!C834</f>
        <v>84.97</v>
      </c>
      <c r="AI839" s="17" t="n">
        <f aca="false">Data!D834</f>
        <v>83.77</v>
      </c>
      <c r="AJ839" s="17" t="n">
        <f aca="false">Data!E834</f>
        <v>84.5</v>
      </c>
      <c r="AK839" s="17" t="n">
        <f aca="false">Data!F834</f>
        <v>61052418</v>
      </c>
      <c r="AL839" s="17" t="n">
        <f aca="false">AJ839</f>
        <v>84.5</v>
      </c>
      <c r="AM839" s="17" t="n">
        <f aca="false">(AL839-AL838)/AL839*100</f>
        <v>-0.177514792899415</v>
      </c>
      <c r="AN839" s="17" t="n">
        <f aca="false">(AK839-AK838)/AK839*100</f>
        <v>21.5779266924366</v>
      </c>
      <c r="AO839" s="17" t="str">
        <f aca="false">IF(AN839&lt;-8,"FITS BITCH",IF(AN839&gt;-8,"no"))</f>
        <v>no</v>
      </c>
      <c r="AP839" s="17" t="str">
        <f aca="false">IF(AH840&lt;AH839,"FITS BITCH",IF(AH840&gt;AH839,"no"))</f>
        <v>no</v>
      </c>
      <c r="AQ839" s="17" t="str">
        <f aca="false">IF(AI840&lt;AI839,"FITS BITCH",IF(AI840&gt;AI839,"no"))</f>
        <v>no</v>
      </c>
      <c r="AR839" s="17" t="str">
        <f aca="false">IF(AJ839&lt;AH840,"FITS BITCH",IF(AJ839&gt;AH840,"no"))</f>
        <v>FITS BITCH</v>
      </c>
      <c r="AS839" s="17" t="str">
        <f aca="false">IF(AJ839&gt;AJ840,"FITS BITCH",IF(AJ839&lt;AJ840,"no"))</f>
        <v>FITS BITCH</v>
      </c>
      <c r="AT839" s="91" t="str">
        <f aca="false">IF(AND($AO839="FITS BITCH",$AP839="FITS BITCH",$AR839="FITS BITCH"),"BULLISH","")</f>
        <v/>
      </c>
      <c r="AU839" s="91" t="str">
        <f aca="false">IF(AND($AO839="FITS BITCH",$AQ839="FITS BITCH",$AS839="FITS BITCH"),"BEARISH","")</f>
        <v/>
      </c>
      <c r="AV839" s="86"/>
      <c r="AW839" s="86"/>
      <c r="AX839" s="86"/>
    </row>
    <row r="840" customFormat="false" ht="15.75" hidden="false" customHeight="false" outlineLevel="0" collapsed="false">
      <c r="AE840" s="90" t="n">
        <f aca="false">Data!A835</f>
        <v>41759</v>
      </c>
      <c r="AF840" s="17" t="n">
        <f aca="false">Data!B835</f>
        <v>84.66</v>
      </c>
      <c r="AG840" s="17" t="n">
        <f aca="false">Data!F835</f>
        <v>114220883</v>
      </c>
      <c r="AH840" s="17" t="n">
        <f aca="false">Data!C835</f>
        <v>85.63</v>
      </c>
      <c r="AI840" s="17" t="n">
        <f aca="false">Data!D835</f>
        <v>84.26</v>
      </c>
      <c r="AJ840" s="17" t="n">
        <f aca="false">Data!E835</f>
        <v>84.3</v>
      </c>
      <c r="AK840" s="17" t="n">
        <f aca="false">Data!F835</f>
        <v>114220883</v>
      </c>
      <c r="AL840" s="17" t="n">
        <f aca="false">AJ840</f>
        <v>84.3</v>
      </c>
      <c r="AM840" s="17" t="n">
        <f aca="false">(AL840-AL839)/AL840*100</f>
        <v>-0.237247924080668</v>
      </c>
      <c r="AN840" s="17" t="n">
        <f aca="false">(AK840-AK839)/AK840*100</f>
        <v>46.548812794592</v>
      </c>
      <c r="AO840" s="17" t="str">
        <f aca="false">IF(AN840&lt;-8,"FITS BITCH",IF(AN840&gt;-8,"no"))</f>
        <v>no</v>
      </c>
      <c r="AP840" s="17" t="str">
        <f aca="false">IF(AH841&lt;AH840,"FITS BITCH",IF(AH841&gt;AH840,"no"))</f>
        <v>FITS BITCH</v>
      </c>
      <c r="AQ840" s="17" t="str">
        <f aca="false">IF(AI841&lt;AI840,"FITS BITCH",IF(AI841&gt;AI840,"no"))</f>
        <v>FITS BITCH</v>
      </c>
      <c r="AR840" s="17" t="str">
        <f aca="false">IF(AJ840&lt;AH841,"FITS BITCH",IF(AJ840&gt;AH841,"no"))</f>
        <v>FITS BITCH</v>
      </c>
      <c r="AS840" s="17" t="str">
        <f aca="false">IF(AJ840&gt;AJ841,"FITS BITCH",IF(AJ840&lt;AJ841,"no"))</f>
        <v>no</v>
      </c>
      <c r="AT840" s="91" t="str">
        <f aca="false">IF(AND($AO840="FITS BITCH",$AP840="FITS BITCH",$AR840="FITS BITCH"),"BULLISH","")</f>
        <v/>
      </c>
      <c r="AU840" s="91" t="str">
        <f aca="false">IF(AND($AO840="FITS BITCH",$AQ840="FITS BITCH",$AS840="FITS BITCH"),"BEARISH","")</f>
        <v/>
      </c>
      <c r="AV840" s="86"/>
      <c r="AW840" s="86"/>
      <c r="AX840" s="86"/>
    </row>
    <row r="841" customFormat="false" ht="15.75" hidden="false" customHeight="false" outlineLevel="0" collapsed="false">
      <c r="AE841" s="90" t="n">
        <f aca="false">Data!A836</f>
        <v>41758</v>
      </c>
      <c r="AF841" s="17" t="n">
        <f aca="false">Data!B836</f>
        <v>84.82</v>
      </c>
      <c r="AG841" s="17" t="n">
        <f aca="false">Data!F836</f>
        <v>84344673</v>
      </c>
      <c r="AH841" s="17" t="n">
        <f aca="false">Data!C836</f>
        <v>85.14</v>
      </c>
      <c r="AI841" s="17" t="n">
        <f aca="false">Data!D836</f>
        <v>84.22</v>
      </c>
      <c r="AJ841" s="17" t="n">
        <f aca="false">Data!E836</f>
        <v>84.62</v>
      </c>
      <c r="AK841" s="17" t="n">
        <f aca="false">Data!F836</f>
        <v>84344673</v>
      </c>
      <c r="AL841" s="17" t="n">
        <f aca="false">AJ841</f>
        <v>84.62</v>
      </c>
      <c r="AM841" s="17" t="n">
        <f aca="false">(AL841-AL840)/AL841*100</f>
        <v>0.378161191207761</v>
      </c>
      <c r="AN841" s="17" t="n">
        <f aca="false">(AK841-AK840)/AK841*100</f>
        <v>-35.421573096857</v>
      </c>
      <c r="AO841" s="17" t="str">
        <f aca="false">IF(AN841&lt;-8,"FITS BITCH",IF(AN841&gt;-8,"no"))</f>
        <v>FITS BITCH</v>
      </c>
      <c r="AP841" s="17" t="str">
        <f aca="false">IF(AH842&lt;AH841,"FITS BITCH",IF(AH842&gt;AH841,"no"))</f>
        <v>FITS BITCH</v>
      </c>
      <c r="AQ841" s="17" t="str">
        <f aca="false">IF(AI842&lt;AI841,"FITS BITCH",IF(AI842&gt;AI841,"no"))</f>
        <v>FITS BITCH</v>
      </c>
      <c r="AR841" s="17" t="str">
        <f aca="false">IF(AJ841&lt;AH842,"FITS BITCH",IF(AJ841&gt;AH842,"no"))</f>
        <v>FITS BITCH</v>
      </c>
      <c r="AS841" s="17" t="str">
        <f aca="false">IF(AJ841&gt;AJ842,"FITS BITCH",IF(AJ841&lt;AJ842,"no"))</f>
        <v>no</v>
      </c>
      <c r="AT841" s="91" t="str">
        <f aca="false">IF(AND($AO841="FITS BITCH",$AP841="FITS BITCH",$AR841="FITS BITCH"),"BULLISH","")</f>
        <v>BULLISH</v>
      </c>
      <c r="AU841" s="91" t="str">
        <f aca="false">IF(AND($AO841="FITS BITCH",$AQ841="FITS BITCH",$AS841="FITS BITCH"),"BEARISH","")</f>
        <v/>
      </c>
      <c r="AV841" s="86"/>
      <c r="AW841" s="86"/>
      <c r="AX841" s="86"/>
    </row>
    <row r="842" customFormat="false" ht="15.75" hidden="false" customHeight="false" outlineLevel="0" collapsed="false">
      <c r="AE842" s="90" t="n">
        <f aca="false">Data!A837</f>
        <v>41757</v>
      </c>
      <c r="AF842" s="17" t="n">
        <f aca="false">Data!B837</f>
        <v>81.83</v>
      </c>
      <c r="AG842" s="17" t="n">
        <f aca="false">Data!F837</f>
        <v>167371680</v>
      </c>
      <c r="AH842" s="17" t="n">
        <f aca="false">Data!C837</f>
        <v>85.11</v>
      </c>
      <c r="AI842" s="17" t="n">
        <f aca="false">Data!D837</f>
        <v>81.79</v>
      </c>
      <c r="AJ842" s="17" t="n">
        <f aca="false">Data!E837</f>
        <v>84.87</v>
      </c>
      <c r="AK842" s="17" t="n">
        <f aca="false">Data!F837</f>
        <v>167371680</v>
      </c>
      <c r="AL842" s="17" t="n">
        <f aca="false">AJ842</f>
        <v>84.87</v>
      </c>
      <c r="AM842" s="17" t="n">
        <f aca="false">(AL842-AL841)/AL842*100</f>
        <v>0.294568163072935</v>
      </c>
      <c r="AN842" s="17" t="n">
        <f aca="false">(AK842-AK841)/AK842*100</f>
        <v>49.6063653062454</v>
      </c>
      <c r="AO842" s="17" t="str">
        <f aca="false">IF(AN842&lt;-8,"FITS BITCH",IF(AN842&gt;-8,"no"))</f>
        <v>no</v>
      </c>
      <c r="AP842" s="17" t="str">
        <f aca="false">IF(AH843&lt;AH842,"FITS BITCH",IF(AH843&gt;AH842,"no"))</f>
        <v>FITS BITCH</v>
      </c>
      <c r="AQ842" s="17" t="str">
        <f aca="false">IF(AI843&lt;AI842,"FITS BITCH",IF(AI843&gt;AI842,"no"))</f>
        <v>FITS BITCH</v>
      </c>
      <c r="AR842" s="17" t="str">
        <f aca="false">IF(AJ842&lt;AH843,"FITS BITCH",IF(AJ842&gt;AH843,"no"))</f>
        <v>no</v>
      </c>
      <c r="AS842" s="17" t="str">
        <f aca="false">IF(AJ842&gt;AJ843,"FITS BITCH",IF(AJ842&lt;AJ843,"no"))</f>
        <v>FITS BITCH</v>
      </c>
      <c r="AT842" s="91" t="str">
        <f aca="false">IF(AND($AO842="FITS BITCH",$AP842="FITS BITCH",$AR842="FITS BITCH"),"BULLISH","")</f>
        <v/>
      </c>
      <c r="AU842" s="91" t="str">
        <f aca="false">IF(AND($AO842="FITS BITCH",$AQ842="FITS BITCH",$AS842="FITS BITCH"),"BEARISH","")</f>
        <v/>
      </c>
      <c r="AV842" s="86"/>
      <c r="AW842" s="86"/>
      <c r="AX842" s="86"/>
    </row>
    <row r="843" customFormat="false" ht="15.75" hidden="false" customHeight="false" outlineLevel="0" collapsed="false">
      <c r="AE843" s="90" t="n">
        <f aca="false">Data!A838</f>
        <v>41754</v>
      </c>
      <c r="AF843" s="17" t="n">
        <f aca="false">Data!B838</f>
        <v>80.65</v>
      </c>
      <c r="AG843" s="17" t="n">
        <f aca="false">Data!F838</f>
        <v>97568814</v>
      </c>
      <c r="AH843" s="17" t="n">
        <f aca="false">Data!C838</f>
        <v>81.71</v>
      </c>
      <c r="AI843" s="17" t="n">
        <f aca="false">Data!D838</f>
        <v>80.57</v>
      </c>
      <c r="AJ843" s="17" t="n">
        <f aca="false">Data!E838</f>
        <v>81.71</v>
      </c>
      <c r="AK843" s="17" t="n">
        <f aca="false">Data!F838</f>
        <v>97568814</v>
      </c>
      <c r="AL843" s="17" t="n">
        <f aca="false">AJ843</f>
        <v>81.71</v>
      </c>
      <c r="AM843" s="17" t="n">
        <f aca="false">(AL843-AL842)/AL843*100</f>
        <v>-3.86733569942481</v>
      </c>
      <c r="AN843" s="17" t="n">
        <f aca="false">(AK843-AK842)/AK843*100</f>
        <v>-71.5421897000818</v>
      </c>
      <c r="AO843" s="17" t="str">
        <f aca="false">IF(AN843&lt;-8,"FITS BITCH",IF(AN843&gt;-8,"no"))</f>
        <v>FITS BITCH</v>
      </c>
      <c r="AP843" s="17" t="str">
        <f aca="false">IF(AH844&lt;AH843,"FITS BITCH",IF(AH844&gt;AH843,"no"))</f>
        <v>FITS BITCH</v>
      </c>
      <c r="AQ843" s="17" t="str">
        <f aca="false">IF(AI844&lt;AI843,"FITS BITCH",IF(AI844&gt;AI843,"no"))</f>
        <v>FITS BITCH</v>
      </c>
      <c r="AR843" s="17" t="str">
        <f aca="false">IF(AJ843&lt;AH844,"FITS BITCH",IF(AJ843&gt;AH844,"no"))</f>
        <v>no</v>
      </c>
      <c r="AS843" s="17" t="str">
        <f aca="false">IF(AJ843&gt;AJ844,"FITS BITCH",IF(AJ843&lt;AJ844,"no"))</f>
        <v>FITS BITCH</v>
      </c>
      <c r="AT843" s="91" t="str">
        <f aca="false">IF(AND($AO843="FITS BITCH",$AP843="FITS BITCH",$AR843="FITS BITCH"),"BULLISH","")</f>
        <v/>
      </c>
      <c r="AU843" s="91" t="str">
        <f aca="false">IF(AND($AO843="FITS BITCH",$AQ843="FITS BITCH",$AS843="FITS BITCH"),"BEARISH","")</f>
        <v>BEARISH</v>
      </c>
      <c r="AV843" s="86"/>
      <c r="AW843" s="86"/>
      <c r="AX843" s="86"/>
    </row>
    <row r="844" customFormat="false" ht="15.75" hidden="false" customHeight="false" outlineLevel="0" collapsed="false">
      <c r="AE844" s="90" t="n">
        <f aca="false">Data!A839</f>
        <v>41753</v>
      </c>
      <c r="AF844" s="17" t="n">
        <f aca="false">Data!B839</f>
        <v>81.17</v>
      </c>
      <c r="AG844" s="17" t="n">
        <f aca="false">Data!F839</f>
        <v>189978082</v>
      </c>
      <c r="AH844" s="17" t="n">
        <f aca="false">Data!C839</f>
        <v>81.43</v>
      </c>
      <c r="AI844" s="17" t="n">
        <f aca="false">Data!D839</f>
        <v>80.1</v>
      </c>
      <c r="AJ844" s="17" t="n">
        <f aca="false">Data!E839</f>
        <v>81.11</v>
      </c>
      <c r="AK844" s="17" t="n">
        <f aca="false">Data!F839</f>
        <v>189978082</v>
      </c>
      <c r="AL844" s="17" t="n">
        <f aca="false">AJ844</f>
        <v>81.11</v>
      </c>
      <c r="AM844" s="17" t="n">
        <f aca="false">(AL844-AL843)/AL844*100</f>
        <v>-0.739736160769319</v>
      </c>
      <c r="AN844" s="17" t="n">
        <f aca="false">(AK844-AK843)/AK844*100</f>
        <v>48.6420680886756</v>
      </c>
      <c r="AO844" s="17" t="str">
        <f aca="false">IF(AN844&lt;-8,"FITS BITCH",IF(AN844&gt;-8,"no"))</f>
        <v>no</v>
      </c>
      <c r="AP844" s="17" t="str">
        <f aca="false">IF(AH845&lt;AH844,"FITS BITCH",IF(AH845&gt;AH844,"no"))</f>
        <v>FITS BITCH</v>
      </c>
      <c r="AQ844" s="17" t="str">
        <f aca="false">IF(AI845&lt;AI844,"FITS BITCH",IF(AI845&gt;AI844,"no"))</f>
        <v>FITS BITCH</v>
      </c>
      <c r="AR844" s="17" t="str">
        <f aca="false">IF(AJ844&lt;AH845,"FITS BITCH",IF(AJ844&gt;AH845,"no"))</f>
        <v>no</v>
      </c>
      <c r="AS844" s="17" t="str">
        <f aca="false">IF(AJ844&gt;AJ845,"FITS BITCH",IF(AJ844&lt;AJ845,"no"))</f>
        <v>FITS BITCH</v>
      </c>
      <c r="AT844" s="91" t="str">
        <f aca="false">IF(AND($AO844="FITS BITCH",$AP844="FITS BITCH",$AR844="FITS BITCH"),"BULLISH","")</f>
        <v/>
      </c>
      <c r="AU844" s="91" t="str">
        <f aca="false">IF(AND($AO844="FITS BITCH",$AQ844="FITS BITCH",$AS844="FITS BITCH"),"BEARISH","")</f>
        <v/>
      </c>
      <c r="AV844" s="86"/>
      <c r="AW844" s="86"/>
      <c r="AX844" s="86"/>
    </row>
    <row r="845" customFormat="false" ht="15.75" hidden="false" customHeight="false" outlineLevel="0" collapsed="false">
      <c r="AE845" s="90" t="n">
        <f aca="false">Data!A840</f>
        <v>41752</v>
      </c>
      <c r="AF845" s="17" t="n">
        <f aca="false">Data!B840</f>
        <v>75.58</v>
      </c>
      <c r="AG845" s="17" t="n">
        <f aca="false">Data!F840</f>
        <v>98735259</v>
      </c>
      <c r="AH845" s="17" t="n">
        <f aca="false">Data!C840</f>
        <v>75.88</v>
      </c>
      <c r="AI845" s="17" t="n">
        <f aca="false">Data!D840</f>
        <v>74.92</v>
      </c>
      <c r="AJ845" s="17" t="n">
        <f aca="false">Data!E840</f>
        <v>74.96</v>
      </c>
      <c r="AK845" s="17" t="n">
        <f aca="false">Data!F840</f>
        <v>98735259</v>
      </c>
      <c r="AL845" s="17" t="n">
        <f aca="false">AJ845</f>
        <v>74.96</v>
      </c>
      <c r="AM845" s="17" t="n">
        <f aca="false">(AL845-AL844)/AL845*100</f>
        <v>-8.20437566702242</v>
      </c>
      <c r="AN845" s="17" t="n">
        <f aca="false">(AK845-AK844)/AK845*100</f>
        <v>-92.4115902709082</v>
      </c>
      <c r="AO845" s="17" t="str">
        <f aca="false">IF(AN845&lt;-8,"FITS BITCH",IF(AN845&gt;-8,"no"))</f>
        <v>FITS BITCH</v>
      </c>
      <c r="AP845" s="17" t="str">
        <f aca="false">IF(AH846&lt;AH845,"FITS BITCH",IF(AH846&gt;AH845,"no"))</f>
        <v>no</v>
      </c>
      <c r="AQ845" s="17" t="str">
        <f aca="false">IF(AI846&lt;AI845,"FITS BITCH",IF(AI846&gt;AI845,"no"))</f>
        <v>no</v>
      </c>
      <c r="AR845" s="17" t="str">
        <f aca="false">IF(AJ845&lt;AH846,"FITS BITCH",IF(AJ845&gt;AH846,"no"))</f>
        <v>FITS BITCH</v>
      </c>
      <c r="AS845" s="17" t="str">
        <f aca="false">IF(AJ845&gt;AJ846,"FITS BITCH",IF(AJ845&lt;AJ846,"no"))</f>
        <v>no</v>
      </c>
      <c r="AT845" s="91" t="str">
        <f aca="false">IF(AND($AO845="FITS BITCH",$AP845="FITS BITCH",$AR845="FITS BITCH"),"BULLISH","")</f>
        <v/>
      </c>
      <c r="AU845" s="91" t="str">
        <f aca="false">IF(AND($AO845="FITS BITCH",$AQ845="FITS BITCH",$AS845="FITS BITCH"),"BEARISH","")</f>
        <v/>
      </c>
      <c r="AV845" s="86"/>
      <c r="AW845" s="86"/>
      <c r="AX845" s="86"/>
    </row>
    <row r="846" customFormat="false" ht="15.75" hidden="false" customHeight="false" outlineLevel="0" collapsed="false">
      <c r="AE846" s="90" t="n">
        <f aca="false">Data!A841</f>
        <v>41751</v>
      </c>
      <c r="AF846" s="17" t="n">
        <f aca="false">Data!B841</f>
        <v>75.47</v>
      </c>
      <c r="AG846" s="17" t="n">
        <f aca="false">Data!F841</f>
        <v>50664453</v>
      </c>
      <c r="AH846" s="17" t="n">
        <f aca="false">Data!C841</f>
        <v>75.98</v>
      </c>
      <c r="AI846" s="17" t="n">
        <f aca="false">Data!D841</f>
        <v>75.21</v>
      </c>
      <c r="AJ846" s="17" t="n">
        <f aca="false">Data!E841</f>
        <v>75.96</v>
      </c>
      <c r="AK846" s="17" t="n">
        <f aca="false">Data!F841</f>
        <v>50664453</v>
      </c>
      <c r="AL846" s="17" t="n">
        <f aca="false">AJ846</f>
        <v>75.96</v>
      </c>
      <c r="AM846" s="17" t="n">
        <f aca="false">(AL846-AL845)/AL846*100</f>
        <v>1.31648235913639</v>
      </c>
      <c r="AN846" s="17" t="n">
        <f aca="false">(AK846-AK845)/AK846*100</f>
        <v>-94.8807362037443</v>
      </c>
      <c r="AO846" s="17" t="str">
        <f aca="false">IF(AN846&lt;-8,"FITS BITCH",IF(AN846&gt;-8,"no"))</f>
        <v>FITS BITCH</v>
      </c>
      <c r="AP846" s="17" t="str">
        <f aca="false">IF(AH847&lt;AH846,"FITS BITCH",IF(AH847&gt;AH846,"no"))</f>
        <v>no</v>
      </c>
      <c r="AQ846" s="17" t="str">
        <f aca="false">IF(AI847&lt;AI846,"FITS BITCH",IF(AI847&gt;AI846,"no"))</f>
        <v>FITS BITCH</v>
      </c>
      <c r="AR846" s="17" t="str">
        <f aca="false">IF(AJ846&lt;AH847,"FITS BITCH",IF(AJ846&gt;AH847,"no"))</f>
        <v>FITS BITCH</v>
      </c>
      <c r="AS846" s="17" t="str">
        <f aca="false">IF(AJ846&gt;AJ847,"FITS BITCH",IF(AJ846&lt;AJ847,"no"))</f>
        <v>FITS BITCH</v>
      </c>
      <c r="AT846" s="91" t="str">
        <f aca="false">IF(AND($AO846="FITS BITCH",$AP846="FITS BITCH",$AR846="FITS BITCH"),"BULLISH","")</f>
        <v/>
      </c>
      <c r="AU846" s="91" t="str">
        <f aca="false">IF(AND($AO846="FITS BITCH",$AQ846="FITS BITCH",$AS846="FITS BITCH"),"BEARISH","")</f>
        <v>BEARISH</v>
      </c>
      <c r="AV846" s="86"/>
      <c r="AW846" s="86"/>
      <c r="AX846" s="86"/>
    </row>
    <row r="847" customFormat="false" ht="15.75" hidden="false" customHeight="false" outlineLevel="0" collapsed="false">
      <c r="AE847" s="90" t="n">
        <f aca="false">Data!A842</f>
        <v>41750</v>
      </c>
      <c r="AF847" s="17" t="n">
        <f aca="false">Data!B842</f>
        <v>75.05</v>
      </c>
      <c r="AG847" s="17" t="n">
        <f aca="false">Data!F842</f>
        <v>45668931</v>
      </c>
      <c r="AH847" s="17" t="n">
        <f aca="false">Data!C842</f>
        <v>76.02</v>
      </c>
      <c r="AI847" s="17" t="n">
        <f aca="false">Data!D842</f>
        <v>74.85</v>
      </c>
      <c r="AJ847" s="17" t="n">
        <f aca="false">Data!E842</f>
        <v>75.88</v>
      </c>
      <c r="AK847" s="17" t="n">
        <f aca="false">Data!F842</f>
        <v>45668931</v>
      </c>
      <c r="AL847" s="17" t="n">
        <f aca="false">AJ847</f>
        <v>75.88</v>
      </c>
      <c r="AM847" s="17" t="n">
        <f aca="false">(AL847-AL846)/AL847*100</f>
        <v>-0.105429625724826</v>
      </c>
      <c r="AN847" s="17" t="n">
        <f aca="false">(AK847-AK846)/AK847*100</f>
        <v>-10.9385568933067</v>
      </c>
      <c r="AO847" s="17" t="str">
        <f aca="false">IF(AN847&lt;-8,"FITS BITCH",IF(AN847&gt;-8,"no"))</f>
        <v>FITS BITCH</v>
      </c>
      <c r="AP847" s="17" t="str">
        <f aca="false">IF(AH848&lt;AH847,"FITS BITCH",IF(AH848&gt;AH847,"no"))</f>
        <v>FITS BITCH</v>
      </c>
      <c r="AQ847" s="17" t="str">
        <f aca="false">IF(AI848&lt;AI847,"FITS BITCH",IF(AI848&gt;AI847,"no"))</f>
        <v>FITS BITCH</v>
      </c>
      <c r="AR847" s="17" t="str">
        <f aca="false">IF(AJ847&lt;AH848,"FITS BITCH",IF(AJ847&gt;AH848,"no"))</f>
        <v>no</v>
      </c>
      <c r="AS847" s="17" t="str">
        <f aca="false">IF(AJ847&gt;AJ848,"FITS BITCH",IF(AJ847&lt;AJ848,"no"))</f>
        <v>FITS BITCH</v>
      </c>
      <c r="AT847" s="91" t="str">
        <f aca="false">IF(AND($AO847="FITS BITCH",$AP847="FITS BITCH",$AR847="FITS BITCH"),"BULLISH","")</f>
        <v/>
      </c>
      <c r="AU847" s="91" t="str">
        <f aca="false">IF(AND($AO847="FITS BITCH",$AQ847="FITS BITCH",$AS847="FITS BITCH"),"BEARISH","")</f>
        <v>BEARISH</v>
      </c>
      <c r="AV847" s="86"/>
      <c r="AW847" s="86"/>
      <c r="AX847" s="86"/>
    </row>
    <row r="848" customFormat="false" ht="15.75" hidden="false" customHeight="false" outlineLevel="0" collapsed="false">
      <c r="AE848" s="90" t="n">
        <f aca="false">Data!A843</f>
        <v>41746</v>
      </c>
      <c r="AF848" s="17" t="n">
        <f aca="false">Data!B843</f>
        <v>74.29</v>
      </c>
      <c r="AG848" s="17" t="n">
        <f aca="false">Data!F843</f>
        <v>71106721</v>
      </c>
      <c r="AH848" s="17" t="n">
        <f aca="false">Data!C843</f>
        <v>75.39</v>
      </c>
      <c r="AI848" s="17" t="n">
        <f aca="false">Data!D843</f>
        <v>74.17</v>
      </c>
      <c r="AJ848" s="17" t="n">
        <f aca="false">Data!E843</f>
        <v>74.99</v>
      </c>
      <c r="AK848" s="17" t="n">
        <f aca="false">Data!F843</f>
        <v>71106721</v>
      </c>
      <c r="AL848" s="17" t="n">
        <f aca="false">AJ848</f>
        <v>74.99</v>
      </c>
      <c r="AM848" s="17" t="n">
        <f aca="false">(AL848-AL847)/AL848*100</f>
        <v>-1.186824909988</v>
      </c>
      <c r="AN848" s="17" t="n">
        <f aca="false">(AK848-AK847)/AK848*100</f>
        <v>35.7741007351471</v>
      </c>
      <c r="AO848" s="17" t="str">
        <f aca="false">IF(AN848&lt;-8,"FITS BITCH",IF(AN848&gt;-8,"no"))</f>
        <v>no</v>
      </c>
      <c r="AP848" s="17" t="str">
        <f aca="false">IF(AH849&lt;AH848,"FITS BITCH",IF(AH849&gt;AH848,"no"))</f>
        <v>FITS BITCH</v>
      </c>
      <c r="AQ848" s="17" t="str">
        <f aca="false">IF(AI849&lt;AI848,"FITS BITCH",IF(AI849&gt;AI848,"no"))</f>
        <v>FITS BITCH</v>
      </c>
      <c r="AR848" s="17" t="str">
        <f aca="false">IF(AJ848&lt;AH849,"FITS BITCH",IF(AJ848&gt;AH849,"no"))</f>
        <v>no</v>
      </c>
      <c r="AS848" s="17" t="str">
        <f aca="false">IF(AJ848&gt;AJ849,"FITS BITCH",IF(AJ848&lt;AJ849,"no"))</f>
        <v>FITS BITCH</v>
      </c>
      <c r="AT848" s="91" t="str">
        <f aca="false">IF(AND($AO848="FITS BITCH",$AP848="FITS BITCH",$AR848="FITS BITCH"),"BULLISH","")</f>
        <v/>
      </c>
      <c r="AU848" s="91" t="str">
        <f aca="false">IF(AND($AO848="FITS BITCH",$AQ848="FITS BITCH",$AS848="FITS BITCH"),"BEARISH","")</f>
        <v/>
      </c>
      <c r="AV848" s="86"/>
      <c r="AW848" s="86"/>
      <c r="AX848" s="86"/>
    </row>
    <row r="849" customFormat="false" ht="15.75" hidden="false" customHeight="false" outlineLevel="0" collapsed="false">
      <c r="AE849" s="90" t="n">
        <f aca="false">Data!A844</f>
        <v>41745</v>
      </c>
      <c r="AF849" s="17" t="n">
        <f aca="false">Data!B844</f>
        <v>74.01</v>
      </c>
      <c r="AG849" s="17" t="n">
        <f aca="false">Data!F844</f>
        <v>53732994</v>
      </c>
      <c r="AH849" s="17" t="n">
        <f aca="false">Data!C844</f>
        <v>74.44</v>
      </c>
      <c r="AI849" s="17" t="n">
        <f aca="false">Data!D844</f>
        <v>73.45</v>
      </c>
      <c r="AJ849" s="17" t="n">
        <f aca="false">Data!E844</f>
        <v>74.14</v>
      </c>
      <c r="AK849" s="17" t="n">
        <f aca="false">Data!F844</f>
        <v>53732994</v>
      </c>
      <c r="AL849" s="17" t="n">
        <f aca="false">AJ849</f>
        <v>74.14</v>
      </c>
      <c r="AM849" s="17" t="n">
        <f aca="false">(AL849-AL848)/AL849*100</f>
        <v>-1.14647963312651</v>
      </c>
      <c r="AN849" s="17" t="n">
        <f aca="false">(AK849-AK848)/AK849*100</f>
        <v>-32.3334430238523</v>
      </c>
      <c r="AO849" s="17" t="str">
        <f aca="false">IF(AN849&lt;-8,"FITS BITCH",IF(AN849&gt;-8,"no"))</f>
        <v>FITS BITCH</v>
      </c>
      <c r="AP849" s="17" t="str">
        <f aca="false">IF(AH850&lt;AH849,"FITS BITCH",IF(AH850&gt;AH849,"no"))</f>
        <v>no</v>
      </c>
      <c r="AQ849" s="17" t="str">
        <f aca="false">IF(AI850&lt;AI849,"FITS BITCH",IF(AI850&gt;AI849,"no"))</f>
        <v>FITS BITCH</v>
      </c>
      <c r="AR849" s="17" t="str">
        <f aca="false">IF(AJ849&lt;AH850,"FITS BITCH",IF(AJ849&gt;AH850,"no"))</f>
        <v>FITS BITCH</v>
      </c>
      <c r="AS849" s="17" t="str">
        <f aca="false">IF(AJ849&gt;AJ850,"FITS BITCH",IF(AJ849&lt;AJ850,"no"))</f>
        <v>FITS BITCH</v>
      </c>
      <c r="AT849" s="91" t="str">
        <f aca="false">IF(AND($AO849="FITS BITCH",$AP849="FITS BITCH",$AR849="FITS BITCH"),"BULLISH","")</f>
        <v/>
      </c>
      <c r="AU849" s="91" t="str">
        <f aca="false">IF(AND($AO849="FITS BITCH",$AQ849="FITS BITCH",$AS849="FITS BITCH"),"BEARISH","")</f>
        <v>BEARISH</v>
      </c>
      <c r="AV849" s="86"/>
      <c r="AW849" s="86"/>
      <c r="AX849" s="86"/>
    </row>
    <row r="850" customFormat="false" ht="15.75" hidden="false" customHeight="false" outlineLevel="0" collapsed="false">
      <c r="AE850" s="90" t="n">
        <f aca="false">Data!A845</f>
        <v>41744</v>
      </c>
      <c r="AF850" s="17" t="n">
        <f aca="false">Data!B845</f>
        <v>74.32</v>
      </c>
      <c r="AG850" s="17" t="n">
        <f aca="false">Data!F845</f>
        <v>66622577</v>
      </c>
      <c r="AH850" s="17" t="n">
        <f aca="false">Data!C845</f>
        <v>74.52</v>
      </c>
      <c r="AI850" s="17" t="n">
        <f aca="false">Data!D845</f>
        <v>73.05</v>
      </c>
      <c r="AJ850" s="17" t="n">
        <f aca="false">Data!E845</f>
        <v>73.99</v>
      </c>
      <c r="AK850" s="17" t="n">
        <f aca="false">Data!F845</f>
        <v>66622577</v>
      </c>
      <c r="AL850" s="17" t="n">
        <f aca="false">AJ850</f>
        <v>73.99</v>
      </c>
      <c r="AM850" s="17" t="n">
        <f aca="false">(AL850-AL849)/AL850*100</f>
        <v>-0.202730098661989</v>
      </c>
      <c r="AN850" s="17" t="n">
        <f aca="false">(AK850-AK849)/AK850*100</f>
        <v>19.3471696539148</v>
      </c>
      <c r="AO850" s="17" t="str">
        <f aca="false">IF(AN850&lt;-8,"FITS BITCH",IF(AN850&gt;-8,"no"))</f>
        <v>no</v>
      </c>
      <c r="AP850" s="17" t="str">
        <f aca="false">IF(AH851&lt;AH850,"FITS BITCH",IF(AH851&gt;AH850,"no"))</f>
        <v>no</v>
      </c>
      <c r="AQ850" s="17" t="str">
        <f aca="false">IF(AI851&lt;AI850,"FITS BITCH",IF(AI851&gt;AI850,"no"))</f>
        <v>no</v>
      </c>
      <c r="AR850" s="17" t="str">
        <f aca="false">IF(AJ850&lt;AH851,"FITS BITCH",IF(AJ850&gt;AH851,"no"))</f>
        <v>FITS BITCH</v>
      </c>
      <c r="AS850" s="17" t="str">
        <f aca="false">IF(AJ850&gt;AJ851,"FITS BITCH",IF(AJ850&lt;AJ851,"no"))</f>
        <v>no</v>
      </c>
      <c r="AT850" s="91" t="str">
        <f aca="false">IF(AND($AO850="FITS BITCH",$AP850="FITS BITCH",$AR850="FITS BITCH"),"BULLISH","")</f>
        <v/>
      </c>
      <c r="AU850" s="91" t="str">
        <f aca="false">IF(AND($AO850="FITS BITCH",$AQ850="FITS BITCH",$AS850="FITS BITCH"),"BEARISH","")</f>
        <v/>
      </c>
      <c r="AV850" s="86"/>
      <c r="AW850" s="86"/>
      <c r="AX850" s="86"/>
    </row>
    <row r="851" customFormat="false" ht="15.75" hidden="false" customHeight="false" outlineLevel="0" collapsed="false">
      <c r="AE851" s="90" t="n">
        <f aca="false">Data!A846</f>
        <v>41743</v>
      </c>
      <c r="AF851" s="17" t="n">
        <f aca="false">Data!B846</f>
        <v>74.56</v>
      </c>
      <c r="AG851" s="17" t="n">
        <f aca="false">Data!F846</f>
        <v>51445177</v>
      </c>
      <c r="AH851" s="17" t="n">
        <f aca="false">Data!C846</f>
        <v>74.59</v>
      </c>
      <c r="AI851" s="17" t="n">
        <f aca="false">Data!D846</f>
        <v>73.89</v>
      </c>
      <c r="AJ851" s="17" t="n">
        <f aca="false">Data!E846</f>
        <v>74.53</v>
      </c>
      <c r="AK851" s="17" t="n">
        <f aca="false">Data!F846</f>
        <v>51445177</v>
      </c>
      <c r="AL851" s="17" t="n">
        <f aca="false">AJ851</f>
        <v>74.53</v>
      </c>
      <c r="AM851" s="17" t="n">
        <f aca="false">(AL851-AL850)/AL851*100</f>
        <v>0.724540453508663</v>
      </c>
      <c r="AN851" s="17" t="n">
        <f aca="false">(AK851-AK850)/AK851*100</f>
        <v>-29.5020852975197</v>
      </c>
      <c r="AO851" s="17" t="str">
        <f aca="false">IF(AN851&lt;-8,"FITS BITCH",IF(AN851&gt;-8,"no"))</f>
        <v>FITS BITCH</v>
      </c>
      <c r="AP851" s="17" t="str">
        <f aca="false">IF(AH852&lt;AH851,"FITS BITCH",IF(AH852&gt;AH851,"no"))</f>
        <v>no</v>
      </c>
      <c r="AQ851" s="17" t="str">
        <f aca="false">IF(AI852&lt;AI851,"FITS BITCH",IF(AI852&gt;AI851,"no"))</f>
        <v>FITS BITCH</v>
      </c>
      <c r="AR851" s="17" t="str">
        <f aca="false">IF(AJ851&lt;AH852,"FITS BITCH",IF(AJ851&gt;AH852,"no"))</f>
        <v>FITS BITCH</v>
      </c>
      <c r="AS851" s="17" t="str">
        <f aca="false">IF(AJ851&gt;AJ852,"FITS BITCH",IF(AJ851&lt;AJ852,"no"))</f>
        <v>FITS BITCH</v>
      </c>
      <c r="AT851" s="91" t="str">
        <f aca="false">IF(AND($AO851="FITS BITCH",$AP851="FITS BITCH",$AR851="FITS BITCH"),"BULLISH","")</f>
        <v/>
      </c>
      <c r="AU851" s="91" t="str">
        <f aca="false">IF(AND($AO851="FITS BITCH",$AQ851="FITS BITCH",$AS851="FITS BITCH"),"BEARISH","")</f>
        <v>BEARISH</v>
      </c>
      <c r="AV851" s="86"/>
      <c r="AW851" s="86"/>
      <c r="AX851" s="86"/>
    </row>
    <row r="852" customFormat="false" ht="15.75" hidden="false" customHeight="false" outlineLevel="0" collapsed="false">
      <c r="AE852" s="90" t="n">
        <f aca="false">Data!A847</f>
        <v>41740</v>
      </c>
      <c r="AF852" s="17" t="n">
        <f aca="false">Data!B847</f>
        <v>74.14</v>
      </c>
      <c r="AG852" s="17" t="n">
        <f aca="false">Data!F847</f>
        <v>67975012</v>
      </c>
      <c r="AH852" s="17" t="n">
        <f aca="false">Data!C847</f>
        <v>74.69</v>
      </c>
      <c r="AI852" s="17" t="n">
        <f aca="false">Data!D847</f>
        <v>73.88</v>
      </c>
      <c r="AJ852" s="17" t="n">
        <f aca="false">Data!E847</f>
        <v>74.23</v>
      </c>
      <c r="AK852" s="17" t="n">
        <f aca="false">Data!F847</f>
        <v>67975012</v>
      </c>
      <c r="AL852" s="17" t="n">
        <f aca="false">AJ852</f>
        <v>74.23</v>
      </c>
      <c r="AM852" s="17" t="n">
        <f aca="false">(AL852-AL851)/AL852*100</f>
        <v>-0.404149265795497</v>
      </c>
      <c r="AN852" s="17" t="n">
        <f aca="false">(AK852-AK851)/AK852*100</f>
        <v>24.3175168545759</v>
      </c>
      <c r="AO852" s="17" t="str">
        <f aca="false">IF(AN852&lt;-8,"FITS BITCH",IF(AN852&gt;-8,"no"))</f>
        <v>no</v>
      </c>
      <c r="AP852" s="17" t="str">
        <f aca="false">IF(AH853&lt;AH852,"FITS BITCH",IF(AH853&gt;AH852,"no"))</f>
        <v>no</v>
      </c>
      <c r="AQ852" s="17" t="str">
        <f aca="false">IF(AI853&lt;AI852,"FITS BITCH",IF(AI853&gt;AI852,"no"))</f>
        <v>no</v>
      </c>
      <c r="AR852" s="17" t="str">
        <f aca="false">IF(AJ852&lt;AH853,"FITS BITCH",IF(AJ852&gt;AH853,"no"))</f>
        <v>FITS BITCH</v>
      </c>
      <c r="AS852" s="17" t="str">
        <f aca="false">IF(AJ852&gt;AJ853,"FITS BITCH",IF(AJ852&lt;AJ853,"no"))</f>
        <v>no</v>
      </c>
      <c r="AT852" s="91" t="str">
        <f aca="false">IF(AND($AO852="FITS BITCH",$AP852="FITS BITCH",$AR852="FITS BITCH"),"BULLISH","")</f>
        <v/>
      </c>
      <c r="AU852" s="91" t="str">
        <f aca="false">IF(AND($AO852="FITS BITCH",$AQ852="FITS BITCH",$AS852="FITS BITCH"),"BEARISH","")</f>
        <v/>
      </c>
      <c r="AV852" s="86"/>
      <c r="AW852" s="86"/>
      <c r="AX852" s="86"/>
    </row>
    <row r="853" customFormat="false" ht="15.75" hidden="false" customHeight="false" outlineLevel="0" collapsed="false">
      <c r="AE853" s="90" t="n">
        <f aca="false">Data!A848</f>
        <v>41739</v>
      </c>
      <c r="AF853" s="17" t="n">
        <f aca="false">Data!B848</f>
        <v>75.81</v>
      </c>
      <c r="AG853" s="17" t="n">
        <f aca="false">Data!F848</f>
        <v>59912818</v>
      </c>
      <c r="AH853" s="17" t="n">
        <f aca="false">Data!C848</f>
        <v>76.03</v>
      </c>
      <c r="AI853" s="17" t="n">
        <f aca="false">Data!D848</f>
        <v>74.74</v>
      </c>
      <c r="AJ853" s="17" t="n">
        <f aca="false">Data!E848</f>
        <v>74.78</v>
      </c>
      <c r="AK853" s="17" t="n">
        <f aca="false">Data!F848</f>
        <v>59912818</v>
      </c>
      <c r="AL853" s="17" t="n">
        <f aca="false">AJ853</f>
        <v>74.78</v>
      </c>
      <c r="AM853" s="17" t="n">
        <f aca="false">(AL853-AL852)/AL853*100</f>
        <v>0.735490772933936</v>
      </c>
      <c r="AN853" s="17" t="n">
        <f aca="false">(AK853-AK852)/AK853*100</f>
        <v>-13.4565428052475</v>
      </c>
      <c r="AO853" s="17" t="str">
        <f aca="false">IF(AN853&lt;-8,"FITS BITCH",IF(AN853&gt;-8,"no"))</f>
        <v>FITS BITCH</v>
      </c>
      <c r="AP853" s="17" t="str">
        <f aca="false">IF(AH854&lt;AH853,"FITS BITCH",IF(AH854&gt;AH853,"no"))</f>
        <v>FITS BITCH</v>
      </c>
      <c r="AQ853" s="17" t="str">
        <f aca="false">IF(AI854&lt;AI853,"FITS BITCH",IF(AI854&gt;AI853,"no"))</f>
        <v>FITS BITCH</v>
      </c>
      <c r="AR853" s="17" t="str">
        <f aca="false">IF(AJ853&lt;AH854,"FITS BITCH",IF(AJ853&gt;AH854,"no"))</f>
        <v>FITS BITCH</v>
      </c>
      <c r="AS853" s="17" t="str">
        <f aca="false">IF(AJ853&gt;AJ854,"FITS BITCH",IF(AJ853&lt;AJ854,"no"))</f>
        <v>no</v>
      </c>
      <c r="AT853" s="91" t="str">
        <f aca="false">IF(AND($AO853="FITS BITCH",$AP853="FITS BITCH",$AR853="FITS BITCH"),"BULLISH","")</f>
        <v>BULLISH</v>
      </c>
      <c r="AU853" s="91" t="str">
        <f aca="false">IF(AND($AO853="FITS BITCH",$AQ853="FITS BITCH",$AS853="FITS BITCH"),"BEARISH","")</f>
        <v/>
      </c>
      <c r="AV853" s="86"/>
      <c r="AW853" s="86"/>
      <c r="AX853" s="86"/>
    </row>
    <row r="854" customFormat="false" ht="15.75" hidden="false" customHeight="false" outlineLevel="0" collapsed="false">
      <c r="AE854" s="90" t="n">
        <f aca="false">Data!A849</f>
        <v>41738</v>
      </c>
      <c r="AF854" s="17" t="n">
        <f aca="false">Data!B849</f>
        <v>74.66</v>
      </c>
      <c r="AG854" s="17" t="n">
        <f aca="false">Data!F849</f>
        <v>51542722</v>
      </c>
      <c r="AH854" s="17" t="n">
        <f aca="false">Data!C849</f>
        <v>75.78</v>
      </c>
      <c r="AI854" s="17" t="n">
        <f aca="false">Data!D849</f>
        <v>74.57</v>
      </c>
      <c r="AJ854" s="17" t="n">
        <f aca="false">Data!E849</f>
        <v>75.76</v>
      </c>
      <c r="AK854" s="17" t="n">
        <f aca="false">Data!F849</f>
        <v>51542722</v>
      </c>
      <c r="AL854" s="17" t="n">
        <f aca="false">AJ854</f>
        <v>75.76</v>
      </c>
      <c r="AM854" s="17" t="n">
        <f aca="false">(AL854-AL853)/AL854*100</f>
        <v>1.29355860612461</v>
      </c>
      <c r="AN854" s="17" t="n">
        <f aca="false">(AK854-AK853)/AK854*100</f>
        <v>-16.2391423565096</v>
      </c>
      <c r="AO854" s="17" t="str">
        <f aca="false">IF(AN854&lt;-8,"FITS BITCH",IF(AN854&gt;-8,"no"))</f>
        <v>FITS BITCH</v>
      </c>
      <c r="AP854" s="17" t="str">
        <f aca="false">IF(AH855&lt;AH854,"FITS BITCH",IF(AH855&gt;AH854,"no"))</f>
        <v>FITS BITCH</v>
      </c>
      <c r="AQ854" s="17" t="str">
        <f aca="false">IF(AI855&lt;AI854,"FITS BITCH",IF(AI855&gt;AI854,"no"))</f>
        <v>FITS BITCH</v>
      </c>
      <c r="AR854" s="17" t="str">
        <f aca="false">IF(AJ854&lt;AH855,"FITS BITCH",IF(AJ854&gt;AH855,"no"))</f>
        <v>no</v>
      </c>
      <c r="AS854" s="17" t="str">
        <f aca="false">IF(AJ854&gt;AJ855,"FITS BITCH",IF(AJ854&lt;AJ855,"no"))</f>
        <v>FITS BITCH</v>
      </c>
      <c r="AT854" s="91" t="str">
        <f aca="false">IF(AND($AO854="FITS BITCH",$AP854="FITS BITCH",$AR854="FITS BITCH"),"BULLISH","")</f>
        <v/>
      </c>
      <c r="AU854" s="91" t="str">
        <f aca="false">IF(AND($AO854="FITS BITCH",$AQ854="FITS BITCH",$AS854="FITS BITCH"),"BEARISH","")</f>
        <v>BEARISH</v>
      </c>
      <c r="AV854" s="86"/>
      <c r="AW854" s="86"/>
      <c r="AX854" s="86"/>
    </row>
    <row r="855" customFormat="false" ht="15.75" hidden="false" customHeight="false" outlineLevel="0" collapsed="false">
      <c r="AE855" s="90" t="n">
        <f aca="false">Data!A850</f>
        <v>41737</v>
      </c>
      <c r="AF855" s="17" t="n">
        <f aca="false">Data!B850</f>
        <v>75.03</v>
      </c>
      <c r="AG855" s="17" t="n">
        <f aca="false">Data!F850</f>
        <v>60971883</v>
      </c>
      <c r="AH855" s="17" t="n">
        <f aca="false">Data!C850</f>
        <v>75.16</v>
      </c>
      <c r="AI855" s="17" t="n">
        <f aca="false">Data!D850</f>
        <v>74.1</v>
      </c>
      <c r="AJ855" s="17" t="n">
        <f aca="false">Data!E850</f>
        <v>74.78</v>
      </c>
      <c r="AK855" s="17" t="n">
        <f aca="false">Data!F850</f>
        <v>60971883</v>
      </c>
      <c r="AL855" s="17" t="n">
        <f aca="false">AJ855</f>
        <v>74.78</v>
      </c>
      <c r="AM855" s="17" t="n">
        <f aca="false">(AL855-AL854)/AL855*100</f>
        <v>-1.31051083177321</v>
      </c>
      <c r="AN855" s="17" t="n">
        <f aca="false">(AK855-AK854)/AK855*100</f>
        <v>15.4647692281375</v>
      </c>
      <c r="AO855" s="17" t="str">
        <f aca="false">IF(AN855&lt;-8,"FITS BITCH",IF(AN855&gt;-8,"no"))</f>
        <v>no</v>
      </c>
      <c r="AP855" s="17" t="str">
        <f aca="false">IF(AH856&lt;AH855,"FITS BITCH",IF(AH856&gt;AH855,"no"))</f>
        <v>no</v>
      </c>
      <c r="AQ855" s="17" t="str">
        <f aca="false">IF(AI856&lt;AI855,"FITS BITCH",IF(AI856&gt;AI855,"no"))</f>
        <v>no</v>
      </c>
      <c r="AR855" s="17" t="str">
        <f aca="false">IF(AJ855&lt;AH856,"FITS BITCH",IF(AJ855&gt;AH856,"no"))</f>
        <v>FITS BITCH</v>
      </c>
      <c r="AS855" s="17" t="n">
        <f aca="false">IF(AJ855&gt;AJ856,"FITS BITCH",IF(AJ855&lt;AJ856,"no"))</f>
        <v>0</v>
      </c>
      <c r="AT855" s="91" t="str">
        <f aca="false">IF(AND($AO855="FITS BITCH",$AP855="FITS BITCH",$AR855="FITS BITCH"),"BULLISH","")</f>
        <v/>
      </c>
      <c r="AU855" s="91" t="str">
        <f aca="false">IF(AND($AO855="FITS BITCH",$AQ855="FITS BITCH",$AS855="FITS BITCH"),"BEARISH","")</f>
        <v/>
      </c>
      <c r="AV855" s="86"/>
      <c r="AW855" s="86"/>
      <c r="AX855" s="86"/>
    </row>
    <row r="856" customFormat="false" ht="15.75" hidden="false" customHeight="false" outlineLevel="0" collapsed="false">
      <c r="AE856" s="90" t="n">
        <f aca="false">Data!A851</f>
        <v>41736</v>
      </c>
      <c r="AF856" s="17" t="n">
        <f aca="false">Data!B851</f>
        <v>75.43</v>
      </c>
      <c r="AG856" s="17" t="n">
        <f aca="false">Data!F851</f>
        <v>72462530</v>
      </c>
      <c r="AH856" s="17" t="n">
        <f aca="false">Data!C851</f>
        <v>75.84</v>
      </c>
      <c r="AI856" s="17" t="n">
        <f aca="false">Data!D851</f>
        <v>74.56</v>
      </c>
      <c r="AJ856" s="17" t="n">
        <f aca="false">Data!E851</f>
        <v>74.78</v>
      </c>
      <c r="AK856" s="17" t="n">
        <f aca="false">Data!F851</f>
        <v>72462530</v>
      </c>
      <c r="AL856" s="17" t="n">
        <f aca="false">AJ856</f>
        <v>74.78</v>
      </c>
      <c r="AM856" s="17" t="n">
        <f aca="false">(AL856-AL855)/AL856*100</f>
        <v>0</v>
      </c>
      <c r="AN856" s="17" t="n">
        <f aca="false">(AK856-AK855)/AK856*100</f>
        <v>15.8573637989179</v>
      </c>
      <c r="AO856" s="17" t="str">
        <f aca="false">IF(AN856&lt;-8,"FITS BITCH",IF(AN856&gt;-8,"no"))</f>
        <v>no</v>
      </c>
      <c r="AP856" s="17" t="str">
        <f aca="false">IF(AH857&lt;AH856,"FITS BITCH",IF(AH857&gt;AH856,"no"))</f>
        <v>no</v>
      </c>
      <c r="AQ856" s="17" t="str">
        <f aca="false">IF(AI857&lt;AI856,"FITS BITCH",IF(AI857&gt;AI856,"no"))</f>
        <v>no</v>
      </c>
      <c r="AR856" s="17" t="str">
        <f aca="false">IF(AJ856&lt;AH857,"FITS BITCH",IF(AJ856&gt;AH857,"no"))</f>
        <v>FITS BITCH</v>
      </c>
      <c r="AS856" s="17" t="str">
        <f aca="false">IF(AJ856&gt;AJ857,"FITS BITCH",IF(AJ856&lt;AJ857,"no"))</f>
        <v>no</v>
      </c>
      <c r="AT856" s="91" t="str">
        <f aca="false">IF(AND($AO856="FITS BITCH",$AP856="FITS BITCH",$AR856="FITS BITCH"),"BULLISH","")</f>
        <v/>
      </c>
      <c r="AU856" s="91" t="str">
        <f aca="false">IF(AND($AO856="FITS BITCH",$AQ856="FITS BITCH",$AS856="FITS BITCH"),"BEARISH","")</f>
        <v/>
      </c>
      <c r="AV856" s="86"/>
      <c r="AW856" s="86"/>
      <c r="AX856" s="86"/>
    </row>
    <row r="857" customFormat="false" ht="15.75" hidden="false" customHeight="false" outlineLevel="0" collapsed="false">
      <c r="AE857" s="90" t="n">
        <f aca="false">Data!A852</f>
        <v>41733</v>
      </c>
      <c r="AF857" s="17" t="n">
        <f aca="false">Data!B852</f>
        <v>77.12</v>
      </c>
      <c r="AG857" s="17" t="n">
        <f aca="false">Data!F852</f>
        <v>68812485</v>
      </c>
      <c r="AH857" s="17" t="n">
        <f aca="false">Data!C852</f>
        <v>77.14</v>
      </c>
      <c r="AI857" s="17" t="n">
        <f aca="false">Data!D852</f>
        <v>75.8</v>
      </c>
      <c r="AJ857" s="17" t="n">
        <f aca="false">Data!E852</f>
        <v>75.97</v>
      </c>
      <c r="AK857" s="17" t="n">
        <f aca="false">Data!F852</f>
        <v>68812485</v>
      </c>
      <c r="AL857" s="17" t="n">
        <f aca="false">AJ857</f>
        <v>75.97</v>
      </c>
      <c r="AM857" s="17" t="n">
        <f aca="false">(AL857-AL856)/AL857*100</f>
        <v>1.56640779254969</v>
      </c>
      <c r="AN857" s="17" t="n">
        <f aca="false">(AK857-AK856)/AK857*100</f>
        <v>-5.30433539785694</v>
      </c>
      <c r="AO857" s="17" t="str">
        <f aca="false">IF(AN857&lt;-8,"FITS BITCH",IF(AN857&gt;-8,"no"))</f>
        <v>no</v>
      </c>
      <c r="AP857" s="17" t="str">
        <f aca="false">IF(AH858&lt;AH857,"FITS BITCH",IF(AH858&gt;AH857,"no"))</f>
        <v>no</v>
      </c>
      <c r="AQ857" s="17" t="str">
        <f aca="false">IF(AI858&lt;AI857,"FITS BITCH",IF(AI858&gt;AI857,"no"))</f>
        <v>no</v>
      </c>
      <c r="AR857" s="17" t="str">
        <f aca="false">IF(AJ857&lt;AH858,"FITS BITCH",IF(AJ857&gt;AH858,"no"))</f>
        <v>FITS BITCH</v>
      </c>
      <c r="AS857" s="17" t="str">
        <f aca="false">IF(AJ857&gt;AJ858,"FITS BITCH",IF(AJ857&lt;AJ858,"no"))</f>
        <v>no</v>
      </c>
      <c r="AT857" s="91" t="str">
        <f aca="false">IF(AND($AO857="FITS BITCH",$AP857="FITS BITCH",$AR857="FITS BITCH"),"BULLISH","")</f>
        <v/>
      </c>
      <c r="AU857" s="91" t="str">
        <f aca="false">IF(AND($AO857="FITS BITCH",$AQ857="FITS BITCH",$AS857="FITS BITCH"),"BEARISH","")</f>
        <v/>
      </c>
      <c r="AV857" s="86"/>
      <c r="AW857" s="86"/>
      <c r="AX857" s="86"/>
    </row>
    <row r="858" customFormat="false" ht="15.75" hidden="false" customHeight="false" outlineLevel="0" collapsed="false">
      <c r="AE858" s="90" t="n">
        <f aca="false">Data!A853</f>
        <v>41732</v>
      </c>
      <c r="AF858" s="17" t="n">
        <f aca="false">Data!B853</f>
        <v>77.34</v>
      </c>
      <c r="AG858" s="17" t="n">
        <f aca="false">Data!F853</f>
        <v>40648111</v>
      </c>
      <c r="AH858" s="17" t="n">
        <f aca="false">Data!C853</f>
        <v>77.5</v>
      </c>
      <c r="AI858" s="17" t="n">
        <f aca="false">Data!D853</f>
        <v>76.81</v>
      </c>
      <c r="AJ858" s="17" t="n">
        <f aca="false">Data!E853</f>
        <v>76.97</v>
      </c>
      <c r="AK858" s="17" t="n">
        <f aca="false">Data!F853</f>
        <v>40648111</v>
      </c>
      <c r="AL858" s="17" t="n">
        <f aca="false">AJ858</f>
        <v>76.97</v>
      </c>
      <c r="AM858" s="17" t="n">
        <f aca="false">(AL858-AL857)/AL858*100</f>
        <v>1.2992074834351</v>
      </c>
      <c r="AN858" s="17" t="n">
        <f aca="false">(AK858-AK857)/AK858*100</f>
        <v>-69.2882727071868</v>
      </c>
      <c r="AO858" s="17" t="str">
        <f aca="false">IF(AN858&lt;-8,"FITS BITCH",IF(AN858&gt;-8,"no"))</f>
        <v>FITS BITCH</v>
      </c>
      <c r="AP858" s="17" t="str">
        <f aca="false">IF(AH859&lt;AH858,"FITS BITCH",IF(AH859&gt;AH858,"no"))</f>
        <v>no</v>
      </c>
      <c r="AQ858" s="17" t="str">
        <f aca="false">IF(AI859&lt;AI858,"FITS BITCH",IF(AI859&gt;AI858,"no"))</f>
        <v>no</v>
      </c>
      <c r="AR858" s="17" t="str">
        <f aca="false">IF(AJ858&lt;AH859,"FITS BITCH",IF(AJ858&gt;AH859,"no"))</f>
        <v>FITS BITCH</v>
      </c>
      <c r="AS858" s="17" t="str">
        <f aca="false">IF(AJ858&gt;AJ859,"FITS BITCH",IF(AJ858&lt;AJ859,"no"))</f>
        <v>no</v>
      </c>
      <c r="AT858" s="91" t="str">
        <f aca="false">IF(AND($AO858="FITS BITCH",$AP858="FITS BITCH",$AR858="FITS BITCH"),"BULLISH","")</f>
        <v/>
      </c>
      <c r="AU858" s="91" t="str">
        <f aca="false">IF(AND($AO858="FITS BITCH",$AQ858="FITS BITCH",$AS858="FITS BITCH"),"BEARISH","")</f>
        <v/>
      </c>
      <c r="AV858" s="86"/>
      <c r="AW858" s="86"/>
      <c r="AX858" s="86"/>
    </row>
    <row r="859" customFormat="false" ht="15.75" hidden="false" customHeight="false" outlineLevel="0" collapsed="false">
      <c r="AE859" s="90" t="n">
        <f aca="false">Data!A854</f>
        <v>41731</v>
      </c>
      <c r="AF859" s="17" t="n">
        <f aca="false">Data!B854</f>
        <v>77.48</v>
      </c>
      <c r="AG859" s="17" t="n">
        <f aca="false">Data!F854</f>
        <v>45104871</v>
      </c>
      <c r="AH859" s="17" t="n">
        <f aca="false">Data!C854</f>
        <v>77.64</v>
      </c>
      <c r="AI859" s="17" t="n">
        <f aca="false">Data!D854</f>
        <v>77.18</v>
      </c>
      <c r="AJ859" s="17" t="n">
        <f aca="false">Data!E854</f>
        <v>77.51</v>
      </c>
      <c r="AK859" s="17" t="n">
        <f aca="false">Data!F854</f>
        <v>45104871</v>
      </c>
      <c r="AL859" s="17" t="n">
        <f aca="false">AJ859</f>
        <v>77.51</v>
      </c>
      <c r="AM859" s="17" t="n">
        <f aca="false">(AL859-AL858)/AL859*100</f>
        <v>0.696684298800163</v>
      </c>
      <c r="AN859" s="17" t="n">
        <f aca="false">(AK859-AK858)/AK859*100</f>
        <v>9.88088404021818</v>
      </c>
      <c r="AO859" s="17" t="str">
        <f aca="false">IF(AN859&lt;-8,"FITS BITCH",IF(AN859&gt;-8,"no"))</f>
        <v>no</v>
      </c>
      <c r="AP859" s="17" t="str">
        <f aca="false">IF(AH860&lt;AH859,"FITS BITCH",IF(AH860&gt;AH859,"no"))</f>
        <v>FITS BITCH</v>
      </c>
      <c r="AQ859" s="17" t="str">
        <f aca="false">IF(AI860&lt;AI859,"FITS BITCH",IF(AI860&gt;AI859,"no"))</f>
        <v>FITS BITCH</v>
      </c>
      <c r="AR859" s="17" t="str">
        <f aca="false">IF(AJ859&lt;AH860,"FITS BITCH",IF(AJ859&gt;AH860,"no"))</f>
        <v>no</v>
      </c>
      <c r="AS859" s="17" t="str">
        <f aca="false">IF(AJ859&gt;AJ860,"FITS BITCH",IF(AJ859&lt;AJ860,"no"))</f>
        <v>FITS BITCH</v>
      </c>
      <c r="AT859" s="91" t="str">
        <f aca="false">IF(AND($AO859="FITS BITCH",$AP859="FITS BITCH",$AR859="FITS BITCH"),"BULLISH","")</f>
        <v/>
      </c>
      <c r="AU859" s="91" t="str">
        <f aca="false">IF(AND($AO859="FITS BITCH",$AQ859="FITS BITCH",$AS859="FITS BITCH"),"BEARISH","")</f>
        <v/>
      </c>
      <c r="AV859" s="86"/>
      <c r="AW859" s="86"/>
      <c r="AX859" s="86"/>
    </row>
    <row r="860" customFormat="false" ht="15.75" hidden="false" customHeight="false" outlineLevel="0" collapsed="false">
      <c r="AE860" s="90" t="n">
        <f aca="false">Data!A855</f>
        <v>41730</v>
      </c>
      <c r="AF860" s="17" t="n">
        <f aca="false">Data!B855</f>
        <v>76.82</v>
      </c>
      <c r="AG860" s="17" t="n">
        <f aca="false">Data!F855</f>
        <v>50189685</v>
      </c>
      <c r="AH860" s="17" t="n">
        <f aca="false">Data!C855</f>
        <v>77.41</v>
      </c>
      <c r="AI860" s="17" t="n">
        <f aca="false">Data!D855</f>
        <v>76.68</v>
      </c>
      <c r="AJ860" s="17" t="n">
        <f aca="false">Data!E855</f>
        <v>77.38</v>
      </c>
      <c r="AK860" s="17" t="n">
        <f aca="false">Data!F855</f>
        <v>50189685</v>
      </c>
      <c r="AL860" s="17" t="n">
        <f aca="false">AJ860</f>
        <v>77.38</v>
      </c>
      <c r="AM860" s="17" t="n">
        <f aca="false">(AL860-AL859)/AL860*100</f>
        <v>-0.168002067717769</v>
      </c>
      <c r="AN860" s="17" t="n">
        <f aca="false">(AK860-AK859)/AK860*100</f>
        <v>10.1311932920081</v>
      </c>
      <c r="AO860" s="17" t="str">
        <f aca="false">IF(AN860&lt;-8,"FITS BITCH",IF(AN860&gt;-8,"no"))</f>
        <v>no</v>
      </c>
      <c r="AP860" s="17" t="str">
        <f aca="false">IF(AH861&lt;AH860,"FITS BITCH",IF(AH861&gt;AH860,"no"))</f>
        <v>FITS BITCH</v>
      </c>
      <c r="AQ860" s="17" t="str">
        <f aca="false">IF(AI861&lt;AI860,"FITS BITCH",IF(AI861&gt;AI860,"no"))</f>
        <v>FITS BITCH</v>
      </c>
      <c r="AR860" s="17" t="str">
        <f aca="false">IF(AJ860&lt;AH861,"FITS BITCH",IF(AJ860&gt;AH861,"no"))</f>
        <v>no</v>
      </c>
      <c r="AS860" s="17" t="str">
        <f aca="false">IF(AJ860&gt;AJ861,"FITS BITCH",IF(AJ860&lt;AJ861,"no"))</f>
        <v>FITS BITCH</v>
      </c>
      <c r="AT860" s="91" t="str">
        <f aca="false">IF(AND($AO860="FITS BITCH",$AP860="FITS BITCH",$AR860="FITS BITCH"),"BULLISH","")</f>
        <v/>
      </c>
      <c r="AU860" s="91" t="str">
        <f aca="false">IF(AND($AO860="FITS BITCH",$AQ860="FITS BITCH",$AS860="FITS BITCH"),"BEARISH","")</f>
        <v/>
      </c>
      <c r="AV860" s="86"/>
      <c r="AW860" s="86"/>
      <c r="AX860" s="86"/>
    </row>
    <row r="861" customFormat="false" ht="15.75" hidden="false" customHeight="false" outlineLevel="0" collapsed="false">
      <c r="AE861" s="90" t="n">
        <f aca="false">Data!A856</f>
        <v>41729</v>
      </c>
      <c r="AF861" s="17" t="n">
        <f aca="false">Data!B856</f>
        <v>77.03</v>
      </c>
      <c r="AG861" s="17" t="n">
        <f aca="false">Data!F856</f>
        <v>42167188</v>
      </c>
      <c r="AH861" s="17" t="n">
        <f aca="false">Data!C856</f>
        <v>77.26</v>
      </c>
      <c r="AI861" s="17" t="n">
        <f aca="false">Data!D856</f>
        <v>76.56</v>
      </c>
      <c r="AJ861" s="17" t="n">
        <f aca="false">Data!E856</f>
        <v>76.68</v>
      </c>
      <c r="AK861" s="17" t="n">
        <f aca="false">Data!F856</f>
        <v>42167188</v>
      </c>
      <c r="AL861" s="17" t="n">
        <f aca="false">AJ861</f>
        <v>76.68</v>
      </c>
      <c r="AM861" s="17" t="n">
        <f aca="false">(AL861-AL860)/AL861*100</f>
        <v>-0.912884715701602</v>
      </c>
      <c r="AN861" s="17" t="n">
        <f aca="false">(AK861-AK860)/AK861*100</f>
        <v>-19.0254493612427</v>
      </c>
      <c r="AO861" s="17" t="str">
        <f aca="false">IF(AN861&lt;-8,"FITS BITCH",IF(AN861&gt;-8,"no"))</f>
        <v>FITS BITCH</v>
      </c>
      <c r="AP861" s="17" t="str">
        <f aca="false">IF(AH862&lt;AH861,"FITS BITCH",IF(AH862&gt;AH861,"no"))</f>
        <v>FITS BITCH</v>
      </c>
      <c r="AQ861" s="17" t="str">
        <f aca="false">IF(AI862&lt;AI861,"FITS BITCH",IF(AI862&gt;AI861,"no"))</f>
        <v>FITS BITCH</v>
      </c>
      <c r="AR861" s="17" t="str">
        <f aca="false">IF(AJ861&lt;AH862,"FITS BITCH",IF(AJ861&gt;AH862,"no"))</f>
        <v>FITS BITCH</v>
      </c>
      <c r="AS861" s="17" t="str">
        <f aca="false">IF(AJ861&gt;AJ862,"FITS BITCH",IF(AJ861&lt;AJ862,"no"))</f>
        <v>no</v>
      </c>
      <c r="AT861" s="91" t="str">
        <f aca="false">IF(AND($AO861="FITS BITCH",$AP861="FITS BITCH",$AR861="FITS BITCH"),"BULLISH","")</f>
        <v>BULLISH</v>
      </c>
      <c r="AU861" s="91" t="str">
        <f aca="false">IF(AND($AO861="FITS BITCH",$AQ861="FITS BITCH",$AS861="FITS BITCH"),"BEARISH","")</f>
        <v/>
      </c>
      <c r="AV861" s="86"/>
      <c r="AW861" s="86"/>
      <c r="AX861" s="86"/>
    </row>
    <row r="862" customFormat="false" ht="15.75" hidden="false" customHeight="false" outlineLevel="0" collapsed="false">
      <c r="AE862" s="90" t="n">
        <f aca="false">Data!A857</f>
        <v>41726</v>
      </c>
      <c r="AF862" s="17" t="n">
        <f aca="false">Data!B857</f>
        <v>76.9</v>
      </c>
      <c r="AG862" s="17" t="n">
        <f aca="false">Data!F857</f>
        <v>50141063</v>
      </c>
      <c r="AH862" s="17" t="n">
        <f aca="false">Data!C857</f>
        <v>76.99</v>
      </c>
      <c r="AI862" s="17" t="n">
        <f aca="false">Data!D857</f>
        <v>76.32</v>
      </c>
      <c r="AJ862" s="17" t="n">
        <f aca="false">Data!E857</f>
        <v>76.69</v>
      </c>
      <c r="AK862" s="17" t="n">
        <f aca="false">Data!F857</f>
        <v>50141063</v>
      </c>
      <c r="AL862" s="17" t="n">
        <f aca="false">AJ862</f>
        <v>76.69</v>
      </c>
      <c r="AM862" s="17" t="n">
        <f aca="false">(AL862-AL861)/AL862*100</f>
        <v>0.0130395097144229</v>
      </c>
      <c r="AN862" s="17" t="n">
        <f aca="false">(AK862-AK861)/AK862*100</f>
        <v>15.9028838299659</v>
      </c>
      <c r="AO862" s="17" t="str">
        <f aca="false">IF(AN862&lt;-8,"FITS BITCH",IF(AN862&gt;-8,"no"))</f>
        <v>no</v>
      </c>
      <c r="AP862" s="17" t="str">
        <f aca="false">IF(AH863&lt;AH862,"FITS BITCH",IF(AH863&gt;AH862,"no"))</f>
        <v>no</v>
      </c>
      <c r="AQ862" s="17" t="str">
        <f aca="false">IF(AI863&lt;AI862,"FITS BITCH",IF(AI863&gt;AI862,"no"))</f>
        <v>no</v>
      </c>
      <c r="AR862" s="17" t="str">
        <f aca="false">IF(AJ862&lt;AH863,"FITS BITCH",IF(AJ862&gt;AH863,"no"))</f>
        <v>FITS BITCH</v>
      </c>
      <c r="AS862" s="17" t="str">
        <f aca="false">IF(AJ862&gt;AJ863,"FITS BITCH",IF(AJ862&lt;AJ863,"no"))</f>
        <v>no</v>
      </c>
      <c r="AT862" s="91" t="str">
        <f aca="false">IF(AND($AO862="FITS BITCH",$AP862="FITS BITCH",$AR862="FITS BITCH"),"BULLISH","")</f>
        <v/>
      </c>
      <c r="AU862" s="91" t="str">
        <f aca="false">IF(AND($AO862="FITS BITCH",$AQ862="FITS BITCH",$AS862="FITS BITCH"),"BEARISH","")</f>
        <v/>
      </c>
      <c r="AV862" s="86"/>
      <c r="AW862" s="86"/>
      <c r="AX862" s="86"/>
    </row>
    <row r="863" customFormat="false" ht="15.75" hidden="false" customHeight="false" outlineLevel="0" collapsed="false">
      <c r="AE863" s="90" t="n">
        <f aca="false">Data!A858</f>
        <v>41725</v>
      </c>
      <c r="AF863" s="17" t="n">
        <f aca="false">Data!B858</f>
        <v>77.14</v>
      </c>
      <c r="AG863" s="17" t="n">
        <f aca="false">Data!F858</f>
        <v>55507676</v>
      </c>
      <c r="AH863" s="17" t="n">
        <f aca="false">Data!C858</f>
        <v>77.36</v>
      </c>
      <c r="AI863" s="17" t="n">
        <f aca="false">Data!D858</f>
        <v>76.45</v>
      </c>
      <c r="AJ863" s="17" t="n">
        <f aca="false">Data!E858</f>
        <v>76.78</v>
      </c>
      <c r="AK863" s="17" t="n">
        <f aca="false">Data!F858</f>
        <v>55507676</v>
      </c>
      <c r="AL863" s="17" t="n">
        <f aca="false">AJ863</f>
        <v>76.78</v>
      </c>
      <c r="AM863" s="17" t="n">
        <f aca="false">(AL863-AL862)/AL863*100</f>
        <v>0.117218025527486</v>
      </c>
      <c r="AN863" s="17" t="n">
        <f aca="false">(AK863-AK862)/AK863*100</f>
        <v>9.66823579499167</v>
      </c>
      <c r="AO863" s="17" t="str">
        <f aca="false">IF(AN863&lt;-8,"FITS BITCH",IF(AN863&gt;-8,"no"))</f>
        <v>no</v>
      </c>
      <c r="AP863" s="17" t="str">
        <f aca="false">IF(AH864&lt;AH863,"FITS BITCH",IF(AH864&gt;AH863,"no"))</f>
        <v>no</v>
      </c>
      <c r="AQ863" s="17" t="str">
        <f aca="false">IF(AI864&lt;AI863,"FITS BITCH",IF(AI864&gt;AI863,"no"))</f>
        <v>no</v>
      </c>
      <c r="AR863" s="17" t="str">
        <f aca="false">IF(AJ863&lt;AH864,"FITS BITCH",IF(AJ863&gt;AH864,"no"))</f>
        <v>FITS BITCH</v>
      </c>
      <c r="AS863" s="17" t="str">
        <f aca="false">IF(AJ863&gt;AJ864,"FITS BITCH",IF(AJ863&lt;AJ864,"no"))</f>
        <v>no</v>
      </c>
      <c r="AT863" s="91" t="str">
        <f aca="false">IF(AND($AO863="FITS BITCH",$AP863="FITS BITCH",$AR863="FITS BITCH"),"BULLISH","")</f>
        <v/>
      </c>
      <c r="AU863" s="91" t="str">
        <f aca="false">IF(AND($AO863="FITS BITCH",$AQ863="FITS BITCH",$AS863="FITS BITCH"),"BEARISH","")</f>
        <v/>
      </c>
      <c r="AV863" s="86"/>
      <c r="AW863" s="86"/>
      <c r="AX863" s="86"/>
    </row>
    <row r="864" customFormat="false" ht="15.75" hidden="false" customHeight="false" outlineLevel="0" collapsed="false">
      <c r="AE864" s="90" t="n">
        <f aca="false">Data!A859</f>
        <v>41724</v>
      </c>
      <c r="AF864" s="17" t="n">
        <f aca="false">Data!B859</f>
        <v>78.07</v>
      </c>
      <c r="AG864" s="17" t="n">
        <f aca="false">Data!F859</f>
        <v>74942224</v>
      </c>
      <c r="AH864" s="17" t="n">
        <f aca="false">Data!C859</f>
        <v>78.43</v>
      </c>
      <c r="AI864" s="17" t="n">
        <f aca="false">Data!D859</f>
        <v>76.98</v>
      </c>
      <c r="AJ864" s="17" t="n">
        <f aca="false">Data!E859</f>
        <v>77.11</v>
      </c>
      <c r="AK864" s="17" t="n">
        <f aca="false">Data!F859</f>
        <v>74942224</v>
      </c>
      <c r="AL864" s="17" t="n">
        <f aca="false">AJ864</f>
        <v>77.11</v>
      </c>
      <c r="AM864" s="17" t="n">
        <f aca="false">(AL864-AL863)/AL864*100</f>
        <v>0.427960057061339</v>
      </c>
      <c r="AN864" s="17" t="n">
        <f aca="false">(AK864-AK863)/AK864*100</f>
        <v>25.9327078417102</v>
      </c>
      <c r="AO864" s="17" t="str">
        <f aca="false">IF(AN864&lt;-8,"FITS BITCH",IF(AN864&gt;-8,"no"))</f>
        <v>no</v>
      </c>
      <c r="AP864" s="17" t="str">
        <f aca="false">IF(AH865&lt;AH864,"FITS BITCH",IF(AH865&gt;AH864,"no"))</f>
        <v>FITS BITCH</v>
      </c>
      <c r="AQ864" s="17" t="str">
        <f aca="false">IF(AI865&lt;AI864,"FITS BITCH",IF(AI865&gt;AI864,"no"))</f>
        <v>no</v>
      </c>
      <c r="AR864" s="17" t="str">
        <f aca="false">IF(AJ864&lt;AH865,"FITS BITCH",IF(AJ864&gt;AH865,"no"))</f>
        <v>FITS BITCH</v>
      </c>
      <c r="AS864" s="17" t="str">
        <f aca="false">IF(AJ864&gt;AJ865,"FITS BITCH",IF(AJ864&lt;AJ865,"no"))</f>
        <v>no</v>
      </c>
      <c r="AT864" s="91" t="str">
        <f aca="false">IF(AND($AO864="FITS BITCH",$AP864="FITS BITCH",$AR864="FITS BITCH"),"BULLISH","")</f>
        <v/>
      </c>
      <c r="AU864" s="91" t="str">
        <f aca="false">IF(AND($AO864="FITS BITCH",$AQ864="FITS BITCH",$AS864="FITS BITCH"),"BEARISH","")</f>
        <v/>
      </c>
      <c r="AV864" s="86"/>
      <c r="AW864" s="86"/>
      <c r="AX864" s="86"/>
    </row>
    <row r="865" customFormat="false" ht="15.75" hidden="false" customHeight="false" outlineLevel="0" collapsed="false">
      <c r="AE865" s="90" t="n">
        <f aca="false">Data!A860</f>
        <v>41723</v>
      </c>
      <c r="AF865" s="17" t="n">
        <f aca="false">Data!B860</f>
        <v>77.36</v>
      </c>
      <c r="AG865" s="17" t="n">
        <f aca="false">Data!F860</f>
        <v>70573356</v>
      </c>
      <c r="AH865" s="17" t="n">
        <f aca="false">Data!C860</f>
        <v>77.96</v>
      </c>
      <c r="AI865" s="17" t="n">
        <f aca="false">Data!D860</f>
        <v>77.08</v>
      </c>
      <c r="AJ865" s="17" t="n">
        <f aca="false">Data!E860</f>
        <v>77.86</v>
      </c>
      <c r="AK865" s="17" t="n">
        <f aca="false">Data!F860</f>
        <v>70573356</v>
      </c>
      <c r="AL865" s="17" t="n">
        <f aca="false">AJ865</f>
        <v>77.86</v>
      </c>
      <c r="AM865" s="17" t="n">
        <f aca="false">(AL865-AL864)/AL865*100</f>
        <v>0.963267403031081</v>
      </c>
      <c r="AN865" s="17" t="n">
        <f aca="false">(AK865-AK864)/AK865*100</f>
        <v>-6.19053456944856</v>
      </c>
      <c r="AO865" s="17" t="str">
        <f aca="false">IF(AN865&lt;-8,"FITS BITCH",IF(AN865&gt;-8,"no"))</f>
        <v>no</v>
      </c>
      <c r="AP865" s="17" t="str">
        <f aca="false">IF(AH866&lt;AH865,"FITS BITCH",IF(AH866&gt;AH865,"no"))</f>
        <v>FITS BITCH</v>
      </c>
      <c r="AQ865" s="17" t="str">
        <f aca="false">IF(AI866&lt;AI865,"FITS BITCH",IF(AI866&gt;AI865,"no"))</f>
        <v>FITS BITCH</v>
      </c>
      <c r="AR865" s="17" t="str">
        <f aca="false">IF(AJ865&lt;AH866,"FITS BITCH",IF(AJ865&gt;AH866,"no"))</f>
        <v>no</v>
      </c>
      <c r="AS865" s="17" t="str">
        <f aca="false">IF(AJ865&gt;AJ866,"FITS BITCH",IF(AJ865&lt;AJ866,"no"))</f>
        <v>FITS BITCH</v>
      </c>
      <c r="AT865" s="91" t="str">
        <f aca="false">IF(AND($AO865="FITS BITCH",$AP865="FITS BITCH",$AR865="FITS BITCH"),"BULLISH","")</f>
        <v/>
      </c>
      <c r="AU865" s="91" t="str">
        <f aca="false">IF(AND($AO865="FITS BITCH",$AQ865="FITS BITCH",$AS865="FITS BITCH"),"BEARISH","")</f>
        <v/>
      </c>
      <c r="AV865" s="86"/>
      <c r="AW865" s="86"/>
      <c r="AX865" s="86"/>
    </row>
    <row r="866" customFormat="false" ht="15.75" hidden="false" customHeight="false" outlineLevel="0" collapsed="false">
      <c r="AE866" s="90" t="n">
        <f aca="false">Data!A861</f>
        <v>41722</v>
      </c>
      <c r="AF866" s="17" t="n">
        <f aca="false">Data!B861</f>
        <v>76.92</v>
      </c>
      <c r="AG866" s="17" t="n">
        <f aca="false">Data!F861</f>
        <v>88924871</v>
      </c>
      <c r="AH866" s="17" t="n">
        <f aca="false">Data!C861</f>
        <v>77.21</v>
      </c>
      <c r="AI866" s="17" t="n">
        <f aca="false">Data!D861</f>
        <v>76.44</v>
      </c>
      <c r="AJ866" s="17" t="n">
        <f aca="false">Data!E861</f>
        <v>77.03</v>
      </c>
      <c r="AK866" s="17" t="n">
        <f aca="false">Data!F861</f>
        <v>88924871</v>
      </c>
      <c r="AL866" s="17" t="n">
        <f aca="false">AJ866</f>
        <v>77.03</v>
      </c>
      <c r="AM866" s="17" t="n">
        <f aca="false">(AL866-AL865)/AL866*100</f>
        <v>-1.07750227184214</v>
      </c>
      <c r="AN866" s="17" t="n">
        <f aca="false">(AK866-AK865)/AK866*100</f>
        <v>20.637100502513</v>
      </c>
      <c r="AO866" s="17" t="str">
        <f aca="false">IF(AN866&lt;-8,"FITS BITCH",IF(AN866&gt;-8,"no"))</f>
        <v>no</v>
      </c>
      <c r="AP866" s="17" t="str">
        <f aca="false">IF(AH867&lt;AH866,"FITS BITCH",IF(AH867&gt;AH866,"no"))</f>
        <v>FITS BITCH</v>
      </c>
      <c r="AQ866" s="17" t="str">
        <f aca="false">IF(AI867&lt;AI866,"FITS BITCH",IF(AI867&gt;AI866,"no"))</f>
        <v>FITS BITCH</v>
      </c>
      <c r="AR866" s="17" t="str">
        <f aca="false">IF(AJ866&lt;AH867,"FITS BITCH",IF(AJ866&gt;AH867,"no"))</f>
        <v>no</v>
      </c>
      <c r="AS866" s="17" t="str">
        <f aca="false">IF(AJ866&gt;AJ867,"FITS BITCH",IF(AJ866&lt;AJ867,"no"))</f>
        <v>FITS BITCH</v>
      </c>
      <c r="AT866" s="91" t="str">
        <f aca="false">IF(AND($AO866="FITS BITCH",$AP866="FITS BITCH",$AR866="FITS BITCH"),"BULLISH","")</f>
        <v/>
      </c>
      <c r="AU866" s="91" t="str">
        <f aca="false">IF(AND($AO866="FITS BITCH",$AQ866="FITS BITCH",$AS866="FITS BITCH"),"BEARISH","")</f>
        <v/>
      </c>
      <c r="AV866" s="86"/>
      <c r="AW866" s="86"/>
      <c r="AX866" s="86"/>
    </row>
    <row r="867" customFormat="false" ht="15.75" hidden="false" customHeight="false" outlineLevel="0" collapsed="false">
      <c r="AE867" s="90" t="n">
        <f aca="false">Data!A862</f>
        <v>41719</v>
      </c>
      <c r="AF867" s="17" t="n">
        <f aca="false">Data!B862</f>
        <v>75.99</v>
      </c>
      <c r="AG867" s="17" t="n">
        <f aca="false">Data!F862</f>
        <v>93612169</v>
      </c>
      <c r="AH867" s="17" t="n">
        <f aca="false">Data!C862</f>
        <v>76.25</v>
      </c>
      <c r="AI867" s="17" t="n">
        <f aca="false">Data!D862</f>
        <v>75.19</v>
      </c>
      <c r="AJ867" s="17" t="n">
        <f aca="false">Data!E862</f>
        <v>76.12</v>
      </c>
      <c r="AK867" s="17" t="n">
        <f aca="false">Data!F862</f>
        <v>93612169</v>
      </c>
      <c r="AL867" s="17" t="n">
        <f aca="false">AJ867</f>
        <v>76.12</v>
      </c>
      <c r="AM867" s="17" t="n">
        <f aca="false">(AL867-AL866)/AL867*100</f>
        <v>-1.19548081975827</v>
      </c>
      <c r="AN867" s="17" t="n">
        <f aca="false">(AK867-AK866)/AK867*100</f>
        <v>5.00714602606847</v>
      </c>
      <c r="AO867" s="17" t="str">
        <f aca="false">IF(AN867&lt;-8,"FITS BITCH",IF(AN867&gt;-8,"no"))</f>
        <v>no</v>
      </c>
      <c r="AP867" s="17" t="str">
        <f aca="false">IF(AH868&lt;AH867,"FITS BITCH",IF(AH868&gt;AH867,"no"))</f>
        <v>FITS BITCH</v>
      </c>
      <c r="AQ867" s="17" t="str">
        <f aca="false">IF(AI868&lt;AI867,"FITS BITCH",IF(AI868&gt;AI867,"no"))</f>
        <v>no</v>
      </c>
      <c r="AR867" s="17" t="str">
        <f aca="false">IF(AJ867&lt;AH868,"FITS BITCH",IF(AJ867&gt;AH868,"no"))</f>
        <v>no</v>
      </c>
      <c r="AS867" s="17" t="str">
        <f aca="false">IF(AJ867&gt;AJ868,"FITS BITCH",IF(AJ867&lt;AJ868,"no"))</f>
        <v>FITS BITCH</v>
      </c>
      <c r="AT867" s="91" t="str">
        <f aca="false">IF(AND($AO867="FITS BITCH",$AP867="FITS BITCH",$AR867="FITS BITCH"),"BULLISH","")</f>
        <v/>
      </c>
      <c r="AU867" s="91" t="str">
        <f aca="false">IF(AND($AO867="FITS BITCH",$AQ867="FITS BITCH",$AS867="FITS BITCH"),"BEARISH","")</f>
        <v/>
      </c>
      <c r="AV867" s="86"/>
      <c r="AW867" s="86"/>
      <c r="AX867" s="86"/>
    </row>
    <row r="868" customFormat="false" ht="15.75" hidden="false" customHeight="false" outlineLevel="0" collapsed="false">
      <c r="AE868" s="90" t="n">
        <f aca="false">Data!A863</f>
        <v>41718</v>
      </c>
      <c r="AF868" s="17" t="n">
        <f aca="false">Data!B863</f>
        <v>75.7</v>
      </c>
      <c r="AG868" s="17" t="n">
        <f aca="false">Data!F863</f>
        <v>52099537</v>
      </c>
      <c r="AH868" s="17" t="n">
        <f aca="false">Data!C863</f>
        <v>76.1</v>
      </c>
      <c r="AI868" s="17" t="n">
        <f aca="false">Data!D863</f>
        <v>75.34</v>
      </c>
      <c r="AJ868" s="17" t="n">
        <f aca="false">Data!E863</f>
        <v>75.53</v>
      </c>
      <c r="AK868" s="17" t="n">
        <f aca="false">Data!F863</f>
        <v>52099537</v>
      </c>
      <c r="AL868" s="17" t="n">
        <f aca="false">AJ868</f>
        <v>75.53</v>
      </c>
      <c r="AM868" s="17" t="n">
        <f aca="false">(AL868-AL867)/AL868*100</f>
        <v>-0.781146564279099</v>
      </c>
      <c r="AN868" s="17" t="n">
        <f aca="false">(AK868-AK867)/AK868*100</f>
        <v>-79.6794643299805</v>
      </c>
      <c r="AO868" s="17" t="str">
        <f aca="false">IF(AN868&lt;-8,"FITS BITCH",IF(AN868&gt;-8,"no"))</f>
        <v>FITS BITCH</v>
      </c>
      <c r="AP868" s="17" t="str">
        <f aca="false">IF(AH869&lt;AH868,"FITS BITCH",IF(AH869&gt;AH868,"no"))</f>
        <v>no</v>
      </c>
      <c r="AQ868" s="17" t="str">
        <f aca="false">IF(AI869&lt;AI868,"FITS BITCH",IF(AI869&gt;AI868,"no"))</f>
        <v>no</v>
      </c>
      <c r="AR868" s="17" t="str">
        <f aca="false">IF(AJ868&lt;AH869,"FITS BITCH",IF(AJ868&gt;AH869,"no"))</f>
        <v>FITS BITCH</v>
      </c>
      <c r="AS868" s="17" t="str">
        <f aca="false">IF(AJ868&gt;AJ869,"FITS BITCH",IF(AJ868&lt;AJ869,"no"))</f>
        <v>no</v>
      </c>
      <c r="AT868" s="91" t="str">
        <f aca="false">IF(AND($AO868="FITS BITCH",$AP868="FITS BITCH",$AR868="FITS BITCH"),"BULLISH","")</f>
        <v/>
      </c>
      <c r="AU868" s="91" t="str">
        <f aca="false">IF(AND($AO868="FITS BITCH",$AQ868="FITS BITCH",$AS868="FITS BITCH"),"BEARISH","")</f>
        <v/>
      </c>
      <c r="AV868" s="86"/>
      <c r="AW868" s="86"/>
      <c r="AX868" s="86"/>
    </row>
    <row r="869" customFormat="false" ht="15.75" hidden="false" customHeight="false" outlineLevel="0" collapsed="false">
      <c r="AE869" s="90" t="n">
        <f aca="false">Data!A864</f>
        <v>41717</v>
      </c>
      <c r="AF869" s="17" t="n">
        <f aca="false">Data!B864</f>
        <v>76.04</v>
      </c>
      <c r="AG869" s="17" t="n">
        <f aca="false">Data!F864</f>
        <v>56188958</v>
      </c>
      <c r="AH869" s="17" t="n">
        <f aca="false">Data!C864</f>
        <v>76.61</v>
      </c>
      <c r="AI869" s="17" t="n">
        <f aca="false">Data!D864</f>
        <v>75.57</v>
      </c>
      <c r="AJ869" s="17" t="n">
        <f aca="false">Data!E864</f>
        <v>75.89</v>
      </c>
      <c r="AK869" s="17" t="n">
        <f aca="false">Data!F864</f>
        <v>56188958</v>
      </c>
      <c r="AL869" s="17" t="n">
        <f aca="false">AJ869</f>
        <v>75.89</v>
      </c>
      <c r="AM869" s="17" t="n">
        <f aca="false">(AL869-AL868)/AL869*100</f>
        <v>0.474370799841876</v>
      </c>
      <c r="AN869" s="17" t="n">
        <f aca="false">(AK869-AK868)/AK869*100</f>
        <v>7.27797977673834</v>
      </c>
      <c r="AO869" s="17" t="str">
        <f aca="false">IF(AN869&lt;-8,"FITS BITCH",IF(AN869&gt;-8,"no"))</f>
        <v>no</v>
      </c>
      <c r="AP869" s="17" t="str">
        <f aca="false">IF(AH870&lt;AH869,"FITS BITCH",IF(AH870&gt;AH869,"no"))</f>
        <v>FITS BITCH</v>
      </c>
      <c r="AQ869" s="17" t="str">
        <f aca="false">IF(AI870&lt;AI869,"FITS BITCH",IF(AI870&gt;AI869,"no"))</f>
        <v>FITS BITCH</v>
      </c>
      <c r="AR869" s="17" t="str">
        <f aca="false">IF(AJ869&lt;AH870,"FITS BITCH",IF(AJ869&gt;AH870,"no"))</f>
        <v>FITS BITCH</v>
      </c>
      <c r="AS869" s="17" t="str">
        <f aca="false">IF(AJ869&gt;AJ870,"FITS BITCH",IF(AJ869&lt;AJ870,"no"))</f>
        <v>no</v>
      </c>
      <c r="AT869" s="91" t="str">
        <f aca="false">IF(AND($AO869="FITS BITCH",$AP869="FITS BITCH",$AR869="FITS BITCH"),"BULLISH","")</f>
        <v/>
      </c>
      <c r="AU869" s="91" t="str">
        <f aca="false">IF(AND($AO869="FITS BITCH",$AQ869="FITS BITCH",$AS869="FITS BITCH"),"BEARISH","")</f>
        <v/>
      </c>
      <c r="AV869" s="86"/>
      <c r="AW869" s="86"/>
      <c r="AX869" s="86"/>
    </row>
    <row r="870" customFormat="false" ht="15.75" hidden="false" customHeight="false" outlineLevel="0" collapsed="false">
      <c r="AE870" s="90" t="n">
        <f aca="false">Data!A865</f>
        <v>41716</v>
      </c>
      <c r="AF870" s="17" t="n">
        <f aca="false">Data!B865</f>
        <v>75.13</v>
      </c>
      <c r="AG870" s="17" t="n">
        <f aca="false">Data!F865</f>
        <v>52411863</v>
      </c>
      <c r="AH870" s="17" t="n">
        <f aca="false">Data!C865</f>
        <v>76</v>
      </c>
      <c r="AI870" s="17" t="n">
        <f aca="false">Data!D865</f>
        <v>75.03</v>
      </c>
      <c r="AJ870" s="17" t="n">
        <f aca="false">Data!E865</f>
        <v>75.91</v>
      </c>
      <c r="AK870" s="17" t="n">
        <f aca="false">Data!F865</f>
        <v>52411863</v>
      </c>
      <c r="AL870" s="17" t="n">
        <f aca="false">AJ870</f>
        <v>75.91</v>
      </c>
      <c r="AM870" s="17" t="n">
        <f aca="false">(AL870-AL869)/AL870*100</f>
        <v>0.0263469898564037</v>
      </c>
      <c r="AN870" s="17" t="n">
        <f aca="false">(AK870-AK869)/AK870*100</f>
        <v>-7.20656504806937</v>
      </c>
      <c r="AO870" s="17" t="str">
        <f aca="false">IF(AN870&lt;-8,"FITS BITCH",IF(AN870&gt;-8,"no"))</f>
        <v>no</v>
      </c>
      <c r="AP870" s="17" t="str">
        <f aca="false">IF(AH871&lt;AH870,"FITS BITCH",IF(AH871&gt;AH870,"no"))</f>
        <v>FITS BITCH</v>
      </c>
      <c r="AQ870" s="17" t="str">
        <f aca="false">IF(AI871&lt;AI870,"FITS BITCH",IF(AI871&gt;AI870,"no"))</f>
        <v>no</v>
      </c>
      <c r="AR870" s="17" t="str">
        <f aca="false">IF(AJ870&lt;AH871,"FITS BITCH",IF(AJ870&gt;AH871,"no"))</f>
        <v>no</v>
      </c>
      <c r="AS870" s="17" t="str">
        <f aca="false">IF(AJ870&gt;AJ871,"FITS BITCH",IF(AJ870&lt;AJ871,"no"))</f>
        <v>FITS BITCH</v>
      </c>
      <c r="AT870" s="91" t="str">
        <f aca="false">IF(AND($AO870="FITS BITCH",$AP870="FITS BITCH",$AR870="FITS BITCH"),"BULLISH","")</f>
        <v/>
      </c>
      <c r="AU870" s="91" t="str">
        <f aca="false">IF(AND($AO870="FITS BITCH",$AQ870="FITS BITCH",$AS870="FITS BITCH"),"BEARISH","")</f>
        <v/>
      </c>
      <c r="AV870" s="86"/>
      <c r="AW870" s="86"/>
      <c r="AX870" s="86"/>
    </row>
    <row r="871" customFormat="false" ht="15.75" hidden="false" customHeight="false" outlineLevel="0" collapsed="false">
      <c r="AE871" s="90" t="n">
        <f aca="false">Data!A866</f>
        <v>41715</v>
      </c>
      <c r="AF871" s="17" t="n">
        <f aca="false">Data!B866</f>
        <v>75.39</v>
      </c>
      <c r="AG871" s="17" t="n">
        <f aca="false">Data!F866</f>
        <v>49886074</v>
      </c>
      <c r="AH871" s="17" t="n">
        <f aca="false">Data!C866</f>
        <v>75.71</v>
      </c>
      <c r="AI871" s="17" t="n">
        <f aca="false">Data!D866</f>
        <v>75.12</v>
      </c>
      <c r="AJ871" s="17" t="n">
        <f aca="false">Data!E866</f>
        <v>75.25</v>
      </c>
      <c r="AK871" s="17" t="n">
        <f aca="false">Data!F866</f>
        <v>49886074</v>
      </c>
      <c r="AL871" s="17" t="n">
        <f aca="false">AJ871</f>
        <v>75.25</v>
      </c>
      <c r="AM871" s="17" t="n">
        <f aca="false">(AL871-AL870)/AL871*100</f>
        <v>-0.877076411960128</v>
      </c>
      <c r="AN871" s="17" t="n">
        <f aca="false">(AK871-AK870)/AK871*100</f>
        <v>-5.06311440743964</v>
      </c>
      <c r="AO871" s="17" t="str">
        <f aca="false">IF(AN871&lt;-8,"FITS BITCH",IF(AN871&gt;-8,"no"))</f>
        <v>no</v>
      </c>
      <c r="AP871" s="17" t="str">
        <f aca="false">IF(AH872&lt;AH871,"FITS BITCH",IF(AH872&gt;AH871,"no"))</f>
        <v>no</v>
      </c>
      <c r="AQ871" s="17" t="str">
        <f aca="false">IF(AI872&lt;AI871,"FITS BITCH",IF(AI872&gt;AI871,"no"))</f>
        <v>FITS BITCH</v>
      </c>
      <c r="AR871" s="17" t="str">
        <f aca="false">IF(AJ871&lt;AH872,"FITS BITCH",IF(AJ871&gt;AH872,"no"))</f>
        <v>FITS BITCH</v>
      </c>
      <c r="AS871" s="17" t="str">
        <f aca="false">IF(AJ871&gt;AJ872,"FITS BITCH",IF(AJ871&lt;AJ872,"no"))</f>
        <v>FITS BITCH</v>
      </c>
      <c r="AT871" s="91" t="str">
        <f aca="false">IF(AND($AO871="FITS BITCH",$AP871="FITS BITCH",$AR871="FITS BITCH"),"BULLISH","")</f>
        <v/>
      </c>
      <c r="AU871" s="91" t="str">
        <f aca="false">IF(AND($AO871="FITS BITCH",$AQ871="FITS BITCH",$AS871="FITS BITCH"),"BEARISH","")</f>
        <v/>
      </c>
      <c r="AV871" s="86"/>
      <c r="AW871" s="86"/>
      <c r="AX871" s="86"/>
    </row>
    <row r="872" customFormat="false" ht="15.75" hidden="false" customHeight="false" outlineLevel="0" collapsed="false">
      <c r="AE872" s="90" t="n">
        <f aca="false">Data!A867</f>
        <v>41712</v>
      </c>
      <c r="AF872" s="17" t="n">
        <f aca="false">Data!B867</f>
        <v>75.54</v>
      </c>
      <c r="AG872" s="17" t="n">
        <f aca="false">Data!F867</f>
        <v>59299492</v>
      </c>
      <c r="AH872" s="17" t="n">
        <f aca="false">Data!C867</f>
        <v>75.84</v>
      </c>
      <c r="AI872" s="17" t="n">
        <f aca="false">Data!D867</f>
        <v>74.71</v>
      </c>
      <c r="AJ872" s="17" t="n">
        <f aca="false">Data!E867</f>
        <v>74.96</v>
      </c>
      <c r="AK872" s="17" t="n">
        <f aca="false">Data!F867</f>
        <v>59299492</v>
      </c>
      <c r="AL872" s="17" t="n">
        <f aca="false">AJ872</f>
        <v>74.96</v>
      </c>
      <c r="AM872" s="17" t="n">
        <f aca="false">(AL872-AL871)/AL872*100</f>
        <v>-0.386872998932772</v>
      </c>
      <c r="AN872" s="17" t="n">
        <f aca="false">(AK872-AK871)/AK872*100</f>
        <v>15.8743653318312</v>
      </c>
      <c r="AO872" s="17" t="str">
        <f aca="false">IF(AN872&lt;-8,"FITS BITCH",IF(AN872&gt;-8,"no"))</f>
        <v>no</v>
      </c>
      <c r="AP872" s="17" t="str">
        <f aca="false">IF(AH873&lt;AH872,"FITS BITCH",IF(AH873&gt;AH872,"no"))</f>
        <v>no</v>
      </c>
      <c r="AQ872" s="17" t="str">
        <f aca="false">IF(AI873&lt;AI872,"FITS BITCH",IF(AI873&gt;AI872,"no"))</f>
        <v>no</v>
      </c>
      <c r="AR872" s="17" t="str">
        <f aca="false">IF(AJ872&lt;AH873,"FITS BITCH",IF(AJ872&gt;AH873,"no"))</f>
        <v>FITS BITCH</v>
      </c>
      <c r="AS872" s="17" t="str">
        <f aca="false">IF(AJ872&gt;AJ873,"FITS BITCH",IF(AJ872&lt;AJ873,"no"))</f>
        <v>no</v>
      </c>
      <c r="AT872" s="91" t="str">
        <f aca="false">IF(AND($AO872="FITS BITCH",$AP872="FITS BITCH",$AR872="FITS BITCH"),"BULLISH","")</f>
        <v/>
      </c>
      <c r="AU872" s="91" t="str">
        <f aca="false">IF(AND($AO872="FITS BITCH",$AQ872="FITS BITCH",$AS872="FITS BITCH"),"BEARISH","")</f>
        <v/>
      </c>
      <c r="AV872" s="86"/>
      <c r="AW872" s="86"/>
      <c r="AX872" s="86"/>
    </row>
    <row r="873" customFormat="false" ht="15.75" hidden="false" customHeight="false" outlineLevel="0" collapsed="false">
      <c r="AE873" s="90" t="n">
        <f aca="false">Data!A868</f>
        <v>41711</v>
      </c>
      <c r="AF873" s="17" t="n">
        <f aca="false">Data!B868</f>
        <v>76.78</v>
      </c>
      <c r="AG873" s="17" t="n">
        <f aca="false">Data!F868</f>
        <v>64435609</v>
      </c>
      <c r="AH873" s="17" t="n">
        <f aca="false">Data!C868</f>
        <v>77.09</v>
      </c>
      <c r="AI873" s="17" t="n">
        <f aca="false">Data!D868</f>
        <v>75.59</v>
      </c>
      <c r="AJ873" s="17" t="n">
        <f aca="false">Data!E868</f>
        <v>75.81</v>
      </c>
      <c r="AK873" s="17" t="n">
        <f aca="false">Data!F868</f>
        <v>64435609</v>
      </c>
      <c r="AL873" s="17" t="n">
        <f aca="false">AJ873</f>
        <v>75.81</v>
      </c>
      <c r="AM873" s="17" t="n">
        <f aca="false">(AL873-AL872)/AL873*100</f>
        <v>1.12122411291387</v>
      </c>
      <c r="AN873" s="17" t="n">
        <f aca="false">(AK873-AK872)/AK873*100</f>
        <v>7.97092955232254</v>
      </c>
      <c r="AO873" s="17" t="str">
        <f aca="false">IF(AN873&lt;-8,"FITS BITCH",IF(AN873&gt;-8,"no"))</f>
        <v>no</v>
      </c>
      <c r="AP873" s="17" t="str">
        <f aca="false">IF(AH874&lt;AH873,"FITS BITCH",IF(AH874&gt;AH873,"no"))</f>
        <v>FITS BITCH</v>
      </c>
      <c r="AQ873" s="17" t="str">
        <f aca="false">IF(AI874&lt;AI873,"FITS BITCH",IF(AI874&gt;AI873,"no"))</f>
        <v>no</v>
      </c>
      <c r="AR873" s="17" t="str">
        <f aca="false">IF(AJ873&lt;AH874,"FITS BITCH",IF(AJ873&gt;AH874,"no"))</f>
        <v>FITS BITCH</v>
      </c>
      <c r="AS873" s="17" t="str">
        <f aca="false">IF(AJ873&gt;AJ874,"FITS BITCH",IF(AJ873&lt;AJ874,"no"))</f>
        <v>no</v>
      </c>
      <c r="AT873" s="91" t="str">
        <f aca="false">IF(AND($AO873="FITS BITCH",$AP873="FITS BITCH",$AR873="FITS BITCH"),"BULLISH","")</f>
        <v/>
      </c>
      <c r="AU873" s="91" t="str">
        <f aca="false">IF(AND($AO873="FITS BITCH",$AQ873="FITS BITCH",$AS873="FITS BITCH"),"BEARISH","")</f>
        <v/>
      </c>
      <c r="AV873" s="86"/>
      <c r="AW873" s="86"/>
      <c r="AX873" s="86"/>
    </row>
    <row r="874" customFormat="false" ht="15.75" hidden="false" customHeight="false" outlineLevel="0" collapsed="false">
      <c r="AE874" s="90" t="n">
        <f aca="false">Data!A869</f>
        <v>41710</v>
      </c>
      <c r="AF874" s="17" t="n">
        <f aca="false">Data!B869</f>
        <v>76.36</v>
      </c>
      <c r="AG874" s="17" t="n">
        <f aca="false">Data!F869</f>
        <v>50195460</v>
      </c>
      <c r="AH874" s="17" t="n">
        <f aca="false">Data!C869</f>
        <v>76.76</v>
      </c>
      <c r="AI874" s="17" t="n">
        <f aca="false">Data!D869</f>
        <v>76</v>
      </c>
      <c r="AJ874" s="17" t="n">
        <f aca="false">Data!E869</f>
        <v>76.66</v>
      </c>
      <c r="AK874" s="17" t="n">
        <f aca="false">Data!F869</f>
        <v>50195460</v>
      </c>
      <c r="AL874" s="17" t="n">
        <f aca="false">AJ874</f>
        <v>76.66</v>
      </c>
      <c r="AM874" s="17" t="n">
        <f aca="false">(AL874-AL873)/AL874*100</f>
        <v>1.10879206887555</v>
      </c>
      <c r="AN874" s="17" t="n">
        <f aca="false">(AK874-AK873)/AK874*100</f>
        <v>-28.369396355766</v>
      </c>
      <c r="AO874" s="17" t="str">
        <f aca="false">IF(AN874&lt;-8,"FITS BITCH",IF(AN874&gt;-8,"no"))</f>
        <v>FITS BITCH</v>
      </c>
      <c r="AP874" s="17" t="str">
        <f aca="false">IF(AH875&lt;AH874,"FITS BITCH",IF(AH875&gt;AH874,"no"))</f>
        <v>no</v>
      </c>
      <c r="AQ874" s="17" t="str">
        <f aca="false">IF(AI875&lt;AI874,"FITS BITCH",IF(AI875&gt;AI874,"no"))</f>
        <v>no</v>
      </c>
      <c r="AR874" s="17" t="str">
        <f aca="false">IF(AJ874&lt;AH875,"FITS BITCH",IF(AJ874&gt;AH875,"no"))</f>
        <v>FITS BITCH</v>
      </c>
      <c r="AS874" s="17" t="str">
        <f aca="false">IF(AJ874&gt;AJ875,"FITS BITCH",IF(AJ874&lt;AJ875,"no"))</f>
        <v>FITS BITCH</v>
      </c>
      <c r="AT874" s="91" t="str">
        <f aca="false">IF(AND($AO874="FITS BITCH",$AP874="FITS BITCH",$AR874="FITS BITCH"),"BULLISH","")</f>
        <v/>
      </c>
      <c r="AU874" s="91" t="str">
        <f aca="false">IF(AND($AO874="FITS BITCH",$AQ874="FITS BITCH",$AS874="FITS BITCH"),"BEARISH","")</f>
        <v/>
      </c>
      <c r="AV874" s="86"/>
      <c r="AW874" s="86"/>
      <c r="AX874" s="86"/>
    </row>
    <row r="875" customFormat="false" ht="15.75" hidden="false" customHeight="false" outlineLevel="0" collapsed="false">
      <c r="AE875" s="90" t="n">
        <f aca="false">Data!A870</f>
        <v>41709</v>
      </c>
      <c r="AF875" s="17" t="n">
        <f aca="false">Data!B870</f>
        <v>76.49</v>
      </c>
      <c r="AG875" s="17" t="n">
        <f aca="false">Data!F870</f>
        <v>70198849</v>
      </c>
      <c r="AH875" s="17" t="n">
        <f aca="false">Data!C870</f>
        <v>76.96</v>
      </c>
      <c r="AI875" s="17" t="n">
        <f aca="false">Data!D870</f>
        <v>76.08</v>
      </c>
      <c r="AJ875" s="17" t="n">
        <f aca="false">Data!E870</f>
        <v>76.58</v>
      </c>
      <c r="AK875" s="17" t="n">
        <f aca="false">Data!F870</f>
        <v>70198849</v>
      </c>
      <c r="AL875" s="17" t="n">
        <f aca="false">AJ875</f>
        <v>76.58</v>
      </c>
      <c r="AM875" s="17" t="n">
        <f aca="false">(AL875-AL874)/AL875*100</f>
        <v>-0.104465917994252</v>
      </c>
      <c r="AN875" s="17" t="n">
        <f aca="false">(AK875-AK874)/AK875*100</f>
        <v>28.4953233350023</v>
      </c>
      <c r="AO875" s="17" t="str">
        <f aca="false">IF(AN875&lt;-8,"FITS BITCH",IF(AN875&gt;-8,"no"))</f>
        <v>no</v>
      </c>
      <c r="AP875" s="17" t="str">
        <f aca="false">IF(AH876&lt;AH875,"FITS BITCH",IF(AH876&gt;AH875,"no"))</f>
        <v>FITS BITCH</v>
      </c>
      <c r="AQ875" s="17" t="str">
        <f aca="false">IF(AI876&lt;AI875,"FITS BITCH",IF(AI876&gt;AI875,"no"))</f>
        <v>FITS BITCH</v>
      </c>
      <c r="AR875" s="17" t="str">
        <f aca="false">IF(AJ875&lt;AH876,"FITS BITCH",IF(AJ875&gt;AH876,"no"))</f>
        <v>no</v>
      </c>
      <c r="AS875" s="17" t="str">
        <f aca="false">IF(AJ875&gt;AJ876,"FITS BITCH",IF(AJ875&lt;AJ876,"no"))</f>
        <v>FITS BITCH</v>
      </c>
      <c r="AT875" s="91" t="str">
        <f aca="false">IF(AND($AO875="FITS BITCH",$AP875="FITS BITCH",$AR875="FITS BITCH"),"BULLISH","")</f>
        <v/>
      </c>
      <c r="AU875" s="91" t="str">
        <f aca="false">IF(AND($AO875="FITS BITCH",$AQ875="FITS BITCH",$AS875="FITS BITCH"),"BEARISH","")</f>
        <v/>
      </c>
      <c r="AV875" s="86"/>
      <c r="AW875" s="86"/>
      <c r="AX875" s="86"/>
    </row>
    <row r="876" customFormat="false" ht="15.75" hidden="false" customHeight="false" outlineLevel="0" collapsed="false">
      <c r="AE876" s="90" t="n">
        <f aca="false">Data!A871</f>
        <v>41708</v>
      </c>
      <c r="AF876" s="17" t="n">
        <f aca="false">Data!B871</f>
        <v>75.48</v>
      </c>
      <c r="AG876" s="17" t="n">
        <f aca="false">Data!F871</f>
        <v>44691430</v>
      </c>
      <c r="AH876" s="17" t="n">
        <f aca="false">Data!C871</f>
        <v>76.19</v>
      </c>
      <c r="AI876" s="17" t="n">
        <f aca="false">Data!D871</f>
        <v>75.48</v>
      </c>
      <c r="AJ876" s="17" t="n">
        <f aca="false">Data!E871</f>
        <v>75.85</v>
      </c>
      <c r="AK876" s="17" t="n">
        <f aca="false">Data!F871</f>
        <v>44691430</v>
      </c>
      <c r="AL876" s="17" t="n">
        <f aca="false">AJ876</f>
        <v>75.85</v>
      </c>
      <c r="AM876" s="17" t="n">
        <f aca="false">(AL876-AL875)/AL876*100</f>
        <v>-0.962425840474626</v>
      </c>
      <c r="AN876" s="17" t="n">
        <f aca="false">(AK876-AK875)/AK876*100</f>
        <v>-57.0745196562294</v>
      </c>
      <c r="AO876" s="17" t="str">
        <f aca="false">IF(AN876&lt;-8,"FITS BITCH",IF(AN876&gt;-8,"no"))</f>
        <v>FITS BITCH</v>
      </c>
      <c r="AP876" s="17" t="str">
        <f aca="false">IF(AH877&lt;AH876,"FITS BITCH",IF(AH877&gt;AH876,"no"))</f>
        <v>FITS BITCH</v>
      </c>
      <c r="AQ876" s="17" t="str">
        <f aca="false">IF(AI877&lt;AI876,"FITS BITCH",IF(AI877&gt;AI876,"no"))</f>
        <v>FITS BITCH</v>
      </c>
      <c r="AR876" s="17" t="str">
        <f aca="false">IF(AJ876&lt;AH877,"FITS BITCH",IF(AJ876&gt;AH877,"no"))</f>
        <v>FITS BITCH</v>
      </c>
      <c r="AS876" s="17" t="str">
        <f aca="false">IF(AJ876&gt;AJ877,"FITS BITCH",IF(AJ876&lt;AJ877,"no"))</f>
        <v>FITS BITCH</v>
      </c>
      <c r="AT876" s="91" t="str">
        <f aca="false">IF(AND($AO876="FITS BITCH",$AP876="FITS BITCH",$AR876="FITS BITCH"),"BULLISH","")</f>
        <v>BULLISH</v>
      </c>
      <c r="AU876" s="91" t="str">
        <f aca="false">IF(AND($AO876="FITS BITCH",$AQ876="FITS BITCH",$AS876="FITS BITCH"),"BEARISH","")</f>
        <v>BEARISH</v>
      </c>
      <c r="AV876" s="86"/>
      <c r="AW876" s="86"/>
      <c r="AX876" s="86"/>
    </row>
    <row r="877" customFormat="false" ht="15.75" hidden="false" customHeight="false" outlineLevel="0" collapsed="false">
      <c r="AE877" s="90" t="n">
        <f aca="false">Data!A872</f>
        <v>41705</v>
      </c>
      <c r="AF877" s="17" t="n">
        <f aca="false">Data!B872</f>
        <v>75.87</v>
      </c>
      <c r="AG877" s="17" t="n">
        <f aca="false">Data!F872</f>
        <v>55415241</v>
      </c>
      <c r="AH877" s="17" t="n">
        <f aca="false">Data!C872</f>
        <v>76</v>
      </c>
      <c r="AI877" s="17" t="n">
        <f aca="false">Data!D872</f>
        <v>75.15</v>
      </c>
      <c r="AJ877" s="17" t="n">
        <f aca="false">Data!E872</f>
        <v>75.78</v>
      </c>
      <c r="AK877" s="17" t="n">
        <f aca="false">Data!F872</f>
        <v>55415241</v>
      </c>
      <c r="AL877" s="17" t="n">
        <f aca="false">AJ877</f>
        <v>75.78</v>
      </c>
      <c r="AM877" s="17" t="n">
        <f aca="false">(AL877-AL876)/AL877*100</f>
        <v>-0.0923726576933138</v>
      </c>
      <c r="AN877" s="17" t="n">
        <f aca="false">(AK877-AK876)/AK877*100</f>
        <v>19.3517357436017</v>
      </c>
      <c r="AO877" s="17" t="str">
        <f aca="false">IF(AN877&lt;-8,"FITS BITCH",IF(AN877&gt;-8,"no"))</f>
        <v>no</v>
      </c>
      <c r="AP877" s="17" t="str">
        <f aca="false">IF(AH878&lt;AH877,"FITS BITCH",IF(AH878&gt;AH877,"no"))</f>
        <v>no</v>
      </c>
      <c r="AQ877" s="17" t="str">
        <f aca="false">IF(AI878&lt;AI877,"FITS BITCH",IF(AI878&gt;AI877,"no"))</f>
        <v>no</v>
      </c>
      <c r="AR877" s="17" t="str">
        <f aca="false">IF(AJ877&lt;AH878,"FITS BITCH",IF(AJ877&gt;AH878,"no"))</f>
        <v>FITS BITCH</v>
      </c>
      <c r="AS877" s="17" t="str">
        <f aca="false">IF(AJ877&gt;AJ878,"FITS BITCH",IF(AJ877&lt;AJ878,"no"))</f>
        <v>no</v>
      </c>
      <c r="AT877" s="91" t="str">
        <f aca="false">IF(AND($AO877="FITS BITCH",$AP877="FITS BITCH",$AR877="FITS BITCH"),"BULLISH","")</f>
        <v/>
      </c>
      <c r="AU877" s="91" t="str">
        <f aca="false">IF(AND($AO877="FITS BITCH",$AQ877="FITS BITCH",$AS877="FITS BITCH"),"BEARISH","")</f>
        <v/>
      </c>
      <c r="AV877" s="86"/>
      <c r="AW877" s="86"/>
      <c r="AX877" s="86"/>
    </row>
    <row r="878" customFormat="false" ht="15.75" hidden="false" customHeight="false" outlineLevel="0" collapsed="false">
      <c r="AE878" s="90" t="n">
        <f aca="false">Data!A873</f>
        <v>41704</v>
      </c>
      <c r="AF878" s="17" t="n">
        <f aca="false">Data!B873</f>
        <v>76.11</v>
      </c>
      <c r="AG878" s="17" t="n">
        <f aca="false">Data!F873</f>
        <v>46423111</v>
      </c>
      <c r="AH878" s="17" t="n">
        <f aca="false">Data!C873</f>
        <v>76.35</v>
      </c>
      <c r="AI878" s="17" t="n">
        <f aca="false">Data!D873</f>
        <v>75.44</v>
      </c>
      <c r="AJ878" s="17" t="n">
        <f aca="false">Data!E873</f>
        <v>75.82</v>
      </c>
      <c r="AK878" s="17" t="n">
        <f aca="false">Data!F873</f>
        <v>46423111</v>
      </c>
      <c r="AL878" s="17" t="n">
        <f aca="false">AJ878</f>
        <v>75.82</v>
      </c>
      <c r="AM878" s="17" t="n">
        <f aca="false">(AL878-AL877)/AL878*100</f>
        <v>0.0527565286204063</v>
      </c>
      <c r="AN878" s="17" t="n">
        <f aca="false">(AK878-AK877)/AK878*100</f>
        <v>-19.3699426994455</v>
      </c>
      <c r="AO878" s="17" t="str">
        <f aca="false">IF(AN878&lt;-8,"FITS BITCH",IF(AN878&gt;-8,"no"))</f>
        <v>FITS BITCH</v>
      </c>
      <c r="AP878" s="17" t="str">
        <f aca="false">IF(AH879&lt;AH878,"FITS BITCH",IF(AH879&gt;AH878,"no"))</f>
        <v>no</v>
      </c>
      <c r="AQ878" s="17" t="str">
        <f aca="false">IF(AI879&lt;AI878,"FITS BITCH",IF(AI879&gt;AI878,"no"))</f>
        <v>no</v>
      </c>
      <c r="AR878" s="17" t="str">
        <f aca="false">IF(AJ878&lt;AH879,"FITS BITCH",IF(AJ878&gt;AH879,"no"))</f>
        <v>FITS BITCH</v>
      </c>
      <c r="AS878" s="17" t="str">
        <f aca="false">IF(AJ878&gt;AJ879,"FITS BITCH",IF(AJ878&lt;AJ879,"no"))</f>
        <v>no</v>
      </c>
      <c r="AT878" s="91" t="str">
        <f aca="false">IF(AND($AO878="FITS BITCH",$AP878="FITS BITCH",$AR878="FITS BITCH"),"BULLISH","")</f>
        <v/>
      </c>
      <c r="AU878" s="91" t="str">
        <f aca="false">IF(AND($AO878="FITS BITCH",$AQ878="FITS BITCH",$AS878="FITS BITCH"),"BEARISH","")</f>
        <v/>
      </c>
      <c r="AV878" s="86"/>
      <c r="AW878" s="86"/>
      <c r="AX878" s="86"/>
    </row>
    <row r="879" customFormat="false" ht="15.75" hidden="false" customHeight="false" outlineLevel="0" collapsed="false">
      <c r="AE879" s="90" t="n">
        <f aca="false">Data!A874</f>
        <v>41703</v>
      </c>
      <c r="AF879" s="17" t="n">
        <f aca="false">Data!B874</f>
        <v>75.85</v>
      </c>
      <c r="AG879" s="17" t="n">
        <f aca="false">Data!F874</f>
        <v>50065519</v>
      </c>
      <c r="AH879" s="17" t="n">
        <f aca="false">Data!C874</f>
        <v>76.39</v>
      </c>
      <c r="AI879" s="17" t="n">
        <f aca="false">Data!D874</f>
        <v>75.59</v>
      </c>
      <c r="AJ879" s="17" t="n">
        <f aca="false">Data!E874</f>
        <v>76.05</v>
      </c>
      <c r="AK879" s="17" t="n">
        <f aca="false">Data!F874</f>
        <v>50065519</v>
      </c>
      <c r="AL879" s="17" t="n">
        <f aca="false">AJ879</f>
        <v>76.05</v>
      </c>
      <c r="AM879" s="17" t="n">
        <f aca="false">(AL879-AL878)/AL879*100</f>
        <v>0.302432610124923</v>
      </c>
      <c r="AN879" s="17" t="n">
        <f aca="false">(AK879-AK878)/AK879*100</f>
        <v>7.27528261516674</v>
      </c>
      <c r="AO879" s="17" t="str">
        <f aca="false">IF(AN879&lt;-8,"FITS BITCH",IF(AN879&gt;-8,"no"))</f>
        <v>no</v>
      </c>
      <c r="AP879" s="17" t="str">
        <f aca="false">IF(AH880&lt;AH879,"FITS BITCH",IF(AH880&gt;AH879,"no"))</f>
        <v>FITS BITCH</v>
      </c>
      <c r="AQ879" s="17" t="str">
        <f aca="false">IF(AI880&lt;AI879,"FITS BITCH",IF(AI880&gt;AI879,"no"))</f>
        <v>FITS BITCH</v>
      </c>
      <c r="AR879" s="17" t="str">
        <f aca="false">IF(AJ879&lt;AH880,"FITS BITCH",IF(AJ879&gt;AH880,"no"))</f>
        <v>FITS BITCH</v>
      </c>
      <c r="AS879" s="17" t="str">
        <f aca="false">IF(AJ879&gt;AJ880,"FITS BITCH",IF(AJ879&lt;AJ880,"no"))</f>
        <v>FITS BITCH</v>
      </c>
      <c r="AT879" s="91" t="str">
        <f aca="false">IF(AND($AO879="FITS BITCH",$AP879="FITS BITCH",$AR879="FITS BITCH"),"BULLISH","")</f>
        <v/>
      </c>
      <c r="AU879" s="91" t="str">
        <f aca="false">IF(AND($AO879="FITS BITCH",$AQ879="FITS BITCH",$AS879="FITS BITCH"),"BEARISH","")</f>
        <v/>
      </c>
      <c r="AV879" s="86"/>
      <c r="AW879" s="86"/>
      <c r="AX879" s="86"/>
    </row>
    <row r="880" customFormat="false" ht="15.75" hidden="false" customHeight="false" outlineLevel="0" collapsed="false">
      <c r="AE880" s="90" t="n">
        <f aca="false">Data!A875</f>
        <v>41702</v>
      </c>
      <c r="AF880" s="17" t="n">
        <f aca="false">Data!B875</f>
        <v>75.86</v>
      </c>
      <c r="AG880" s="17" t="n">
        <f aca="false">Data!F875</f>
        <v>64884834</v>
      </c>
      <c r="AH880" s="17" t="n">
        <f aca="false">Data!C875</f>
        <v>76.09</v>
      </c>
      <c r="AI880" s="17" t="n">
        <f aca="false">Data!D875</f>
        <v>75.4</v>
      </c>
      <c r="AJ880" s="17" t="n">
        <f aca="false">Data!E875</f>
        <v>75.89</v>
      </c>
      <c r="AK880" s="17" t="n">
        <f aca="false">Data!F875</f>
        <v>64884834</v>
      </c>
      <c r="AL880" s="17" t="n">
        <f aca="false">AJ880</f>
        <v>75.89</v>
      </c>
      <c r="AM880" s="17" t="n">
        <f aca="false">(AL880-AL879)/AL880*100</f>
        <v>-0.210831466596385</v>
      </c>
      <c r="AN880" s="17" t="n">
        <f aca="false">(AK880-AK879)/AK880*100</f>
        <v>22.8394126738461</v>
      </c>
      <c r="AO880" s="17" t="str">
        <f aca="false">IF(AN880&lt;-8,"FITS BITCH",IF(AN880&gt;-8,"no"))</f>
        <v>no</v>
      </c>
      <c r="AP880" s="17" t="str">
        <f aca="false">IF(AH881&lt;AH880,"FITS BITCH",IF(AH881&gt;AH880,"no"))</f>
        <v>FITS BITCH</v>
      </c>
      <c r="AQ880" s="17" t="str">
        <f aca="false">IF(AI881&lt;AI880,"FITS BITCH",IF(AI881&gt;AI880,"no"))</f>
        <v>FITS BITCH</v>
      </c>
      <c r="AR880" s="17" t="str">
        <f aca="false">IF(AJ880&lt;AH881,"FITS BITCH",IF(AJ880&gt;AH881,"no"))</f>
        <v>no</v>
      </c>
      <c r="AS880" s="17" t="str">
        <f aca="false">IF(AJ880&gt;AJ881,"FITS BITCH",IF(AJ880&lt;AJ881,"no"))</f>
        <v>FITS BITCH</v>
      </c>
      <c r="AT880" s="91" t="str">
        <f aca="false">IF(AND($AO880="FITS BITCH",$AP880="FITS BITCH",$AR880="FITS BITCH"),"BULLISH","")</f>
        <v/>
      </c>
      <c r="AU880" s="91" t="str">
        <f aca="false">IF(AND($AO880="FITS BITCH",$AQ880="FITS BITCH",$AS880="FITS BITCH"),"BEARISH","")</f>
        <v/>
      </c>
      <c r="AV880" s="86"/>
      <c r="AW880" s="86"/>
      <c r="AX880" s="86"/>
    </row>
    <row r="881" customFormat="false" ht="15.75" hidden="false" customHeight="false" outlineLevel="0" collapsed="false">
      <c r="AE881" s="90" t="n">
        <f aca="false">Data!A876</f>
        <v>41701</v>
      </c>
      <c r="AF881" s="17" t="n">
        <f aca="false">Data!B876</f>
        <v>74.77</v>
      </c>
      <c r="AG881" s="17" t="n">
        <f aca="false">Data!F876</f>
        <v>59784494</v>
      </c>
      <c r="AH881" s="17" t="n">
        <f aca="false">Data!C876</f>
        <v>75.81</v>
      </c>
      <c r="AI881" s="17" t="n">
        <f aca="false">Data!D876</f>
        <v>74.69</v>
      </c>
      <c r="AJ881" s="17" t="n">
        <f aca="false">Data!E876</f>
        <v>75.39</v>
      </c>
      <c r="AK881" s="17" t="n">
        <f aca="false">Data!F876</f>
        <v>59784494</v>
      </c>
      <c r="AL881" s="17" t="n">
        <f aca="false">AJ881</f>
        <v>75.39</v>
      </c>
      <c r="AM881" s="17" t="n">
        <f aca="false">(AL881-AL880)/AL881*100</f>
        <v>-0.663217933412919</v>
      </c>
      <c r="AN881" s="17" t="n">
        <f aca="false">(AK881-AK880)/AK881*100</f>
        <v>-8.5312087779818</v>
      </c>
      <c r="AO881" s="17" t="str">
        <f aca="false">IF(AN881&lt;-8,"FITS BITCH",IF(AN881&gt;-8,"no"))</f>
        <v>FITS BITCH</v>
      </c>
      <c r="AP881" s="17" t="str">
        <f aca="false">IF(AH882&lt;AH881,"FITS BITCH",IF(AH882&gt;AH881,"no"))</f>
        <v>no</v>
      </c>
      <c r="AQ881" s="17" t="str">
        <f aca="false">IF(AI882&lt;AI881,"FITS BITCH",IF(AI882&gt;AI881,"no"))</f>
        <v>FITS BITCH</v>
      </c>
      <c r="AR881" s="17" t="str">
        <f aca="false">IF(AJ881&lt;AH882,"FITS BITCH",IF(AJ881&gt;AH882,"no"))</f>
        <v>FITS BITCH</v>
      </c>
      <c r="AS881" s="17" t="str">
        <f aca="false">IF(AJ881&gt;AJ882,"FITS BITCH",IF(AJ881&lt;AJ882,"no"))</f>
        <v>FITS BITCH</v>
      </c>
      <c r="AT881" s="91" t="str">
        <f aca="false">IF(AND($AO881="FITS BITCH",$AP881="FITS BITCH",$AR881="FITS BITCH"),"BULLISH","")</f>
        <v/>
      </c>
      <c r="AU881" s="91" t="str">
        <f aca="false">IF(AND($AO881="FITS BITCH",$AQ881="FITS BITCH",$AS881="FITS BITCH"),"BEARISH","")</f>
        <v>BEARISH</v>
      </c>
      <c r="AV881" s="86"/>
      <c r="AW881" s="86"/>
      <c r="AX881" s="86"/>
    </row>
    <row r="882" customFormat="false" ht="15.75" hidden="false" customHeight="false" outlineLevel="0" collapsed="false">
      <c r="AE882" s="90" t="n">
        <f aca="false">Data!A877</f>
        <v>41698</v>
      </c>
      <c r="AF882" s="17" t="n">
        <f aca="false">Data!B877</f>
        <v>75.58</v>
      </c>
      <c r="AG882" s="17" t="n">
        <f aca="false">Data!F877</f>
        <v>93074653</v>
      </c>
      <c r="AH882" s="17" t="n">
        <f aca="false">Data!C877</f>
        <v>76.11</v>
      </c>
      <c r="AI882" s="17" t="n">
        <f aca="false">Data!D877</f>
        <v>74.59</v>
      </c>
      <c r="AJ882" s="17" t="n">
        <f aca="false">Data!E877</f>
        <v>75.18</v>
      </c>
      <c r="AK882" s="17" t="n">
        <f aca="false">Data!F877</f>
        <v>93074653</v>
      </c>
      <c r="AL882" s="17" t="n">
        <f aca="false">AJ882</f>
        <v>75.18</v>
      </c>
      <c r="AM882" s="17" t="n">
        <f aca="false">(AL882-AL881)/AL882*100</f>
        <v>-0.279329608938539</v>
      </c>
      <c r="AN882" s="17" t="n">
        <f aca="false">(AK882-AK881)/AK882*100</f>
        <v>35.7671588633266</v>
      </c>
      <c r="AO882" s="17" t="str">
        <f aca="false">IF(AN882&lt;-8,"FITS BITCH",IF(AN882&gt;-8,"no"))</f>
        <v>no</v>
      </c>
      <c r="AP882" s="17" t="str">
        <f aca="false">IF(AH883&lt;AH882,"FITS BITCH",IF(AH883&gt;AH882,"no"))</f>
        <v>FITS BITCH</v>
      </c>
      <c r="AQ882" s="17" t="str">
        <f aca="false">IF(AI883&lt;AI882,"FITS BITCH",IF(AI883&gt;AI882,"no"))</f>
        <v>FITS BITCH</v>
      </c>
      <c r="AR882" s="17" t="str">
        <f aca="false">IF(AJ882&lt;AH883,"FITS BITCH",IF(AJ882&gt;AH883,"no"))</f>
        <v>FITS BITCH</v>
      </c>
      <c r="AS882" s="17" t="str">
        <f aca="false">IF(AJ882&gt;AJ883,"FITS BITCH",IF(AJ882&lt;AJ883,"no"))</f>
        <v>no</v>
      </c>
      <c r="AT882" s="91" t="str">
        <f aca="false">IF(AND($AO882="FITS BITCH",$AP882="FITS BITCH",$AR882="FITS BITCH"),"BULLISH","")</f>
        <v/>
      </c>
      <c r="AU882" s="91" t="str">
        <f aca="false">IF(AND($AO882="FITS BITCH",$AQ882="FITS BITCH",$AS882="FITS BITCH"),"BEARISH","")</f>
        <v/>
      </c>
      <c r="AV882" s="86"/>
      <c r="AW882" s="86"/>
      <c r="AX882" s="86"/>
    </row>
    <row r="883" customFormat="false" ht="15.75" hidden="false" customHeight="false" outlineLevel="0" collapsed="false">
      <c r="AE883" s="90" t="n">
        <f aca="false">Data!A878</f>
        <v>41697</v>
      </c>
      <c r="AF883" s="17" t="n">
        <f aca="false">Data!B878</f>
        <v>73.88</v>
      </c>
      <c r="AG883" s="17" t="n">
        <f aca="false">Data!F878</f>
        <v>75557321</v>
      </c>
      <c r="AH883" s="17" t="n">
        <f aca="false">Data!C878</f>
        <v>75.54</v>
      </c>
      <c r="AI883" s="17" t="n">
        <f aca="false">Data!D878</f>
        <v>73.72</v>
      </c>
      <c r="AJ883" s="17" t="n">
        <f aca="false">Data!E878</f>
        <v>75.38</v>
      </c>
      <c r="AK883" s="17" t="n">
        <f aca="false">Data!F878</f>
        <v>75557321</v>
      </c>
      <c r="AL883" s="17" t="n">
        <f aca="false">AJ883</f>
        <v>75.38</v>
      </c>
      <c r="AM883" s="17" t="n">
        <f aca="false">(AL883-AL882)/AL883*100</f>
        <v>0.265322366675496</v>
      </c>
      <c r="AN883" s="17" t="n">
        <f aca="false">(AK883-AK882)/AK883*100</f>
        <v>-23.1841623924173</v>
      </c>
      <c r="AO883" s="17" t="str">
        <f aca="false">IF(AN883&lt;-8,"FITS BITCH",IF(AN883&gt;-8,"no"))</f>
        <v>FITS BITCH</v>
      </c>
      <c r="AP883" s="17" t="str">
        <f aca="false">IF(AH884&lt;AH883,"FITS BITCH",IF(AH884&gt;AH883,"no"))</f>
        <v>FITS BITCH</v>
      </c>
      <c r="AQ883" s="17" t="str">
        <f aca="false">IF(AI884&lt;AI883,"FITS BITCH",IF(AI884&gt;AI883,"no"))</f>
        <v>FITS BITCH</v>
      </c>
      <c r="AR883" s="17" t="str">
        <f aca="false">IF(AJ883&lt;AH884,"FITS BITCH",IF(AJ883&gt;AH884,"no"))</f>
        <v>no</v>
      </c>
      <c r="AS883" s="17" t="str">
        <f aca="false">IF(AJ883&gt;AJ884,"FITS BITCH",IF(AJ883&lt;AJ884,"no"))</f>
        <v>FITS BITCH</v>
      </c>
      <c r="AT883" s="91" t="str">
        <f aca="false">IF(AND($AO883="FITS BITCH",$AP883="FITS BITCH",$AR883="FITS BITCH"),"BULLISH","")</f>
        <v/>
      </c>
      <c r="AU883" s="91" t="str">
        <f aca="false">IF(AND($AO883="FITS BITCH",$AQ883="FITS BITCH",$AS883="FITS BITCH"),"BEARISH","")</f>
        <v>BEARISH</v>
      </c>
      <c r="AV883" s="86"/>
      <c r="AW883" s="86"/>
      <c r="AX883" s="86"/>
    </row>
    <row r="884" customFormat="false" ht="15.75" hidden="false" customHeight="false" outlineLevel="0" collapsed="false">
      <c r="AE884" s="90" t="n">
        <f aca="false">Data!A879</f>
        <v>41696</v>
      </c>
      <c r="AF884" s="17" t="n">
        <f aca="false">Data!B879</f>
        <v>74.8</v>
      </c>
      <c r="AG884" s="17" t="n">
        <f aca="false">Data!F879</f>
        <v>69131286</v>
      </c>
      <c r="AH884" s="17" t="n">
        <f aca="false">Data!C879</f>
        <v>75</v>
      </c>
      <c r="AI884" s="17" t="n">
        <f aca="false">Data!D879</f>
        <v>73.66</v>
      </c>
      <c r="AJ884" s="17" t="n">
        <f aca="false">Data!E879</f>
        <v>73.91</v>
      </c>
      <c r="AK884" s="17" t="n">
        <f aca="false">Data!F879</f>
        <v>69131286</v>
      </c>
      <c r="AL884" s="17" t="n">
        <f aca="false">AJ884</f>
        <v>73.91</v>
      </c>
      <c r="AM884" s="17" t="n">
        <f aca="false">(AL884-AL883)/AL884*100</f>
        <v>-1.98890542551752</v>
      </c>
      <c r="AN884" s="17" t="n">
        <f aca="false">(AK884-AK883)/AK884*100</f>
        <v>-9.29540787075768</v>
      </c>
      <c r="AO884" s="17" t="str">
        <f aca="false">IF(AN884&lt;-8,"FITS BITCH",IF(AN884&gt;-8,"no"))</f>
        <v>FITS BITCH</v>
      </c>
      <c r="AP884" s="17" t="str">
        <f aca="false">IF(AH885&lt;AH884,"FITS BITCH",IF(AH885&gt;AH884,"no"))</f>
        <v>no</v>
      </c>
      <c r="AQ884" s="17" t="str">
        <f aca="false">IF(AI885&lt;AI884,"FITS BITCH",IF(AI885&gt;AI884,"no"))</f>
        <v>no</v>
      </c>
      <c r="AR884" s="17" t="str">
        <f aca="false">IF(AJ884&lt;AH885,"FITS BITCH",IF(AJ884&gt;AH885,"no"))</f>
        <v>FITS BITCH</v>
      </c>
      <c r="AS884" s="17" t="str">
        <f aca="false">IF(AJ884&gt;AJ885,"FITS BITCH",IF(AJ884&lt;AJ885,"no"))</f>
        <v>no</v>
      </c>
      <c r="AT884" s="91" t="str">
        <f aca="false">IF(AND($AO884="FITS BITCH",$AP884="FITS BITCH",$AR884="FITS BITCH"),"BULLISH","")</f>
        <v/>
      </c>
      <c r="AU884" s="91" t="str">
        <f aca="false">IF(AND($AO884="FITS BITCH",$AQ884="FITS BITCH",$AS884="FITS BITCH"),"BEARISH","")</f>
        <v/>
      </c>
      <c r="AV884" s="86"/>
      <c r="AW884" s="86"/>
      <c r="AX884" s="86"/>
    </row>
    <row r="885" customFormat="false" ht="15.75" hidden="false" customHeight="false" outlineLevel="0" collapsed="false">
      <c r="AE885" s="90" t="n">
        <f aca="false">Data!A880</f>
        <v>41695</v>
      </c>
      <c r="AF885" s="17" t="n">
        <f aca="false">Data!B880</f>
        <v>75.63</v>
      </c>
      <c r="AG885" s="17" t="n">
        <f aca="false">Data!F880</f>
        <v>58247350</v>
      </c>
      <c r="AH885" s="17" t="n">
        <f aca="false">Data!C880</f>
        <v>75.65</v>
      </c>
      <c r="AI885" s="17" t="n">
        <f aca="false">Data!D880</f>
        <v>74.43</v>
      </c>
      <c r="AJ885" s="17" t="n">
        <f aca="false">Data!E880</f>
        <v>74.58</v>
      </c>
      <c r="AK885" s="17" t="n">
        <f aca="false">Data!F880</f>
        <v>58247350</v>
      </c>
      <c r="AL885" s="17" t="n">
        <f aca="false">AJ885</f>
        <v>74.58</v>
      </c>
      <c r="AM885" s="17" t="n">
        <f aca="false">(AL885-AL884)/AL885*100</f>
        <v>0.898364172700458</v>
      </c>
      <c r="AN885" s="17" t="n">
        <f aca="false">(AK885-AK884)/AK885*100</f>
        <v>-18.6857187494367</v>
      </c>
      <c r="AO885" s="17" t="str">
        <f aca="false">IF(AN885&lt;-8,"FITS BITCH",IF(AN885&gt;-8,"no"))</f>
        <v>FITS BITCH</v>
      </c>
      <c r="AP885" s="17" t="str">
        <f aca="false">IF(AH886&lt;AH885,"FITS BITCH",IF(AH886&gt;AH885,"no"))</f>
        <v>no</v>
      </c>
      <c r="AQ885" s="17" t="str">
        <f aca="false">IF(AI886&lt;AI885,"FITS BITCH",IF(AI886&gt;AI885,"no"))</f>
        <v>no</v>
      </c>
      <c r="AR885" s="17" t="str">
        <f aca="false">IF(AJ885&lt;AH886,"FITS BITCH",IF(AJ885&gt;AH886,"no"))</f>
        <v>FITS BITCH</v>
      </c>
      <c r="AS885" s="17" t="str">
        <f aca="false">IF(AJ885&gt;AJ886,"FITS BITCH",IF(AJ885&lt;AJ886,"no"))</f>
        <v>no</v>
      </c>
      <c r="AT885" s="91" t="str">
        <f aca="false">IF(AND($AO885="FITS BITCH",$AP885="FITS BITCH",$AR885="FITS BITCH"),"BULLISH","")</f>
        <v/>
      </c>
      <c r="AU885" s="91" t="str">
        <f aca="false">IF(AND($AO885="FITS BITCH",$AQ885="FITS BITCH",$AS885="FITS BITCH"),"BEARISH","")</f>
        <v/>
      </c>
      <c r="AV885" s="86"/>
      <c r="AW885" s="86"/>
      <c r="AX885" s="86"/>
    </row>
    <row r="886" customFormat="false" ht="15.75" hidden="false" customHeight="false" outlineLevel="0" collapsed="false">
      <c r="AE886" s="90" t="n">
        <f aca="false">Data!A881</f>
        <v>41694</v>
      </c>
      <c r="AF886" s="17" t="n">
        <f aca="false">Data!B881</f>
        <v>74.74</v>
      </c>
      <c r="AG886" s="17" t="n">
        <f aca="false">Data!F881</f>
        <v>72364950</v>
      </c>
      <c r="AH886" s="17" t="n">
        <f aca="false">Data!C881</f>
        <v>75.7</v>
      </c>
      <c r="AI886" s="17" t="n">
        <f aca="false">Data!D881</f>
        <v>74.63</v>
      </c>
      <c r="AJ886" s="17" t="n">
        <f aca="false">Data!E881</f>
        <v>75.36</v>
      </c>
      <c r="AK886" s="17" t="n">
        <f aca="false">Data!F881</f>
        <v>72364950</v>
      </c>
      <c r="AL886" s="17" t="n">
        <f aca="false">AJ886</f>
        <v>75.36</v>
      </c>
      <c r="AM886" s="17" t="n">
        <f aca="false">(AL886-AL885)/AL886*100</f>
        <v>1.03503184713376</v>
      </c>
      <c r="AN886" s="17" t="n">
        <f aca="false">(AK886-AK885)/AK886*100</f>
        <v>19.508892081042</v>
      </c>
      <c r="AO886" s="17" t="str">
        <f aca="false">IF(AN886&lt;-8,"FITS BITCH",IF(AN886&gt;-8,"no"))</f>
        <v>no</v>
      </c>
      <c r="AP886" s="17" t="str">
        <f aca="false">IF(AH887&lt;AH886,"FITS BITCH",IF(AH887&gt;AH886,"no"))</f>
        <v>no</v>
      </c>
      <c r="AQ886" s="17" t="str">
        <f aca="false">IF(AI887&lt;AI886,"FITS BITCH",IF(AI887&gt;AI886,"no"))</f>
        <v>no</v>
      </c>
      <c r="AR886" s="17" t="str">
        <f aca="false">IF(AJ886&lt;AH887,"FITS BITCH",IF(AJ886&gt;AH887,"no"))</f>
        <v>FITS BITCH</v>
      </c>
      <c r="AS886" s="17" t="str">
        <f aca="false">IF(AJ886&gt;AJ887,"FITS BITCH",IF(AJ886&lt;AJ887,"no"))</f>
        <v>FITS BITCH</v>
      </c>
      <c r="AT886" s="91" t="str">
        <f aca="false">IF(AND($AO886="FITS BITCH",$AP886="FITS BITCH",$AR886="FITS BITCH"),"BULLISH","")</f>
        <v/>
      </c>
      <c r="AU886" s="91" t="str">
        <f aca="false">IF(AND($AO886="FITS BITCH",$AQ886="FITS BITCH",$AS886="FITS BITCH"),"BEARISH","")</f>
        <v/>
      </c>
      <c r="AV886" s="86"/>
      <c r="AW886" s="86"/>
      <c r="AX886" s="86"/>
    </row>
    <row r="887" customFormat="false" ht="15.75" hidden="false" customHeight="false" outlineLevel="0" collapsed="false">
      <c r="AE887" s="90" t="n">
        <f aca="false">Data!A882</f>
        <v>41691</v>
      </c>
      <c r="AF887" s="17" t="n">
        <f aca="false">Data!B882</f>
        <v>76.11</v>
      </c>
      <c r="AG887" s="17" t="n">
        <f aca="false">Data!F882</f>
        <v>69757247</v>
      </c>
      <c r="AH887" s="17" t="n">
        <f aca="false">Data!C882</f>
        <v>76.37</v>
      </c>
      <c r="AI887" s="17" t="n">
        <f aca="false">Data!D882</f>
        <v>74.94</v>
      </c>
      <c r="AJ887" s="17" t="n">
        <f aca="false">Data!E882</f>
        <v>75.04</v>
      </c>
      <c r="AK887" s="17" t="n">
        <f aca="false">Data!F882</f>
        <v>69757247</v>
      </c>
      <c r="AL887" s="17" t="n">
        <f aca="false">AJ887</f>
        <v>75.04</v>
      </c>
      <c r="AM887" s="17" t="n">
        <f aca="false">(AL887-AL886)/AL887*100</f>
        <v>-0.426439232409373</v>
      </c>
      <c r="AN887" s="17" t="n">
        <f aca="false">(AK887-AK886)/AK887*100</f>
        <v>-3.73825389066745</v>
      </c>
      <c r="AO887" s="17" t="str">
        <f aca="false">IF(AN887&lt;-8,"FITS BITCH",IF(AN887&gt;-8,"no"))</f>
        <v>no</v>
      </c>
      <c r="AP887" s="17" t="str">
        <f aca="false">IF(AH888&lt;AH887,"FITS BITCH",IF(AH888&gt;AH887,"no"))</f>
        <v>no</v>
      </c>
      <c r="AQ887" s="17" t="str">
        <f aca="false">IF(AI888&lt;AI887,"FITS BITCH",IF(AI888&gt;AI887,"no"))</f>
        <v>no</v>
      </c>
      <c r="AR887" s="17" t="str">
        <f aca="false">IF(AJ887&lt;AH888,"FITS BITCH",IF(AJ887&gt;AH888,"no"))</f>
        <v>FITS BITCH</v>
      </c>
      <c r="AS887" s="17" t="str">
        <f aca="false">IF(AJ887&gt;AJ888,"FITS BITCH",IF(AJ887&lt;AJ888,"no"))</f>
        <v>no</v>
      </c>
      <c r="AT887" s="91" t="str">
        <f aca="false">IF(AND($AO887="FITS BITCH",$AP887="FITS BITCH",$AR887="FITS BITCH"),"BULLISH","")</f>
        <v/>
      </c>
      <c r="AU887" s="91" t="str">
        <f aca="false">IF(AND($AO887="FITS BITCH",$AQ887="FITS BITCH",$AS887="FITS BITCH"),"BEARISH","")</f>
        <v/>
      </c>
      <c r="AV887" s="86"/>
      <c r="AW887" s="86"/>
      <c r="AX887" s="86"/>
    </row>
    <row r="888" customFormat="false" ht="15.75" hidden="false" customHeight="false" outlineLevel="0" collapsed="false">
      <c r="AE888" s="90" t="n">
        <f aca="false">Data!A883</f>
        <v>41690</v>
      </c>
      <c r="AF888" s="17" t="n">
        <f aca="false">Data!B883</f>
        <v>76.14</v>
      </c>
      <c r="AG888" s="17" t="n">
        <f aca="false">Data!F883</f>
        <v>76529103</v>
      </c>
      <c r="AH888" s="17" t="n">
        <f aca="false">Data!C883</f>
        <v>76.71</v>
      </c>
      <c r="AI888" s="17" t="n">
        <f aca="false">Data!D883</f>
        <v>75.57</v>
      </c>
      <c r="AJ888" s="17" t="n">
        <f aca="false">Data!E883</f>
        <v>75.88</v>
      </c>
      <c r="AK888" s="17" t="n">
        <f aca="false">Data!F883</f>
        <v>76529103</v>
      </c>
      <c r="AL888" s="17" t="n">
        <f aca="false">AJ888</f>
        <v>75.88</v>
      </c>
      <c r="AM888" s="17" t="n">
        <f aca="false">(AL888-AL887)/AL888*100</f>
        <v>1.10701107011069</v>
      </c>
      <c r="AN888" s="17" t="n">
        <f aca="false">(AK888-AK887)/AK888*100</f>
        <v>8.84873301076063</v>
      </c>
      <c r="AO888" s="17" t="str">
        <f aca="false">IF(AN888&lt;-8,"FITS BITCH",IF(AN888&gt;-8,"no"))</f>
        <v>no</v>
      </c>
      <c r="AP888" s="17" t="str">
        <f aca="false">IF(AH889&lt;AH888,"FITS BITCH",IF(AH889&gt;AH888,"no"))</f>
        <v>no</v>
      </c>
      <c r="AQ888" s="17" t="str">
        <f aca="false">IF(AI889&lt;AI888,"FITS BITCH",IF(AI889&gt;AI888,"no"))</f>
        <v>no</v>
      </c>
      <c r="AR888" s="17" t="str">
        <f aca="false">IF(AJ888&lt;AH889,"FITS BITCH",IF(AJ888&gt;AH889,"no"))</f>
        <v>FITS BITCH</v>
      </c>
      <c r="AS888" s="17" t="str">
        <f aca="false">IF(AJ888&gt;AJ889,"FITS BITCH",IF(AJ888&lt;AJ889,"no"))</f>
        <v>no</v>
      </c>
      <c r="AT888" s="91" t="str">
        <f aca="false">IF(AND($AO888="FITS BITCH",$AP888="FITS BITCH",$AR888="FITS BITCH"),"BULLISH","")</f>
        <v/>
      </c>
      <c r="AU888" s="91" t="str">
        <f aca="false">IF(AND($AO888="FITS BITCH",$AQ888="FITS BITCH",$AS888="FITS BITCH"),"BEARISH","")</f>
        <v/>
      </c>
      <c r="AV888" s="86"/>
      <c r="AW888" s="86"/>
      <c r="AX888" s="86"/>
    </row>
    <row r="889" customFormat="false" ht="15.75" hidden="false" customHeight="false" outlineLevel="0" collapsed="false">
      <c r="AE889" s="90" t="n">
        <f aca="false">Data!A884</f>
        <v>41689</v>
      </c>
      <c r="AF889" s="17" t="n">
        <f aca="false">Data!B884</f>
        <v>77.82</v>
      </c>
      <c r="AG889" s="17" t="n">
        <f aca="false">Data!F884</f>
        <v>78554420</v>
      </c>
      <c r="AH889" s="17" t="n">
        <f aca="false">Data!C884</f>
        <v>78.13</v>
      </c>
      <c r="AI889" s="17" t="n">
        <f aca="false">Data!D884</f>
        <v>76.34</v>
      </c>
      <c r="AJ889" s="17" t="n">
        <f aca="false">Data!E884</f>
        <v>76.77</v>
      </c>
      <c r="AK889" s="17" t="n">
        <f aca="false">Data!F884</f>
        <v>78554420</v>
      </c>
      <c r="AL889" s="17" t="n">
        <f aca="false">AJ889</f>
        <v>76.77</v>
      </c>
      <c r="AM889" s="17" t="n">
        <f aca="false">(AL889-AL888)/AL889*100</f>
        <v>1.15930702097173</v>
      </c>
      <c r="AN889" s="17" t="n">
        <f aca="false">(AK889-AK888)/AK889*100</f>
        <v>2.57823429922848</v>
      </c>
      <c r="AO889" s="17" t="str">
        <f aca="false">IF(AN889&lt;-8,"FITS BITCH",IF(AN889&gt;-8,"no"))</f>
        <v>no</v>
      </c>
      <c r="AP889" s="17" t="str">
        <f aca="false">IF(AH890&lt;AH889,"FITS BITCH",IF(AH890&gt;AH889,"no"))</f>
        <v>no</v>
      </c>
      <c r="AQ889" s="17" t="str">
        <f aca="false">IF(AI890&lt;AI889,"FITS BITCH",IF(AI890&gt;AI889,"no"))</f>
        <v>no</v>
      </c>
      <c r="AR889" s="17" t="str">
        <f aca="false">IF(AJ889&lt;AH890,"FITS BITCH",IF(AJ889&gt;AH890,"no"))</f>
        <v>FITS BITCH</v>
      </c>
      <c r="AS889" s="17" t="str">
        <f aca="false">IF(AJ889&gt;AJ890,"FITS BITCH",IF(AJ889&lt;AJ890,"no"))</f>
        <v>no</v>
      </c>
      <c r="AT889" s="91" t="str">
        <f aca="false">IF(AND($AO889="FITS BITCH",$AP889="FITS BITCH",$AR889="FITS BITCH"),"BULLISH","")</f>
        <v/>
      </c>
      <c r="AU889" s="91" t="str">
        <f aca="false">IF(AND($AO889="FITS BITCH",$AQ889="FITS BITCH",$AS889="FITS BITCH"),"BEARISH","")</f>
        <v/>
      </c>
      <c r="AV889" s="86"/>
      <c r="AW889" s="86"/>
      <c r="AX889" s="86"/>
    </row>
    <row r="890" customFormat="false" ht="15.75" hidden="false" customHeight="false" outlineLevel="0" collapsed="false">
      <c r="AE890" s="90" t="n">
        <f aca="false">Data!A885</f>
        <v>41688</v>
      </c>
      <c r="AF890" s="17" t="n">
        <f aca="false">Data!B885</f>
        <v>78</v>
      </c>
      <c r="AG890" s="17" t="n">
        <f aca="false">Data!F885</f>
        <v>65306248</v>
      </c>
      <c r="AH890" s="17" t="n">
        <f aca="false">Data!C885</f>
        <v>78.74</v>
      </c>
      <c r="AI890" s="17" t="n">
        <f aca="false">Data!D885</f>
        <v>77.94</v>
      </c>
      <c r="AJ890" s="17" t="n">
        <f aca="false">Data!E885</f>
        <v>78</v>
      </c>
      <c r="AK890" s="17" t="n">
        <f aca="false">Data!F885</f>
        <v>65306248</v>
      </c>
      <c r="AL890" s="17" t="n">
        <f aca="false">AJ890</f>
        <v>78</v>
      </c>
      <c r="AM890" s="17" t="n">
        <f aca="false">(AL890-AL889)/AL890*100</f>
        <v>1.57692307692308</v>
      </c>
      <c r="AN890" s="17" t="n">
        <f aca="false">(AK890-AK889)/AK890*100</f>
        <v>-20.2862243747336</v>
      </c>
      <c r="AO890" s="17" t="str">
        <f aca="false">IF(AN890&lt;-8,"FITS BITCH",IF(AN890&gt;-8,"no"))</f>
        <v>FITS BITCH</v>
      </c>
      <c r="AP890" s="17" t="str">
        <f aca="false">IF(AH891&lt;AH890,"FITS BITCH",IF(AH891&gt;AH890,"no"))</f>
        <v>FITS BITCH</v>
      </c>
      <c r="AQ890" s="17" t="str">
        <f aca="false">IF(AI891&lt;AI890,"FITS BITCH",IF(AI891&gt;AI890,"no"))</f>
        <v>FITS BITCH</v>
      </c>
      <c r="AR890" s="17" t="n">
        <f aca="false">IF(AJ890&lt;AH891,"FITS BITCH",IF(AJ890&gt;AH891,"no"))</f>
        <v>0</v>
      </c>
      <c r="AS890" s="17" t="str">
        <f aca="false">IF(AJ890&gt;AJ891,"FITS BITCH",IF(AJ890&lt;AJ891,"no"))</f>
        <v>FITS BITCH</v>
      </c>
      <c r="AT890" s="91" t="str">
        <f aca="false">IF(AND($AO890="FITS BITCH",$AP890="FITS BITCH",$AR890="FITS BITCH"),"BULLISH","")</f>
        <v/>
      </c>
      <c r="AU890" s="91" t="str">
        <f aca="false">IF(AND($AO890="FITS BITCH",$AQ890="FITS BITCH",$AS890="FITS BITCH"),"BEARISH","")</f>
        <v>BEARISH</v>
      </c>
      <c r="AV890" s="86"/>
      <c r="AW890" s="86"/>
      <c r="AX890" s="86"/>
    </row>
    <row r="891" customFormat="false" ht="15.75" hidden="false" customHeight="false" outlineLevel="0" collapsed="false">
      <c r="AE891" s="90" t="n">
        <f aca="false">Data!A886</f>
        <v>41684</v>
      </c>
      <c r="AF891" s="17" t="n">
        <f aca="false">Data!B886</f>
        <v>77.5</v>
      </c>
      <c r="AG891" s="17" t="n">
        <f aca="false">Data!F886</f>
        <v>68468036</v>
      </c>
      <c r="AH891" s="17" t="n">
        <f aca="false">Data!C886</f>
        <v>78</v>
      </c>
      <c r="AI891" s="17" t="n">
        <f aca="false">Data!D886</f>
        <v>77.32</v>
      </c>
      <c r="AJ891" s="17" t="n">
        <f aca="false">Data!E886</f>
        <v>77.71</v>
      </c>
      <c r="AK891" s="17" t="n">
        <f aca="false">Data!F886</f>
        <v>68468036</v>
      </c>
      <c r="AL891" s="17" t="n">
        <f aca="false">AJ891</f>
        <v>77.71</v>
      </c>
      <c r="AM891" s="17" t="n">
        <f aca="false">(AL891-AL890)/AL891*100</f>
        <v>-0.373182344614601</v>
      </c>
      <c r="AN891" s="17" t="n">
        <f aca="false">(AK891-AK890)/AK891*100</f>
        <v>4.61790374708572</v>
      </c>
      <c r="AO891" s="17" t="str">
        <f aca="false">IF(AN891&lt;-8,"FITS BITCH",IF(AN891&gt;-8,"no"))</f>
        <v>no</v>
      </c>
      <c r="AP891" s="17" t="str">
        <f aca="false">IF(AH892&lt;AH891,"FITS BITCH",IF(AH892&gt;AH891,"no"))</f>
        <v>FITS BITCH</v>
      </c>
      <c r="AQ891" s="17" t="str">
        <f aca="false">IF(AI892&lt;AI891,"FITS BITCH",IF(AI892&gt;AI891,"no"))</f>
        <v>FITS BITCH</v>
      </c>
      <c r="AR891" s="17" t="str">
        <f aca="false">IF(AJ891&lt;AH892,"FITS BITCH",IF(AJ891&gt;AH892,"no"))</f>
        <v>FITS BITCH</v>
      </c>
      <c r="AS891" s="17" t="str">
        <f aca="false">IF(AJ891&gt;AJ892,"FITS BITCH",IF(AJ891&lt;AJ892,"no"))</f>
        <v>no</v>
      </c>
      <c r="AT891" s="91" t="str">
        <f aca="false">IF(AND($AO891="FITS BITCH",$AP891="FITS BITCH",$AR891="FITS BITCH"),"BULLISH","")</f>
        <v/>
      </c>
      <c r="AU891" s="91" t="str">
        <f aca="false">IF(AND($AO891="FITS BITCH",$AQ891="FITS BITCH",$AS891="FITS BITCH"),"BEARISH","")</f>
        <v/>
      </c>
      <c r="AV891" s="86"/>
      <c r="AW891" s="86"/>
      <c r="AX891" s="86"/>
    </row>
    <row r="892" customFormat="false" ht="15.75" hidden="false" customHeight="false" outlineLevel="0" collapsed="false">
      <c r="AE892" s="90" t="n">
        <f aca="false">Data!A887</f>
        <v>41683</v>
      </c>
      <c r="AF892" s="17" t="n">
        <f aca="false">Data!B887</f>
        <v>76.38</v>
      </c>
      <c r="AG892" s="17" t="n">
        <f aca="false">Data!F887</f>
        <v>76960156</v>
      </c>
      <c r="AH892" s="17" t="n">
        <f aca="false">Data!C887</f>
        <v>77.84</v>
      </c>
      <c r="AI892" s="17" t="n">
        <f aca="false">Data!D887</f>
        <v>76.31</v>
      </c>
      <c r="AJ892" s="17" t="n">
        <f aca="false">Data!E887</f>
        <v>77.78</v>
      </c>
      <c r="AK892" s="17" t="n">
        <f aca="false">Data!F887</f>
        <v>76960156</v>
      </c>
      <c r="AL892" s="17" t="n">
        <f aca="false">AJ892</f>
        <v>77.78</v>
      </c>
      <c r="AM892" s="17" t="n">
        <f aca="false">(AL892-AL891)/AL892*100</f>
        <v>0.0899974286449054</v>
      </c>
      <c r="AN892" s="17" t="n">
        <f aca="false">(AK892-AK891)/AK892*100</f>
        <v>11.0344370923572</v>
      </c>
      <c r="AO892" s="17" t="str">
        <f aca="false">IF(AN892&lt;-8,"FITS BITCH",IF(AN892&gt;-8,"no"))</f>
        <v>no</v>
      </c>
      <c r="AP892" s="17" t="str">
        <f aca="false">IF(AH893&lt;AH892,"FITS BITCH",IF(AH893&gt;AH892,"no"))</f>
        <v>FITS BITCH</v>
      </c>
      <c r="AQ892" s="17" t="str">
        <f aca="false">IF(AI893&lt;AI892,"FITS BITCH",IF(AI893&gt;AI892,"no"))</f>
        <v>FITS BITCH</v>
      </c>
      <c r="AR892" s="17" t="str">
        <f aca="false">IF(AJ892&lt;AH893,"FITS BITCH",IF(AJ892&gt;AH893,"no"))</f>
        <v>no</v>
      </c>
      <c r="AS892" s="17" t="str">
        <f aca="false">IF(AJ892&gt;AJ893,"FITS BITCH",IF(AJ892&lt;AJ893,"no"))</f>
        <v>FITS BITCH</v>
      </c>
      <c r="AT892" s="91" t="str">
        <f aca="false">IF(AND($AO892="FITS BITCH",$AP892="FITS BITCH",$AR892="FITS BITCH"),"BULLISH","")</f>
        <v/>
      </c>
      <c r="AU892" s="91" t="str">
        <f aca="false">IF(AND($AO892="FITS BITCH",$AQ892="FITS BITCH",$AS892="FITS BITCH"),"BEARISH","")</f>
        <v/>
      </c>
      <c r="AV892" s="86"/>
      <c r="AW892" s="86"/>
      <c r="AX892" s="86"/>
    </row>
    <row r="893" customFormat="false" ht="15.75" hidden="false" customHeight="false" outlineLevel="0" collapsed="false">
      <c r="AE893" s="90" t="n">
        <f aca="false">Data!A888</f>
        <v>41682</v>
      </c>
      <c r="AF893" s="17" t="n">
        <f aca="false">Data!B888</f>
        <v>76.71</v>
      </c>
      <c r="AG893" s="17" t="n">
        <f aca="false">Data!F888</f>
        <v>77127064</v>
      </c>
      <c r="AH893" s="17" t="n">
        <f aca="false">Data!C888</f>
        <v>77.08</v>
      </c>
      <c r="AI893" s="17" t="n">
        <f aca="false">Data!D888</f>
        <v>76.18</v>
      </c>
      <c r="AJ893" s="17" t="n">
        <f aca="false">Data!E888</f>
        <v>76.56</v>
      </c>
      <c r="AK893" s="17" t="n">
        <f aca="false">Data!F888</f>
        <v>77127064</v>
      </c>
      <c r="AL893" s="17" t="n">
        <f aca="false">AJ893</f>
        <v>76.56</v>
      </c>
      <c r="AM893" s="17" t="n">
        <f aca="false">(AL893-AL892)/AL893*100</f>
        <v>-1.59352142110763</v>
      </c>
      <c r="AN893" s="17" t="n">
        <f aca="false">(AK893-AK892)/AK893*100</f>
        <v>0.216406526248685</v>
      </c>
      <c r="AO893" s="17" t="str">
        <f aca="false">IF(AN893&lt;-8,"FITS BITCH",IF(AN893&gt;-8,"no"))</f>
        <v>no</v>
      </c>
      <c r="AP893" s="17" t="str">
        <f aca="false">IF(AH894&lt;AH893,"FITS BITCH",IF(AH894&gt;AH893,"no"))</f>
        <v>FITS BITCH</v>
      </c>
      <c r="AQ893" s="17" t="str">
        <f aca="false">IF(AI894&lt;AI893,"FITS BITCH",IF(AI894&gt;AI893,"no"))</f>
        <v>FITS BITCH</v>
      </c>
      <c r="AR893" s="17" t="str">
        <f aca="false">IF(AJ893&lt;AH894,"FITS BITCH",IF(AJ893&gt;AH894,"no"))</f>
        <v>FITS BITCH</v>
      </c>
      <c r="AS893" s="17" t="str">
        <f aca="false">IF(AJ893&gt;AJ894,"FITS BITCH",IF(AJ893&lt;AJ894,"no"))</f>
        <v>no</v>
      </c>
      <c r="AT893" s="91" t="str">
        <f aca="false">IF(AND($AO893="FITS BITCH",$AP893="FITS BITCH",$AR893="FITS BITCH"),"BULLISH","")</f>
        <v/>
      </c>
      <c r="AU893" s="91" t="str">
        <f aca="false">IF(AND($AO893="FITS BITCH",$AQ893="FITS BITCH",$AS893="FITS BITCH"),"BEARISH","")</f>
        <v/>
      </c>
      <c r="AV893" s="86"/>
      <c r="AW893" s="86"/>
      <c r="AX893" s="86"/>
    </row>
    <row r="894" customFormat="false" ht="15.75" hidden="false" customHeight="false" outlineLevel="0" collapsed="false">
      <c r="AE894" s="90" t="n">
        <f aca="false">Data!A889</f>
        <v>41681</v>
      </c>
      <c r="AF894" s="17" t="n">
        <f aca="false">Data!B889</f>
        <v>75.8</v>
      </c>
      <c r="AG894" s="17" t="n">
        <f aca="false">Data!F889</f>
        <v>70672252</v>
      </c>
      <c r="AH894" s="17" t="n">
        <f aca="false">Data!C889</f>
        <v>76.82</v>
      </c>
      <c r="AI894" s="17" t="n">
        <f aca="false">Data!D889</f>
        <v>75.64</v>
      </c>
      <c r="AJ894" s="17" t="n">
        <f aca="false">Data!E889</f>
        <v>76.57</v>
      </c>
      <c r="AK894" s="17" t="n">
        <f aca="false">Data!F889</f>
        <v>70672252</v>
      </c>
      <c r="AL894" s="17" t="n">
        <f aca="false">AJ894</f>
        <v>76.57</v>
      </c>
      <c r="AM894" s="17" t="n">
        <f aca="false">(AL894-AL893)/AL894*100</f>
        <v>0.0130599451482185</v>
      </c>
      <c r="AN894" s="17" t="n">
        <f aca="false">(AK894-AK893)/AK894*100</f>
        <v>-9.13344603763299</v>
      </c>
      <c r="AO894" s="17" t="str">
        <f aca="false">IF(AN894&lt;-8,"FITS BITCH",IF(AN894&gt;-8,"no"))</f>
        <v>FITS BITCH</v>
      </c>
      <c r="AP894" s="17" t="str">
        <f aca="false">IF(AH895&lt;AH894,"FITS BITCH",IF(AH895&gt;AH894,"no"))</f>
        <v>FITS BITCH</v>
      </c>
      <c r="AQ894" s="17" t="str">
        <f aca="false">IF(AI895&lt;AI894,"FITS BITCH",IF(AI895&gt;AI894,"no"))</f>
        <v>FITS BITCH</v>
      </c>
      <c r="AR894" s="17" t="str">
        <f aca="false">IF(AJ894&lt;AH895,"FITS BITCH",IF(AJ894&gt;AH895,"no"))</f>
        <v>no</v>
      </c>
      <c r="AS894" s="17" t="str">
        <f aca="false">IF(AJ894&gt;AJ895,"FITS BITCH",IF(AJ894&lt;AJ895,"no"))</f>
        <v>FITS BITCH</v>
      </c>
      <c r="AT894" s="91" t="str">
        <f aca="false">IF(AND($AO894="FITS BITCH",$AP894="FITS BITCH",$AR894="FITS BITCH"),"BULLISH","")</f>
        <v/>
      </c>
      <c r="AU894" s="91" t="str">
        <f aca="false">IF(AND($AO894="FITS BITCH",$AQ894="FITS BITCH",$AS894="FITS BITCH"),"BEARISH","")</f>
        <v>BEARISH</v>
      </c>
      <c r="AV894" s="86"/>
      <c r="AW894" s="86"/>
      <c r="AX894" s="86"/>
    </row>
    <row r="895" customFormat="false" ht="15.75" hidden="false" customHeight="false" outlineLevel="0" collapsed="false">
      <c r="AE895" s="90" t="n">
        <f aca="false">Data!A890</f>
        <v>41680</v>
      </c>
      <c r="AF895" s="17" t="n">
        <f aca="false">Data!B890</f>
        <v>74.09</v>
      </c>
      <c r="AG895" s="17" t="n">
        <f aca="false">Data!F890</f>
        <v>86451022</v>
      </c>
      <c r="AH895" s="17" t="n">
        <f aca="false">Data!C890</f>
        <v>76</v>
      </c>
      <c r="AI895" s="17" t="n">
        <f aca="false">Data!D890</f>
        <v>74</v>
      </c>
      <c r="AJ895" s="17" t="n">
        <f aca="false">Data!E890</f>
        <v>75.57</v>
      </c>
      <c r="AK895" s="17" t="n">
        <f aca="false">Data!F890</f>
        <v>86451022</v>
      </c>
      <c r="AL895" s="17" t="n">
        <f aca="false">AJ895</f>
        <v>75.57</v>
      </c>
      <c r="AM895" s="17" t="n">
        <f aca="false">(AL895-AL894)/AL895*100</f>
        <v>-1.32327643244674</v>
      </c>
      <c r="AN895" s="17" t="n">
        <f aca="false">(AK895-AK894)/AK895*100</f>
        <v>18.251687065076</v>
      </c>
      <c r="AO895" s="17" t="str">
        <f aca="false">IF(AN895&lt;-8,"FITS BITCH",IF(AN895&gt;-8,"no"))</f>
        <v>no</v>
      </c>
      <c r="AP895" s="17" t="str">
        <f aca="false">IF(AH896&lt;AH895,"FITS BITCH",IF(AH896&gt;AH895,"no"))</f>
        <v>FITS BITCH</v>
      </c>
      <c r="AQ895" s="17" t="str">
        <f aca="false">IF(AI896&lt;AI895,"FITS BITCH",IF(AI896&gt;AI895,"no"))</f>
        <v>FITS BITCH</v>
      </c>
      <c r="AR895" s="17" t="str">
        <f aca="false">IF(AJ895&lt;AH896,"FITS BITCH",IF(AJ895&gt;AH896,"no"))</f>
        <v>no</v>
      </c>
      <c r="AS895" s="17" t="str">
        <f aca="false">IF(AJ895&gt;AJ896,"FITS BITCH",IF(AJ895&lt;AJ896,"no"))</f>
        <v>FITS BITCH</v>
      </c>
      <c r="AT895" s="91" t="str">
        <f aca="false">IF(AND($AO895="FITS BITCH",$AP895="FITS BITCH",$AR895="FITS BITCH"),"BULLISH","")</f>
        <v/>
      </c>
      <c r="AU895" s="91" t="str">
        <f aca="false">IF(AND($AO895="FITS BITCH",$AQ895="FITS BITCH",$AS895="FITS BITCH"),"BEARISH","")</f>
        <v/>
      </c>
      <c r="AV895" s="86"/>
      <c r="AW895" s="86"/>
      <c r="AX895" s="86"/>
    </row>
    <row r="896" customFormat="false" ht="15.75" hidden="false" customHeight="false" outlineLevel="0" collapsed="false">
      <c r="AE896" s="90" t="n">
        <f aca="false">Data!A891</f>
        <v>41677</v>
      </c>
      <c r="AF896" s="17" t="n">
        <f aca="false">Data!B891</f>
        <v>74.48</v>
      </c>
      <c r="AG896" s="17" t="n">
        <f aca="false">Data!F891</f>
        <v>93638601</v>
      </c>
      <c r="AH896" s="17" t="n">
        <f aca="false">Data!C891</f>
        <v>74.7</v>
      </c>
      <c r="AI896" s="17" t="n">
        <f aca="false">Data!D891</f>
        <v>73.91</v>
      </c>
      <c r="AJ896" s="17" t="n">
        <f aca="false">Data!E891</f>
        <v>74.24</v>
      </c>
      <c r="AK896" s="17" t="n">
        <f aca="false">Data!F891</f>
        <v>93638601</v>
      </c>
      <c r="AL896" s="17" t="n">
        <f aca="false">AJ896</f>
        <v>74.24</v>
      </c>
      <c r="AM896" s="17" t="n">
        <f aca="false">(AL896-AL895)/AL896*100</f>
        <v>-1.79148706896552</v>
      </c>
      <c r="AN896" s="17" t="n">
        <f aca="false">(AK896-AK895)/AK896*100</f>
        <v>7.67587183409543</v>
      </c>
      <c r="AO896" s="17" t="str">
        <f aca="false">IF(AN896&lt;-8,"FITS BITCH",IF(AN896&gt;-8,"no"))</f>
        <v>no</v>
      </c>
      <c r="AP896" s="17" t="str">
        <f aca="false">IF(AH897&lt;AH896,"FITS BITCH",IF(AH897&gt;AH896,"no"))</f>
        <v>FITS BITCH</v>
      </c>
      <c r="AQ896" s="17" t="str">
        <f aca="false">IF(AI897&lt;AI896,"FITS BITCH",IF(AI897&gt;AI896,"no"))</f>
        <v>FITS BITCH</v>
      </c>
      <c r="AR896" s="17" t="str">
        <f aca="false">IF(AJ896&lt;AH897,"FITS BITCH",IF(AJ896&gt;AH897,"no"))</f>
        <v>no</v>
      </c>
      <c r="AS896" s="17" t="str">
        <f aca="false">IF(AJ896&gt;AJ897,"FITS BITCH",IF(AJ896&lt;AJ897,"no"))</f>
        <v>FITS BITCH</v>
      </c>
      <c r="AT896" s="91" t="str">
        <f aca="false">IF(AND($AO896="FITS BITCH",$AP896="FITS BITCH",$AR896="FITS BITCH"),"BULLISH","")</f>
        <v/>
      </c>
      <c r="AU896" s="91" t="str">
        <f aca="false">IF(AND($AO896="FITS BITCH",$AQ896="FITS BITCH",$AS896="FITS BITCH"),"BEARISH","")</f>
        <v/>
      </c>
      <c r="AV896" s="86"/>
      <c r="AW896" s="86"/>
      <c r="AX896" s="86"/>
    </row>
    <row r="897" customFormat="false" ht="15.75" hidden="false" customHeight="false" outlineLevel="0" collapsed="false">
      <c r="AE897" s="90" t="n">
        <f aca="false">Data!A892</f>
        <v>41676</v>
      </c>
      <c r="AF897" s="17" t="n">
        <f aca="false">Data!B892</f>
        <v>72.87</v>
      </c>
      <c r="AG897" s="17" t="n">
        <f aca="false">Data!F892</f>
        <v>64497223</v>
      </c>
      <c r="AH897" s="17" t="n">
        <f aca="false">Data!C892</f>
        <v>73.36</v>
      </c>
      <c r="AI897" s="17" t="n">
        <f aca="false">Data!D892</f>
        <v>72.54</v>
      </c>
      <c r="AJ897" s="17" t="n">
        <f aca="false">Data!E892</f>
        <v>73.22</v>
      </c>
      <c r="AK897" s="17" t="n">
        <f aca="false">Data!F892</f>
        <v>64497223</v>
      </c>
      <c r="AL897" s="17" t="n">
        <f aca="false">AJ897</f>
        <v>73.22</v>
      </c>
      <c r="AM897" s="17" t="n">
        <f aca="false">(AL897-AL896)/AL897*100</f>
        <v>-1.39306200491668</v>
      </c>
      <c r="AN897" s="17" t="n">
        <f aca="false">(AK897-AK896)/AK897*100</f>
        <v>-45.1823763016898</v>
      </c>
      <c r="AO897" s="17" t="str">
        <f aca="false">IF(AN897&lt;-8,"FITS BITCH",IF(AN897&gt;-8,"no"))</f>
        <v>FITS BITCH</v>
      </c>
      <c r="AP897" s="17" t="str">
        <f aca="false">IF(AH898&lt;AH897,"FITS BITCH",IF(AH898&gt;AH897,"no"))</f>
        <v>no</v>
      </c>
      <c r="AQ897" s="17" t="str">
        <f aca="false">IF(AI898&lt;AI897,"FITS BITCH",IF(AI898&gt;AI897,"no"))</f>
        <v>FITS BITCH</v>
      </c>
      <c r="AR897" s="17" t="str">
        <f aca="false">IF(AJ897&lt;AH898,"FITS BITCH",IF(AJ897&gt;AH898,"no"))</f>
        <v>FITS BITCH</v>
      </c>
      <c r="AS897" s="17" t="str">
        <f aca="false">IF(AJ897&gt;AJ898,"FITS BITCH",IF(AJ897&lt;AJ898,"no"))</f>
        <v>no</v>
      </c>
      <c r="AT897" s="91" t="str">
        <f aca="false">IF(AND($AO897="FITS BITCH",$AP897="FITS BITCH",$AR897="FITS BITCH"),"BULLISH","")</f>
        <v/>
      </c>
      <c r="AU897" s="91" t="str">
        <f aca="false">IF(AND($AO897="FITS BITCH",$AQ897="FITS BITCH",$AS897="FITS BITCH"),"BEARISH","")</f>
        <v/>
      </c>
      <c r="AV897" s="86"/>
      <c r="AW897" s="86"/>
      <c r="AX897" s="86"/>
    </row>
    <row r="898" customFormat="false" ht="15.75" hidden="false" customHeight="false" outlineLevel="0" collapsed="false">
      <c r="AE898" s="90" t="n">
        <f aca="false">Data!A893</f>
        <v>41675</v>
      </c>
      <c r="AF898" s="17" t="n">
        <f aca="false">Data!B893</f>
        <v>72.37</v>
      </c>
      <c r="AG898" s="17" t="n">
        <f aca="false">Data!F893</f>
        <v>82322156</v>
      </c>
      <c r="AH898" s="17" t="n">
        <f aca="false">Data!C893</f>
        <v>73.61</v>
      </c>
      <c r="AI898" s="17" t="n">
        <f aca="false">Data!D893</f>
        <v>72.32</v>
      </c>
      <c r="AJ898" s="17" t="n">
        <f aca="false">Data!E893</f>
        <v>73.23</v>
      </c>
      <c r="AK898" s="17" t="n">
        <f aca="false">Data!F893</f>
        <v>82322156</v>
      </c>
      <c r="AL898" s="17" t="n">
        <f aca="false">AJ898</f>
        <v>73.23</v>
      </c>
      <c r="AM898" s="17" t="n">
        <f aca="false">(AL898-AL897)/AL898*100</f>
        <v>0.0136556056261165</v>
      </c>
      <c r="AN898" s="17" t="n">
        <f aca="false">(AK898-AK897)/AK898*100</f>
        <v>21.6526556957522</v>
      </c>
      <c r="AO898" s="17" t="str">
        <f aca="false">IF(AN898&lt;-8,"FITS BITCH",IF(AN898&gt;-8,"no"))</f>
        <v>no</v>
      </c>
      <c r="AP898" s="17" t="str">
        <f aca="false">IF(AH899&lt;AH898,"FITS BITCH",IF(AH899&gt;AH898,"no"))</f>
        <v>FITS BITCH</v>
      </c>
      <c r="AQ898" s="17" t="str">
        <f aca="false">IF(AI899&lt;AI898,"FITS BITCH",IF(AI899&gt;AI898,"no"))</f>
        <v>FITS BITCH</v>
      </c>
      <c r="AR898" s="17" t="str">
        <f aca="false">IF(AJ898&lt;AH899,"FITS BITCH",IF(AJ898&gt;AH899,"no"))</f>
        <v>no</v>
      </c>
      <c r="AS898" s="17" t="str">
        <f aca="false">IF(AJ898&gt;AJ899,"FITS BITCH",IF(AJ898&lt;AJ899,"no"))</f>
        <v>FITS BITCH</v>
      </c>
      <c r="AT898" s="91" t="str">
        <f aca="false">IF(AND($AO898="FITS BITCH",$AP898="FITS BITCH",$AR898="FITS BITCH"),"BULLISH","")</f>
        <v/>
      </c>
      <c r="AU898" s="91" t="str">
        <f aca="false">IF(AND($AO898="FITS BITCH",$AQ898="FITS BITCH",$AS898="FITS BITCH"),"BEARISH","")</f>
        <v/>
      </c>
      <c r="AV898" s="86"/>
      <c r="AW898" s="86"/>
      <c r="AX898" s="86"/>
    </row>
    <row r="899" customFormat="false" ht="15.75" hidden="false" customHeight="false" outlineLevel="0" collapsed="false">
      <c r="AE899" s="90" t="n">
        <f aca="false">Data!A894</f>
        <v>41674</v>
      </c>
      <c r="AF899" s="17" t="n">
        <f aca="false">Data!B894</f>
        <v>72.26</v>
      </c>
      <c r="AG899" s="17" t="n">
        <f aca="false">Data!F894</f>
        <v>94273543</v>
      </c>
      <c r="AH899" s="17" t="n">
        <f aca="false">Data!C894</f>
        <v>72.78</v>
      </c>
      <c r="AI899" s="17" t="n">
        <f aca="false">Data!D894</f>
        <v>71.82</v>
      </c>
      <c r="AJ899" s="17" t="n">
        <f aca="false">Data!E894</f>
        <v>72.68</v>
      </c>
      <c r="AK899" s="17" t="n">
        <f aca="false">Data!F894</f>
        <v>94273543</v>
      </c>
      <c r="AL899" s="17" t="n">
        <f aca="false">AJ899</f>
        <v>72.68</v>
      </c>
      <c r="AM899" s="17" t="n">
        <f aca="false">(AL899-AL898)/AL899*100</f>
        <v>-0.756741882223441</v>
      </c>
      <c r="AN899" s="17" t="n">
        <f aca="false">(AK899-AK898)/AK899*100</f>
        <v>12.6773499962763</v>
      </c>
      <c r="AO899" s="17" t="str">
        <f aca="false">IF(AN899&lt;-8,"FITS BITCH",IF(AN899&gt;-8,"no"))</f>
        <v>no</v>
      </c>
      <c r="AP899" s="17" t="str">
        <f aca="false">IF(AH900&lt;AH899,"FITS BITCH",IF(AH900&gt;AH899,"no"))</f>
        <v>FITS BITCH</v>
      </c>
      <c r="AQ899" s="17" t="str">
        <f aca="false">IF(AI900&lt;AI899,"FITS BITCH",IF(AI900&gt;AI899,"no"))</f>
        <v>FITS BITCH</v>
      </c>
      <c r="AR899" s="17" t="str">
        <f aca="false">IF(AJ899&lt;AH900,"FITS BITCH",IF(AJ899&gt;AH900,"no"))</f>
        <v>no</v>
      </c>
      <c r="AS899" s="17" t="str">
        <f aca="false">IF(AJ899&gt;AJ900,"FITS BITCH",IF(AJ899&lt;AJ900,"no"))</f>
        <v>FITS BITCH</v>
      </c>
      <c r="AT899" s="91" t="str">
        <f aca="false">IF(AND($AO899="FITS BITCH",$AP899="FITS BITCH",$AR899="FITS BITCH"),"BULLISH","")</f>
        <v/>
      </c>
      <c r="AU899" s="91" t="str">
        <f aca="false">IF(AND($AO899="FITS BITCH",$AQ899="FITS BITCH",$AS899="FITS BITCH"),"BEARISH","")</f>
        <v/>
      </c>
      <c r="AV899" s="86"/>
      <c r="AW899" s="86"/>
      <c r="AX899" s="86"/>
    </row>
    <row r="900" customFormat="false" ht="15.75" hidden="false" customHeight="false" outlineLevel="0" collapsed="false">
      <c r="AE900" s="90" t="n">
        <f aca="false">Data!A895</f>
        <v>41673</v>
      </c>
      <c r="AF900" s="17" t="n">
        <f aca="false">Data!B895</f>
        <v>71.8</v>
      </c>
      <c r="AG900" s="17" t="n">
        <f aca="false">Data!F895</f>
        <v>100620772</v>
      </c>
      <c r="AH900" s="17" t="n">
        <f aca="false">Data!C895</f>
        <v>72.53</v>
      </c>
      <c r="AI900" s="17" t="n">
        <f aca="false">Data!D895</f>
        <v>71.33</v>
      </c>
      <c r="AJ900" s="17" t="n">
        <f aca="false">Data!E895</f>
        <v>71.65</v>
      </c>
      <c r="AK900" s="17" t="n">
        <f aca="false">Data!F895</f>
        <v>100620772</v>
      </c>
      <c r="AL900" s="17" t="n">
        <f aca="false">AJ900</f>
        <v>71.65</v>
      </c>
      <c r="AM900" s="17" t="n">
        <f aca="false">(AL900-AL899)/AL900*100</f>
        <v>-1.43754361479414</v>
      </c>
      <c r="AN900" s="17" t="n">
        <f aca="false">(AK900-AK899)/AK900*100</f>
        <v>6.30807026604805</v>
      </c>
      <c r="AO900" s="17" t="str">
        <f aca="false">IF(AN900&lt;-8,"FITS BITCH",IF(AN900&gt;-8,"no"))</f>
        <v>no</v>
      </c>
      <c r="AP900" s="17" t="str">
        <f aca="false">IF(AH901&lt;AH900,"FITS BITCH",IF(AH901&gt;AH900,"no"))</f>
        <v>FITS BITCH</v>
      </c>
      <c r="AQ900" s="17" t="str">
        <f aca="false">IF(AI901&lt;AI900,"FITS BITCH",IF(AI901&gt;AI900,"no"))</f>
        <v>FITS BITCH</v>
      </c>
      <c r="AR900" s="17" t="n">
        <f aca="false">IF(AJ900&lt;AH901,"FITS BITCH",IF(AJ900&gt;AH901,"no"))</f>
        <v>0</v>
      </c>
      <c r="AS900" s="17" t="str">
        <f aca="false">IF(AJ900&gt;AJ901,"FITS BITCH",IF(AJ900&lt;AJ901,"no"))</f>
        <v>FITS BITCH</v>
      </c>
      <c r="AT900" s="91" t="str">
        <f aca="false">IF(AND($AO900="FITS BITCH",$AP900="FITS BITCH",$AR900="FITS BITCH"),"BULLISH","")</f>
        <v/>
      </c>
      <c r="AU900" s="91" t="str">
        <f aca="false">IF(AND($AO900="FITS BITCH",$AQ900="FITS BITCH",$AS900="FITS BITCH"),"BEARISH","")</f>
        <v/>
      </c>
      <c r="AV900" s="86"/>
      <c r="AW900" s="86"/>
      <c r="AX900" s="86"/>
    </row>
    <row r="901" customFormat="false" ht="15.75" hidden="false" customHeight="false" outlineLevel="0" collapsed="false">
      <c r="AE901" s="90" t="n">
        <f aca="false">Data!A896</f>
        <v>41670</v>
      </c>
      <c r="AF901" s="17" t="n">
        <f aca="false">Data!B896</f>
        <v>70.74</v>
      </c>
      <c r="AG901" s="17" t="n">
        <f aca="false">Data!F896</f>
        <v>116336444</v>
      </c>
      <c r="AH901" s="17" t="n">
        <f aca="false">Data!C896</f>
        <v>71.65</v>
      </c>
      <c r="AI901" s="17" t="n">
        <f aca="false">Data!D896</f>
        <v>70.51</v>
      </c>
      <c r="AJ901" s="17" t="n">
        <f aca="false">Data!E896</f>
        <v>71.51</v>
      </c>
      <c r="AK901" s="17" t="n">
        <f aca="false">Data!F896</f>
        <v>116336444</v>
      </c>
      <c r="AL901" s="17" t="n">
        <f aca="false">AJ901</f>
        <v>71.51</v>
      </c>
      <c r="AM901" s="17" t="n">
        <f aca="false">(AL901-AL900)/AL901*100</f>
        <v>-0.195776814431549</v>
      </c>
      <c r="AN901" s="17" t="n">
        <f aca="false">(AK901-AK900)/AK901*100</f>
        <v>13.5088124233882</v>
      </c>
      <c r="AO901" s="17" t="str">
        <f aca="false">IF(AN901&lt;-8,"FITS BITCH",IF(AN901&gt;-8,"no"))</f>
        <v>no</v>
      </c>
      <c r="AP901" s="17" t="str">
        <f aca="false">IF(AH902&lt;AH901,"FITS BITCH",IF(AH902&gt;AH901,"no"))</f>
        <v>no</v>
      </c>
      <c r="AQ901" s="17" t="str">
        <f aca="false">IF(AI902&lt;AI901,"FITS BITCH",IF(AI902&gt;AI901,"no"))</f>
        <v>no</v>
      </c>
      <c r="AR901" s="17" t="str">
        <f aca="false">IF(AJ901&lt;AH902,"FITS BITCH",IF(AJ901&gt;AH902,"no"))</f>
        <v>FITS BITCH</v>
      </c>
      <c r="AS901" s="17" t="str">
        <f aca="false">IF(AJ901&gt;AJ902,"FITS BITCH",IF(AJ901&lt;AJ902,"no"))</f>
        <v>FITS BITCH</v>
      </c>
      <c r="AT901" s="91" t="str">
        <f aca="false">IF(AND($AO901="FITS BITCH",$AP901="FITS BITCH",$AR901="FITS BITCH"),"BULLISH","")</f>
        <v/>
      </c>
      <c r="AU901" s="91" t="str">
        <f aca="false">IF(AND($AO901="FITS BITCH",$AQ901="FITS BITCH",$AS901="FITS BITCH"),"BEARISH","")</f>
        <v/>
      </c>
      <c r="AV901" s="86"/>
      <c r="AW901" s="86"/>
      <c r="AX901" s="86"/>
    </row>
    <row r="902" customFormat="false" ht="15.75" hidden="false" customHeight="false" outlineLevel="0" collapsed="false">
      <c r="AE902" s="90" t="n">
        <f aca="false">Data!A897</f>
        <v>41669</v>
      </c>
      <c r="AF902" s="17" t="n">
        <f aca="false">Data!B897</f>
        <v>71.79</v>
      </c>
      <c r="AG902" s="17" t="n">
        <f aca="false">Data!F897</f>
        <v>169762789</v>
      </c>
      <c r="AH902" s="17" t="n">
        <f aca="false">Data!C897</f>
        <v>72.36</v>
      </c>
      <c r="AI902" s="17" t="n">
        <f aca="false">Data!D897</f>
        <v>70.96</v>
      </c>
      <c r="AJ902" s="17" t="n">
        <f aca="false">Data!E897</f>
        <v>71.4</v>
      </c>
      <c r="AK902" s="17" t="n">
        <f aca="false">Data!F897</f>
        <v>169762789</v>
      </c>
      <c r="AL902" s="17" t="n">
        <f aca="false">AJ902</f>
        <v>71.4</v>
      </c>
      <c r="AM902" s="17" t="n">
        <f aca="false">(AL902-AL901)/AL902*100</f>
        <v>-0.154061624649859</v>
      </c>
      <c r="AN902" s="17" t="n">
        <f aca="false">(AK902-AK901)/AK902*100</f>
        <v>31.471175346913</v>
      </c>
      <c r="AO902" s="17" t="str">
        <f aca="false">IF(AN902&lt;-8,"FITS BITCH",IF(AN902&gt;-8,"no"))</f>
        <v>no</v>
      </c>
      <c r="AP902" s="17" t="str">
        <f aca="false">IF(AH903&lt;AH902,"FITS BITCH",IF(AH903&gt;AH902,"no"))</f>
        <v>no</v>
      </c>
      <c r="AQ902" s="17" t="str">
        <f aca="false">IF(AI903&lt;AI902,"FITS BITCH",IF(AI903&gt;AI902,"no"))</f>
        <v>no</v>
      </c>
      <c r="AR902" s="17" t="str">
        <f aca="false">IF(AJ902&lt;AH903,"FITS BITCH",IF(AJ902&gt;AH903,"no"))</f>
        <v>FITS BITCH</v>
      </c>
      <c r="AS902" s="17" t="str">
        <f aca="false">IF(AJ902&gt;AJ903,"FITS BITCH",IF(AJ902&lt;AJ903,"no"))</f>
        <v>no</v>
      </c>
      <c r="AT902" s="91" t="str">
        <f aca="false">IF(AND($AO902="FITS BITCH",$AP902="FITS BITCH",$AR902="FITS BITCH"),"BULLISH","")</f>
        <v/>
      </c>
      <c r="AU902" s="91" t="str">
        <f aca="false">IF(AND($AO902="FITS BITCH",$AQ902="FITS BITCH",$AS902="FITS BITCH"),"BEARISH","")</f>
        <v/>
      </c>
      <c r="AV902" s="86"/>
      <c r="AW902" s="86"/>
      <c r="AX902" s="86"/>
    </row>
    <row r="903" customFormat="false" ht="15.75" hidden="false" customHeight="false" outlineLevel="0" collapsed="false">
      <c r="AE903" s="90" t="n">
        <f aca="false">Data!A898</f>
        <v>41668</v>
      </c>
      <c r="AF903" s="17" t="n">
        <f aca="false">Data!B898</f>
        <v>71.99</v>
      </c>
      <c r="AG903" s="17" t="n">
        <f aca="false">Data!F898</f>
        <v>125942796</v>
      </c>
      <c r="AH903" s="17" t="n">
        <f aca="false">Data!C898</f>
        <v>72.48</v>
      </c>
      <c r="AI903" s="17" t="n">
        <f aca="false">Data!D898</f>
        <v>71.23</v>
      </c>
      <c r="AJ903" s="17" t="n">
        <f aca="false">Data!E898</f>
        <v>71.54</v>
      </c>
      <c r="AK903" s="17" t="n">
        <f aca="false">Data!F898</f>
        <v>125942796</v>
      </c>
      <c r="AL903" s="17" t="n">
        <f aca="false">AJ903</f>
        <v>71.54</v>
      </c>
      <c r="AM903" s="17" t="n">
        <f aca="false">(AL903-AL902)/AL903*100</f>
        <v>0.195694716242662</v>
      </c>
      <c r="AN903" s="17" t="n">
        <f aca="false">(AK903-AK902)/AK903*100</f>
        <v>-34.7935685023223</v>
      </c>
      <c r="AO903" s="17" t="str">
        <f aca="false">IF(AN903&lt;-8,"FITS BITCH",IF(AN903&gt;-8,"no"))</f>
        <v>FITS BITCH</v>
      </c>
      <c r="AP903" s="17" t="str">
        <f aca="false">IF(AH904&lt;AH903,"FITS BITCH",IF(AH904&gt;AH903,"no"))</f>
        <v>no</v>
      </c>
      <c r="AQ903" s="17" t="str">
        <f aca="false">IF(AI904&lt;AI903,"FITS BITCH",IF(AI904&gt;AI903,"no"))</f>
        <v>no</v>
      </c>
      <c r="AR903" s="17" t="str">
        <f aca="false">IF(AJ903&lt;AH904,"FITS BITCH",IF(AJ903&gt;AH904,"no"))</f>
        <v>FITS BITCH</v>
      </c>
      <c r="AS903" s="17" t="str">
        <f aca="false">IF(AJ903&gt;AJ904,"FITS BITCH",IF(AJ903&lt;AJ904,"no"))</f>
        <v>no</v>
      </c>
      <c r="AT903" s="91" t="str">
        <f aca="false">IF(AND($AO903="FITS BITCH",$AP903="FITS BITCH",$AR903="FITS BITCH"),"BULLISH","")</f>
        <v/>
      </c>
      <c r="AU903" s="91" t="str">
        <f aca="false">IF(AND($AO903="FITS BITCH",$AQ903="FITS BITCH",$AS903="FITS BITCH"),"BEARISH","")</f>
        <v/>
      </c>
      <c r="AV903" s="86"/>
      <c r="AW903" s="86"/>
      <c r="AX903" s="86"/>
    </row>
    <row r="904" customFormat="false" ht="15.75" hidden="false" customHeight="false" outlineLevel="0" collapsed="false">
      <c r="AE904" s="90" t="n">
        <f aca="false">Data!A899</f>
        <v>41667</v>
      </c>
      <c r="AF904" s="17" t="n">
        <f aca="false">Data!B899</f>
        <v>72.68</v>
      </c>
      <c r="AG904" s="17" t="n">
        <f aca="false">Data!F899</f>
        <v>266833581</v>
      </c>
      <c r="AH904" s="17" t="n">
        <f aca="false">Data!C899</f>
        <v>73.57</v>
      </c>
      <c r="AI904" s="17" t="n">
        <f aca="false">Data!D899</f>
        <v>71.72</v>
      </c>
      <c r="AJ904" s="17" t="n">
        <f aca="false">Data!E899</f>
        <v>72.36</v>
      </c>
      <c r="AK904" s="17" t="n">
        <f aca="false">Data!F899</f>
        <v>266833581</v>
      </c>
      <c r="AL904" s="17" t="n">
        <f aca="false">AJ904</f>
        <v>72.36</v>
      </c>
      <c r="AM904" s="17" t="n">
        <f aca="false">(AL904-AL903)/AL904*100</f>
        <v>1.13322277501381</v>
      </c>
      <c r="AN904" s="17" t="n">
        <f aca="false">(AK904-AK903)/AK904*100</f>
        <v>52.8009947143797</v>
      </c>
      <c r="AO904" s="17" t="str">
        <f aca="false">IF(AN904&lt;-8,"FITS BITCH",IF(AN904&gt;-8,"no"))</f>
        <v>no</v>
      </c>
      <c r="AP904" s="17" t="str">
        <f aca="false">IF(AH905&lt;AH904,"FITS BITCH",IF(AH905&gt;AH904,"no"))</f>
        <v>no</v>
      </c>
      <c r="AQ904" s="17" t="str">
        <f aca="false">IF(AI905&lt;AI904,"FITS BITCH",IF(AI905&gt;AI904,"no"))</f>
        <v>no</v>
      </c>
      <c r="AR904" s="17" t="str">
        <f aca="false">IF(AJ904&lt;AH905,"FITS BITCH",IF(AJ904&gt;AH905,"no"))</f>
        <v>FITS BITCH</v>
      </c>
      <c r="AS904" s="17" t="str">
        <f aca="false">IF(AJ904&gt;AJ905,"FITS BITCH",IF(AJ904&lt;AJ905,"no"))</f>
        <v>no</v>
      </c>
      <c r="AT904" s="91" t="str">
        <f aca="false">IF(AND($AO904="FITS BITCH",$AP904="FITS BITCH",$AR904="FITS BITCH"),"BULLISH","")</f>
        <v/>
      </c>
      <c r="AU904" s="91" t="str">
        <f aca="false">IF(AND($AO904="FITS BITCH",$AQ904="FITS BITCH",$AS904="FITS BITCH"),"BEARISH","")</f>
        <v/>
      </c>
      <c r="AV904" s="86"/>
      <c r="AW904" s="86"/>
      <c r="AX904" s="86"/>
    </row>
    <row r="905" customFormat="false" ht="15.75" hidden="false" customHeight="false" outlineLevel="0" collapsed="false">
      <c r="AE905" s="90" t="n">
        <f aca="false">Data!A900</f>
        <v>41666</v>
      </c>
      <c r="AF905" s="17" t="n">
        <f aca="false">Data!B900</f>
        <v>78.58</v>
      </c>
      <c r="AG905" s="17" t="n">
        <f aca="false">Data!F900</f>
        <v>144219152</v>
      </c>
      <c r="AH905" s="17" t="n">
        <f aca="false">Data!C900</f>
        <v>79.26</v>
      </c>
      <c r="AI905" s="17" t="n">
        <f aca="false">Data!D900</f>
        <v>77.96</v>
      </c>
      <c r="AJ905" s="17" t="n">
        <f aca="false">Data!E900</f>
        <v>78.64</v>
      </c>
      <c r="AK905" s="17" t="n">
        <f aca="false">Data!F900</f>
        <v>144219152</v>
      </c>
      <c r="AL905" s="17" t="n">
        <f aca="false">AJ905</f>
        <v>78.64</v>
      </c>
      <c r="AM905" s="17" t="n">
        <f aca="false">(AL905-AL904)/AL905*100</f>
        <v>7.98575788402849</v>
      </c>
      <c r="AN905" s="17" t="n">
        <f aca="false">(AK905-AK904)/AK905*100</f>
        <v>-85.0195187668279</v>
      </c>
      <c r="AO905" s="17" t="str">
        <f aca="false">IF(AN905&lt;-8,"FITS BITCH",IF(AN905&gt;-8,"no"))</f>
        <v>FITS BITCH</v>
      </c>
      <c r="AP905" s="17" t="str">
        <f aca="false">IF(AH906&lt;AH905,"FITS BITCH",IF(AH906&gt;AH905,"no"))</f>
        <v>no</v>
      </c>
      <c r="AQ905" s="17" t="str">
        <f aca="false">IF(AI906&lt;AI905,"FITS BITCH",IF(AI906&gt;AI905,"no"))</f>
        <v>FITS BITCH</v>
      </c>
      <c r="AR905" s="17" t="str">
        <f aca="false">IF(AJ905&lt;AH906,"FITS BITCH",IF(AJ905&gt;AH906,"no"))</f>
        <v>FITS BITCH</v>
      </c>
      <c r="AS905" s="17" t="str">
        <f aca="false">IF(AJ905&gt;AJ906,"FITS BITCH",IF(AJ905&lt;AJ906,"no"))</f>
        <v>FITS BITCH</v>
      </c>
      <c r="AT905" s="91" t="str">
        <f aca="false">IF(AND($AO905="FITS BITCH",$AP905="FITS BITCH",$AR905="FITS BITCH"),"BULLISH","")</f>
        <v/>
      </c>
      <c r="AU905" s="91" t="str">
        <f aca="false">IF(AND($AO905="FITS BITCH",$AQ905="FITS BITCH",$AS905="FITS BITCH"),"BEARISH","")</f>
        <v>BEARISH</v>
      </c>
      <c r="AV905" s="86"/>
      <c r="AW905" s="86"/>
      <c r="AX905" s="86"/>
    </row>
    <row r="906" customFormat="false" ht="15.75" hidden="false" customHeight="false" outlineLevel="0" collapsed="false">
      <c r="AE906" s="90" t="n">
        <f aca="false">Data!A901</f>
        <v>41663</v>
      </c>
      <c r="AF906" s="17" t="n">
        <f aca="false">Data!B901</f>
        <v>79.14</v>
      </c>
      <c r="AG906" s="17" t="n">
        <f aca="false">Data!F901</f>
        <v>108384437</v>
      </c>
      <c r="AH906" s="17" t="n">
        <f aca="false">Data!C901</f>
        <v>79.37</v>
      </c>
      <c r="AI906" s="17" t="n">
        <f aca="false">Data!D901</f>
        <v>77.82</v>
      </c>
      <c r="AJ906" s="17" t="n">
        <f aca="false">Data!E901</f>
        <v>78.01</v>
      </c>
      <c r="AK906" s="17" t="n">
        <f aca="false">Data!F901</f>
        <v>108384437</v>
      </c>
      <c r="AL906" s="17" t="n">
        <f aca="false">AJ906</f>
        <v>78.01</v>
      </c>
      <c r="AM906" s="17" t="n">
        <f aca="false">(AL906-AL905)/AL906*100</f>
        <v>-0.807588770670421</v>
      </c>
      <c r="AN906" s="17" t="n">
        <f aca="false">(AK906-AK905)/AK906*100</f>
        <v>-33.0626019674762</v>
      </c>
      <c r="AO906" s="17" t="str">
        <f aca="false">IF(AN906&lt;-8,"FITS BITCH",IF(AN906&gt;-8,"no"))</f>
        <v>FITS BITCH</v>
      </c>
      <c r="AP906" s="17" t="str">
        <f aca="false">IF(AH907&lt;AH906,"FITS BITCH",IF(AH907&gt;AH906,"no"))</f>
        <v>no</v>
      </c>
      <c r="AQ906" s="17" t="str">
        <f aca="false">IF(AI907&lt;AI906,"FITS BITCH",IF(AI907&gt;AI906,"no"))</f>
        <v>no</v>
      </c>
      <c r="AR906" s="17" t="str">
        <f aca="false">IF(AJ906&lt;AH907,"FITS BITCH",IF(AJ906&gt;AH907,"no"))</f>
        <v>FITS BITCH</v>
      </c>
      <c r="AS906" s="17" t="str">
        <f aca="false">IF(AJ906&gt;AJ907,"FITS BITCH",IF(AJ906&lt;AJ907,"no"))</f>
        <v>no</v>
      </c>
      <c r="AT906" s="91" t="str">
        <f aca="false">IF(AND($AO906="FITS BITCH",$AP906="FITS BITCH",$AR906="FITS BITCH"),"BULLISH","")</f>
        <v/>
      </c>
      <c r="AU906" s="91" t="str">
        <f aca="false">IF(AND($AO906="FITS BITCH",$AQ906="FITS BITCH",$AS906="FITS BITCH"),"BEARISH","")</f>
        <v/>
      </c>
      <c r="AV906" s="86"/>
      <c r="AW906" s="86"/>
      <c r="AX906" s="86"/>
    </row>
    <row r="907" customFormat="false" ht="15.75" hidden="false" customHeight="false" outlineLevel="0" collapsed="false">
      <c r="AE907" s="90" t="n">
        <f aca="false">Data!A902</f>
        <v>41662</v>
      </c>
      <c r="AF907" s="17" t="n">
        <f aca="false">Data!B902</f>
        <v>78.56</v>
      </c>
      <c r="AG907" s="17" t="n">
        <f aca="false">Data!F902</f>
        <v>100978346</v>
      </c>
      <c r="AH907" s="17" t="n">
        <f aca="false">Data!C902</f>
        <v>79.5</v>
      </c>
      <c r="AI907" s="17" t="n">
        <f aca="false">Data!D902</f>
        <v>77.83</v>
      </c>
      <c r="AJ907" s="17" t="n">
        <f aca="false">Data!E902</f>
        <v>79.45</v>
      </c>
      <c r="AK907" s="17" t="n">
        <f aca="false">Data!F902</f>
        <v>100978346</v>
      </c>
      <c r="AL907" s="17" t="n">
        <f aca="false">AJ907</f>
        <v>79.45</v>
      </c>
      <c r="AM907" s="17" t="n">
        <f aca="false">(AL907-AL906)/AL907*100</f>
        <v>1.81246066708621</v>
      </c>
      <c r="AN907" s="17" t="n">
        <f aca="false">(AK907-AK906)/AK907*100</f>
        <v>-7.33433581888933</v>
      </c>
      <c r="AO907" s="17" t="str">
        <f aca="false">IF(AN907&lt;-8,"FITS BITCH",IF(AN907&gt;-8,"no"))</f>
        <v>no</v>
      </c>
      <c r="AP907" s="17" t="str">
        <f aca="false">IF(AH908&lt;AH907,"FITS BITCH",IF(AH908&gt;AH907,"no"))</f>
        <v>no</v>
      </c>
      <c r="AQ907" s="17" t="str">
        <f aca="false">IF(AI908&lt;AI907,"FITS BITCH",IF(AI908&gt;AI907,"no"))</f>
        <v>no</v>
      </c>
      <c r="AR907" s="17" t="str">
        <f aca="false">IF(AJ907&lt;AH908,"FITS BITCH",IF(AJ907&gt;AH908,"no"))</f>
        <v>FITS BITCH</v>
      </c>
      <c r="AS907" s="17" t="str">
        <f aca="false">IF(AJ907&gt;AJ908,"FITS BITCH",IF(AJ907&lt;AJ908,"no"))</f>
        <v>FITS BITCH</v>
      </c>
      <c r="AT907" s="91" t="str">
        <f aca="false">IF(AND($AO907="FITS BITCH",$AP907="FITS BITCH",$AR907="FITS BITCH"),"BULLISH","")</f>
        <v/>
      </c>
      <c r="AU907" s="91" t="str">
        <f aca="false">IF(AND($AO907="FITS BITCH",$AQ907="FITS BITCH",$AS907="FITS BITCH"),"BEARISH","")</f>
        <v/>
      </c>
      <c r="AV907" s="86"/>
      <c r="AW907" s="86"/>
      <c r="AX907" s="86"/>
    </row>
    <row r="908" customFormat="false" ht="15.75" hidden="false" customHeight="false" outlineLevel="0" collapsed="false">
      <c r="AE908" s="90" t="n">
        <f aca="false">Data!A903</f>
        <v>41661</v>
      </c>
      <c r="AF908" s="17" t="n">
        <f aca="false">Data!B903</f>
        <v>78.7</v>
      </c>
      <c r="AG908" s="17" t="n">
        <f aca="false">Data!F903</f>
        <v>95219334</v>
      </c>
      <c r="AH908" s="17" t="n">
        <f aca="false">Data!C903</f>
        <v>79.61</v>
      </c>
      <c r="AI908" s="17" t="n">
        <f aca="false">Data!D903</f>
        <v>78.26</v>
      </c>
      <c r="AJ908" s="17" t="n">
        <f aca="false">Data!E903</f>
        <v>78.79</v>
      </c>
      <c r="AK908" s="17" t="n">
        <f aca="false">Data!F903</f>
        <v>95219334</v>
      </c>
      <c r="AL908" s="17" t="n">
        <f aca="false">AJ908</f>
        <v>78.79</v>
      </c>
      <c r="AM908" s="17" t="n">
        <f aca="false">(AL908-AL907)/AL908*100</f>
        <v>-0.837669755045052</v>
      </c>
      <c r="AN908" s="17" t="n">
        <f aca="false">(AK908-AK907)/AK908*100</f>
        <v>-6.04815404400959</v>
      </c>
      <c r="AO908" s="17" t="str">
        <f aca="false">IF(AN908&lt;-8,"FITS BITCH",IF(AN908&gt;-8,"no"))</f>
        <v>no</v>
      </c>
      <c r="AP908" s="17" t="str">
        <f aca="false">IF(AH909&lt;AH908,"FITS BITCH",IF(AH909&gt;AH908,"no"))</f>
        <v>FITS BITCH</v>
      </c>
      <c r="AQ908" s="17" t="str">
        <f aca="false">IF(AI909&lt;AI908,"FITS BITCH",IF(AI909&gt;AI908,"no"))</f>
        <v>FITS BITCH</v>
      </c>
      <c r="AR908" s="17" t="str">
        <f aca="false">IF(AJ908&lt;AH909,"FITS BITCH",IF(AJ908&gt;AH909,"no"))</f>
        <v>no</v>
      </c>
      <c r="AS908" s="17" t="str">
        <f aca="false">IF(AJ908&gt;AJ909,"FITS BITCH",IF(AJ908&lt;AJ909,"no"))</f>
        <v>FITS BITCH</v>
      </c>
      <c r="AT908" s="91" t="str">
        <f aca="false">IF(AND($AO908="FITS BITCH",$AP908="FITS BITCH",$AR908="FITS BITCH"),"BULLISH","")</f>
        <v/>
      </c>
      <c r="AU908" s="91" t="str">
        <f aca="false">IF(AND($AO908="FITS BITCH",$AQ908="FITS BITCH",$AS908="FITS BITCH"),"BEARISH","")</f>
        <v/>
      </c>
      <c r="AV908" s="86"/>
      <c r="AW908" s="86"/>
      <c r="AX908" s="86"/>
    </row>
    <row r="909" customFormat="false" ht="15.75" hidden="false" customHeight="false" outlineLevel="0" collapsed="false">
      <c r="AE909" s="90" t="n">
        <f aca="false">Data!A904</f>
        <v>41660</v>
      </c>
      <c r="AF909" s="17" t="n">
        <f aca="false">Data!B904</f>
        <v>77.28</v>
      </c>
      <c r="AG909" s="17" t="n">
        <f aca="false">Data!F904</f>
        <v>82255544</v>
      </c>
      <c r="AH909" s="17" t="n">
        <f aca="false">Data!C904</f>
        <v>78.58</v>
      </c>
      <c r="AI909" s="17" t="n">
        <f aca="false">Data!D904</f>
        <v>77.2</v>
      </c>
      <c r="AJ909" s="17" t="n">
        <f aca="false">Data!E904</f>
        <v>78.44</v>
      </c>
      <c r="AK909" s="17" t="n">
        <f aca="false">Data!F904</f>
        <v>82255544</v>
      </c>
      <c r="AL909" s="17" t="n">
        <f aca="false">AJ909</f>
        <v>78.44</v>
      </c>
      <c r="AM909" s="17" t="n">
        <f aca="false">(AL909-AL908)/AL909*100</f>
        <v>-0.446200917899042</v>
      </c>
      <c r="AN909" s="17" t="n">
        <f aca="false">(AK909-AK908)/AK909*100</f>
        <v>-15.7603844915304</v>
      </c>
      <c r="AO909" s="17" t="str">
        <f aca="false">IF(AN909&lt;-8,"FITS BITCH",IF(AN909&gt;-8,"no"))</f>
        <v>FITS BITCH</v>
      </c>
      <c r="AP909" s="17" t="str">
        <f aca="false">IF(AH910&lt;AH909,"FITS BITCH",IF(AH910&gt;AH909,"no"))</f>
        <v>no</v>
      </c>
      <c r="AQ909" s="17" t="str">
        <f aca="false">IF(AI910&lt;AI909,"FITS BITCH",IF(AI910&gt;AI909,"no"))</f>
        <v>FITS BITCH</v>
      </c>
      <c r="AR909" s="17" t="str">
        <f aca="false">IF(AJ909&lt;AH910,"FITS BITCH",IF(AJ909&gt;AH910,"no"))</f>
        <v>FITS BITCH</v>
      </c>
      <c r="AS909" s="17" t="str">
        <f aca="false">IF(AJ909&gt;AJ910,"FITS BITCH",IF(AJ909&lt;AJ910,"no"))</f>
        <v>FITS BITCH</v>
      </c>
      <c r="AT909" s="91" t="str">
        <f aca="false">IF(AND($AO909="FITS BITCH",$AP909="FITS BITCH",$AR909="FITS BITCH"),"BULLISH","")</f>
        <v/>
      </c>
      <c r="AU909" s="91" t="str">
        <f aca="false">IF(AND($AO909="FITS BITCH",$AQ909="FITS BITCH",$AS909="FITS BITCH"),"BEARISH","")</f>
        <v>BEARISH</v>
      </c>
      <c r="AV909" s="86"/>
      <c r="AW909" s="86"/>
      <c r="AX909" s="86"/>
    </row>
    <row r="910" customFormat="false" ht="15.75" hidden="false" customHeight="false" outlineLevel="0" collapsed="false">
      <c r="AE910" s="90" t="n">
        <f aca="false">Data!A905</f>
        <v>41656</v>
      </c>
      <c r="AF910" s="17" t="n">
        <f aca="false">Data!B905</f>
        <v>78.78</v>
      </c>
      <c r="AG910" s="17" t="n">
        <f aca="false">Data!F905</f>
        <v>108426689</v>
      </c>
      <c r="AH910" s="17" t="n">
        <f aca="false">Data!C905</f>
        <v>78.87</v>
      </c>
      <c r="AI910" s="17" t="n">
        <f aca="false">Data!D905</f>
        <v>77.13</v>
      </c>
      <c r="AJ910" s="17" t="n">
        <f aca="false">Data!E905</f>
        <v>77.24</v>
      </c>
      <c r="AK910" s="17" t="n">
        <f aca="false">Data!F905</f>
        <v>108426689</v>
      </c>
      <c r="AL910" s="17" t="n">
        <f aca="false">AJ910</f>
        <v>77.24</v>
      </c>
      <c r="AM910" s="17" t="n">
        <f aca="false">(AL910-AL909)/AL910*100</f>
        <v>-1.55359917141378</v>
      </c>
      <c r="AN910" s="17" t="n">
        <f aca="false">(AK910-AK909)/AK910*100</f>
        <v>24.1371799151775</v>
      </c>
      <c r="AO910" s="17" t="str">
        <f aca="false">IF(AN910&lt;-8,"FITS BITCH",IF(AN910&gt;-8,"no"))</f>
        <v>no</v>
      </c>
      <c r="AP910" s="17" t="str">
        <f aca="false">IF(AH911&lt;AH910,"FITS BITCH",IF(AH911&gt;AH910,"no"))</f>
        <v>no</v>
      </c>
      <c r="AQ910" s="17" t="str">
        <f aca="false">IF(AI911&lt;AI910,"FITS BITCH",IF(AI911&gt;AI910,"no"))</f>
        <v>no</v>
      </c>
      <c r="AR910" s="17" t="str">
        <f aca="false">IF(AJ910&lt;AH911,"FITS BITCH",IF(AJ910&gt;AH911,"no"))</f>
        <v>FITS BITCH</v>
      </c>
      <c r="AS910" s="17" t="str">
        <f aca="false">IF(AJ910&gt;AJ911,"FITS BITCH",IF(AJ910&lt;AJ911,"no"))</f>
        <v>no</v>
      </c>
      <c r="AT910" s="91" t="str">
        <f aca="false">IF(AND($AO910="FITS BITCH",$AP910="FITS BITCH",$AR910="FITS BITCH"),"BULLISH","")</f>
        <v/>
      </c>
      <c r="AU910" s="91" t="str">
        <f aca="false">IF(AND($AO910="FITS BITCH",$AQ910="FITS BITCH",$AS910="FITS BITCH"),"BEARISH","")</f>
        <v/>
      </c>
      <c r="AV910" s="86"/>
      <c r="AW910" s="86"/>
      <c r="AX910" s="86"/>
    </row>
    <row r="911" customFormat="false" ht="15.75" hidden="false" customHeight="false" outlineLevel="0" collapsed="false">
      <c r="AE911" s="90" t="n">
        <f aca="false">Data!A906</f>
        <v>41655</v>
      </c>
      <c r="AF911" s="17" t="n">
        <f aca="false">Data!B906</f>
        <v>79.27</v>
      </c>
      <c r="AG911" s="17" t="n">
        <f aca="false">Data!F906</f>
        <v>57471330</v>
      </c>
      <c r="AH911" s="17" t="n">
        <f aca="false">Data!C906</f>
        <v>79.55</v>
      </c>
      <c r="AI911" s="17" t="n">
        <f aca="false">Data!D906</f>
        <v>78.81</v>
      </c>
      <c r="AJ911" s="17" t="n">
        <f aca="false">Data!E906</f>
        <v>79.18</v>
      </c>
      <c r="AK911" s="17" t="n">
        <f aca="false">Data!F906</f>
        <v>57471330</v>
      </c>
      <c r="AL911" s="17" t="n">
        <f aca="false">AJ911</f>
        <v>79.18</v>
      </c>
      <c r="AM911" s="17" t="n">
        <f aca="false">(AL911-AL910)/AL911*100</f>
        <v>2.45011366506695</v>
      </c>
      <c r="AN911" s="17" t="n">
        <f aca="false">(AK911-AK910)/AK911*100</f>
        <v>-88.6622234077409</v>
      </c>
      <c r="AO911" s="17" t="str">
        <f aca="false">IF(AN911&lt;-8,"FITS BITCH",IF(AN911&gt;-8,"no"))</f>
        <v>FITS BITCH</v>
      </c>
      <c r="AP911" s="17" t="str">
        <f aca="false">IF(AH912&lt;AH911,"FITS BITCH",IF(AH912&gt;AH911,"no"))</f>
        <v>no</v>
      </c>
      <c r="AQ911" s="17" t="n">
        <f aca="false">IF(AI912&lt;AI911,"FITS BITCH",IF(AI912&gt;AI911,"no"))</f>
        <v>0</v>
      </c>
      <c r="AR911" s="17" t="str">
        <f aca="false">IF(AJ911&lt;AH912,"FITS BITCH",IF(AJ911&gt;AH912,"no"))</f>
        <v>FITS BITCH</v>
      </c>
      <c r="AS911" s="17" t="str">
        <f aca="false">IF(AJ911&gt;AJ912,"FITS BITCH",IF(AJ911&lt;AJ912,"no"))</f>
        <v>no</v>
      </c>
      <c r="AT911" s="91" t="str">
        <f aca="false">IF(AND($AO911="FITS BITCH",$AP911="FITS BITCH",$AR911="FITS BITCH"),"BULLISH","")</f>
        <v/>
      </c>
      <c r="AU911" s="91" t="str">
        <f aca="false">IF(AND($AO911="FITS BITCH",$AQ911="FITS BITCH",$AS911="FITS BITCH"),"BEARISH","")</f>
        <v/>
      </c>
      <c r="AV911" s="86"/>
      <c r="AW911" s="86"/>
      <c r="AX911" s="86"/>
    </row>
    <row r="912" customFormat="false" ht="15.75" hidden="false" customHeight="false" outlineLevel="0" collapsed="false">
      <c r="AE912" s="90" t="n">
        <f aca="false">Data!A907</f>
        <v>41654</v>
      </c>
      <c r="AF912" s="17" t="n">
        <f aca="false">Data!B907</f>
        <v>79.07</v>
      </c>
      <c r="AG912" s="17" t="n">
        <f aca="false">Data!F907</f>
        <v>98472619</v>
      </c>
      <c r="AH912" s="17" t="n">
        <f aca="false">Data!C907</f>
        <v>80.03</v>
      </c>
      <c r="AI912" s="17" t="n">
        <f aca="false">Data!D907</f>
        <v>78.81</v>
      </c>
      <c r="AJ912" s="17" t="n">
        <f aca="false">Data!E907</f>
        <v>79.62</v>
      </c>
      <c r="AK912" s="17" t="n">
        <f aca="false">Data!F907</f>
        <v>98472619</v>
      </c>
      <c r="AL912" s="17" t="n">
        <f aca="false">AJ912</f>
        <v>79.62</v>
      </c>
      <c r="AM912" s="17" t="n">
        <f aca="false">(AL912-AL911)/AL912*100</f>
        <v>0.552624968600851</v>
      </c>
      <c r="AN912" s="17" t="n">
        <f aca="false">(AK912-AK911)/AK912*100</f>
        <v>41.6372484213099</v>
      </c>
      <c r="AO912" s="17" t="str">
        <f aca="false">IF(AN912&lt;-8,"FITS BITCH",IF(AN912&gt;-8,"no"))</f>
        <v>no</v>
      </c>
      <c r="AP912" s="17" t="str">
        <f aca="false">IF(AH913&lt;AH912,"FITS BITCH",IF(AH913&gt;AH912,"no"))</f>
        <v>FITS BITCH</v>
      </c>
      <c r="AQ912" s="17" t="str">
        <f aca="false">IF(AI913&lt;AI912,"FITS BITCH",IF(AI913&gt;AI912,"no"))</f>
        <v>FITS BITCH</v>
      </c>
      <c r="AR912" s="17" t="str">
        <f aca="false">IF(AJ912&lt;AH913,"FITS BITCH",IF(AJ912&gt;AH913,"no"))</f>
        <v>no</v>
      </c>
      <c r="AS912" s="17" t="str">
        <f aca="false">IF(AJ912&gt;AJ913,"FITS BITCH",IF(AJ912&lt;AJ913,"no"))</f>
        <v>FITS BITCH</v>
      </c>
      <c r="AT912" s="91" t="str">
        <f aca="false">IF(AND($AO912="FITS BITCH",$AP912="FITS BITCH",$AR912="FITS BITCH"),"BULLISH","")</f>
        <v/>
      </c>
      <c r="AU912" s="91" t="str">
        <f aca="false">IF(AND($AO912="FITS BITCH",$AQ912="FITS BITCH",$AS912="FITS BITCH"),"BEARISH","")</f>
        <v/>
      </c>
      <c r="AV912" s="86"/>
      <c r="AW912" s="86"/>
      <c r="AX912" s="86"/>
    </row>
    <row r="913" customFormat="false" ht="15.75" hidden="false" customHeight="false" outlineLevel="0" collapsed="false">
      <c r="AE913" s="90" t="n">
        <f aca="false">Data!A908</f>
        <v>41653</v>
      </c>
      <c r="AF913" s="17" t="n">
        <f aca="false">Data!B908</f>
        <v>76.89</v>
      </c>
      <c r="AG913" s="17" t="n">
        <f aca="false">Data!F908</f>
        <v>83734371</v>
      </c>
      <c r="AH913" s="17" t="n">
        <f aca="false">Data!C908</f>
        <v>78.1</v>
      </c>
      <c r="AI913" s="17" t="n">
        <f aca="false">Data!D908</f>
        <v>76.81</v>
      </c>
      <c r="AJ913" s="17" t="n">
        <f aca="false">Data!E908</f>
        <v>78.06</v>
      </c>
      <c r="AK913" s="17" t="n">
        <f aca="false">Data!F908</f>
        <v>83734371</v>
      </c>
      <c r="AL913" s="17" t="n">
        <f aca="false">AJ913</f>
        <v>78.06</v>
      </c>
      <c r="AM913" s="17" t="n">
        <f aca="false">(AL913-AL912)/AL913*100</f>
        <v>-1.99846272098386</v>
      </c>
      <c r="AN913" s="17" t="n">
        <f aca="false">(AK913-AK912)/AK913*100</f>
        <v>-17.6011927049646</v>
      </c>
      <c r="AO913" s="17" t="str">
        <f aca="false">IF(AN913&lt;-8,"FITS BITCH",IF(AN913&gt;-8,"no"))</f>
        <v>FITS BITCH</v>
      </c>
      <c r="AP913" s="17" t="str">
        <f aca="false">IF(AH914&lt;AH913,"FITS BITCH",IF(AH914&gt;AH913,"no"))</f>
        <v>FITS BITCH</v>
      </c>
      <c r="AQ913" s="17" t="str">
        <f aca="false">IF(AI914&lt;AI913,"FITS BITCH",IF(AI914&gt;AI913,"no"))</f>
        <v>FITS BITCH</v>
      </c>
      <c r="AR913" s="17" t="str">
        <f aca="false">IF(AJ913&lt;AH914,"FITS BITCH",IF(AJ913&gt;AH914,"no"))</f>
        <v>no</v>
      </c>
      <c r="AS913" s="17" t="str">
        <f aca="false">IF(AJ913&gt;AJ914,"FITS BITCH",IF(AJ913&lt;AJ914,"no"))</f>
        <v>FITS BITCH</v>
      </c>
      <c r="AT913" s="91" t="str">
        <f aca="false">IF(AND($AO913="FITS BITCH",$AP913="FITS BITCH",$AR913="FITS BITCH"),"BULLISH","")</f>
        <v/>
      </c>
      <c r="AU913" s="91" t="str">
        <f aca="false">IF(AND($AO913="FITS BITCH",$AQ913="FITS BITCH",$AS913="FITS BITCH"),"BEARISH","")</f>
        <v>BEARISH</v>
      </c>
      <c r="AV913" s="86"/>
      <c r="AW913" s="86"/>
      <c r="AX913" s="86"/>
    </row>
    <row r="914" customFormat="false" ht="15.75" hidden="false" customHeight="false" outlineLevel="0" collapsed="false">
      <c r="AE914" s="90" t="n">
        <f aca="false">Data!A909</f>
        <v>41652</v>
      </c>
      <c r="AF914" s="17" t="n">
        <f aca="false">Data!B909</f>
        <v>75.7</v>
      </c>
      <c r="AG914" s="17" t="n">
        <f aca="false">Data!F909</f>
        <v>94860843</v>
      </c>
      <c r="AH914" s="17" t="n">
        <f aca="false">Data!C909</f>
        <v>77.5</v>
      </c>
      <c r="AI914" s="17" t="n">
        <f aca="false">Data!D909</f>
        <v>75.7</v>
      </c>
      <c r="AJ914" s="17" t="n">
        <f aca="false">Data!E909</f>
        <v>76.53</v>
      </c>
      <c r="AK914" s="17" t="n">
        <f aca="false">Data!F909</f>
        <v>94860843</v>
      </c>
      <c r="AL914" s="17" t="n">
        <f aca="false">AJ914</f>
        <v>76.53</v>
      </c>
      <c r="AM914" s="17" t="n">
        <f aca="false">(AL914-AL913)/AL914*100</f>
        <v>-1.99921599372795</v>
      </c>
      <c r="AN914" s="17" t="n">
        <f aca="false">(AK914-AK913)/AK914*100</f>
        <v>11.7292569284884</v>
      </c>
      <c r="AO914" s="17" t="str">
        <f aca="false">IF(AN914&lt;-8,"FITS BITCH",IF(AN914&gt;-8,"no"))</f>
        <v>no</v>
      </c>
      <c r="AP914" s="17" t="str">
        <f aca="false">IF(AH915&lt;AH914,"FITS BITCH",IF(AH915&gt;AH914,"no"))</f>
        <v>FITS BITCH</v>
      </c>
      <c r="AQ914" s="17" t="str">
        <f aca="false">IF(AI915&lt;AI914,"FITS BITCH",IF(AI915&gt;AI914,"no"))</f>
        <v>no</v>
      </c>
      <c r="AR914" s="17" t="str">
        <f aca="false">IF(AJ914&lt;AH915,"FITS BITCH",IF(AJ914&gt;AH915,"no"))</f>
        <v>FITS BITCH</v>
      </c>
      <c r="AS914" s="17" t="str">
        <f aca="false">IF(AJ914&gt;AJ915,"FITS BITCH",IF(AJ914&lt;AJ915,"no"))</f>
        <v>FITS BITCH</v>
      </c>
      <c r="AT914" s="91" t="str">
        <f aca="false">IF(AND($AO914="FITS BITCH",$AP914="FITS BITCH",$AR914="FITS BITCH"),"BULLISH","")</f>
        <v/>
      </c>
      <c r="AU914" s="91" t="str">
        <f aca="false">IF(AND($AO914="FITS BITCH",$AQ914="FITS BITCH",$AS914="FITS BITCH"),"BEARISH","")</f>
        <v/>
      </c>
      <c r="AV914" s="86"/>
      <c r="AW914" s="86"/>
      <c r="AX914" s="86"/>
    </row>
    <row r="915" customFormat="false" ht="15.75" hidden="false" customHeight="false" outlineLevel="0" collapsed="false">
      <c r="AE915" s="90" t="n">
        <f aca="false">Data!A910</f>
        <v>41649</v>
      </c>
      <c r="AF915" s="17" t="n">
        <f aca="false">Data!B910</f>
        <v>77.12</v>
      </c>
      <c r="AG915" s="17" t="n">
        <f aca="false">Data!F910</f>
        <v>76320664</v>
      </c>
      <c r="AH915" s="17" t="n">
        <f aca="false">Data!C910</f>
        <v>77.26</v>
      </c>
      <c r="AI915" s="17" t="n">
        <f aca="false">Data!D910</f>
        <v>75.87</v>
      </c>
      <c r="AJ915" s="17" t="n">
        <f aca="false">Data!E910</f>
        <v>76.13</v>
      </c>
      <c r="AK915" s="17" t="n">
        <f aca="false">Data!F910</f>
        <v>76320664</v>
      </c>
      <c r="AL915" s="17" t="n">
        <f aca="false">AJ915</f>
        <v>76.13</v>
      </c>
      <c r="AM915" s="17" t="n">
        <f aca="false">(AL915-AL914)/AL915*100</f>
        <v>-0.525417049783273</v>
      </c>
      <c r="AN915" s="17" t="n">
        <f aca="false">(AK915-AK914)/AK915*100</f>
        <v>-24.2924760193386</v>
      </c>
      <c r="AO915" s="17" t="str">
        <f aca="false">IF(AN915&lt;-8,"FITS BITCH",IF(AN915&gt;-8,"no"))</f>
        <v>FITS BITCH</v>
      </c>
      <c r="AP915" s="17" t="str">
        <f aca="false">IF(AH916&lt;AH915,"FITS BITCH",IF(AH916&gt;AH915,"no"))</f>
        <v>no</v>
      </c>
      <c r="AQ915" s="17" t="str">
        <f aca="false">IF(AI916&lt;AI915,"FITS BITCH",IF(AI916&gt;AI915,"no"))</f>
        <v>no</v>
      </c>
      <c r="AR915" s="17" t="str">
        <f aca="false">IF(AJ915&lt;AH916,"FITS BITCH",IF(AJ915&gt;AH916,"no"))</f>
        <v>FITS BITCH</v>
      </c>
      <c r="AS915" s="17" t="str">
        <f aca="false">IF(AJ915&gt;AJ916,"FITS BITCH",IF(AJ915&lt;AJ916,"no"))</f>
        <v>no</v>
      </c>
      <c r="AT915" s="91" t="str">
        <f aca="false">IF(AND($AO915="FITS BITCH",$AP915="FITS BITCH",$AR915="FITS BITCH"),"BULLISH","")</f>
        <v/>
      </c>
      <c r="AU915" s="91" t="str">
        <f aca="false">IF(AND($AO915="FITS BITCH",$AQ915="FITS BITCH",$AS915="FITS BITCH"),"BEARISH","")</f>
        <v/>
      </c>
      <c r="AV915" s="86"/>
      <c r="AW915" s="86"/>
      <c r="AX915" s="86"/>
    </row>
    <row r="916" customFormat="false" ht="15.75" hidden="false" customHeight="false" outlineLevel="0" collapsed="false">
      <c r="AE916" s="90" t="n">
        <f aca="false">Data!A911</f>
        <v>41648</v>
      </c>
      <c r="AF916" s="17" t="n">
        <f aca="false">Data!B911</f>
        <v>78.11</v>
      </c>
      <c r="AG916" s="17" t="n">
        <f aca="false">Data!F911</f>
        <v>69905199</v>
      </c>
      <c r="AH916" s="17" t="n">
        <f aca="false">Data!C911</f>
        <v>78.12</v>
      </c>
      <c r="AI916" s="17" t="n">
        <f aca="false">Data!D911</f>
        <v>76.48</v>
      </c>
      <c r="AJ916" s="17" t="n">
        <f aca="false">Data!E911</f>
        <v>76.65</v>
      </c>
      <c r="AK916" s="17" t="n">
        <f aca="false">Data!F911</f>
        <v>69905199</v>
      </c>
      <c r="AL916" s="17" t="n">
        <f aca="false">AJ916</f>
        <v>76.65</v>
      </c>
      <c r="AM916" s="17" t="n">
        <f aca="false">(AL916-AL915)/AL916*100</f>
        <v>0.67840834964124</v>
      </c>
      <c r="AN916" s="17" t="n">
        <f aca="false">(AK916-AK915)/AK916*100</f>
        <v>-9.17737892427715</v>
      </c>
      <c r="AO916" s="17" t="str">
        <f aca="false">IF(AN916&lt;-8,"FITS BITCH",IF(AN916&gt;-8,"no"))</f>
        <v>FITS BITCH</v>
      </c>
      <c r="AP916" s="17" t="str">
        <f aca="false">IF(AH917&lt;AH916,"FITS BITCH",IF(AH917&gt;AH916,"no"))</f>
        <v>FITS BITCH</v>
      </c>
      <c r="AQ916" s="17" t="str">
        <f aca="false">IF(AI917&lt;AI916,"FITS BITCH",IF(AI917&gt;AI916,"no"))</f>
        <v>no</v>
      </c>
      <c r="AR916" s="17" t="str">
        <f aca="false">IF(AJ916&lt;AH917,"FITS BITCH",IF(AJ916&gt;AH917,"no"))</f>
        <v>FITS BITCH</v>
      </c>
      <c r="AS916" s="17" t="str">
        <f aca="false">IF(AJ916&gt;AJ917,"FITS BITCH",IF(AJ916&lt;AJ917,"no"))</f>
        <v>no</v>
      </c>
      <c r="AT916" s="91" t="str">
        <f aca="false">IF(AND($AO916="FITS BITCH",$AP916="FITS BITCH",$AR916="FITS BITCH"),"BULLISH","")</f>
        <v>BULLISH</v>
      </c>
      <c r="AU916" s="91" t="str">
        <f aca="false">IF(AND($AO916="FITS BITCH",$AQ916="FITS BITCH",$AS916="FITS BITCH"),"BEARISH","")</f>
        <v/>
      </c>
      <c r="AV916" s="86"/>
      <c r="AW916" s="86"/>
      <c r="AX916" s="86"/>
    </row>
    <row r="917" customFormat="false" ht="15.75" hidden="false" customHeight="false" outlineLevel="0" collapsed="false">
      <c r="AE917" s="90" t="n">
        <f aca="false">Data!A912</f>
        <v>41647</v>
      </c>
      <c r="AF917" s="17" t="n">
        <f aca="false">Data!B912</f>
        <v>76.97</v>
      </c>
      <c r="AG917" s="17" t="n">
        <f aca="false">Data!F912</f>
        <v>64686685</v>
      </c>
      <c r="AH917" s="17" t="n">
        <f aca="false">Data!C912</f>
        <v>77.94</v>
      </c>
      <c r="AI917" s="17" t="n">
        <f aca="false">Data!D912</f>
        <v>76.96</v>
      </c>
      <c r="AJ917" s="17" t="n">
        <f aca="false">Data!E912</f>
        <v>77.64</v>
      </c>
      <c r="AK917" s="17" t="n">
        <f aca="false">Data!F912</f>
        <v>64686685</v>
      </c>
      <c r="AL917" s="17" t="n">
        <f aca="false">AJ917</f>
        <v>77.64</v>
      </c>
      <c r="AM917" s="17" t="n">
        <f aca="false">(AL917-AL916)/AL917*100</f>
        <v>1.27511591962905</v>
      </c>
      <c r="AN917" s="17" t="n">
        <f aca="false">(AK917-AK916)/AK917*100</f>
        <v>-8.06736966038683</v>
      </c>
      <c r="AO917" s="17" t="str">
        <f aca="false">IF(AN917&lt;-8,"FITS BITCH",IF(AN917&gt;-8,"no"))</f>
        <v>FITS BITCH</v>
      </c>
      <c r="AP917" s="17" t="str">
        <f aca="false">IF(AH918&lt;AH917,"FITS BITCH",IF(AH918&gt;AH917,"no"))</f>
        <v>no</v>
      </c>
      <c r="AQ917" s="17" t="str">
        <f aca="false">IF(AI918&lt;AI917,"FITS BITCH",IF(AI918&gt;AI917,"no"))</f>
        <v>FITS BITCH</v>
      </c>
      <c r="AR917" s="17" t="str">
        <f aca="false">IF(AJ917&lt;AH918,"FITS BITCH",IF(AJ917&gt;AH918,"no"))</f>
        <v>FITS BITCH</v>
      </c>
      <c r="AS917" s="17" t="str">
        <f aca="false">IF(AJ917&gt;AJ918,"FITS BITCH",IF(AJ917&lt;AJ918,"no"))</f>
        <v>FITS BITCH</v>
      </c>
      <c r="AT917" s="91" t="str">
        <f aca="false">IF(AND($AO917="FITS BITCH",$AP917="FITS BITCH",$AR917="FITS BITCH"),"BULLISH","")</f>
        <v/>
      </c>
      <c r="AU917" s="91" t="str">
        <f aca="false">IF(AND($AO917="FITS BITCH",$AQ917="FITS BITCH",$AS917="FITS BITCH"),"BEARISH","")</f>
        <v>BEARISH</v>
      </c>
      <c r="AV917" s="86"/>
      <c r="AW917" s="86"/>
      <c r="AX917" s="86"/>
    </row>
    <row r="918" customFormat="false" ht="15.75" hidden="false" customHeight="false" outlineLevel="0" collapsed="false">
      <c r="AE918" s="90" t="n">
        <f aca="false">Data!A913</f>
        <v>41646</v>
      </c>
      <c r="AF918" s="17" t="n">
        <f aca="false">Data!B913</f>
        <v>77.76</v>
      </c>
      <c r="AG918" s="17" t="n">
        <f aca="false">Data!F913</f>
        <v>79432766</v>
      </c>
      <c r="AH918" s="17" t="n">
        <f aca="false">Data!C913</f>
        <v>77.99</v>
      </c>
      <c r="AI918" s="17" t="n">
        <f aca="false">Data!D913</f>
        <v>76.85</v>
      </c>
      <c r="AJ918" s="17" t="n">
        <f aca="false">Data!E913</f>
        <v>77.15</v>
      </c>
      <c r="AK918" s="17" t="n">
        <f aca="false">Data!F913</f>
        <v>79432766</v>
      </c>
      <c r="AL918" s="17" t="n">
        <f aca="false">AJ918</f>
        <v>77.15</v>
      </c>
      <c r="AM918" s="17" t="n">
        <f aca="false">(AL918-AL917)/AL918*100</f>
        <v>-0.635126377187291</v>
      </c>
      <c r="AN918" s="17" t="n">
        <f aca="false">(AK918-AK917)/AK918*100</f>
        <v>18.564229527145</v>
      </c>
      <c r="AO918" s="17" t="str">
        <f aca="false">IF(AN918&lt;-8,"FITS BITCH",IF(AN918&gt;-8,"no"))</f>
        <v>no</v>
      </c>
      <c r="AP918" s="17" t="str">
        <f aca="false">IF(AH919&lt;AH918,"FITS BITCH",IF(AH919&gt;AH918,"no"))</f>
        <v>no</v>
      </c>
      <c r="AQ918" s="17" t="str">
        <f aca="false">IF(AI919&lt;AI918,"FITS BITCH",IF(AI919&gt;AI918,"no"))</f>
        <v>FITS BITCH</v>
      </c>
      <c r="AR918" s="17" t="str">
        <f aca="false">IF(AJ918&lt;AH919,"FITS BITCH",IF(AJ918&gt;AH919,"no"))</f>
        <v>FITS BITCH</v>
      </c>
      <c r="AS918" s="17" t="str">
        <f aca="false">IF(AJ918&gt;AJ919,"FITS BITCH",IF(AJ918&lt;AJ919,"no"))</f>
        <v>no</v>
      </c>
      <c r="AT918" s="91" t="str">
        <f aca="false">IF(AND($AO918="FITS BITCH",$AP918="FITS BITCH",$AR918="FITS BITCH"),"BULLISH","")</f>
        <v/>
      </c>
      <c r="AU918" s="91" t="str">
        <f aca="false">IF(AND($AO918="FITS BITCH",$AQ918="FITS BITCH",$AS918="FITS BITCH"),"BEARISH","")</f>
        <v/>
      </c>
      <c r="AV918" s="86"/>
      <c r="AW918" s="86"/>
      <c r="AX918" s="86"/>
    </row>
    <row r="919" customFormat="false" ht="15.75" hidden="false" customHeight="false" outlineLevel="0" collapsed="false">
      <c r="AE919" s="90" t="n">
        <f aca="false">Data!A914</f>
        <v>41645</v>
      </c>
      <c r="AF919" s="17" t="n">
        <f aca="false">Data!B914</f>
        <v>76.78</v>
      </c>
      <c r="AG919" s="17" t="n">
        <f aca="false">Data!F914</f>
        <v>103359151</v>
      </c>
      <c r="AH919" s="17" t="n">
        <f aca="false">Data!C914</f>
        <v>78.11</v>
      </c>
      <c r="AI919" s="17" t="n">
        <f aca="false">Data!D914</f>
        <v>76.23</v>
      </c>
      <c r="AJ919" s="17" t="n">
        <f aca="false">Data!E914</f>
        <v>77.7</v>
      </c>
      <c r="AK919" s="17" t="n">
        <f aca="false">Data!F914</f>
        <v>103359151</v>
      </c>
      <c r="AL919" s="17" t="n">
        <f aca="false">AJ919</f>
        <v>77.7</v>
      </c>
      <c r="AM919" s="17" t="n">
        <f aca="false">(AL919-AL918)/AL919*100</f>
        <v>0.707850707850704</v>
      </c>
      <c r="AN919" s="17" t="n">
        <f aca="false">(AK919-AK918)/AK919*100</f>
        <v>23.1487824430756</v>
      </c>
      <c r="AO919" s="17" t="str">
        <f aca="false">IF(AN919&lt;-8,"FITS BITCH",IF(AN919&gt;-8,"no"))</f>
        <v>no</v>
      </c>
      <c r="AP919" s="17" t="str">
        <f aca="false">IF(AH920&lt;AH919,"FITS BITCH",IF(AH920&gt;AH919,"no"))</f>
        <v>no</v>
      </c>
      <c r="AQ919" s="17" t="str">
        <f aca="false">IF(AI920&lt;AI919,"FITS BITCH",IF(AI920&gt;AI919,"no"))</f>
        <v>no</v>
      </c>
      <c r="AR919" s="17" t="str">
        <f aca="false">IF(AJ919&lt;AH920,"FITS BITCH",IF(AJ919&gt;AH920,"no"))</f>
        <v>FITS BITCH</v>
      </c>
      <c r="AS919" s="17" t="str">
        <f aca="false">IF(AJ919&gt;AJ920,"FITS BITCH",IF(AJ919&lt;AJ920,"no"))</f>
        <v>FITS BITCH</v>
      </c>
      <c r="AT919" s="91" t="str">
        <f aca="false">IF(AND($AO919="FITS BITCH",$AP919="FITS BITCH",$AR919="FITS BITCH"),"BULLISH","")</f>
        <v/>
      </c>
      <c r="AU919" s="91" t="str">
        <f aca="false">IF(AND($AO919="FITS BITCH",$AQ919="FITS BITCH",$AS919="FITS BITCH"),"BEARISH","")</f>
        <v/>
      </c>
      <c r="AV919" s="86"/>
      <c r="AW919" s="86"/>
      <c r="AX919" s="86"/>
    </row>
    <row r="920" customFormat="false" ht="15.75" hidden="false" customHeight="false" outlineLevel="0" collapsed="false">
      <c r="AE920" s="90" t="n">
        <f aca="false">Data!A915</f>
        <v>41642</v>
      </c>
      <c r="AF920" s="17" t="n">
        <f aca="false">Data!B915</f>
        <v>78.98</v>
      </c>
      <c r="AG920" s="17" t="n">
        <f aca="false">Data!F915</f>
        <v>98303870</v>
      </c>
      <c r="AH920" s="17" t="n">
        <f aca="false">Data!C915</f>
        <v>79.1</v>
      </c>
      <c r="AI920" s="17" t="n">
        <f aca="false">Data!D915</f>
        <v>77.2</v>
      </c>
      <c r="AJ920" s="17" t="n">
        <f aca="false">Data!E915</f>
        <v>77.28</v>
      </c>
      <c r="AK920" s="17" t="n">
        <f aca="false">Data!F915</f>
        <v>98303870</v>
      </c>
      <c r="AL920" s="17" t="n">
        <f aca="false">AJ920</f>
        <v>77.28</v>
      </c>
      <c r="AM920" s="17" t="n">
        <f aca="false">(AL920-AL919)/AL920*100</f>
        <v>-0.543478260869567</v>
      </c>
      <c r="AN920" s="17" t="n">
        <f aca="false">(AK920-AK919)/AK920*100</f>
        <v>-5.14250456263828</v>
      </c>
      <c r="AO920" s="17" t="str">
        <f aca="false">IF(AN920&lt;-8,"FITS BITCH",IF(AN920&gt;-8,"no"))</f>
        <v>no</v>
      </c>
      <c r="AP920" s="17" t="str">
        <f aca="false">IF(AH921&lt;AH920,"FITS BITCH",IF(AH921&gt;AH920,"no"))</f>
        <v>no</v>
      </c>
      <c r="AQ920" s="17" t="str">
        <f aca="false">IF(AI921&lt;AI920,"FITS BITCH",IF(AI921&gt;AI920,"no"))</f>
        <v>no</v>
      </c>
      <c r="AR920" s="17" t="str">
        <f aca="false">IF(AJ920&lt;AH921,"FITS BITCH",IF(AJ920&gt;AH921,"no"))</f>
        <v>FITS BITCH</v>
      </c>
      <c r="AS920" s="17" t="str">
        <f aca="false">IF(AJ920&gt;AJ921,"FITS BITCH",IF(AJ920&lt;AJ921,"no"))</f>
        <v>no</v>
      </c>
      <c r="AT920" s="91" t="str">
        <f aca="false">IF(AND($AO920="FITS BITCH",$AP920="FITS BITCH",$AR920="FITS BITCH"),"BULLISH","")</f>
        <v/>
      </c>
      <c r="AU920" s="91" t="str">
        <f aca="false">IF(AND($AO920="FITS BITCH",$AQ920="FITS BITCH",$AS920="FITS BITCH"),"BEARISH","")</f>
        <v/>
      </c>
      <c r="AV920" s="86"/>
      <c r="AW920" s="86"/>
      <c r="AX920" s="86"/>
    </row>
    <row r="921" customFormat="false" ht="15.75" hidden="false" customHeight="false" outlineLevel="0" collapsed="false">
      <c r="AE921" s="90" t="n">
        <f aca="false">Data!A916</f>
        <v>41641</v>
      </c>
      <c r="AF921" s="17" t="n">
        <f aca="false">Data!B916</f>
        <v>79.38</v>
      </c>
      <c r="AG921" s="17" t="n">
        <f aca="false">Data!F916</f>
        <v>58791957</v>
      </c>
      <c r="AH921" s="17" t="n">
        <f aca="false">Data!C916</f>
        <v>79.58</v>
      </c>
      <c r="AI921" s="17" t="n">
        <f aca="false">Data!D916</f>
        <v>78.86</v>
      </c>
      <c r="AJ921" s="17" t="n">
        <f aca="false">Data!E916</f>
        <v>79.02</v>
      </c>
      <c r="AK921" s="17" t="n">
        <f aca="false">Data!F916</f>
        <v>58791957</v>
      </c>
      <c r="AL921" s="17" t="n">
        <f aca="false">AJ921</f>
        <v>79.02</v>
      </c>
      <c r="AM921" s="17" t="n">
        <f aca="false">(AL921-AL920)/AL921*100</f>
        <v>2.20197418375094</v>
      </c>
      <c r="AN921" s="17" t="n">
        <f aca="false">(AK921-AK920)/AK921*100</f>
        <v>-67.2063238173888</v>
      </c>
      <c r="AO921" s="17" t="str">
        <f aca="false">IF(AN921&lt;-8,"FITS BITCH",IF(AN921&gt;-8,"no"))</f>
        <v>FITS BITCH</v>
      </c>
      <c r="AP921" s="17" t="str">
        <f aca="false">IF(AH922&lt;AH921,"FITS BITCH",IF(AH922&gt;AH921,"no"))</f>
        <v>no</v>
      </c>
      <c r="AQ921" s="17" t="str">
        <f aca="false">IF(AI922&lt;AI921,"FITS BITCH",IF(AI922&gt;AI921,"no"))</f>
        <v>no</v>
      </c>
      <c r="AR921" s="17" t="str">
        <f aca="false">IF(AJ921&lt;AH922,"FITS BITCH",IF(AJ921&gt;AH922,"no"))</f>
        <v>FITS BITCH</v>
      </c>
      <c r="AS921" s="17" t="str">
        <f aca="false">IF(AJ921&gt;AJ922,"FITS BITCH",IF(AJ921&lt;AJ922,"no"))</f>
        <v>no</v>
      </c>
      <c r="AT921" s="91" t="str">
        <f aca="false">IF(AND($AO921="FITS BITCH",$AP921="FITS BITCH",$AR921="FITS BITCH"),"BULLISH","")</f>
        <v/>
      </c>
      <c r="AU921" s="91" t="str">
        <f aca="false">IF(AND($AO921="FITS BITCH",$AQ921="FITS BITCH",$AS921="FITS BITCH"),"BEARISH","")</f>
        <v/>
      </c>
      <c r="AV921" s="86"/>
      <c r="AW921" s="86"/>
      <c r="AX921" s="86"/>
    </row>
    <row r="922" customFormat="false" ht="15.75" hidden="false" customHeight="false" outlineLevel="0" collapsed="false">
      <c r="AE922" s="90" t="n">
        <f aca="false">Data!A917</f>
        <v>41639</v>
      </c>
      <c r="AF922" s="17" t="n">
        <f aca="false">Data!B917</f>
        <v>79.17</v>
      </c>
      <c r="AG922" s="17" t="n">
        <f aca="false">Data!F917</f>
        <v>55819372</v>
      </c>
      <c r="AH922" s="17" t="n">
        <f aca="false">Data!C917</f>
        <v>80.18</v>
      </c>
      <c r="AI922" s="17" t="n">
        <f aca="false">Data!D917</f>
        <v>79.14</v>
      </c>
      <c r="AJ922" s="17" t="n">
        <f aca="false">Data!E917</f>
        <v>80.15</v>
      </c>
      <c r="AK922" s="17" t="n">
        <f aca="false">Data!F917</f>
        <v>55819372</v>
      </c>
      <c r="AL922" s="17" t="n">
        <f aca="false">AJ922</f>
        <v>80.15</v>
      </c>
      <c r="AM922" s="17" t="n">
        <f aca="false">(AL922-AL921)/AL922*100</f>
        <v>1.40985651902684</v>
      </c>
      <c r="AN922" s="17" t="n">
        <f aca="false">(AK922-AK921)/AK922*100</f>
        <v>-5.32536446307565</v>
      </c>
      <c r="AO922" s="17" t="str">
        <f aca="false">IF(AN922&lt;-8,"FITS BITCH",IF(AN922&gt;-8,"no"))</f>
        <v>no</v>
      </c>
      <c r="AP922" s="17" t="str">
        <f aca="false">IF(AH923&lt;AH922,"FITS BITCH",IF(AH923&gt;AH922,"no"))</f>
        <v>FITS BITCH</v>
      </c>
      <c r="AQ922" s="17" t="str">
        <f aca="false">IF(AI923&lt;AI922,"FITS BITCH",IF(AI923&gt;AI922,"no"))</f>
        <v>FITS BITCH</v>
      </c>
      <c r="AR922" s="17" t="str">
        <f aca="false">IF(AJ922&lt;AH923,"FITS BITCH",IF(AJ922&gt;AH923,"no"))</f>
        <v>no</v>
      </c>
      <c r="AS922" s="17" t="str">
        <f aca="false">IF(AJ922&gt;AJ923,"FITS BITCH",IF(AJ922&lt;AJ923,"no"))</f>
        <v>FITS BITCH</v>
      </c>
      <c r="AT922" s="91" t="str">
        <f aca="false">IF(AND($AO922="FITS BITCH",$AP922="FITS BITCH",$AR922="FITS BITCH"),"BULLISH","")</f>
        <v/>
      </c>
      <c r="AU922" s="91" t="str">
        <f aca="false">IF(AND($AO922="FITS BITCH",$AQ922="FITS BITCH",$AS922="FITS BITCH"),"BEARISH","")</f>
        <v/>
      </c>
      <c r="AV922" s="86"/>
      <c r="AW922" s="86"/>
      <c r="AX922" s="86"/>
    </row>
    <row r="923" customFormat="false" ht="15.75" hidden="false" customHeight="false" outlineLevel="0" collapsed="false">
      <c r="AE923" s="90" t="n">
        <f aca="false">Data!A918</f>
        <v>41638</v>
      </c>
      <c r="AF923" s="17" t="n">
        <f aca="false">Data!B918</f>
        <v>79.64</v>
      </c>
      <c r="AG923" s="17" t="n">
        <f aca="false">Data!F918</f>
        <v>63407722</v>
      </c>
      <c r="AH923" s="17" t="n">
        <f aca="false">Data!C918</f>
        <v>80.01</v>
      </c>
      <c r="AI923" s="17" t="n">
        <f aca="false">Data!D918</f>
        <v>78.9</v>
      </c>
      <c r="AJ923" s="17" t="n">
        <f aca="false">Data!E918</f>
        <v>79.22</v>
      </c>
      <c r="AK923" s="17" t="n">
        <f aca="false">Data!F918</f>
        <v>63407722</v>
      </c>
      <c r="AL923" s="17" t="n">
        <f aca="false">AJ923</f>
        <v>79.22</v>
      </c>
      <c r="AM923" s="17" t="n">
        <f aca="false">(AL923-AL922)/AL923*100</f>
        <v>-1.17394597323909</v>
      </c>
      <c r="AN923" s="17" t="n">
        <f aca="false">(AK923-AK922)/AK923*100</f>
        <v>11.96754868437</v>
      </c>
      <c r="AO923" s="17" t="str">
        <f aca="false">IF(AN923&lt;-8,"FITS BITCH",IF(AN923&gt;-8,"no"))</f>
        <v>no</v>
      </c>
      <c r="AP923" s="17" t="str">
        <f aca="false">IF(AH924&lt;AH923,"FITS BITCH",IF(AH924&gt;AH923,"no"))</f>
        <v>no</v>
      </c>
      <c r="AQ923" s="17" t="str">
        <f aca="false">IF(AI924&lt;AI923,"FITS BITCH",IF(AI924&gt;AI923,"no"))</f>
        <v>no</v>
      </c>
      <c r="AR923" s="17" t="str">
        <f aca="false">IF(AJ923&lt;AH924,"FITS BITCH",IF(AJ923&gt;AH924,"no"))</f>
        <v>FITS BITCH</v>
      </c>
      <c r="AS923" s="17" t="str">
        <f aca="false">IF(AJ923&gt;AJ924,"FITS BITCH",IF(AJ923&lt;AJ924,"no"))</f>
        <v>no</v>
      </c>
      <c r="AT923" s="91" t="str">
        <f aca="false">IF(AND($AO923="FITS BITCH",$AP923="FITS BITCH",$AR923="FITS BITCH"),"BULLISH","")</f>
        <v/>
      </c>
      <c r="AU923" s="91" t="str">
        <f aca="false">IF(AND($AO923="FITS BITCH",$AQ923="FITS BITCH",$AS923="FITS BITCH"),"BEARISH","")</f>
        <v/>
      </c>
      <c r="AV923" s="86"/>
      <c r="AW923" s="86"/>
      <c r="AX923" s="86"/>
    </row>
    <row r="924" customFormat="false" ht="15.75" hidden="false" customHeight="false" outlineLevel="0" collapsed="false">
      <c r="AE924" s="90" t="n">
        <f aca="false">Data!A919</f>
        <v>41635</v>
      </c>
      <c r="AF924" s="17" t="n">
        <f aca="false">Data!B919</f>
        <v>80.55</v>
      </c>
      <c r="AG924" s="17" t="n">
        <f aca="false">Data!F919</f>
        <v>56471317</v>
      </c>
      <c r="AH924" s="17" t="n">
        <f aca="false">Data!C919</f>
        <v>80.63</v>
      </c>
      <c r="AI924" s="17" t="n">
        <f aca="false">Data!D919</f>
        <v>79.93</v>
      </c>
      <c r="AJ924" s="17" t="n">
        <f aca="false">Data!E919</f>
        <v>80.01</v>
      </c>
      <c r="AK924" s="17" t="n">
        <f aca="false">Data!F919</f>
        <v>56471317</v>
      </c>
      <c r="AL924" s="17" t="n">
        <f aca="false">AJ924</f>
        <v>80.01</v>
      </c>
      <c r="AM924" s="17" t="n">
        <f aca="false">(AL924-AL923)/AL924*100</f>
        <v>0.987376577927767</v>
      </c>
      <c r="AN924" s="17" t="n">
        <f aca="false">(AK924-AK923)/AK924*100</f>
        <v>-12.2830586720689</v>
      </c>
      <c r="AO924" s="17" t="str">
        <f aca="false">IF(AN924&lt;-8,"FITS BITCH",IF(AN924&gt;-8,"no"))</f>
        <v>FITS BITCH</v>
      </c>
      <c r="AP924" s="17" t="str">
        <f aca="false">IF(AH925&lt;AH924,"FITS BITCH",IF(AH925&gt;AH924,"no"))</f>
        <v>no</v>
      </c>
      <c r="AQ924" s="17" t="str">
        <f aca="false">IF(AI925&lt;AI924,"FITS BITCH",IF(AI925&gt;AI924,"no"))</f>
        <v>no</v>
      </c>
      <c r="AR924" s="17" t="str">
        <f aca="false">IF(AJ924&lt;AH925,"FITS BITCH",IF(AJ924&gt;AH925,"no"))</f>
        <v>FITS BITCH</v>
      </c>
      <c r="AS924" s="17" t="str">
        <f aca="false">IF(AJ924&gt;AJ925,"FITS BITCH",IF(AJ924&lt;AJ925,"no"))</f>
        <v>no</v>
      </c>
      <c r="AT924" s="91" t="str">
        <f aca="false">IF(AND($AO924="FITS BITCH",$AP924="FITS BITCH",$AR924="FITS BITCH"),"BULLISH","")</f>
        <v/>
      </c>
      <c r="AU924" s="91" t="str">
        <f aca="false">IF(AND($AO924="FITS BITCH",$AQ924="FITS BITCH",$AS924="FITS BITCH"),"BEARISH","")</f>
        <v/>
      </c>
      <c r="AV924" s="86"/>
      <c r="AW924" s="86"/>
      <c r="AX924" s="86"/>
    </row>
    <row r="925" customFormat="false" ht="15.75" hidden="false" customHeight="false" outlineLevel="0" collapsed="false">
      <c r="AE925" s="90" t="n">
        <f aca="false">Data!A920</f>
        <v>41634</v>
      </c>
      <c r="AF925" s="17" t="n">
        <f aca="false">Data!B920</f>
        <v>81.16</v>
      </c>
      <c r="AG925" s="17" t="n">
        <f aca="false">Data!F920</f>
        <v>51002035</v>
      </c>
      <c r="AH925" s="17" t="n">
        <f aca="false">Data!C920</f>
        <v>81.36</v>
      </c>
      <c r="AI925" s="17" t="n">
        <f aca="false">Data!D920</f>
        <v>80.48</v>
      </c>
      <c r="AJ925" s="17" t="n">
        <f aca="false">Data!E920</f>
        <v>80.56</v>
      </c>
      <c r="AK925" s="17" t="n">
        <f aca="false">Data!F920</f>
        <v>51002035</v>
      </c>
      <c r="AL925" s="17" t="n">
        <f aca="false">AJ925</f>
        <v>80.56</v>
      </c>
      <c r="AM925" s="17" t="n">
        <f aca="false">(AL925-AL924)/AL925*100</f>
        <v>0.68272095332671</v>
      </c>
      <c r="AN925" s="17" t="n">
        <f aca="false">(AK925-AK924)/AK925*100</f>
        <v>-10.7236544581015</v>
      </c>
      <c r="AO925" s="17" t="str">
        <f aca="false">IF(AN925&lt;-8,"FITS BITCH",IF(AN925&gt;-8,"no"))</f>
        <v>FITS BITCH</v>
      </c>
      <c r="AP925" s="17" t="str">
        <f aca="false">IF(AH926&lt;AH925,"FITS BITCH",IF(AH926&gt;AH925,"no"))</f>
        <v>no</v>
      </c>
      <c r="AQ925" s="17" t="str">
        <f aca="false">IF(AI926&lt;AI925,"FITS BITCH",IF(AI926&gt;AI925,"no"))</f>
        <v>no</v>
      </c>
      <c r="AR925" s="17" t="str">
        <f aca="false">IF(AJ925&lt;AH926,"FITS BITCH",IF(AJ925&gt;AH926,"no"))</f>
        <v>FITS BITCH</v>
      </c>
      <c r="AS925" s="17" t="str">
        <f aca="false">IF(AJ925&gt;AJ926,"FITS BITCH",IF(AJ925&lt;AJ926,"no"))</f>
        <v>no</v>
      </c>
      <c r="AT925" s="91" t="str">
        <f aca="false">IF(AND($AO925="FITS BITCH",$AP925="FITS BITCH",$AR925="FITS BITCH"),"BULLISH","")</f>
        <v/>
      </c>
      <c r="AU925" s="91" t="str">
        <f aca="false">IF(AND($AO925="FITS BITCH",$AQ925="FITS BITCH",$AS925="FITS BITCH"),"BEARISH","")</f>
        <v/>
      </c>
      <c r="AV925" s="86"/>
      <c r="AW925" s="86"/>
      <c r="AX925" s="86"/>
    </row>
    <row r="926" customFormat="false" ht="15.75" hidden="false" customHeight="false" outlineLevel="0" collapsed="false">
      <c r="AE926" s="90" t="n">
        <f aca="false">Data!A921</f>
        <v>41632</v>
      </c>
      <c r="AF926" s="17" t="n">
        <f aca="false">Data!B921</f>
        <v>81.41</v>
      </c>
      <c r="AG926" s="17" t="n">
        <f aca="false">Data!F921</f>
        <v>41888735</v>
      </c>
      <c r="AH926" s="17" t="n">
        <f aca="false">Data!C921</f>
        <v>81.7</v>
      </c>
      <c r="AI926" s="17" t="n">
        <f aca="false">Data!D921</f>
        <v>80.86</v>
      </c>
      <c r="AJ926" s="17" t="n">
        <f aca="false">Data!E921</f>
        <v>81.1</v>
      </c>
      <c r="AK926" s="17" t="n">
        <f aca="false">Data!F921</f>
        <v>41888735</v>
      </c>
      <c r="AL926" s="17" t="n">
        <f aca="false">AJ926</f>
        <v>81.1</v>
      </c>
      <c r="AM926" s="17" t="n">
        <f aca="false">(AL926-AL925)/AL926*100</f>
        <v>0.665844636251532</v>
      </c>
      <c r="AN926" s="17" t="n">
        <f aca="false">(AK926-AK925)/AK926*100</f>
        <v>-21.7559685199374</v>
      </c>
      <c r="AO926" s="17" t="str">
        <f aca="false">IF(AN926&lt;-8,"FITS BITCH",IF(AN926&gt;-8,"no"))</f>
        <v>FITS BITCH</v>
      </c>
      <c r="AP926" s="17" t="str">
        <f aca="false">IF(AH927&lt;AH926,"FITS BITCH",IF(AH927&gt;AH926,"no"))</f>
        <v>FITS BITCH</v>
      </c>
      <c r="AQ926" s="17" t="str">
        <f aca="false">IF(AI927&lt;AI926,"FITS BITCH",IF(AI927&gt;AI926,"no"))</f>
        <v>FITS BITCH</v>
      </c>
      <c r="AR926" s="17" t="str">
        <f aca="false">IF(AJ926&lt;AH927,"FITS BITCH",IF(AJ926&gt;AH927,"no"))</f>
        <v>FITS BITCH</v>
      </c>
      <c r="AS926" s="17" t="str">
        <f aca="false">IF(AJ926&gt;AJ927,"FITS BITCH",IF(AJ926&lt;AJ927,"no"))</f>
        <v>no</v>
      </c>
      <c r="AT926" s="91" t="str">
        <f aca="false">IF(AND($AO926="FITS BITCH",$AP926="FITS BITCH",$AR926="FITS BITCH"),"BULLISH","")</f>
        <v>BULLISH</v>
      </c>
      <c r="AU926" s="91" t="str">
        <f aca="false">IF(AND($AO926="FITS BITCH",$AQ926="FITS BITCH",$AS926="FITS BITCH"),"BEARISH","")</f>
        <v/>
      </c>
      <c r="AV926" s="86"/>
      <c r="AW926" s="86"/>
      <c r="AX926" s="86"/>
    </row>
    <row r="927" customFormat="false" ht="15.75" hidden="false" customHeight="false" outlineLevel="0" collapsed="false">
      <c r="AE927" s="90" t="n">
        <f aca="false">Data!A922</f>
        <v>41631</v>
      </c>
      <c r="AF927" s="17" t="n">
        <f aca="false">Data!B922</f>
        <v>81.14</v>
      </c>
      <c r="AG927" s="17" t="n">
        <f aca="false">Data!F922</f>
        <v>125326831</v>
      </c>
      <c r="AH927" s="17" t="n">
        <f aca="false">Data!C922</f>
        <v>81.53</v>
      </c>
      <c r="AI927" s="17" t="n">
        <f aca="false">Data!D922</f>
        <v>80.39</v>
      </c>
      <c r="AJ927" s="17" t="n">
        <f aca="false">Data!E922</f>
        <v>81.44</v>
      </c>
      <c r="AK927" s="17" t="n">
        <f aca="false">Data!F922</f>
        <v>125326831</v>
      </c>
      <c r="AL927" s="17" t="n">
        <f aca="false">AJ927</f>
        <v>81.44</v>
      </c>
      <c r="AM927" s="17" t="n">
        <f aca="false">(AL927-AL926)/AL927*100</f>
        <v>0.417485265225937</v>
      </c>
      <c r="AN927" s="17" t="n">
        <f aca="false">(AK927-AK926)/AK927*100</f>
        <v>66.5764029412026</v>
      </c>
      <c r="AO927" s="17" t="str">
        <f aca="false">IF(AN927&lt;-8,"FITS BITCH",IF(AN927&gt;-8,"no"))</f>
        <v>no</v>
      </c>
      <c r="AP927" s="17" t="str">
        <f aca="false">IF(AH928&lt;AH927,"FITS BITCH",IF(AH928&gt;AH927,"no"))</f>
        <v>FITS BITCH</v>
      </c>
      <c r="AQ927" s="17" t="str">
        <f aca="false">IF(AI928&lt;AI927,"FITS BITCH",IF(AI928&gt;AI927,"no"))</f>
        <v>FITS BITCH</v>
      </c>
      <c r="AR927" s="17" t="str">
        <f aca="false">IF(AJ927&lt;AH928,"FITS BITCH",IF(AJ927&gt;AH928,"no"))</f>
        <v>no</v>
      </c>
      <c r="AS927" s="17" t="str">
        <f aca="false">IF(AJ927&gt;AJ928,"FITS BITCH",IF(AJ927&lt;AJ928,"no"))</f>
        <v>FITS BITCH</v>
      </c>
      <c r="AT927" s="91" t="str">
        <f aca="false">IF(AND($AO927="FITS BITCH",$AP927="FITS BITCH",$AR927="FITS BITCH"),"BULLISH","")</f>
        <v/>
      </c>
      <c r="AU927" s="91" t="str">
        <f aca="false">IF(AND($AO927="FITS BITCH",$AQ927="FITS BITCH",$AS927="FITS BITCH"),"BEARISH","")</f>
        <v/>
      </c>
      <c r="AV927" s="86"/>
      <c r="AW927" s="86"/>
      <c r="AX927" s="86"/>
    </row>
    <row r="928" customFormat="false" ht="15.75" hidden="false" customHeight="false" outlineLevel="0" collapsed="false">
      <c r="AE928" s="90" t="n">
        <f aca="false">Data!A923</f>
        <v>41628</v>
      </c>
      <c r="AF928" s="17" t="n">
        <f aca="false">Data!B923</f>
        <v>77.91</v>
      </c>
      <c r="AG928" s="17" t="n">
        <f aca="false">Data!F923</f>
        <v>109103435</v>
      </c>
      <c r="AH928" s="17" t="n">
        <f aca="false">Data!C923</f>
        <v>78.8</v>
      </c>
      <c r="AI928" s="17" t="n">
        <f aca="false">Data!D923</f>
        <v>77.83</v>
      </c>
      <c r="AJ928" s="17" t="n">
        <f aca="false">Data!E923</f>
        <v>78.43</v>
      </c>
      <c r="AK928" s="17" t="n">
        <f aca="false">Data!F923</f>
        <v>109103435</v>
      </c>
      <c r="AL928" s="17" t="n">
        <f aca="false">AJ928</f>
        <v>78.43</v>
      </c>
      <c r="AM928" s="17" t="n">
        <f aca="false">(AL928-AL927)/AL928*100</f>
        <v>-3.83781716180032</v>
      </c>
      <c r="AN928" s="17" t="n">
        <f aca="false">(AK928-AK927)/AK928*100</f>
        <v>-14.8697389775125</v>
      </c>
      <c r="AO928" s="17" t="str">
        <f aca="false">IF(AN928&lt;-8,"FITS BITCH",IF(AN928&gt;-8,"no"))</f>
        <v>FITS BITCH</v>
      </c>
      <c r="AP928" s="17" t="str">
        <f aca="false">IF(AH929&lt;AH928,"FITS BITCH",IF(AH929&gt;AH928,"no"))</f>
        <v>FITS BITCH</v>
      </c>
      <c r="AQ928" s="17" t="str">
        <f aca="false">IF(AI929&lt;AI928,"FITS BITCH",IF(AI929&gt;AI928,"no"))</f>
        <v>FITS BITCH</v>
      </c>
      <c r="AR928" s="17" t="str">
        <f aca="false">IF(AJ928&lt;AH929,"FITS BITCH",IF(AJ928&gt;AH929,"no"))</f>
        <v>FITS BITCH</v>
      </c>
      <c r="AS928" s="17" t="str">
        <f aca="false">IF(AJ928&gt;AJ929,"FITS BITCH",IF(AJ928&lt;AJ929,"no"))</f>
        <v>FITS BITCH</v>
      </c>
      <c r="AT928" s="91" t="str">
        <f aca="false">IF(AND($AO928="FITS BITCH",$AP928="FITS BITCH",$AR928="FITS BITCH"),"BULLISH","")</f>
        <v>BULLISH</v>
      </c>
      <c r="AU928" s="91" t="str">
        <f aca="false">IF(AND($AO928="FITS BITCH",$AQ928="FITS BITCH",$AS928="FITS BITCH"),"BEARISH","")</f>
        <v>BEARISH</v>
      </c>
      <c r="AV928" s="86"/>
      <c r="AW928" s="86"/>
      <c r="AX928" s="86"/>
    </row>
    <row r="929" customFormat="false" ht="15.75" hidden="false" customHeight="false" outlineLevel="0" collapsed="false">
      <c r="AE929" s="90" t="n">
        <f aca="false">Data!A924</f>
        <v>41627</v>
      </c>
      <c r="AF929" s="17" t="n">
        <f aca="false">Data!B924</f>
        <v>78.38</v>
      </c>
      <c r="AG929" s="17" t="n">
        <f aca="false">Data!F924</f>
        <v>80239369</v>
      </c>
      <c r="AH929" s="17" t="n">
        <f aca="false">Data!C924</f>
        <v>78.57</v>
      </c>
      <c r="AI929" s="17" t="n">
        <f aca="false">Data!D924</f>
        <v>77.68</v>
      </c>
      <c r="AJ929" s="17" t="n">
        <f aca="false">Data!E924</f>
        <v>77.78</v>
      </c>
      <c r="AK929" s="17" t="n">
        <f aca="false">Data!F924</f>
        <v>80239369</v>
      </c>
      <c r="AL929" s="17" t="n">
        <f aca="false">AJ929</f>
        <v>77.78</v>
      </c>
      <c r="AM929" s="17" t="n">
        <f aca="false">(AL929-AL928)/AL929*100</f>
        <v>-0.835690408845469</v>
      </c>
      <c r="AN929" s="17" t="n">
        <f aca="false">(AK929-AK928)/AK929*100</f>
        <v>-35.9724488860325</v>
      </c>
      <c r="AO929" s="17" t="str">
        <f aca="false">IF(AN929&lt;-8,"FITS BITCH",IF(AN929&gt;-8,"no"))</f>
        <v>FITS BITCH</v>
      </c>
      <c r="AP929" s="17" t="str">
        <f aca="false">IF(AH930&lt;AH929,"FITS BITCH",IF(AH930&gt;AH929,"no"))</f>
        <v>no</v>
      </c>
      <c r="AQ929" s="17" t="str">
        <f aca="false">IF(AI930&lt;AI929,"FITS BITCH",IF(AI930&gt;AI929,"no"))</f>
        <v>FITS BITCH</v>
      </c>
      <c r="AR929" s="17" t="str">
        <f aca="false">IF(AJ929&lt;AH930,"FITS BITCH",IF(AJ929&gt;AH930,"no"))</f>
        <v>FITS BITCH</v>
      </c>
      <c r="AS929" s="17" t="str">
        <f aca="false">IF(AJ929&gt;AJ930,"FITS BITCH",IF(AJ929&lt;AJ930,"no"))</f>
        <v>no</v>
      </c>
      <c r="AT929" s="91" t="str">
        <f aca="false">IF(AND($AO929="FITS BITCH",$AP929="FITS BITCH",$AR929="FITS BITCH"),"BULLISH","")</f>
        <v/>
      </c>
      <c r="AU929" s="91" t="str">
        <f aca="false">IF(AND($AO929="FITS BITCH",$AQ929="FITS BITCH",$AS929="FITS BITCH"),"BEARISH","")</f>
        <v/>
      </c>
      <c r="AV929" s="86"/>
      <c r="AW929" s="86"/>
      <c r="AX929" s="86"/>
    </row>
    <row r="930" customFormat="false" ht="15.75" hidden="false" customHeight="false" outlineLevel="0" collapsed="false">
      <c r="AE930" s="90" t="n">
        <f aca="false">Data!A925</f>
        <v>41626</v>
      </c>
      <c r="AF930" s="17" t="n">
        <f aca="false">Data!B925</f>
        <v>78.21</v>
      </c>
      <c r="AG930" s="17" t="n">
        <f aca="false">Data!F925</f>
        <v>141465807</v>
      </c>
      <c r="AH930" s="17" t="n">
        <f aca="false">Data!C925</f>
        <v>78.78</v>
      </c>
      <c r="AI930" s="17" t="n">
        <f aca="false">Data!D925</f>
        <v>76.97</v>
      </c>
      <c r="AJ930" s="17" t="n">
        <f aca="false">Data!E925</f>
        <v>78.68</v>
      </c>
      <c r="AK930" s="17" t="n">
        <f aca="false">Data!F925</f>
        <v>141465807</v>
      </c>
      <c r="AL930" s="17" t="n">
        <f aca="false">AJ930</f>
        <v>78.68</v>
      </c>
      <c r="AM930" s="17" t="n">
        <f aca="false">(AL930-AL929)/AL930*100</f>
        <v>1.14387391967464</v>
      </c>
      <c r="AN930" s="17" t="n">
        <f aca="false">(AK930-AK929)/AK930*100</f>
        <v>43.280025964154</v>
      </c>
      <c r="AO930" s="17" t="str">
        <f aca="false">IF(AN930&lt;-8,"FITS BITCH",IF(AN930&gt;-8,"no"))</f>
        <v>no</v>
      </c>
      <c r="AP930" s="17" t="str">
        <f aca="false">IF(AH931&lt;AH930,"FITS BITCH",IF(AH931&gt;AH930,"no"))</f>
        <v>no</v>
      </c>
      <c r="AQ930" s="17" t="str">
        <f aca="false">IF(AI931&lt;AI930,"FITS BITCH",IF(AI931&gt;AI930,"no"))</f>
        <v>no</v>
      </c>
      <c r="AR930" s="17" t="str">
        <f aca="false">IF(AJ930&lt;AH931,"FITS BITCH",IF(AJ930&gt;AH931,"no"))</f>
        <v>FITS BITCH</v>
      </c>
      <c r="AS930" s="17" t="str">
        <f aca="false">IF(AJ930&gt;AJ931,"FITS BITCH",IF(AJ930&lt;AJ931,"no"))</f>
        <v>no</v>
      </c>
      <c r="AT930" s="91" t="str">
        <f aca="false">IF(AND($AO930="FITS BITCH",$AP930="FITS BITCH",$AR930="FITS BITCH"),"BULLISH","")</f>
        <v/>
      </c>
      <c r="AU930" s="91" t="str">
        <f aca="false">IF(AND($AO930="FITS BITCH",$AQ930="FITS BITCH",$AS930="FITS BITCH"),"BEARISH","")</f>
        <v/>
      </c>
      <c r="AV930" s="86"/>
      <c r="AW930" s="86"/>
      <c r="AX930" s="86"/>
    </row>
    <row r="931" customFormat="false" ht="15.75" hidden="false" customHeight="false" outlineLevel="0" collapsed="false">
      <c r="AE931" s="90" t="n">
        <f aca="false">Data!A926</f>
        <v>41625</v>
      </c>
      <c r="AF931" s="17" t="n">
        <f aca="false">Data!B926</f>
        <v>79.39</v>
      </c>
      <c r="AG931" s="17" t="n">
        <f aca="false">Data!F926</f>
        <v>57475649</v>
      </c>
      <c r="AH931" s="17" t="n">
        <f aca="false">Data!C926</f>
        <v>79.92</v>
      </c>
      <c r="AI931" s="17" t="n">
        <f aca="false">Data!D926</f>
        <v>79.05</v>
      </c>
      <c r="AJ931" s="17" t="n">
        <f aca="false">Data!E926</f>
        <v>79.28</v>
      </c>
      <c r="AK931" s="17" t="n">
        <f aca="false">Data!F926</f>
        <v>57475649</v>
      </c>
      <c r="AL931" s="17" t="n">
        <f aca="false">AJ931</f>
        <v>79.28</v>
      </c>
      <c r="AM931" s="17" t="n">
        <f aca="false">(AL931-AL930)/AL931*100</f>
        <v>0.756811301715432</v>
      </c>
      <c r="AN931" s="17" t="n">
        <f aca="false">(AK931-AK930)/AK931*100</f>
        <v>-146.131726150669</v>
      </c>
      <c r="AO931" s="17" t="str">
        <f aca="false">IF(AN931&lt;-8,"FITS BITCH",IF(AN931&gt;-8,"no"))</f>
        <v>FITS BITCH</v>
      </c>
      <c r="AP931" s="17" t="str">
        <f aca="false">IF(AH932&lt;AH931,"FITS BITCH",IF(AH932&gt;AH931,"no"))</f>
        <v>no</v>
      </c>
      <c r="AQ931" s="17" t="str">
        <f aca="false">IF(AI932&lt;AI931,"FITS BITCH",IF(AI932&gt;AI931,"no"))</f>
        <v>no</v>
      </c>
      <c r="AR931" s="17" t="str">
        <f aca="false">IF(AJ931&lt;AH932,"FITS BITCH",IF(AJ931&gt;AH932,"no"))</f>
        <v>FITS BITCH</v>
      </c>
      <c r="AS931" s="17" t="str">
        <f aca="false">IF(AJ931&gt;AJ932,"FITS BITCH",IF(AJ931&lt;AJ932,"no"))</f>
        <v>no</v>
      </c>
      <c r="AT931" s="91" t="str">
        <f aca="false">IF(AND($AO931="FITS BITCH",$AP931="FITS BITCH",$AR931="FITS BITCH"),"BULLISH","")</f>
        <v/>
      </c>
      <c r="AU931" s="91" t="str">
        <f aca="false">IF(AND($AO931="FITS BITCH",$AQ931="FITS BITCH",$AS931="FITS BITCH"),"BEARISH","")</f>
        <v/>
      </c>
      <c r="AV931" s="86"/>
      <c r="AW931" s="86"/>
      <c r="AX931" s="86"/>
    </row>
    <row r="932" customFormat="false" ht="15.75" hidden="false" customHeight="false" outlineLevel="0" collapsed="false">
      <c r="AE932" s="90" t="n">
        <f aca="false">Data!A927</f>
        <v>41624</v>
      </c>
      <c r="AF932" s="17" t="n">
        <f aca="false">Data!B927</f>
        <v>79.37</v>
      </c>
      <c r="AG932" s="17" t="n">
        <f aca="false">Data!F927</f>
        <v>70648452</v>
      </c>
      <c r="AH932" s="17" t="n">
        <f aca="false">Data!C927</f>
        <v>80.38</v>
      </c>
      <c r="AI932" s="17" t="n">
        <f aca="false">Data!D927</f>
        <v>79.29</v>
      </c>
      <c r="AJ932" s="17" t="n">
        <f aca="false">Data!E927</f>
        <v>79.64</v>
      </c>
      <c r="AK932" s="17" t="n">
        <f aca="false">Data!F927</f>
        <v>70648452</v>
      </c>
      <c r="AL932" s="17" t="n">
        <f aca="false">AJ932</f>
        <v>79.64</v>
      </c>
      <c r="AM932" s="17" t="n">
        <f aca="false">(AL932-AL931)/AL932*100</f>
        <v>0.452034153691612</v>
      </c>
      <c r="AN932" s="17" t="n">
        <f aca="false">(AK932-AK931)/AK932*100</f>
        <v>18.6455649445794</v>
      </c>
      <c r="AO932" s="17" t="str">
        <f aca="false">IF(AN932&lt;-8,"FITS BITCH",IF(AN932&gt;-8,"no"))</f>
        <v>no</v>
      </c>
      <c r="AP932" s="17" t="str">
        <f aca="false">IF(AH933&lt;AH932,"FITS BITCH",IF(AH933&gt;AH932,"no"))</f>
        <v>no</v>
      </c>
      <c r="AQ932" s="17" t="str">
        <f aca="false">IF(AI933&lt;AI932,"FITS BITCH",IF(AI933&gt;AI932,"no"))</f>
        <v>FITS BITCH</v>
      </c>
      <c r="AR932" s="17" t="str">
        <f aca="false">IF(AJ932&lt;AH933,"FITS BITCH",IF(AJ932&gt;AH933,"no"))</f>
        <v>FITS BITCH</v>
      </c>
      <c r="AS932" s="17" t="str">
        <f aca="false">IF(AJ932&gt;AJ933,"FITS BITCH",IF(AJ932&lt;AJ933,"no"))</f>
        <v>FITS BITCH</v>
      </c>
      <c r="AT932" s="91" t="str">
        <f aca="false">IF(AND($AO932="FITS BITCH",$AP932="FITS BITCH",$AR932="FITS BITCH"),"BULLISH","")</f>
        <v/>
      </c>
      <c r="AU932" s="91" t="str">
        <f aca="false">IF(AND($AO932="FITS BITCH",$AQ932="FITS BITCH",$AS932="FITS BITCH"),"BEARISH","")</f>
        <v/>
      </c>
      <c r="AV932" s="86"/>
      <c r="AW932" s="86"/>
      <c r="AX932" s="86"/>
    </row>
    <row r="933" customFormat="false" ht="15.75" hidden="false" customHeight="false" outlineLevel="0" collapsed="false">
      <c r="AE933" s="90" t="n">
        <f aca="false">Data!A928</f>
        <v>41621</v>
      </c>
      <c r="AF933" s="17" t="n">
        <f aca="false">Data!B928</f>
        <v>80.34</v>
      </c>
      <c r="AG933" s="17" t="n">
        <f aca="false">Data!F928</f>
        <v>83205283</v>
      </c>
      <c r="AH933" s="17" t="n">
        <f aca="false">Data!C928</f>
        <v>80.41</v>
      </c>
      <c r="AI933" s="17" t="n">
        <f aca="false">Data!D928</f>
        <v>79.1</v>
      </c>
      <c r="AJ933" s="17" t="n">
        <f aca="false">Data!E928</f>
        <v>79.2</v>
      </c>
      <c r="AK933" s="17" t="n">
        <f aca="false">Data!F928</f>
        <v>83205283</v>
      </c>
      <c r="AL933" s="17" t="n">
        <f aca="false">AJ933</f>
        <v>79.2</v>
      </c>
      <c r="AM933" s="17" t="n">
        <f aca="false">(AL933-AL932)/AL933*100</f>
        <v>-0.555555555555553</v>
      </c>
      <c r="AN933" s="17" t="n">
        <f aca="false">(AK933-AK932)/AK933*100</f>
        <v>15.0913866851459</v>
      </c>
      <c r="AO933" s="17" t="str">
        <f aca="false">IF(AN933&lt;-8,"FITS BITCH",IF(AN933&gt;-8,"no"))</f>
        <v>no</v>
      </c>
      <c r="AP933" s="17" t="str">
        <f aca="false">IF(AH934&lt;AH933,"FITS BITCH",IF(AH934&gt;AH933,"no"))</f>
        <v>no</v>
      </c>
      <c r="AQ933" s="17" t="str">
        <f aca="false">IF(AI934&lt;AI933,"FITS BITCH",IF(AI934&gt;AI933,"no"))</f>
        <v>no</v>
      </c>
      <c r="AR933" s="17" t="str">
        <f aca="false">IF(AJ933&lt;AH934,"FITS BITCH",IF(AJ933&gt;AH934,"no"))</f>
        <v>FITS BITCH</v>
      </c>
      <c r="AS933" s="17" t="str">
        <f aca="false">IF(AJ933&gt;AJ934,"FITS BITCH",IF(AJ933&lt;AJ934,"no"))</f>
        <v>no</v>
      </c>
      <c r="AT933" s="91" t="str">
        <f aca="false">IF(AND($AO933="FITS BITCH",$AP933="FITS BITCH",$AR933="FITS BITCH"),"BULLISH","")</f>
        <v/>
      </c>
      <c r="AU933" s="91" t="str">
        <f aca="false">IF(AND($AO933="FITS BITCH",$AQ933="FITS BITCH",$AS933="FITS BITCH"),"BEARISH","")</f>
        <v/>
      </c>
      <c r="AV933" s="86"/>
      <c r="AW933" s="86"/>
      <c r="AX933" s="86"/>
    </row>
    <row r="934" customFormat="false" ht="15.75" hidden="false" customHeight="false" outlineLevel="0" collapsed="false">
      <c r="AE934" s="90" t="n">
        <f aca="false">Data!A929</f>
        <v>41620</v>
      </c>
      <c r="AF934" s="17" t="n">
        <f aca="false">Data!B929</f>
        <v>80.38</v>
      </c>
      <c r="AG934" s="17" t="n">
        <f aca="false">Data!F929</f>
        <v>65572318</v>
      </c>
      <c r="AH934" s="17" t="n">
        <f aca="false">Data!C929</f>
        <v>80.76</v>
      </c>
      <c r="AI934" s="17" t="n">
        <f aca="false">Data!D929</f>
        <v>80</v>
      </c>
      <c r="AJ934" s="17" t="n">
        <f aca="false">Data!E929</f>
        <v>80.08</v>
      </c>
      <c r="AK934" s="17" t="n">
        <f aca="false">Data!F929</f>
        <v>65572318</v>
      </c>
      <c r="AL934" s="17" t="n">
        <f aca="false">AJ934</f>
        <v>80.08</v>
      </c>
      <c r="AM934" s="17" t="n">
        <f aca="false">(AL934-AL933)/AL934*100</f>
        <v>1.09890109890109</v>
      </c>
      <c r="AN934" s="17" t="n">
        <f aca="false">(AK934-AK933)/AK934*100</f>
        <v>-26.8908672711555</v>
      </c>
      <c r="AO934" s="17" t="str">
        <f aca="false">IF(AN934&lt;-8,"FITS BITCH",IF(AN934&gt;-8,"no"))</f>
        <v>FITS BITCH</v>
      </c>
      <c r="AP934" s="17" t="str">
        <f aca="false">IF(AH935&lt;AH934,"FITS BITCH",IF(AH935&gt;AH934,"no"))</f>
        <v>no</v>
      </c>
      <c r="AQ934" s="17" t="str">
        <f aca="false">IF(AI935&lt;AI934,"FITS BITCH",IF(AI935&gt;AI934,"no"))</f>
        <v>FITS BITCH</v>
      </c>
      <c r="AR934" s="17" t="str">
        <f aca="false">IF(AJ934&lt;AH935,"FITS BITCH",IF(AJ934&gt;AH935,"no"))</f>
        <v>FITS BITCH</v>
      </c>
      <c r="AS934" s="17" t="str">
        <f aca="false">IF(AJ934&gt;AJ935,"FITS BITCH",IF(AJ934&lt;AJ935,"no"))</f>
        <v>no</v>
      </c>
      <c r="AT934" s="91" t="str">
        <f aca="false">IF(AND($AO934="FITS BITCH",$AP934="FITS BITCH",$AR934="FITS BITCH"),"BULLISH","")</f>
        <v/>
      </c>
      <c r="AU934" s="91" t="str">
        <f aca="false">IF(AND($AO934="FITS BITCH",$AQ934="FITS BITCH",$AS934="FITS BITCH"),"BEARISH","")</f>
        <v/>
      </c>
      <c r="AV934" s="86"/>
      <c r="AW934" s="86"/>
      <c r="AX934" s="86"/>
    </row>
    <row r="935" customFormat="false" ht="15.75" hidden="false" customHeight="false" outlineLevel="0" collapsed="false">
      <c r="AE935" s="90" t="n">
        <f aca="false">Data!A930</f>
        <v>41619</v>
      </c>
      <c r="AF935" s="17" t="n">
        <f aca="false">Data!B930</f>
        <v>81.01</v>
      </c>
      <c r="AG935" s="17" t="n">
        <f aca="false">Data!F930</f>
        <v>89929693</v>
      </c>
      <c r="AH935" s="17" t="n">
        <f aca="false">Data!C930</f>
        <v>81.57</v>
      </c>
      <c r="AI935" s="17" t="n">
        <f aca="false">Data!D930</f>
        <v>79.96</v>
      </c>
      <c r="AJ935" s="17" t="n">
        <f aca="false">Data!E930</f>
        <v>80.19</v>
      </c>
      <c r="AK935" s="17" t="n">
        <f aca="false">Data!F930</f>
        <v>89929693</v>
      </c>
      <c r="AL935" s="17" t="n">
        <f aca="false">AJ935</f>
        <v>80.19</v>
      </c>
      <c r="AM935" s="17" t="n">
        <f aca="false">(AL935-AL934)/AL935*100</f>
        <v>0.137174211248285</v>
      </c>
      <c r="AN935" s="17" t="n">
        <f aca="false">(AK935-AK934)/AK935*100</f>
        <v>27.0849084295217</v>
      </c>
      <c r="AO935" s="17" t="str">
        <f aca="false">IF(AN935&lt;-8,"FITS BITCH",IF(AN935&gt;-8,"no"))</f>
        <v>no</v>
      </c>
      <c r="AP935" s="17" t="str">
        <f aca="false">IF(AH936&lt;AH935,"FITS BITCH",IF(AH936&gt;AH935,"no"))</f>
        <v>FITS BITCH</v>
      </c>
      <c r="AQ935" s="17" t="str">
        <f aca="false">IF(AI936&lt;AI935,"FITS BITCH",IF(AI936&gt;AI935,"no"))</f>
        <v>no</v>
      </c>
      <c r="AR935" s="17" t="str">
        <f aca="false">IF(AJ935&lt;AH936,"FITS BITCH",IF(AJ935&gt;AH936,"no"))</f>
        <v>FITS BITCH</v>
      </c>
      <c r="AS935" s="17" t="str">
        <f aca="false">IF(AJ935&gt;AJ936,"FITS BITCH",IF(AJ935&lt;AJ936,"no"))</f>
        <v>no</v>
      </c>
      <c r="AT935" s="91" t="str">
        <f aca="false">IF(AND($AO935="FITS BITCH",$AP935="FITS BITCH",$AR935="FITS BITCH"),"BULLISH","")</f>
        <v/>
      </c>
      <c r="AU935" s="91" t="str">
        <f aca="false">IF(AND($AO935="FITS BITCH",$AQ935="FITS BITCH",$AS935="FITS BITCH"),"BEARISH","")</f>
        <v/>
      </c>
      <c r="AV935" s="86"/>
      <c r="AW935" s="86"/>
      <c r="AX935" s="86"/>
    </row>
    <row r="936" customFormat="false" ht="15.75" hidden="false" customHeight="false" outlineLevel="0" collapsed="false">
      <c r="AE936" s="90" t="n">
        <f aca="false">Data!A931</f>
        <v>41618</v>
      </c>
      <c r="AF936" s="17" t="n">
        <f aca="false">Data!B931</f>
        <v>80.52</v>
      </c>
      <c r="AG936" s="17" t="n">
        <f aca="false">Data!F931</f>
        <v>69567610</v>
      </c>
      <c r="AH936" s="17" t="n">
        <f aca="false">Data!C931</f>
        <v>81.13</v>
      </c>
      <c r="AI936" s="17" t="n">
        <f aca="false">Data!D931</f>
        <v>80.17</v>
      </c>
      <c r="AJ936" s="17" t="n">
        <f aca="false">Data!E931</f>
        <v>80.79</v>
      </c>
      <c r="AK936" s="17" t="n">
        <f aca="false">Data!F931</f>
        <v>69567610</v>
      </c>
      <c r="AL936" s="17" t="n">
        <f aca="false">AJ936</f>
        <v>80.79</v>
      </c>
      <c r="AM936" s="17" t="n">
        <f aca="false">(AL936-AL935)/AL936*100</f>
        <v>0.742666171555896</v>
      </c>
      <c r="AN936" s="17" t="n">
        <f aca="false">(AK936-AK935)/AK936*100</f>
        <v>-29.26948762506</v>
      </c>
      <c r="AO936" s="17" t="str">
        <f aca="false">IF(AN936&lt;-8,"FITS BITCH",IF(AN936&gt;-8,"no"))</f>
        <v>FITS BITCH</v>
      </c>
      <c r="AP936" s="17" t="str">
        <f aca="false">IF(AH937&lt;AH936,"FITS BITCH",IF(AH937&gt;AH936,"no"))</f>
        <v>no</v>
      </c>
      <c r="AQ936" s="17" t="str">
        <f aca="false">IF(AI937&lt;AI936,"FITS BITCH",IF(AI937&gt;AI936,"no"))</f>
        <v>FITS BITCH</v>
      </c>
      <c r="AR936" s="17" t="str">
        <f aca="false">IF(AJ936&lt;AH937,"FITS BITCH",IF(AJ936&gt;AH937,"no"))</f>
        <v>FITS BITCH</v>
      </c>
      <c r="AS936" s="17" t="str">
        <f aca="false">IF(AJ936&gt;AJ937,"FITS BITCH",IF(AJ936&lt;AJ937,"no"))</f>
        <v>no</v>
      </c>
      <c r="AT936" s="91" t="str">
        <f aca="false">IF(AND($AO936="FITS BITCH",$AP936="FITS BITCH",$AR936="FITS BITCH"),"BULLISH","")</f>
        <v/>
      </c>
      <c r="AU936" s="91" t="str">
        <f aca="false">IF(AND($AO936="FITS BITCH",$AQ936="FITS BITCH",$AS936="FITS BITCH"),"BEARISH","")</f>
        <v/>
      </c>
      <c r="AV936" s="86"/>
      <c r="AW936" s="86"/>
      <c r="AX936" s="86"/>
    </row>
    <row r="937" customFormat="false" ht="15.75" hidden="false" customHeight="false" outlineLevel="0" collapsed="false">
      <c r="AE937" s="90" t="n">
        <f aca="false">Data!A932</f>
        <v>41617</v>
      </c>
      <c r="AF937" s="17" t="n">
        <f aca="false">Data!B932</f>
        <v>80.14</v>
      </c>
      <c r="AG937" s="17" t="n">
        <f aca="false">Data!F932</f>
        <v>80123533</v>
      </c>
      <c r="AH937" s="17" t="n">
        <f aca="false">Data!C932</f>
        <v>81.37</v>
      </c>
      <c r="AI937" s="17" t="n">
        <f aca="false">Data!D932</f>
        <v>80.13</v>
      </c>
      <c r="AJ937" s="17" t="n">
        <f aca="false">Data!E932</f>
        <v>80.92</v>
      </c>
      <c r="AK937" s="17" t="n">
        <f aca="false">Data!F932</f>
        <v>80123533</v>
      </c>
      <c r="AL937" s="17" t="n">
        <f aca="false">AJ937</f>
        <v>80.92</v>
      </c>
      <c r="AM937" s="17" t="n">
        <f aca="false">(AL937-AL936)/AL937*100</f>
        <v>0.160652496292629</v>
      </c>
      <c r="AN937" s="17" t="n">
        <f aca="false">(AK937-AK936)/AK937*100</f>
        <v>13.1745600883576</v>
      </c>
      <c r="AO937" s="17" t="str">
        <f aca="false">IF(AN937&lt;-8,"FITS BITCH",IF(AN937&gt;-8,"no"))</f>
        <v>no</v>
      </c>
      <c r="AP937" s="17" t="str">
        <f aca="false">IF(AH938&lt;AH937,"FITS BITCH",IF(AH938&gt;AH937,"no"))</f>
        <v>FITS BITCH</v>
      </c>
      <c r="AQ937" s="17" t="str">
        <f aca="false">IF(AI938&lt;AI937,"FITS BITCH",IF(AI938&gt;AI937,"no"))</f>
        <v>FITS BITCH</v>
      </c>
      <c r="AR937" s="17" t="str">
        <f aca="false">IF(AJ937&lt;AH938,"FITS BITCH",IF(AJ937&gt;AH938,"no"))</f>
        <v>FITS BITCH</v>
      </c>
      <c r="AS937" s="17" t="str">
        <f aca="false">IF(AJ937&gt;AJ938,"FITS BITCH",IF(AJ937&lt;AJ938,"no"))</f>
        <v>FITS BITCH</v>
      </c>
      <c r="AT937" s="91" t="str">
        <f aca="false">IF(AND($AO937="FITS BITCH",$AP937="FITS BITCH",$AR937="FITS BITCH"),"BULLISH","")</f>
        <v/>
      </c>
      <c r="AU937" s="91" t="str">
        <f aca="false">IF(AND($AO937="FITS BITCH",$AQ937="FITS BITCH",$AS937="FITS BITCH"),"BEARISH","")</f>
        <v/>
      </c>
      <c r="AV937" s="86"/>
      <c r="AW937" s="86"/>
      <c r="AX937" s="86"/>
    </row>
    <row r="938" customFormat="false" ht="15.75" hidden="false" customHeight="false" outlineLevel="0" collapsed="false">
      <c r="AE938" s="90" t="n">
        <f aca="false">Data!A933</f>
        <v>41614</v>
      </c>
      <c r="AF938" s="17" t="n">
        <f aca="false">Data!B933</f>
        <v>80.83</v>
      </c>
      <c r="AG938" s="17" t="n">
        <f aca="false">Data!F933</f>
        <v>86088352</v>
      </c>
      <c r="AH938" s="17" t="n">
        <f aca="false">Data!C933</f>
        <v>80.96</v>
      </c>
      <c r="AI938" s="17" t="n">
        <f aca="false">Data!D933</f>
        <v>79.94</v>
      </c>
      <c r="AJ938" s="17" t="n">
        <f aca="false">Data!E933</f>
        <v>80</v>
      </c>
      <c r="AK938" s="17" t="n">
        <f aca="false">Data!F933</f>
        <v>86088352</v>
      </c>
      <c r="AL938" s="17" t="n">
        <f aca="false">AJ938</f>
        <v>80</v>
      </c>
      <c r="AM938" s="17" t="n">
        <f aca="false">(AL938-AL937)/AL938*100</f>
        <v>-1.15</v>
      </c>
      <c r="AN938" s="17" t="n">
        <f aca="false">(AK938-AK937)/AK938*100</f>
        <v>6.92871783629915</v>
      </c>
      <c r="AO938" s="17" t="str">
        <f aca="false">IF(AN938&lt;-8,"FITS BITCH",IF(AN938&gt;-8,"no"))</f>
        <v>no</v>
      </c>
      <c r="AP938" s="17" t="str">
        <f aca="false">IF(AH939&lt;AH938,"FITS BITCH",IF(AH939&gt;AH938,"no"))</f>
        <v>no</v>
      </c>
      <c r="AQ938" s="17" t="str">
        <f aca="false">IF(AI939&lt;AI938,"FITS BITCH",IF(AI939&gt;AI938,"no"))</f>
        <v>no</v>
      </c>
      <c r="AR938" s="17" t="str">
        <f aca="false">IF(AJ938&lt;AH939,"FITS BITCH",IF(AJ938&gt;AH939,"no"))</f>
        <v>FITS BITCH</v>
      </c>
      <c r="AS938" s="17" t="str">
        <f aca="false">IF(AJ938&gt;AJ939,"FITS BITCH",IF(AJ938&lt;AJ939,"no"))</f>
        <v>no</v>
      </c>
      <c r="AT938" s="91" t="str">
        <f aca="false">IF(AND($AO938="FITS BITCH",$AP938="FITS BITCH",$AR938="FITS BITCH"),"BULLISH","")</f>
        <v/>
      </c>
      <c r="AU938" s="91" t="str">
        <f aca="false">IF(AND($AO938="FITS BITCH",$AQ938="FITS BITCH",$AS938="FITS BITCH"),"BEARISH","")</f>
        <v/>
      </c>
      <c r="AV938" s="86"/>
      <c r="AW938" s="86"/>
      <c r="AX938" s="86"/>
    </row>
    <row r="939" customFormat="false" ht="15.75" hidden="false" customHeight="false" outlineLevel="0" collapsed="false">
      <c r="AE939" s="90" t="n">
        <f aca="false">Data!A934</f>
        <v>41613</v>
      </c>
      <c r="AF939" s="17" t="n">
        <f aca="false">Data!B934</f>
        <v>81.81</v>
      </c>
      <c r="AG939" s="17" t="n">
        <f aca="false">Data!F934</f>
        <v>111895315</v>
      </c>
      <c r="AH939" s="17" t="n">
        <f aca="false">Data!C934</f>
        <v>82.16</v>
      </c>
      <c r="AI939" s="17" t="n">
        <f aca="false">Data!D934</f>
        <v>80.92</v>
      </c>
      <c r="AJ939" s="17" t="n">
        <f aca="false">Data!E934</f>
        <v>81.13</v>
      </c>
      <c r="AK939" s="17" t="n">
        <f aca="false">Data!F934</f>
        <v>111895315</v>
      </c>
      <c r="AL939" s="17" t="n">
        <f aca="false">AJ939</f>
        <v>81.13</v>
      </c>
      <c r="AM939" s="17" t="n">
        <f aca="false">(AL939-AL938)/AL939*100</f>
        <v>1.39282632811536</v>
      </c>
      <c r="AN939" s="17" t="n">
        <f aca="false">(AK939-AK938)/AK939*100</f>
        <v>23.0634884043179</v>
      </c>
      <c r="AO939" s="17" t="str">
        <f aca="false">IF(AN939&lt;-8,"FITS BITCH",IF(AN939&gt;-8,"no"))</f>
        <v>no</v>
      </c>
      <c r="AP939" s="17" t="str">
        <f aca="false">IF(AH940&lt;AH939,"FITS BITCH",IF(AH940&gt;AH939,"no"))</f>
        <v>FITS BITCH</v>
      </c>
      <c r="AQ939" s="17" t="str">
        <f aca="false">IF(AI940&lt;AI939,"FITS BITCH",IF(AI940&gt;AI939,"no"))</f>
        <v>FITS BITCH</v>
      </c>
      <c r="AR939" s="17" t="str">
        <f aca="false">IF(AJ939&lt;AH940,"FITS BITCH",IF(AJ939&gt;AH940,"no"))</f>
        <v>FITS BITCH</v>
      </c>
      <c r="AS939" s="17" t="str">
        <f aca="false">IF(AJ939&gt;AJ940,"FITS BITCH",IF(AJ939&lt;AJ940,"no"))</f>
        <v>FITS BITCH</v>
      </c>
      <c r="AT939" s="91" t="str">
        <f aca="false">IF(AND($AO939="FITS BITCH",$AP939="FITS BITCH",$AR939="FITS BITCH"),"BULLISH","")</f>
        <v/>
      </c>
      <c r="AU939" s="91" t="str">
        <f aca="false">IF(AND($AO939="FITS BITCH",$AQ939="FITS BITCH",$AS939="FITS BITCH"),"BEARISH","")</f>
        <v/>
      </c>
      <c r="AV939" s="86"/>
      <c r="AW939" s="86"/>
      <c r="AX939" s="86"/>
    </row>
    <row r="940" customFormat="false" ht="15.75" hidden="false" customHeight="false" outlineLevel="0" collapsed="false">
      <c r="AE940" s="90" t="n">
        <f aca="false">Data!A935</f>
        <v>41612</v>
      </c>
      <c r="AF940" s="17" t="n">
        <f aca="false">Data!B935</f>
        <v>80.79</v>
      </c>
      <c r="AG940" s="17" t="n">
        <f aca="false">Data!F935</f>
        <v>94452666</v>
      </c>
      <c r="AH940" s="17" t="n">
        <f aca="false">Data!C935</f>
        <v>81.31</v>
      </c>
      <c r="AI940" s="17" t="n">
        <f aca="false">Data!D935</f>
        <v>80.12</v>
      </c>
      <c r="AJ940" s="17" t="n">
        <f aca="false">Data!E935</f>
        <v>80.71</v>
      </c>
      <c r="AK940" s="17" t="n">
        <f aca="false">Data!F935</f>
        <v>94452666</v>
      </c>
      <c r="AL940" s="17" t="n">
        <f aca="false">AJ940</f>
        <v>80.71</v>
      </c>
      <c r="AM940" s="17" t="n">
        <f aca="false">(AL940-AL939)/AL940*100</f>
        <v>-0.520381613183003</v>
      </c>
      <c r="AN940" s="17" t="n">
        <f aca="false">(AK940-AK939)/AK940*100</f>
        <v>-18.4670795846038</v>
      </c>
      <c r="AO940" s="17" t="str">
        <f aca="false">IF(AN940&lt;-8,"FITS BITCH",IF(AN940&gt;-8,"no"))</f>
        <v>FITS BITCH</v>
      </c>
      <c r="AP940" s="17" t="str">
        <f aca="false">IF(AH941&lt;AH940,"FITS BITCH",IF(AH941&gt;AH940,"no"))</f>
        <v>FITS BITCH</v>
      </c>
      <c r="AQ940" s="17" t="str">
        <f aca="false">IF(AI941&lt;AI940,"FITS BITCH",IF(AI941&gt;AI940,"no"))</f>
        <v>FITS BITCH</v>
      </c>
      <c r="AR940" s="17" t="str">
        <f aca="false">IF(AJ940&lt;AH941,"FITS BITCH",IF(AJ940&gt;AH941,"no"))</f>
        <v>FITS BITCH</v>
      </c>
      <c r="AS940" s="17" t="str">
        <f aca="false">IF(AJ940&gt;AJ941,"FITS BITCH",IF(AJ940&lt;AJ941,"no"))</f>
        <v>no</v>
      </c>
      <c r="AT940" s="91" t="str">
        <f aca="false">IF(AND($AO940="FITS BITCH",$AP940="FITS BITCH",$AR940="FITS BITCH"),"BULLISH","")</f>
        <v>BULLISH</v>
      </c>
      <c r="AU940" s="91" t="str">
        <f aca="false">IF(AND($AO940="FITS BITCH",$AQ940="FITS BITCH",$AS940="FITS BITCH"),"BEARISH","")</f>
        <v/>
      </c>
      <c r="AV940" s="86"/>
      <c r="AW940" s="86"/>
      <c r="AX940" s="86"/>
    </row>
    <row r="941" customFormat="false" ht="15.75" hidden="false" customHeight="false" outlineLevel="0" collapsed="false">
      <c r="AE941" s="90" t="n">
        <f aca="false">Data!A936</f>
        <v>41611</v>
      </c>
      <c r="AF941" s="17" t="n">
        <f aca="false">Data!B936</f>
        <v>79.76</v>
      </c>
      <c r="AG941" s="17" t="n">
        <f aca="false">Data!F936</f>
        <v>112741734</v>
      </c>
      <c r="AH941" s="17" t="n">
        <f aca="false">Data!C936</f>
        <v>80.91</v>
      </c>
      <c r="AI941" s="17" t="n">
        <f aca="false">Data!D936</f>
        <v>79.67</v>
      </c>
      <c r="AJ941" s="17" t="n">
        <f aca="false">Data!E936</f>
        <v>80.9</v>
      </c>
      <c r="AK941" s="17" t="n">
        <f aca="false">Data!F936</f>
        <v>112741734</v>
      </c>
      <c r="AL941" s="17" t="n">
        <f aca="false">AJ941</f>
        <v>80.9</v>
      </c>
      <c r="AM941" s="17" t="n">
        <f aca="false">(AL941-AL940)/AL941*100</f>
        <v>0.234857849196554</v>
      </c>
      <c r="AN941" s="17" t="n">
        <f aca="false">(AK941-AK940)/AK941*100</f>
        <v>16.2220921668634</v>
      </c>
      <c r="AO941" s="17" t="str">
        <f aca="false">IF(AN941&lt;-8,"FITS BITCH",IF(AN941&gt;-8,"no"))</f>
        <v>no</v>
      </c>
      <c r="AP941" s="17" t="str">
        <f aca="false">IF(AH942&lt;AH941,"FITS BITCH",IF(AH942&gt;AH941,"no"))</f>
        <v>FITS BITCH</v>
      </c>
      <c r="AQ941" s="17" t="str">
        <f aca="false">IF(AI942&lt;AI941,"FITS BITCH",IF(AI942&gt;AI941,"no"))</f>
        <v>FITS BITCH</v>
      </c>
      <c r="AR941" s="17" t="str">
        <f aca="false">IF(AJ941&lt;AH942,"FITS BITCH",IF(AJ941&gt;AH942,"no"))</f>
        <v>no</v>
      </c>
      <c r="AS941" s="17" t="str">
        <f aca="false">IF(AJ941&gt;AJ942,"FITS BITCH",IF(AJ941&lt;AJ942,"no"))</f>
        <v>FITS BITCH</v>
      </c>
      <c r="AT941" s="91" t="str">
        <f aca="false">IF(AND($AO941="FITS BITCH",$AP941="FITS BITCH",$AR941="FITS BITCH"),"BULLISH","")</f>
        <v/>
      </c>
      <c r="AU941" s="91" t="str">
        <f aca="false">IF(AND($AO941="FITS BITCH",$AQ941="FITS BITCH",$AS941="FITS BITCH"),"BEARISH","")</f>
        <v/>
      </c>
      <c r="AV941" s="86"/>
      <c r="AW941" s="86"/>
      <c r="AX941" s="86"/>
    </row>
    <row r="942" customFormat="false" ht="15.75" hidden="false" customHeight="false" outlineLevel="0" collapsed="false">
      <c r="AE942" s="90" t="n">
        <f aca="false">Data!A937</f>
        <v>41610</v>
      </c>
      <c r="AF942" s="17" t="n">
        <f aca="false">Data!B937</f>
        <v>79.71</v>
      </c>
      <c r="AG942" s="17" t="n">
        <f aca="false">Data!F937</f>
        <v>118135885</v>
      </c>
      <c r="AH942" s="17" t="n">
        <f aca="false">Data!C937</f>
        <v>80.62</v>
      </c>
      <c r="AI942" s="17" t="n">
        <f aca="false">Data!D937</f>
        <v>78.69</v>
      </c>
      <c r="AJ942" s="17" t="n">
        <f aca="false">Data!E937</f>
        <v>78.75</v>
      </c>
      <c r="AK942" s="17" t="n">
        <f aca="false">Data!F937</f>
        <v>118135885</v>
      </c>
      <c r="AL942" s="17" t="n">
        <f aca="false">AJ942</f>
        <v>78.75</v>
      </c>
      <c r="AM942" s="17" t="n">
        <f aca="false">(AL942-AL941)/AL942*100</f>
        <v>-2.73015873015874</v>
      </c>
      <c r="AN942" s="17" t="n">
        <f aca="false">(AK942-AK941)/AK942*100</f>
        <v>4.56605628340618</v>
      </c>
      <c r="AO942" s="17" t="str">
        <f aca="false">IF(AN942&lt;-8,"FITS BITCH",IF(AN942&gt;-8,"no"))</f>
        <v>no</v>
      </c>
      <c r="AP942" s="17" t="str">
        <f aca="false">IF(AH943&lt;AH942,"FITS BITCH",IF(AH943&gt;AH942,"no"))</f>
        <v>FITS BITCH</v>
      </c>
      <c r="AQ942" s="17" t="str">
        <f aca="false">IF(AI943&lt;AI942,"FITS BITCH",IF(AI943&gt;AI942,"no"))</f>
        <v>FITS BITCH</v>
      </c>
      <c r="AR942" s="17" t="str">
        <f aca="false">IF(AJ942&lt;AH943,"FITS BITCH",IF(AJ942&gt;AH943,"no"))</f>
        <v>FITS BITCH</v>
      </c>
      <c r="AS942" s="17" t="str">
        <f aca="false">IF(AJ942&gt;AJ943,"FITS BITCH",IF(AJ942&lt;AJ943,"no"))</f>
        <v>no</v>
      </c>
      <c r="AT942" s="91" t="str">
        <f aca="false">IF(AND($AO942="FITS BITCH",$AP942="FITS BITCH",$AR942="FITS BITCH"),"BULLISH","")</f>
        <v/>
      </c>
      <c r="AU942" s="91" t="str">
        <f aca="false">IF(AND($AO942="FITS BITCH",$AQ942="FITS BITCH",$AS942="FITS BITCH"),"BEARISH","")</f>
        <v/>
      </c>
      <c r="AV942" s="86"/>
      <c r="AW942" s="86"/>
      <c r="AX942" s="86"/>
    </row>
    <row r="943" customFormat="false" ht="15.75" hidden="false" customHeight="false" outlineLevel="0" collapsed="false">
      <c r="AE943" s="90" t="n">
        <f aca="false">Data!A938</f>
        <v>41607</v>
      </c>
      <c r="AF943" s="17" t="n">
        <f aca="false">Data!B938</f>
        <v>78.5</v>
      </c>
      <c r="AG943" s="17" t="n">
        <f aca="false">Data!F938</f>
        <v>79532215</v>
      </c>
      <c r="AH943" s="17" t="n">
        <f aca="false">Data!C938</f>
        <v>79.76</v>
      </c>
      <c r="AI943" s="17" t="n">
        <f aca="false">Data!D938</f>
        <v>78.26</v>
      </c>
      <c r="AJ943" s="17" t="n">
        <f aca="false">Data!E938</f>
        <v>79.44</v>
      </c>
      <c r="AK943" s="17" t="n">
        <f aca="false">Data!F938</f>
        <v>79532215</v>
      </c>
      <c r="AL943" s="17" t="n">
        <f aca="false">AJ943</f>
        <v>79.44</v>
      </c>
      <c r="AM943" s="17" t="n">
        <f aca="false">(AL943-AL942)/AL943*100</f>
        <v>0.868580060422958</v>
      </c>
      <c r="AN943" s="17" t="n">
        <f aca="false">(AK943-AK942)/AK943*100</f>
        <v>-48.5384067324165</v>
      </c>
      <c r="AO943" s="17" t="str">
        <f aca="false">IF(AN943&lt;-8,"FITS BITCH",IF(AN943&gt;-8,"no"))</f>
        <v>FITS BITCH</v>
      </c>
      <c r="AP943" s="17" t="str">
        <f aca="false">IF(AH944&lt;AH943,"FITS BITCH",IF(AH944&gt;AH943,"no"))</f>
        <v>FITS BITCH</v>
      </c>
      <c r="AQ943" s="17" t="str">
        <f aca="false">IF(AI944&lt;AI943,"FITS BITCH",IF(AI944&gt;AI943,"no"))</f>
        <v>FITS BITCH</v>
      </c>
      <c r="AR943" s="17" t="str">
        <f aca="false">IF(AJ943&lt;AH944,"FITS BITCH",IF(AJ943&gt;AH944,"no"))</f>
        <v>no</v>
      </c>
      <c r="AS943" s="17" t="str">
        <f aca="false">IF(AJ943&gt;AJ944,"FITS BITCH",IF(AJ943&lt;AJ944,"no"))</f>
        <v>FITS BITCH</v>
      </c>
      <c r="AT943" s="91" t="str">
        <f aca="false">IF(AND($AO943="FITS BITCH",$AP943="FITS BITCH",$AR943="FITS BITCH"),"BULLISH","")</f>
        <v/>
      </c>
      <c r="AU943" s="91" t="str">
        <f aca="false">IF(AND($AO943="FITS BITCH",$AQ943="FITS BITCH",$AS943="FITS BITCH"),"BEARISH","")</f>
        <v>BEARISH</v>
      </c>
      <c r="AV943" s="86"/>
      <c r="AW943" s="86"/>
      <c r="AX943" s="86"/>
    </row>
    <row r="944" customFormat="false" ht="15.75" hidden="false" customHeight="false" outlineLevel="0" collapsed="false">
      <c r="AE944" s="90" t="n">
        <f aca="false">Data!A939</f>
        <v>41605</v>
      </c>
      <c r="AF944" s="17" t="n">
        <f aca="false">Data!B939</f>
        <v>76.62</v>
      </c>
      <c r="AG944" s="17" t="n">
        <f aca="false">Data!F939</f>
        <v>90861841</v>
      </c>
      <c r="AH944" s="17" t="n">
        <f aca="false">Data!C939</f>
        <v>78</v>
      </c>
      <c r="AI944" s="17" t="n">
        <f aca="false">Data!D939</f>
        <v>76.2</v>
      </c>
      <c r="AJ944" s="17" t="n">
        <f aca="false">Data!E939</f>
        <v>77.99</v>
      </c>
      <c r="AK944" s="17" t="n">
        <f aca="false">Data!F939</f>
        <v>90861841</v>
      </c>
      <c r="AL944" s="17" t="n">
        <f aca="false">AJ944</f>
        <v>77.99</v>
      </c>
      <c r="AM944" s="17" t="n">
        <f aca="false">(AL944-AL943)/AL944*100</f>
        <v>-1.85921271957944</v>
      </c>
      <c r="AN944" s="17" t="n">
        <f aca="false">(AK944-AK943)/AK944*100</f>
        <v>12.4690693863445</v>
      </c>
      <c r="AO944" s="17" t="str">
        <f aca="false">IF(AN944&lt;-8,"FITS BITCH",IF(AN944&gt;-8,"no"))</f>
        <v>no</v>
      </c>
      <c r="AP944" s="17" t="str">
        <f aca="false">IF(AH945&lt;AH944,"FITS BITCH",IF(AH945&gt;AH944,"no"))</f>
        <v>FITS BITCH</v>
      </c>
      <c r="AQ944" s="17" t="str">
        <f aca="false">IF(AI945&lt;AI944,"FITS BITCH",IF(AI945&gt;AI944,"no"))</f>
        <v>FITS BITCH</v>
      </c>
      <c r="AR944" s="17" t="str">
        <f aca="false">IF(AJ944&lt;AH945,"FITS BITCH",IF(AJ944&gt;AH945,"no"))</f>
        <v>no</v>
      </c>
      <c r="AS944" s="17" t="str">
        <f aca="false">IF(AJ944&gt;AJ945,"FITS BITCH",IF(AJ944&lt;AJ945,"no"))</f>
        <v>FITS BITCH</v>
      </c>
      <c r="AT944" s="91" t="str">
        <f aca="false">IF(AND($AO944="FITS BITCH",$AP944="FITS BITCH",$AR944="FITS BITCH"),"BULLISH","")</f>
        <v/>
      </c>
      <c r="AU944" s="91" t="str">
        <f aca="false">IF(AND($AO944="FITS BITCH",$AQ944="FITS BITCH",$AS944="FITS BITCH"),"BEARISH","")</f>
        <v/>
      </c>
      <c r="AV944" s="86"/>
      <c r="AW944" s="86"/>
      <c r="AX944" s="86"/>
    </row>
    <row r="945" customFormat="false" ht="15.75" hidden="false" customHeight="false" outlineLevel="0" collapsed="false">
      <c r="AE945" s="90" t="n">
        <f aca="false">Data!A940</f>
        <v>41604</v>
      </c>
      <c r="AF945" s="17" t="n">
        <f aca="false">Data!B940</f>
        <v>74.87</v>
      </c>
      <c r="AG945" s="17" t="n">
        <f aca="false">Data!F940</f>
        <v>100345728</v>
      </c>
      <c r="AH945" s="17" t="n">
        <f aca="false">Data!C940</f>
        <v>76.59</v>
      </c>
      <c r="AI945" s="17" t="n">
        <f aca="false">Data!D940</f>
        <v>74.86</v>
      </c>
      <c r="AJ945" s="17" t="n">
        <f aca="false">Data!E940</f>
        <v>76.2</v>
      </c>
      <c r="AK945" s="17" t="n">
        <f aca="false">Data!F940</f>
        <v>100345728</v>
      </c>
      <c r="AL945" s="17" t="n">
        <f aca="false">AJ945</f>
        <v>76.2</v>
      </c>
      <c r="AM945" s="17" t="n">
        <f aca="false">(AL945-AL944)/AL945*100</f>
        <v>-2.34908136482939</v>
      </c>
      <c r="AN945" s="17" t="n">
        <f aca="false">(AK945-AK944)/AK945*100</f>
        <v>9.45121151545186</v>
      </c>
      <c r="AO945" s="17" t="str">
        <f aca="false">IF(AN945&lt;-8,"FITS BITCH",IF(AN945&gt;-8,"no"))</f>
        <v>no</v>
      </c>
      <c r="AP945" s="17" t="str">
        <f aca="false">IF(AH946&lt;AH945,"FITS BITCH",IF(AH946&gt;AH945,"no"))</f>
        <v>FITS BITCH</v>
      </c>
      <c r="AQ945" s="17" t="str">
        <f aca="false">IF(AI946&lt;AI945,"FITS BITCH",IF(AI946&gt;AI945,"no"))</f>
        <v>FITS BITCH</v>
      </c>
      <c r="AR945" s="17" t="str">
        <f aca="false">IF(AJ945&lt;AH946,"FITS BITCH",IF(AJ945&gt;AH946,"no"))</f>
        <v>no</v>
      </c>
      <c r="AS945" s="17" t="str">
        <f aca="false">IF(AJ945&gt;AJ946,"FITS BITCH",IF(AJ945&lt;AJ946,"no"))</f>
        <v>FITS BITCH</v>
      </c>
      <c r="AT945" s="91" t="str">
        <f aca="false">IF(AND($AO945="FITS BITCH",$AP945="FITS BITCH",$AR945="FITS BITCH"),"BULLISH","")</f>
        <v/>
      </c>
      <c r="AU945" s="91" t="str">
        <f aca="false">IF(AND($AO945="FITS BITCH",$AQ945="FITS BITCH",$AS945="FITS BITCH"),"BEARISH","")</f>
        <v/>
      </c>
      <c r="AV945" s="86"/>
      <c r="AW945" s="86"/>
      <c r="AX945" s="86"/>
    </row>
    <row r="946" customFormat="false" ht="15.75" hidden="false" customHeight="false" outlineLevel="0" collapsed="false">
      <c r="AE946" s="90" t="n">
        <f aca="false">Data!A941</f>
        <v>41603</v>
      </c>
      <c r="AF946" s="17" t="n">
        <f aca="false">Data!B941</f>
        <v>74.43</v>
      </c>
      <c r="AG946" s="17" t="n">
        <f aca="false">Data!F941</f>
        <v>57348403</v>
      </c>
      <c r="AH946" s="17" t="n">
        <f aca="false">Data!C941</f>
        <v>75.12</v>
      </c>
      <c r="AI946" s="17" t="n">
        <f aca="false">Data!D941</f>
        <v>74.43</v>
      </c>
      <c r="AJ946" s="17" t="n">
        <f aca="false">Data!E941</f>
        <v>74.82</v>
      </c>
      <c r="AK946" s="17" t="n">
        <f aca="false">Data!F941</f>
        <v>57348403</v>
      </c>
      <c r="AL946" s="17" t="n">
        <f aca="false">AJ946</f>
        <v>74.82</v>
      </c>
      <c r="AM946" s="17" t="n">
        <f aca="false">(AL946-AL945)/AL946*100</f>
        <v>-1.84442662389737</v>
      </c>
      <c r="AN946" s="17" t="n">
        <f aca="false">(AK946-AK945)/AK946*100</f>
        <v>-74.9756274817278</v>
      </c>
      <c r="AO946" s="17" t="str">
        <f aca="false">IF(AN946&lt;-8,"FITS BITCH",IF(AN946&gt;-8,"no"))</f>
        <v>FITS BITCH</v>
      </c>
      <c r="AP946" s="17" t="str">
        <f aca="false">IF(AH947&lt;AH946,"FITS BITCH",IF(AH947&gt;AH946,"no"))</f>
        <v>FITS BITCH</v>
      </c>
      <c r="AQ946" s="17" t="str">
        <f aca="false">IF(AI947&lt;AI946,"FITS BITCH",IF(AI947&gt;AI946,"no"))</f>
        <v>FITS BITCH</v>
      </c>
      <c r="AR946" s="17" t="str">
        <f aca="false">IF(AJ946&lt;AH947,"FITS BITCH",IF(AJ946&gt;AH947,"no"))</f>
        <v>no</v>
      </c>
      <c r="AS946" s="17" t="str">
        <f aca="false">IF(AJ946&gt;AJ947,"FITS BITCH",IF(AJ946&lt;AJ947,"no"))</f>
        <v>FITS BITCH</v>
      </c>
      <c r="AT946" s="91" t="str">
        <f aca="false">IF(AND($AO946="FITS BITCH",$AP946="FITS BITCH",$AR946="FITS BITCH"),"BULLISH","")</f>
        <v/>
      </c>
      <c r="AU946" s="91" t="str">
        <f aca="false">IF(AND($AO946="FITS BITCH",$AQ946="FITS BITCH",$AS946="FITS BITCH"),"BEARISH","")</f>
        <v>BEARISH</v>
      </c>
      <c r="AV946" s="86"/>
      <c r="AW946" s="86"/>
      <c r="AX946" s="86"/>
    </row>
    <row r="947" customFormat="false" ht="15.75" hidden="false" customHeight="false" outlineLevel="0" collapsed="false">
      <c r="AE947" s="90" t="n">
        <f aca="false">Data!A942</f>
        <v>41600</v>
      </c>
      <c r="AF947" s="17" t="n">
        <f aca="false">Data!B942</f>
        <v>74.22</v>
      </c>
      <c r="AG947" s="17" t="n">
        <f aca="false">Data!F942</f>
        <v>55931232</v>
      </c>
      <c r="AH947" s="17" t="n">
        <f aca="false">Data!C942</f>
        <v>74.59</v>
      </c>
      <c r="AI947" s="17" t="n">
        <f aca="false">Data!D942</f>
        <v>74.08</v>
      </c>
      <c r="AJ947" s="17" t="n">
        <f aca="false">Data!E942</f>
        <v>74.26</v>
      </c>
      <c r="AK947" s="17" t="n">
        <f aca="false">Data!F942</f>
        <v>55931232</v>
      </c>
      <c r="AL947" s="17" t="n">
        <f aca="false">AJ947</f>
        <v>74.26</v>
      </c>
      <c r="AM947" s="17" t="n">
        <f aca="false">(AL947-AL946)/AL947*100</f>
        <v>-0.754107190950697</v>
      </c>
      <c r="AN947" s="17" t="n">
        <f aca="false">(AK947-AK946)/AK947*100</f>
        <v>-2.53377397444061</v>
      </c>
      <c r="AO947" s="17" t="str">
        <f aca="false">IF(AN947&lt;-8,"FITS BITCH",IF(AN947&gt;-8,"no"))</f>
        <v>no</v>
      </c>
      <c r="AP947" s="17" t="str">
        <f aca="false">IF(AH948&lt;AH947,"FITS BITCH",IF(AH948&gt;AH947,"no"))</f>
        <v>FITS BITCH</v>
      </c>
      <c r="AQ947" s="17" t="str">
        <f aca="false">IF(AI948&lt;AI947,"FITS BITCH",IF(AI948&gt;AI947,"no"))</f>
        <v>FITS BITCH</v>
      </c>
      <c r="AR947" s="17" t="str">
        <f aca="false">IF(AJ947&lt;AH948,"FITS BITCH",IF(AJ947&gt;AH948,"no"))</f>
        <v>FITS BITCH</v>
      </c>
      <c r="AS947" s="17" t="str">
        <f aca="false">IF(AJ947&gt;AJ948,"FITS BITCH",IF(AJ947&lt;AJ948,"no"))</f>
        <v>no</v>
      </c>
      <c r="AT947" s="91" t="str">
        <f aca="false">IF(AND($AO947="FITS BITCH",$AP947="FITS BITCH",$AR947="FITS BITCH"),"BULLISH","")</f>
        <v/>
      </c>
      <c r="AU947" s="91" t="str">
        <f aca="false">IF(AND($AO947="FITS BITCH",$AQ947="FITS BITCH",$AS947="FITS BITCH"),"BEARISH","")</f>
        <v/>
      </c>
      <c r="AV947" s="86"/>
      <c r="AW947" s="86"/>
      <c r="AX947" s="86"/>
    </row>
    <row r="948" customFormat="false" ht="15.75" hidden="false" customHeight="false" outlineLevel="0" collapsed="false">
      <c r="AE948" s="90" t="n">
        <f aca="false">Data!A943</f>
        <v>41599</v>
      </c>
      <c r="AF948" s="17" t="n">
        <f aca="false">Data!B943</f>
        <v>73.94</v>
      </c>
      <c r="AG948" s="17" t="n">
        <f aca="false">Data!F943</f>
        <v>65506861</v>
      </c>
      <c r="AH948" s="17" t="n">
        <f aca="false">Data!C943</f>
        <v>74.46</v>
      </c>
      <c r="AI948" s="17" t="n">
        <f aca="false">Data!D943</f>
        <v>73.38</v>
      </c>
      <c r="AJ948" s="17" t="n">
        <f aca="false">Data!E943</f>
        <v>74.45</v>
      </c>
      <c r="AK948" s="17" t="n">
        <f aca="false">Data!F943</f>
        <v>65506861</v>
      </c>
      <c r="AL948" s="17" t="n">
        <f aca="false">AJ948</f>
        <v>74.45</v>
      </c>
      <c r="AM948" s="17" t="n">
        <f aca="false">(AL948-AL947)/AL948*100</f>
        <v>0.255204835460037</v>
      </c>
      <c r="AN948" s="17" t="n">
        <f aca="false">(AK948-AK947)/AK948*100</f>
        <v>14.6177497346423</v>
      </c>
      <c r="AO948" s="17" t="str">
        <f aca="false">IF(AN948&lt;-8,"FITS BITCH",IF(AN948&gt;-8,"no"))</f>
        <v>no</v>
      </c>
      <c r="AP948" s="17" t="str">
        <f aca="false">IF(AH949&lt;AH948,"FITS BITCH",IF(AH949&gt;AH948,"no"))</f>
        <v>FITS BITCH</v>
      </c>
      <c r="AQ948" s="17" t="str">
        <f aca="false">IF(AI949&lt;AI948,"FITS BITCH",IF(AI949&gt;AI948,"no"))</f>
        <v>no</v>
      </c>
      <c r="AR948" s="17" t="str">
        <f aca="false">IF(AJ948&lt;AH949,"FITS BITCH",IF(AJ948&gt;AH949,"no"))</f>
        <v>no</v>
      </c>
      <c r="AS948" s="17" t="str">
        <f aca="false">IF(AJ948&gt;AJ949,"FITS BITCH",IF(AJ948&lt;AJ949,"no"))</f>
        <v>FITS BITCH</v>
      </c>
      <c r="AT948" s="91" t="str">
        <f aca="false">IF(AND($AO948="FITS BITCH",$AP948="FITS BITCH",$AR948="FITS BITCH"),"BULLISH","")</f>
        <v/>
      </c>
      <c r="AU948" s="91" t="str">
        <f aca="false">IF(AND($AO948="FITS BITCH",$AQ948="FITS BITCH",$AS948="FITS BITCH"),"BEARISH","")</f>
        <v/>
      </c>
      <c r="AV948" s="86"/>
      <c r="AW948" s="86"/>
      <c r="AX948" s="86"/>
    </row>
    <row r="949" customFormat="false" ht="15.75" hidden="false" customHeight="false" outlineLevel="0" collapsed="false">
      <c r="AE949" s="90" t="n">
        <f aca="false">Data!A944</f>
        <v>41598</v>
      </c>
      <c r="AF949" s="17" t="n">
        <f aca="false">Data!B944</f>
        <v>74.18</v>
      </c>
      <c r="AG949" s="17" t="n">
        <f aca="false">Data!F944</f>
        <v>48545798</v>
      </c>
      <c r="AH949" s="17" t="n">
        <f aca="false">Data!C944</f>
        <v>74.35</v>
      </c>
      <c r="AI949" s="17" t="n">
        <f aca="false">Data!D944</f>
        <v>73.48</v>
      </c>
      <c r="AJ949" s="17" t="n">
        <f aca="false">Data!E944</f>
        <v>73.57</v>
      </c>
      <c r="AK949" s="17" t="n">
        <f aca="false">Data!F944</f>
        <v>48545798</v>
      </c>
      <c r="AL949" s="17" t="n">
        <f aca="false">AJ949</f>
        <v>73.57</v>
      </c>
      <c r="AM949" s="17" t="n">
        <f aca="false">(AL949-AL948)/AL949*100</f>
        <v>-1.19613973086857</v>
      </c>
      <c r="AN949" s="17" t="n">
        <f aca="false">(AK949-AK948)/AK949*100</f>
        <v>-34.9382721033858</v>
      </c>
      <c r="AO949" s="17" t="str">
        <f aca="false">IF(AN949&lt;-8,"FITS BITCH",IF(AN949&gt;-8,"no"))</f>
        <v>FITS BITCH</v>
      </c>
      <c r="AP949" s="17" t="str">
        <f aca="false">IF(AH950&lt;AH949,"FITS BITCH",IF(AH950&gt;AH949,"no"))</f>
        <v>no</v>
      </c>
      <c r="AQ949" s="17" t="str">
        <f aca="false">IF(AI950&lt;AI949,"FITS BITCH",IF(AI950&gt;AI949,"no"))</f>
        <v>no</v>
      </c>
      <c r="AR949" s="17" t="str">
        <f aca="false">IF(AJ949&lt;AH950,"FITS BITCH",IF(AJ949&gt;AH950,"no"))</f>
        <v>FITS BITCH</v>
      </c>
      <c r="AS949" s="17" t="str">
        <f aca="false">IF(AJ949&gt;AJ950,"FITS BITCH",IF(AJ949&lt;AJ950,"no"))</f>
        <v>no</v>
      </c>
      <c r="AT949" s="91" t="str">
        <f aca="false">IF(AND($AO949="FITS BITCH",$AP949="FITS BITCH",$AR949="FITS BITCH"),"BULLISH","")</f>
        <v/>
      </c>
      <c r="AU949" s="91" t="str">
        <f aca="false">IF(AND($AO949="FITS BITCH",$AQ949="FITS BITCH",$AS949="FITS BITCH"),"BEARISH","")</f>
        <v/>
      </c>
      <c r="AV949" s="86"/>
      <c r="AW949" s="86"/>
      <c r="AX949" s="86"/>
    </row>
    <row r="950" customFormat="false" ht="15.75" hidden="false" customHeight="false" outlineLevel="0" collapsed="false">
      <c r="AE950" s="90" t="n">
        <f aca="false">Data!A945</f>
        <v>41597</v>
      </c>
      <c r="AF950" s="17" t="n">
        <f aca="false">Data!B945</f>
        <v>74.15</v>
      </c>
      <c r="AG950" s="17" t="n">
        <f aca="false">Data!F945</f>
        <v>52234707</v>
      </c>
      <c r="AH950" s="17" t="n">
        <f aca="false">Data!C945</f>
        <v>74.77</v>
      </c>
      <c r="AI950" s="17" t="n">
        <f aca="false">Data!D945</f>
        <v>74</v>
      </c>
      <c r="AJ950" s="17" t="n">
        <f aca="false">Data!E945</f>
        <v>74.22</v>
      </c>
      <c r="AK950" s="17" t="n">
        <f aca="false">Data!F945</f>
        <v>52234707</v>
      </c>
      <c r="AL950" s="17" t="n">
        <f aca="false">AJ950</f>
        <v>74.22</v>
      </c>
      <c r="AM950" s="17" t="n">
        <f aca="false">(AL950-AL949)/AL950*100</f>
        <v>0.875774723794133</v>
      </c>
      <c r="AN950" s="17" t="n">
        <f aca="false">(AK950-AK949)/AK950*100</f>
        <v>7.06217994101125</v>
      </c>
      <c r="AO950" s="17" t="str">
        <f aca="false">IF(AN950&lt;-8,"FITS BITCH",IF(AN950&gt;-8,"no"))</f>
        <v>no</v>
      </c>
      <c r="AP950" s="17" t="str">
        <f aca="false">IF(AH951&lt;AH950,"FITS BITCH",IF(AH951&gt;AH950,"no"))</f>
        <v>no</v>
      </c>
      <c r="AQ950" s="17" t="str">
        <f aca="false">IF(AI951&lt;AI950,"FITS BITCH",IF(AI951&gt;AI950,"no"))</f>
        <v>no</v>
      </c>
      <c r="AR950" s="17" t="str">
        <f aca="false">IF(AJ950&lt;AH951,"FITS BITCH",IF(AJ950&gt;AH951,"no"))</f>
        <v>FITS BITCH</v>
      </c>
      <c r="AS950" s="17" t="str">
        <f aca="false">IF(AJ950&gt;AJ951,"FITS BITCH",IF(AJ950&lt;AJ951,"no"))</f>
        <v>FITS BITCH</v>
      </c>
      <c r="AT950" s="91" t="str">
        <f aca="false">IF(AND($AO950="FITS BITCH",$AP950="FITS BITCH",$AR950="FITS BITCH"),"BULLISH","")</f>
        <v/>
      </c>
      <c r="AU950" s="91" t="str">
        <f aca="false">IF(AND($AO950="FITS BITCH",$AQ950="FITS BITCH",$AS950="FITS BITCH"),"BEARISH","")</f>
        <v/>
      </c>
      <c r="AV950" s="86"/>
      <c r="AW950" s="86"/>
      <c r="AX950" s="86"/>
    </row>
    <row r="951" customFormat="false" ht="15.75" hidden="false" customHeight="false" outlineLevel="0" collapsed="false">
      <c r="AE951" s="90" t="n">
        <f aca="false">Data!A946</f>
        <v>41596</v>
      </c>
      <c r="AF951" s="17" t="n">
        <f aca="false">Data!B946</f>
        <v>75</v>
      </c>
      <c r="AG951" s="17" t="n">
        <f aca="false">Data!F946</f>
        <v>61236224</v>
      </c>
      <c r="AH951" s="17" t="n">
        <f aca="false">Data!C946</f>
        <v>75.31</v>
      </c>
      <c r="AI951" s="17" t="n">
        <f aca="false">Data!D946</f>
        <v>74.03</v>
      </c>
      <c r="AJ951" s="17" t="n">
        <f aca="false">Data!E946</f>
        <v>74.09</v>
      </c>
      <c r="AK951" s="17" t="n">
        <f aca="false">Data!F946</f>
        <v>61236224</v>
      </c>
      <c r="AL951" s="17" t="n">
        <f aca="false">AJ951</f>
        <v>74.09</v>
      </c>
      <c r="AM951" s="17" t="n">
        <f aca="false">(AL951-AL950)/AL951*100</f>
        <v>-0.175462275610738</v>
      </c>
      <c r="AN951" s="17" t="n">
        <f aca="false">(AK951-AK950)/AK951*100</f>
        <v>14.6996604493445</v>
      </c>
      <c r="AO951" s="17" t="str">
        <f aca="false">IF(AN951&lt;-8,"FITS BITCH",IF(AN951&gt;-8,"no"))</f>
        <v>no</v>
      </c>
      <c r="AP951" s="17" t="str">
        <f aca="false">IF(AH952&lt;AH951,"FITS BITCH",IF(AH952&gt;AH951,"no"))</f>
        <v>no</v>
      </c>
      <c r="AQ951" s="17" t="str">
        <f aca="false">IF(AI952&lt;AI951,"FITS BITCH",IF(AI952&gt;AI951,"no"))</f>
        <v>no</v>
      </c>
      <c r="AR951" s="17" t="str">
        <f aca="false">IF(AJ951&lt;AH952,"FITS BITCH",IF(AJ951&gt;AH952,"no"))</f>
        <v>FITS BITCH</v>
      </c>
      <c r="AS951" s="17" t="str">
        <f aca="false">IF(AJ951&gt;AJ952,"FITS BITCH",IF(AJ951&lt;AJ952,"no"))</f>
        <v>no</v>
      </c>
      <c r="AT951" s="91" t="str">
        <f aca="false">IF(AND($AO951="FITS BITCH",$AP951="FITS BITCH",$AR951="FITS BITCH"),"BULLISH","")</f>
        <v/>
      </c>
      <c r="AU951" s="91" t="str">
        <f aca="false">IF(AND($AO951="FITS BITCH",$AQ951="FITS BITCH",$AS951="FITS BITCH"),"BEARISH","")</f>
        <v/>
      </c>
      <c r="AV951" s="86"/>
      <c r="AW951" s="86"/>
      <c r="AX951" s="86"/>
    </row>
    <row r="952" customFormat="false" ht="15.75" hidden="false" customHeight="false" outlineLevel="0" collapsed="false">
      <c r="AE952" s="90" t="n">
        <f aca="false">Data!A947</f>
        <v>41593</v>
      </c>
      <c r="AF952" s="17" t="n">
        <f aca="false">Data!B947</f>
        <v>75.23</v>
      </c>
      <c r="AG952" s="17" t="n">
        <f aca="false">Data!F947</f>
        <v>79479764</v>
      </c>
      <c r="AH952" s="17" t="n">
        <f aca="false">Data!C947</f>
        <v>75.58</v>
      </c>
      <c r="AI952" s="17" t="n">
        <f aca="false">Data!D947</f>
        <v>74.93</v>
      </c>
      <c r="AJ952" s="17" t="n">
        <f aca="false">Data!E947</f>
        <v>75</v>
      </c>
      <c r="AK952" s="17" t="n">
        <f aca="false">Data!F947</f>
        <v>79479764</v>
      </c>
      <c r="AL952" s="17" t="n">
        <f aca="false">AJ952</f>
        <v>75</v>
      </c>
      <c r="AM952" s="17" t="n">
        <f aca="false">(AL952-AL951)/AL952*100</f>
        <v>1.21333333333333</v>
      </c>
      <c r="AN952" s="17" t="n">
        <f aca="false">(AK952-AK951)/AK952*100</f>
        <v>22.9536917095023</v>
      </c>
      <c r="AO952" s="17" t="str">
        <f aca="false">IF(AN952&lt;-8,"FITS BITCH",IF(AN952&gt;-8,"no"))</f>
        <v>no</v>
      </c>
      <c r="AP952" s="17" t="str">
        <f aca="false">IF(AH953&lt;AH952,"FITS BITCH",IF(AH953&gt;AH952,"no"))</f>
        <v>no</v>
      </c>
      <c r="AQ952" s="17" t="str">
        <f aca="false">IF(AI953&lt;AI952,"FITS BITCH",IF(AI953&gt;AI952,"no"))</f>
        <v>FITS BITCH</v>
      </c>
      <c r="AR952" s="17" t="str">
        <f aca="false">IF(AJ952&lt;AH953,"FITS BITCH",IF(AJ952&gt;AH953,"no"))</f>
        <v>FITS BITCH</v>
      </c>
      <c r="AS952" s="17" t="str">
        <f aca="false">IF(AJ952&gt;AJ953,"FITS BITCH",IF(AJ952&lt;AJ953,"no"))</f>
        <v>no</v>
      </c>
      <c r="AT952" s="91" t="str">
        <f aca="false">IF(AND($AO952="FITS BITCH",$AP952="FITS BITCH",$AR952="FITS BITCH"),"BULLISH","")</f>
        <v/>
      </c>
      <c r="AU952" s="91" t="str">
        <f aca="false">IF(AND($AO952="FITS BITCH",$AQ952="FITS BITCH",$AS952="FITS BITCH"),"BEARISH","")</f>
        <v/>
      </c>
      <c r="AV952" s="86"/>
      <c r="AW952" s="86"/>
      <c r="AX952" s="86"/>
    </row>
    <row r="953" customFormat="false" ht="15.75" hidden="false" customHeight="false" outlineLevel="0" collapsed="false">
      <c r="AE953" s="90" t="n">
        <f aca="false">Data!A948</f>
        <v>41592</v>
      </c>
      <c r="AF953" s="17" t="n">
        <f aca="false">Data!B948</f>
        <v>74.69</v>
      </c>
      <c r="AG953" s="17" t="n">
        <f aca="false">Data!F948</f>
        <v>70605087</v>
      </c>
      <c r="AH953" s="17" t="n">
        <f aca="false">Data!C948</f>
        <v>75.61</v>
      </c>
      <c r="AI953" s="17" t="n">
        <f aca="false">Data!D948</f>
        <v>74.55</v>
      </c>
      <c r="AJ953" s="17" t="n">
        <f aca="false">Data!E948</f>
        <v>75.45</v>
      </c>
      <c r="AK953" s="17" t="n">
        <f aca="false">Data!F948</f>
        <v>70605087</v>
      </c>
      <c r="AL953" s="17" t="n">
        <f aca="false">AJ953</f>
        <v>75.45</v>
      </c>
      <c r="AM953" s="17" t="n">
        <f aca="false">(AL953-AL952)/AL953*100</f>
        <v>0.596421471172966</v>
      </c>
      <c r="AN953" s="17" t="n">
        <f aca="false">(AK953-AK952)/AK953*100</f>
        <v>-12.569458345119</v>
      </c>
      <c r="AO953" s="17" t="str">
        <f aca="false">IF(AN953&lt;-8,"FITS BITCH",IF(AN953&gt;-8,"no"))</f>
        <v>FITS BITCH</v>
      </c>
      <c r="AP953" s="17" t="str">
        <f aca="false">IF(AH954&lt;AH953,"FITS BITCH",IF(AH954&gt;AH953,"no"))</f>
        <v>FITS BITCH</v>
      </c>
      <c r="AQ953" s="17" t="str">
        <f aca="false">IF(AI954&lt;AI953,"FITS BITCH",IF(AI954&gt;AI953,"no"))</f>
        <v>FITS BITCH</v>
      </c>
      <c r="AR953" s="17" t="str">
        <f aca="false">IF(AJ953&lt;AH954,"FITS BITCH",IF(AJ953&gt;AH954,"no"))</f>
        <v>no</v>
      </c>
      <c r="AS953" s="17" t="str">
        <f aca="false">IF(AJ953&gt;AJ954,"FITS BITCH",IF(AJ953&lt;AJ954,"no"))</f>
        <v>FITS BITCH</v>
      </c>
      <c r="AT953" s="91" t="str">
        <f aca="false">IF(AND($AO953="FITS BITCH",$AP953="FITS BITCH",$AR953="FITS BITCH"),"BULLISH","")</f>
        <v/>
      </c>
      <c r="AU953" s="91" t="str">
        <f aca="false">IF(AND($AO953="FITS BITCH",$AQ953="FITS BITCH",$AS953="FITS BITCH"),"BEARISH","")</f>
        <v>BEARISH</v>
      </c>
      <c r="AV953" s="86"/>
      <c r="AW953" s="86"/>
      <c r="AX953" s="86"/>
    </row>
    <row r="954" customFormat="false" ht="15.75" hidden="false" customHeight="false" outlineLevel="0" collapsed="false">
      <c r="AE954" s="90" t="n">
        <f aca="false">Data!A949</f>
        <v>41591</v>
      </c>
      <c r="AF954" s="17" t="n">
        <f aca="false">Data!B949</f>
        <v>74</v>
      </c>
      <c r="AG954" s="17" t="n">
        <f aca="false">Data!F949</f>
        <v>49304927</v>
      </c>
      <c r="AH954" s="17" t="n">
        <f aca="false">Data!C949</f>
        <v>74.61</v>
      </c>
      <c r="AI954" s="17" t="n">
        <f aca="false">Data!D949</f>
        <v>73.85</v>
      </c>
      <c r="AJ954" s="17" t="n">
        <f aca="false">Data!E949</f>
        <v>74.38</v>
      </c>
      <c r="AK954" s="17" t="n">
        <f aca="false">Data!F949</f>
        <v>49304927</v>
      </c>
      <c r="AL954" s="17" t="n">
        <f aca="false">AJ954</f>
        <v>74.38</v>
      </c>
      <c r="AM954" s="17" t="n">
        <f aca="false">(AL954-AL953)/AL954*100</f>
        <v>-1.43855875235279</v>
      </c>
      <c r="AN954" s="17" t="n">
        <f aca="false">(AK954-AK953)/AK954*100</f>
        <v>-43.2008752391014</v>
      </c>
      <c r="AO954" s="17" t="str">
        <f aca="false">IF(AN954&lt;-8,"FITS BITCH",IF(AN954&gt;-8,"no"))</f>
        <v>FITS BITCH</v>
      </c>
      <c r="AP954" s="17" t="str">
        <f aca="false">IF(AH955&lt;AH954,"FITS BITCH",IF(AH955&gt;AH954,"no"))</f>
        <v>no</v>
      </c>
      <c r="AQ954" s="17" t="str">
        <f aca="false">IF(AI955&lt;AI954,"FITS BITCH",IF(AI955&gt;AI954,"no"))</f>
        <v>no</v>
      </c>
      <c r="AR954" s="17" t="str">
        <f aca="false">IF(AJ954&lt;AH955,"FITS BITCH",IF(AJ954&gt;AH955,"no"))</f>
        <v>FITS BITCH</v>
      </c>
      <c r="AS954" s="17" t="str">
        <f aca="false">IF(AJ954&gt;AJ955,"FITS BITCH",IF(AJ954&lt;AJ955,"no"))</f>
        <v>FITS BITCH</v>
      </c>
      <c r="AT954" s="91" t="str">
        <f aca="false">IF(AND($AO954="FITS BITCH",$AP954="FITS BITCH",$AR954="FITS BITCH"),"BULLISH","")</f>
        <v/>
      </c>
      <c r="AU954" s="91" t="str">
        <f aca="false">IF(AND($AO954="FITS BITCH",$AQ954="FITS BITCH",$AS954="FITS BITCH"),"BEARISH","")</f>
        <v/>
      </c>
      <c r="AV954" s="86"/>
      <c r="AW954" s="86"/>
      <c r="AX954" s="86"/>
    </row>
    <row r="955" customFormat="false" ht="15.75" hidden="false" customHeight="false" outlineLevel="0" collapsed="false">
      <c r="AE955" s="90" t="n">
        <f aca="false">Data!A950</f>
        <v>41590</v>
      </c>
      <c r="AF955" s="17" t="n">
        <f aca="false">Data!B950</f>
        <v>73.95</v>
      </c>
      <c r="AG955" s="17" t="n">
        <f aca="false">Data!F950</f>
        <v>51114651</v>
      </c>
      <c r="AH955" s="17" t="n">
        <f aca="false">Data!C950</f>
        <v>74.85</v>
      </c>
      <c r="AI955" s="17" t="n">
        <f aca="false">Data!D950</f>
        <v>73.86</v>
      </c>
      <c r="AJ955" s="17" t="n">
        <f aca="false">Data!E950</f>
        <v>74.29</v>
      </c>
      <c r="AK955" s="17" t="n">
        <f aca="false">Data!F950</f>
        <v>51114651</v>
      </c>
      <c r="AL955" s="17" t="n">
        <f aca="false">AJ955</f>
        <v>74.29</v>
      </c>
      <c r="AM955" s="17" t="n">
        <f aca="false">(AL955-AL954)/AL955*100</f>
        <v>-0.121146856912087</v>
      </c>
      <c r="AN955" s="17" t="n">
        <f aca="false">(AK955-AK954)/AK955*100</f>
        <v>3.54051913608879</v>
      </c>
      <c r="AO955" s="17" t="str">
        <f aca="false">IF(AN955&lt;-8,"FITS BITCH",IF(AN955&gt;-8,"no"))</f>
        <v>no</v>
      </c>
      <c r="AP955" s="17" t="str">
        <f aca="false">IF(AH956&lt;AH955,"FITS BITCH",IF(AH956&gt;AH955,"no"))</f>
        <v>FITS BITCH</v>
      </c>
      <c r="AQ955" s="17" t="str">
        <f aca="false">IF(AI956&lt;AI955,"FITS BITCH",IF(AI956&gt;AI955,"no"))</f>
        <v>FITS BITCH</v>
      </c>
      <c r="AR955" s="17" t="str">
        <f aca="false">IF(AJ955&lt;AH956,"FITS BITCH",IF(AJ955&gt;AH956,"no"))</f>
        <v>FITS BITCH</v>
      </c>
      <c r="AS955" s="17" t="str">
        <f aca="false">IF(AJ955&gt;AJ956,"FITS BITCH",IF(AJ955&lt;AJ956,"no"))</f>
        <v>FITS BITCH</v>
      </c>
      <c r="AT955" s="91" t="str">
        <f aca="false">IF(AND($AO955="FITS BITCH",$AP955="FITS BITCH",$AR955="FITS BITCH"),"BULLISH","")</f>
        <v/>
      </c>
      <c r="AU955" s="91" t="str">
        <f aca="false">IF(AND($AO955="FITS BITCH",$AQ955="FITS BITCH",$AS955="FITS BITCH"),"BEARISH","")</f>
        <v/>
      </c>
      <c r="AV955" s="86"/>
      <c r="AW955" s="86"/>
      <c r="AX955" s="86"/>
    </row>
    <row r="956" customFormat="false" ht="15.75" hidden="false" customHeight="false" outlineLevel="0" collapsed="false">
      <c r="AE956" s="90" t="n">
        <f aca="false">Data!A951</f>
        <v>41589</v>
      </c>
      <c r="AF956" s="17" t="n">
        <f aca="false">Data!B951</f>
        <v>74.28</v>
      </c>
      <c r="AG956" s="17" t="n">
        <f aca="false">Data!F951</f>
        <v>56863303</v>
      </c>
      <c r="AH956" s="17" t="n">
        <f aca="false">Data!C951</f>
        <v>74.52</v>
      </c>
      <c r="AI956" s="17" t="n">
        <f aca="false">Data!D951</f>
        <v>73.49</v>
      </c>
      <c r="AJ956" s="17" t="n">
        <f aca="false">Data!E951</f>
        <v>74.15</v>
      </c>
      <c r="AK956" s="17" t="n">
        <f aca="false">Data!F951</f>
        <v>56863303</v>
      </c>
      <c r="AL956" s="17" t="n">
        <f aca="false">AJ956</f>
        <v>74.15</v>
      </c>
      <c r="AM956" s="17" t="n">
        <f aca="false">(AL956-AL955)/AL956*100</f>
        <v>-0.188806473364802</v>
      </c>
      <c r="AN956" s="17" t="n">
        <f aca="false">(AK956-AK955)/AK956*100</f>
        <v>10.1095991557156</v>
      </c>
      <c r="AO956" s="17" t="str">
        <f aca="false">IF(AN956&lt;-8,"FITS BITCH",IF(AN956&gt;-8,"no"))</f>
        <v>no</v>
      </c>
      <c r="AP956" s="17" t="str">
        <f aca="false">IF(AH957&lt;AH956,"FITS BITCH",IF(AH957&gt;AH956,"no"))</f>
        <v>FITS BITCH</v>
      </c>
      <c r="AQ956" s="17" t="str">
        <f aca="false">IF(AI957&lt;AI956,"FITS BITCH",IF(AI957&gt;AI956,"no"))</f>
        <v>FITS BITCH</v>
      </c>
      <c r="AR956" s="17" t="str">
        <f aca="false">IF(AJ956&lt;AH957,"FITS BITCH",IF(AJ956&gt;AH957,"no"))</f>
        <v>FITS BITCH</v>
      </c>
      <c r="AS956" s="17" t="str">
        <f aca="false">IF(AJ956&gt;AJ957,"FITS BITCH",IF(AJ956&lt;AJ957,"no"))</f>
        <v>no</v>
      </c>
      <c r="AT956" s="91" t="str">
        <f aca="false">IF(AND($AO956="FITS BITCH",$AP956="FITS BITCH",$AR956="FITS BITCH"),"BULLISH","")</f>
        <v/>
      </c>
      <c r="AU956" s="91" t="str">
        <f aca="false">IF(AND($AO956="FITS BITCH",$AQ956="FITS BITCH",$AS956="FITS BITCH"),"BEARISH","")</f>
        <v/>
      </c>
      <c r="AV956" s="86"/>
      <c r="AW956" s="86"/>
      <c r="AX956" s="86"/>
    </row>
    <row r="957" customFormat="false" ht="15.75" hidden="false" customHeight="false" outlineLevel="0" collapsed="false">
      <c r="AE957" s="90" t="n">
        <f aca="false">Data!A952</f>
        <v>41586</v>
      </c>
      <c r="AF957" s="17" t="n">
        <f aca="false">Data!B952</f>
        <v>73.51</v>
      </c>
      <c r="AG957" s="17" t="n">
        <f aca="false">Data!F952</f>
        <v>69829543</v>
      </c>
      <c r="AH957" s="17" t="n">
        <f aca="false">Data!C952</f>
        <v>74.45</v>
      </c>
      <c r="AI957" s="17" t="n">
        <f aca="false">Data!D952</f>
        <v>73.23</v>
      </c>
      <c r="AJ957" s="17" t="n">
        <f aca="false">Data!E952</f>
        <v>74.37</v>
      </c>
      <c r="AK957" s="17" t="n">
        <f aca="false">Data!F952</f>
        <v>69829543</v>
      </c>
      <c r="AL957" s="17" t="n">
        <f aca="false">AJ957</f>
        <v>74.37</v>
      </c>
      <c r="AM957" s="17" t="n">
        <f aca="false">(AL957-AL956)/AL957*100</f>
        <v>0.295818206265966</v>
      </c>
      <c r="AN957" s="17" t="n">
        <f aca="false">(AK957-AK956)/AK957*100</f>
        <v>18.5684159496791</v>
      </c>
      <c r="AO957" s="17" t="str">
        <f aca="false">IF(AN957&lt;-8,"FITS BITCH",IF(AN957&gt;-8,"no"))</f>
        <v>no</v>
      </c>
      <c r="AP957" s="17" t="str">
        <f aca="false">IF(AH958&lt;AH957,"FITS BITCH",IF(AH958&gt;AH957,"no"))</f>
        <v>no</v>
      </c>
      <c r="AQ957" s="17" t="str">
        <f aca="false">IF(AI958&lt;AI957,"FITS BITCH",IF(AI958&gt;AI957,"no"))</f>
        <v>FITS BITCH</v>
      </c>
      <c r="AR957" s="17" t="str">
        <f aca="false">IF(AJ957&lt;AH958,"FITS BITCH",IF(AJ957&gt;AH958,"no"))</f>
        <v>FITS BITCH</v>
      </c>
      <c r="AS957" s="17" t="str">
        <f aca="false">IF(AJ957&gt;AJ958,"FITS BITCH",IF(AJ957&lt;AJ958,"no"))</f>
        <v>FITS BITCH</v>
      </c>
      <c r="AT957" s="91" t="str">
        <f aca="false">IF(AND($AO957="FITS BITCH",$AP957="FITS BITCH",$AR957="FITS BITCH"),"BULLISH","")</f>
        <v/>
      </c>
      <c r="AU957" s="91" t="str">
        <f aca="false">IF(AND($AO957="FITS BITCH",$AQ957="FITS BITCH",$AS957="FITS BITCH"),"BEARISH","")</f>
        <v/>
      </c>
      <c r="AV957" s="86"/>
      <c r="AW957" s="86"/>
      <c r="AX957" s="86"/>
    </row>
    <row r="958" customFormat="false" ht="15.75" hidden="false" customHeight="false" outlineLevel="0" collapsed="false">
      <c r="AE958" s="90" t="n">
        <f aca="false">Data!A953</f>
        <v>41585</v>
      </c>
      <c r="AF958" s="17" t="n">
        <f aca="false">Data!B953</f>
        <v>74.23</v>
      </c>
      <c r="AG958" s="17" t="n">
        <f aca="false">Data!F953</f>
        <v>65655100</v>
      </c>
      <c r="AH958" s="17" t="n">
        <f aca="false">Data!C953</f>
        <v>74.74</v>
      </c>
      <c r="AI958" s="17" t="n">
        <f aca="false">Data!D953</f>
        <v>73.2</v>
      </c>
      <c r="AJ958" s="17" t="n">
        <f aca="false">Data!E953</f>
        <v>73.21</v>
      </c>
      <c r="AK958" s="17" t="n">
        <f aca="false">Data!F953</f>
        <v>65655100</v>
      </c>
      <c r="AL958" s="17" t="n">
        <f aca="false">AJ958</f>
        <v>73.21</v>
      </c>
      <c r="AM958" s="17" t="n">
        <f aca="false">(AL958-AL957)/AL958*100</f>
        <v>-1.5844829941265</v>
      </c>
      <c r="AN958" s="17" t="n">
        <f aca="false">(AK958-AK957)/AK958*100</f>
        <v>-6.35813973324235</v>
      </c>
      <c r="AO958" s="17" t="str">
        <f aca="false">IF(AN958&lt;-8,"FITS BITCH",IF(AN958&gt;-8,"no"))</f>
        <v>no</v>
      </c>
      <c r="AP958" s="17" t="str">
        <f aca="false">IF(AH959&lt;AH958,"FITS BITCH",IF(AH959&gt;AH958,"no"))</f>
        <v>no</v>
      </c>
      <c r="AQ958" s="17" t="str">
        <f aca="false">IF(AI959&lt;AI958,"FITS BITCH",IF(AI959&gt;AI958,"no"))</f>
        <v>no</v>
      </c>
      <c r="AR958" s="17" t="str">
        <f aca="false">IF(AJ958&lt;AH959,"FITS BITCH",IF(AJ958&gt;AH959,"no"))</f>
        <v>FITS BITCH</v>
      </c>
      <c r="AS958" s="17" t="str">
        <f aca="false">IF(AJ958&gt;AJ959,"FITS BITCH",IF(AJ958&lt;AJ959,"no"))</f>
        <v>no</v>
      </c>
      <c r="AT958" s="91" t="str">
        <f aca="false">IF(AND($AO958="FITS BITCH",$AP958="FITS BITCH",$AR958="FITS BITCH"),"BULLISH","")</f>
        <v/>
      </c>
      <c r="AU958" s="91" t="str">
        <f aca="false">IF(AND($AO958="FITS BITCH",$AQ958="FITS BITCH",$AS958="FITS BITCH"),"BEARISH","")</f>
        <v/>
      </c>
      <c r="AV958" s="86"/>
      <c r="AW958" s="86"/>
      <c r="AX958" s="86"/>
    </row>
    <row r="959" customFormat="false" ht="15.75" hidden="false" customHeight="false" outlineLevel="0" collapsed="false">
      <c r="AE959" s="90" t="n">
        <f aca="false">Data!A954</f>
        <v>41584</v>
      </c>
      <c r="AF959" s="17" t="n">
        <f aca="false">Data!B954</f>
        <v>74.88</v>
      </c>
      <c r="AG959" s="17" t="n">
        <f aca="false">Data!F954</f>
        <v>55844152</v>
      </c>
      <c r="AH959" s="17" t="n">
        <f aca="false">Data!C954</f>
        <v>74.98</v>
      </c>
      <c r="AI959" s="17" t="n">
        <f aca="false">Data!D954</f>
        <v>74.03</v>
      </c>
      <c r="AJ959" s="17" t="n">
        <f aca="false">Data!E954</f>
        <v>74.42</v>
      </c>
      <c r="AK959" s="17" t="n">
        <f aca="false">Data!F954</f>
        <v>55844152</v>
      </c>
      <c r="AL959" s="17" t="n">
        <f aca="false">AJ959</f>
        <v>74.42</v>
      </c>
      <c r="AM959" s="17" t="n">
        <f aca="false">(AL959-AL958)/AL959*100</f>
        <v>1.62590701424349</v>
      </c>
      <c r="AN959" s="17" t="n">
        <f aca="false">(AK959-AK958)/AK959*100</f>
        <v>-17.5684429768044</v>
      </c>
      <c r="AO959" s="17" t="str">
        <f aca="false">IF(AN959&lt;-8,"FITS BITCH",IF(AN959&gt;-8,"no"))</f>
        <v>FITS BITCH</v>
      </c>
      <c r="AP959" s="17" t="str">
        <f aca="false">IF(AH960&lt;AH959,"FITS BITCH",IF(AH960&gt;AH959,"no"))</f>
        <v>no</v>
      </c>
      <c r="AQ959" s="17" t="str">
        <f aca="false">IF(AI960&lt;AI959,"FITS BITCH",IF(AI960&gt;AI959,"no"))</f>
        <v>no</v>
      </c>
      <c r="AR959" s="17" t="str">
        <f aca="false">IF(AJ959&lt;AH960,"FITS BITCH",IF(AJ959&gt;AH960,"no"))</f>
        <v>FITS BITCH</v>
      </c>
      <c r="AS959" s="17" t="str">
        <f aca="false">IF(AJ959&gt;AJ960,"FITS BITCH",IF(AJ959&lt;AJ960,"no"))</f>
        <v>no</v>
      </c>
      <c r="AT959" s="91" t="str">
        <f aca="false">IF(AND($AO959="FITS BITCH",$AP959="FITS BITCH",$AR959="FITS BITCH"),"BULLISH","")</f>
        <v/>
      </c>
      <c r="AU959" s="91" t="str">
        <f aca="false">IF(AND($AO959="FITS BITCH",$AQ959="FITS BITCH",$AS959="FITS BITCH"),"BEARISH","")</f>
        <v/>
      </c>
      <c r="AV959" s="86"/>
      <c r="AW959" s="86"/>
      <c r="AX959" s="86"/>
    </row>
    <row r="960" customFormat="false" ht="15.75" hidden="false" customHeight="false" outlineLevel="0" collapsed="false">
      <c r="AE960" s="90" t="n">
        <f aca="false">Data!A955</f>
        <v>41583</v>
      </c>
      <c r="AF960" s="17" t="n">
        <f aca="false">Data!B955</f>
        <v>74.94</v>
      </c>
      <c r="AG960" s="17" t="n">
        <f aca="false">Data!F955</f>
        <v>66368071</v>
      </c>
      <c r="AH960" s="17" t="n">
        <f aca="false">Data!C955</f>
        <v>75.56</v>
      </c>
      <c r="AI960" s="17" t="n">
        <f aca="false">Data!D955</f>
        <v>74.71</v>
      </c>
      <c r="AJ960" s="17" t="n">
        <f aca="false">Data!E955</f>
        <v>75.06</v>
      </c>
      <c r="AK960" s="17" t="n">
        <f aca="false">Data!F955</f>
        <v>66368071</v>
      </c>
      <c r="AL960" s="17" t="n">
        <f aca="false">AJ960</f>
        <v>75.06</v>
      </c>
      <c r="AM960" s="17" t="n">
        <f aca="false">(AL960-AL959)/AL960*100</f>
        <v>0.852651212363443</v>
      </c>
      <c r="AN960" s="17" t="n">
        <f aca="false">(AK960-AK959)/AK960*100</f>
        <v>15.8569005267608</v>
      </c>
      <c r="AO960" s="17" t="str">
        <f aca="false">IF(AN960&lt;-8,"FITS BITCH",IF(AN960&gt;-8,"no"))</f>
        <v>no</v>
      </c>
      <c r="AP960" s="17" t="str">
        <f aca="false">IF(AH961&lt;AH960,"FITS BITCH",IF(AH961&gt;AH960,"no"))</f>
        <v>FITS BITCH</v>
      </c>
      <c r="AQ960" s="17" t="str">
        <f aca="false">IF(AI961&lt;AI960,"FITS BITCH",IF(AI961&gt;AI960,"no"))</f>
        <v>FITS BITCH</v>
      </c>
      <c r="AR960" s="17" t="str">
        <f aca="false">IF(AJ960&lt;AH961,"FITS BITCH",IF(AJ960&gt;AH961,"no"))</f>
        <v>FITS BITCH</v>
      </c>
      <c r="AS960" s="17" t="str">
        <f aca="false">IF(AJ960&gt;AJ961,"FITS BITCH",IF(AJ960&lt;AJ961,"no"))</f>
        <v>no</v>
      </c>
      <c r="AT960" s="91" t="str">
        <f aca="false">IF(AND($AO960="FITS BITCH",$AP960="FITS BITCH",$AR960="FITS BITCH"),"BULLISH","")</f>
        <v/>
      </c>
      <c r="AU960" s="91" t="str">
        <f aca="false">IF(AND($AO960="FITS BITCH",$AQ960="FITS BITCH",$AS960="FITS BITCH"),"BEARISH","")</f>
        <v/>
      </c>
      <c r="AV960" s="86"/>
      <c r="AW960" s="86"/>
      <c r="AX960" s="86"/>
    </row>
    <row r="961" customFormat="false" ht="15.75" hidden="false" customHeight="false" outlineLevel="0" collapsed="false">
      <c r="AE961" s="90" t="n">
        <f aca="false">Data!A956</f>
        <v>41582</v>
      </c>
      <c r="AF961" s="17" t="n">
        <f aca="false">Data!B956</f>
        <v>74.44</v>
      </c>
      <c r="AG961" s="17" t="n">
        <f aca="false">Data!F956</f>
        <v>61157033</v>
      </c>
      <c r="AH961" s="17" t="n">
        <f aca="false">Data!C956</f>
        <v>75.26</v>
      </c>
      <c r="AI961" s="17" t="n">
        <f aca="false">Data!D956</f>
        <v>74.12</v>
      </c>
      <c r="AJ961" s="17" t="n">
        <f aca="false">Data!E956</f>
        <v>75.25</v>
      </c>
      <c r="AK961" s="17" t="n">
        <f aca="false">Data!F956</f>
        <v>61157033</v>
      </c>
      <c r="AL961" s="17" t="n">
        <f aca="false">AJ961</f>
        <v>75.25</v>
      </c>
      <c r="AM961" s="17" t="n">
        <f aca="false">(AL961-AL960)/AL961*100</f>
        <v>0.252491694352156</v>
      </c>
      <c r="AN961" s="17" t="n">
        <f aca="false">(AK961-AK960)/AK961*100</f>
        <v>-8.52075018093177</v>
      </c>
      <c r="AO961" s="17" t="str">
        <f aca="false">IF(AN961&lt;-8,"FITS BITCH",IF(AN961&gt;-8,"no"))</f>
        <v>FITS BITCH</v>
      </c>
      <c r="AP961" s="17" t="str">
        <f aca="false">IF(AH962&lt;AH961,"FITS BITCH",IF(AH962&gt;AH961,"no"))</f>
        <v>FITS BITCH</v>
      </c>
      <c r="AQ961" s="17" t="str">
        <f aca="false">IF(AI962&lt;AI961,"FITS BITCH",IF(AI962&gt;AI961,"no"))</f>
        <v>FITS BITCH</v>
      </c>
      <c r="AR961" s="17" t="str">
        <f aca="false">IF(AJ961&lt;AH962,"FITS BITCH",IF(AJ961&gt;AH962,"no"))</f>
        <v>no</v>
      </c>
      <c r="AS961" s="17" t="str">
        <f aca="false">IF(AJ961&gt;AJ962,"FITS BITCH",IF(AJ961&lt;AJ962,"no"))</f>
        <v>FITS BITCH</v>
      </c>
      <c r="AT961" s="91" t="str">
        <f aca="false">IF(AND($AO961="FITS BITCH",$AP961="FITS BITCH",$AR961="FITS BITCH"),"BULLISH","")</f>
        <v/>
      </c>
      <c r="AU961" s="91" t="str">
        <f aca="false">IF(AND($AO961="FITS BITCH",$AQ961="FITS BITCH",$AS961="FITS BITCH"),"BEARISH","")</f>
        <v>BEARISH</v>
      </c>
      <c r="AV961" s="86"/>
      <c r="AW961" s="86"/>
      <c r="AX961" s="86"/>
    </row>
    <row r="962" customFormat="false" ht="15.75" hidden="false" customHeight="false" outlineLevel="0" collapsed="false">
      <c r="AE962" s="90" t="n">
        <f aca="false">Data!A957</f>
        <v>41579</v>
      </c>
      <c r="AF962" s="17" t="n">
        <f aca="false">Data!B957</f>
        <v>74.86</v>
      </c>
      <c r="AG962" s="17" t="n">
        <f aca="false">Data!F957</f>
        <v>68722304</v>
      </c>
      <c r="AH962" s="17" t="n">
        <f aca="false">Data!C957</f>
        <v>74.97</v>
      </c>
      <c r="AI962" s="17" t="n">
        <f aca="false">Data!D957</f>
        <v>73.69</v>
      </c>
      <c r="AJ962" s="17" t="n">
        <f aca="false">Data!E957</f>
        <v>74.29</v>
      </c>
      <c r="AK962" s="17" t="n">
        <f aca="false">Data!F957</f>
        <v>68722304</v>
      </c>
      <c r="AL962" s="17" t="n">
        <f aca="false">AJ962</f>
        <v>74.29</v>
      </c>
      <c r="AM962" s="17" t="n">
        <f aca="false">(AL962-AL961)/AL962*100</f>
        <v>-1.29223314039574</v>
      </c>
      <c r="AN962" s="17" t="n">
        <f aca="false">(AK962-AK961)/AK962*100</f>
        <v>11.0084653157147</v>
      </c>
      <c r="AO962" s="17" t="str">
        <f aca="false">IF(AN962&lt;-8,"FITS BITCH",IF(AN962&gt;-8,"no"))</f>
        <v>no</v>
      </c>
      <c r="AP962" s="17" t="str">
        <f aca="false">IF(AH963&lt;AH962,"FITS BITCH",IF(AH963&gt;AH962,"no"))</f>
        <v>no</v>
      </c>
      <c r="AQ962" s="17" t="str">
        <f aca="false">IF(AI963&lt;AI962,"FITS BITCH",IF(AI963&gt;AI962,"no"))</f>
        <v>no</v>
      </c>
      <c r="AR962" s="17" t="str">
        <f aca="false">IF(AJ962&lt;AH963,"FITS BITCH",IF(AJ962&gt;AH963,"no"))</f>
        <v>FITS BITCH</v>
      </c>
      <c r="AS962" s="17" t="str">
        <f aca="false">IF(AJ962&gt;AJ963,"FITS BITCH",IF(AJ962&lt;AJ963,"no"))</f>
        <v>no</v>
      </c>
      <c r="AT962" s="91" t="str">
        <f aca="false">IF(AND($AO962="FITS BITCH",$AP962="FITS BITCH",$AR962="FITS BITCH"),"BULLISH","")</f>
        <v/>
      </c>
      <c r="AU962" s="91" t="str">
        <f aca="false">IF(AND($AO962="FITS BITCH",$AQ962="FITS BITCH",$AS962="FITS BITCH"),"BEARISH","")</f>
        <v/>
      </c>
      <c r="AV962" s="86"/>
      <c r="AW962" s="86"/>
      <c r="AX962" s="86"/>
    </row>
    <row r="963" customFormat="false" ht="15.75" hidden="false" customHeight="false" outlineLevel="0" collapsed="false">
      <c r="AE963" s="90" t="n">
        <f aca="false">Data!A958</f>
        <v>41578</v>
      </c>
      <c r="AF963" s="17" t="n">
        <f aca="false">Data!B958</f>
        <v>75</v>
      </c>
      <c r="AG963" s="17" t="n">
        <f aca="false">Data!F958</f>
        <v>68923785</v>
      </c>
      <c r="AH963" s="17" t="n">
        <f aca="false">Data!C958</f>
        <v>75.36</v>
      </c>
      <c r="AI963" s="17" t="n">
        <f aca="false">Data!D958</f>
        <v>74.47</v>
      </c>
      <c r="AJ963" s="17" t="n">
        <f aca="false">Data!E958</f>
        <v>74.67</v>
      </c>
      <c r="AK963" s="17" t="n">
        <f aca="false">Data!F958</f>
        <v>68923785</v>
      </c>
      <c r="AL963" s="17" t="n">
        <f aca="false">AJ963</f>
        <v>74.67</v>
      </c>
      <c r="AM963" s="17" t="n">
        <f aca="false">(AL963-AL962)/AL963*100</f>
        <v>0.508905852417297</v>
      </c>
      <c r="AN963" s="17" t="n">
        <f aca="false">(AK963-AK962)/AK963*100</f>
        <v>0.292324340574157</v>
      </c>
      <c r="AO963" s="17" t="str">
        <f aca="false">IF(AN963&lt;-8,"FITS BITCH",IF(AN963&gt;-8,"no"))</f>
        <v>no</v>
      </c>
      <c r="AP963" s="17" t="n">
        <f aca="false">IF(AH964&lt;AH963,"FITS BITCH",IF(AH964&gt;AH963,"no"))</f>
        <v>0</v>
      </c>
      <c r="AQ963" s="17" t="str">
        <f aca="false">IF(AI964&lt;AI963,"FITS BITCH",IF(AI964&gt;AI963,"no"))</f>
        <v>FITS BITCH</v>
      </c>
      <c r="AR963" s="17" t="str">
        <f aca="false">IF(AJ963&lt;AH964,"FITS BITCH",IF(AJ963&gt;AH964,"no"))</f>
        <v>FITS BITCH</v>
      </c>
      <c r="AS963" s="17" t="str">
        <f aca="false">IF(AJ963&gt;AJ964,"FITS BITCH",IF(AJ963&lt;AJ964,"no"))</f>
        <v>no</v>
      </c>
      <c r="AT963" s="91" t="str">
        <f aca="false">IF(AND($AO963="FITS BITCH",$AP963="FITS BITCH",$AR963="FITS BITCH"),"BULLISH","")</f>
        <v/>
      </c>
      <c r="AU963" s="91" t="str">
        <f aca="false">IF(AND($AO963="FITS BITCH",$AQ963="FITS BITCH",$AS963="FITS BITCH"),"BEARISH","")</f>
        <v/>
      </c>
      <c r="AV963" s="86"/>
      <c r="AW963" s="86"/>
      <c r="AX963" s="86"/>
    </row>
    <row r="964" customFormat="false" ht="15.75" hidden="false" customHeight="false" outlineLevel="0" collapsed="false">
      <c r="AE964" s="90" t="n">
        <f aca="false">Data!A959</f>
        <v>41577</v>
      </c>
      <c r="AF964" s="17" t="n">
        <f aca="false">Data!B959</f>
        <v>74.23</v>
      </c>
      <c r="AG964" s="17" t="n">
        <f aca="false">Data!F959</f>
        <v>88540697</v>
      </c>
      <c r="AH964" s="17" t="n">
        <f aca="false">Data!C959</f>
        <v>75.36</v>
      </c>
      <c r="AI964" s="17" t="n">
        <f aca="false">Data!D959</f>
        <v>73.86</v>
      </c>
      <c r="AJ964" s="17" t="n">
        <f aca="false">Data!E959</f>
        <v>74.98</v>
      </c>
      <c r="AK964" s="17" t="n">
        <f aca="false">Data!F959</f>
        <v>88540697</v>
      </c>
      <c r="AL964" s="17" t="n">
        <f aca="false">AJ964</f>
        <v>74.98</v>
      </c>
      <c r="AM964" s="17" t="n">
        <f aca="false">(AL964-AL963)/AL964*100</f>
        <v>0.413443584955991</v>
      </c>
      <c r="AN964" s="17" t="n">
        <f aca="false">(AK964-AK963)/AK964*100</f>
        <v>22.1558138400469</v>
      </c>
      <c r="AO964" s="17" t="str">
        <f aca="false">IF(AN964&lt;-8,"FITS BITCH",IF(AN964&gt;-8,"no"))</f>
        <v>no</v>
      </c>
      <c r="AP964" s="17" t="str">
        <f aca="false">IF(AH965&lt;AH964,"FITS BITCH",IF(AH965&gt;AH964,"no"))</f>
        <v>no</v>
      </c>
      <c r="AQ964" s="17" t="str">
        <f aca="false">IF(AI965&lt;AI964,"FITS BITCH",IF(AI965&gt;AI964,"no"))</f>
        <v>FITS BITCH</v>
      </c>
      <c r="AR964" s="17" t="str">
        <f aca="false">IF(AJ964&lt;AH965,"FITS BITCH",IF(AJ964&gt;AH965,"no"))</f>
        <v>FITS BITCH</v>
      </c>
      <c r="AS964" s="17" t="str">
        <f aca="false">IF(AJ964&gt;AJ965,"FITS BITCH",IF(AJ964&lt;AJ965,"no"))</f>
        <v>FITS BITCH</v>
      </c>
      <c r="AT964" s="91" t="str">
        <f aca="false">IF(AND($AO964="FITS BITCH",$AP964="FITS BITCH",$AR964="FITS BITCH"),"BULLISH","")</f>
        <v/>
      </c>
      <c r="AU964" s="91" t="str">
        <f aca="false">IF(AND($AO964="FITS BITCH",$AQ964="FITS BITCH",$AS964="FITS BITCH"),"BEARISH","")</f>
        <v/>
      </c>
      <c r="AV964" s="86"/>
      <c r="AW964" s="86"/>
      <c r="AX964" s="86"/>
    </row>
    <row r="965" customFormat="false" ht="15.75" hidden="false" customHeight="false" outlineLevel="0" collapsed="false">
      <c r="AE965" s="90" t="n">
        <f aca="false">Data!A960</f>
        <v>41576</v>
      </c>
      <c r="AF965" s="17" t="n">
        <f aca="false">Data!B960</f>
        <v>76.61</v>
      </c>
      <c r="AG965" s="17" t="n">
        <f aca="false">Data!F960</f>
        <v>158952115</v>
      </c>
      <c r="AH965" s="17" t="n">
        <f aca="false">Data!C960</f>
        <v>77.04</v>
      </c>
      <c r="AI965" s="17" t="n">
        <f aca="false">Data!D960</f>
        <v>73.51</v>
      </c>
      <c r="AJ965" s="17" t="n">
        <f aca="false">Data!E960</f>
        <v>73.81</v>
      </c>
      <c r="AK965" s="17" t="n">
        <f aca="false">Data!F960</f>
        <v>158952115</v>
      </c>
      <c r="AL965" s="17" t="n">
        <f aca="false">AJ965</f>
        <v>73.81</v>
      </c>
      <c r="AM965" s="17" t="n">
        <f aca="false">(AL965-AL964)/AL965*100</f>
        <v>-1.58515106354153</v>
      </c>
      <c r="AN965" s="17" t="n">
        <f aca="false">(AK965-AK964)/AK965*100</f>
        <v>44.2972514080734</v>
      </c>
      <c r="AO965" s="17" t="str">
        <f aca="false">IF(AN965&lt;-8,"FITS BITCH",IF(AN965&gt;-8,"no"))</f>
        <v>no</v>
      </c>
      <c r="AP965" s="17" t="str">
        <f aca="false">IF(AH966&lt;AH965,"FITS BITCH",IF(AH966&gt;AH965,"no"))</f>
        <v>FITS BITCH</v>
      </c>
      <c r="AQ965" s="17" t="str">
        <f aca="false">IF(AI966&lt;AI965,"FITS BITCH",IF(AI966&gt;AI965,"no"))</f>
        <v>no</v>
      </c>
      <c r="AR965" s="17" t="str">
        <f aca="false">IF(AJ965&lt;AH966,"FITS BITCH",IF(AJ965&gt;AH966,"no"))</f>
        <v>FITS BITCH</v>
      </c>
      <c r="AS965" s="17" t="str">
        <f aca="false">IF(AJ965&gt;AJ966,"FITS BITCH",IF(AJ965&lt;AJ966,"no"))</f>
        <v>no</v>
      </c>
      <c r="AT965" s="91" t="str">
        <f aca="false">IF(AND($AO965="FITS BITCH",$AP965="FITS BITCH",$AR965="FITS BITCH"),"BULLISH","")</f>
        <v/>
      </c>
      <c r="AU965" s="91" t="str">
        <f aca="false">IF(AND($AO965="FITS BITCH",$AQ965="FITS BITCH",$AS965="FITS BITCH"),"BEARISH","")</f>
        <v/>
      </c>
      <c r="AV965" s="86"/>
      <c r="AW965" s="86"/>
      <c r="AX965" s="86"/>
    </row>
    <row r="966" customFormat="false" ht="15.75" hidden="false" customHeight="false" outlineLevel="0" collapsed="false">
      <c r="AE966" s="90" t="n">
        <f aca="false">Data!A961</f>
        <v>41575</v>
      </c>
      <c r="AF966" s="17" t="n">
        <f aca="false">Data!B961</f>
        <v>75.58</v>
      </c>
      <c r="AG966" s="17" t="n">
        <f aca="false">Data!F961</f>
        <v>137610123</v>
      </c>
      <c r="AH966" s="17" t="n">
        <f aca="false">Data!C961</f>
        <v>75.86</v>
      </c>
      <c r="AI966" s="17" t="n">
        <f aca="false">Data!D961</f>
        <v>74.74</v>
      </c>
      <c r="AJ966" s="17" t="n">
        <f aca="false">Data!E961</f>
        <v>75.7</v>
      </c>
      <c r="AK966" s="17" t="n">
        <f aca="false">Data!F961</f>
        <v>137610123</v>
      </c>
      <c r="AL966" s="17" t="n">
        <f aca="false">AJ966</f>
        <v>75.7</v>
      </c>
      <c r="AM966" s="17" t="n">
        <f aca="false">(AL966-AL965)/AL966*100</f>
        <v>2.49669749009247</v>
      </c>
      <c r="AN966" s="17" t="n">
        <f aca="false">(AK966-AK965)/AK966*100</f>
        <v>-15.5090276316372</v>
      </c>
      <c r="AO966" s="17" t="str">
        <f aca="false">IF(AN966&lt;-8,"FITS BITCH",IF(AN966&gt;-8,"no"))</f>
        <v>FITS BITCH</v>
      </c>
      <c r="AP966" s="17" t="str">
        <f aca="false">IF(AH967&lt;AH966,"FITS BITCH",IF(AH967&gt;AH966,"no"))</f>
        <v>no</v>
      </c>
      <c r="AQ966" s="17" t="str">
        <f aca="false">IF(AI967&lt;AI966,"FITS BITCH",IF(AI967&gt;AI966,"no"))</f>
        <v>no</v>
      </c>
      <c r="AR966" s="17" t="str">
        <f aca="false">IF(AJ966&lt;AH967,"FITS BITCH",IF(AJ966&gt;AH967,"no"))</f>
        <v>FITS BITCH</v>
      </c>
      <c r="AS966" s="17" t="str">
        <f aca="false">IF(AJ966&gt;AJ967,"FITS BITCH",IF(AJ966&lt;AJ967,"no"))</f>
        <v>FITS BITCH</v>
      </c>
      <c r="AT966" s="91" t="str">
        <f aca="false">IF(AND($AO966="FITS BITCH",$AP966="FITS BITCH",$AR966="FITS BITCH"),"BULLISH","")</f>
        <v/>
      </c>
      <c r="AU966" s="91" t="str">
        <f aca="false">IF(AND($AO966="FITS BITCH",$AQ966="FITS BITCH",$AS966="FITS BITCH"),"BEARISH","")</f>
        <v/>
      </c>
      <c r="AV966" s="86"/>
      <c r="AW966" s="86"/>
      <c r="AX966" s="86"/>
    </row>
    <row r="967" customFormat="false" ht="15.75" hidden="false" customHeight="false" outlineLevel="0" collapsed="false">
      <c r="AE967" s="90" t="n">
        <f aca="false">Data!A962</f>
        <v>41572</v>
      </c>
      <c r="AF967" s="17" t="n">
        <f aca="false">Data!B962</f>
        <v>75.9</v>
      </c>
      <c r="AG967" s="17" t="n">
        <f aca="false">Data!F962</f>
        <v>84448133</v>
      </c>
      <c r="AH967" s="17" t="n">
        <f aca="false">Data!C962</f>
        <v>76.18</v>
      </c>
      <c r="AI967" s="17" t="n">
        <f aca="false">Data!D962</f>
        <v>75.02</v>
      </c>
      <c r="AJ967" s="17" t="n">
        <f aca="false">Data!E962</f>
        <v>75.14</v>
      </c>
      <c r="AK967" s="17" t="n">
        <f aca="false">Data!F962</f>
        <v>84448133</v>
      </c>
      <c r="AL967" s="17" t="n">
        <f aca="false">AJ967</f>
        <v>75.14</v>
      </c>
      <c r="AM967" s="17" t="n">
        <f aca="false">(AL967-AL966)/AL967*100</f>
        <v>-0.745275485759918</v>
      </c>
      <c r="AN967" s="17" t="n">
        <f aca="false">(AK967-AK966)/AK967*100</f>
        <v>-62.9522383875556</v>
      </c>
      <c r="AO967" s="17" t="str">
        <f aca="false">IF(AN967&lt;-8,"FITS BITCH",IF(AN967&gt;-8,"no"))</f>
        <v>FITS BITCH</v>
      </c>
      <c r="AP967" s="17" t="str">
        <f aca="false">IF(AH968&lt;AH967,"FITS BITCH",IF(AH968&gt;AH967,"no"))</f>
        <v>FITS BITCH</v>
      </c>
      <c r="AQ967" s="17" t="str">
        <f aca="false">IF(AI968&lt;AI967,"FITS BITCH",IF(AI968&gt;AI967,"no"))</f>
        <v>FITS BITCH</v>
      </c>
      <c r="AR967" s="17" t="str">
        <f aca="false">IF(AJ967&lt;AH968,"FITS BITCH",IF(AJ967&gt;AH968,"no"))</f>
        <v>FITS BITCH</v>
      </c>
      <c r="AS967" s="17" t="str">
        <f aca="false">IF(AJ967&gt;AJ968,"FITS BITCH",IF(AJ967&lt;AJ968,"no"))</f>
        <v>no</v>
      </c>
      <c r="AT967" s="91" t="str">
        <f aca="false">IF(AND($AO967="FITS BITCH",$AP967="FITS BITCH",$AR967="FITS BITCH"),"BULLISH","")</f>
        <v>BULLISH</v>
      </c>
      <c r="AU967" s="91" t="str">
        <f aca="false">IF(AND($AO967="FITS BITCH",$AQ967="FITS BITCH",$AS967="FITS BITCH"),"BEARISH","")</f>
        <v/>
      </c>
      <c r="AV967" s="86"/>
      <c r="AW967" s="86"/>
      <c r="AX967" s="86"/>
    </row>
    <row r="968" customFormat="false" ht="15.75" hidden="false" customHeight="false" outlineLevel="0" collapsed="false">
      <c r="AE968" s="90" t="n">
        <f aca="false">Data!A963</f>
        <v>41571</v>
      </c>
      <c r="AF968" s="17" t="n">
        <f aca="false">Data!B963</f>
        <v>75</v>
      </c>
      <c r="AG968" s="17" t="n">
        <f aca="false">Data!F963</f>
        <v>96191095</v>
      </c>
      <c r="AH968" s="17" t="n">
        <f aca="false">Data!C963</f>
        <v>76.07</v>
      </c>
      <c r="AI968" s="17" t="n">
        <f aca="false">Data!D963</f>
        <v>74.64</v>
      </c>
      <c r="AJ968" s="17" t="n">
        <f aca="false">Data!E963</f>
        <v>75.99</v>
      </c>
      <c r="AK968" s="17" t="n">
        <f aca="false">Data!F963</f>
        <v>96191095</v>
      </c>
      <c r="AL968" s="17" t="n">
        <f aca="false">AJ968</f>
        <v>75.99</v>
      </c>
      <c r="AM968" s="17" t="n">
        <f aca="false">(AL968-AL967)/AL968*100</f>
        <v>1.11856823266219</v>
      </c>
      <c r="AN968" s="17" t="n">
        <f aca="false">(AK968-AK967)/AK968*100</f>
        <v>12.2079512661749</v>
      </c>
      <c r="AO968" s="17" t="str">
        <f aca="false">IF(AN968&lt;-8,"FITS BITCH",IF(AN968&gt;-8,"no"))</f>
        <v>no</v>
      </c>
      <c r="AP968" s="17" t="str">
        <f aca="false">IF(AH969&lt;AH968,"FITS BITCH",IF(AH969&gt;AH968,"no"))</f>
        <v>FITS BITCH</v>
      </c>
      <c r="AQ968" s="17" t="str">
        <f aca="false">IF(AI969&lt;AI968,"FITS BITCH",IF(AI969&gt;AI968,"no"))</f>
        <v>FITS BITCH</v>
      </c>
      <c r="AR968" s="17" t="str">
        <f aca="false">IF(AJ968&lt;AH969,"FITS BITCH",IF(AJ968&gt;AH969,"no"))</f>
        <v>no</v>
      </c>
      <c r="AS968" s="17" t="str">
        <f aca="false">IF(AJ968&gt;AJ969,"FITS BITCH",IF(AJ968&lt;AJ969,"no"))</f>
        <v>FITS BITCH</v>
      </c>
      <c r="AT968" s="91" t="str">
        <f aca="false">IF(AND($AO968="FITS BITCH",$AP968="FITS BITCH",$AR968="FITS BITCH"),"BULLISH","")</f>
        <v/>
      </c>
      <c r="AU968" s="91" t="str">
        <f aca="false">IF(AND($AO968="FITS BITCH",$AQ968="FITS BITCH",$AS968="FITS BITCH"),"BEARISH","")</f>
        <v/>
      </c>
      <c r="AV968" s="86"/>
      <c r="AW968" s="86"/>
      <c r="AX968" s="86"/>
    </row>
    <row r="969" customFormat="false" ht="15.75" hidden="false" customHeight="false" outlineLevel="0" collapsed="false">
      <c r="AE969" s="90" t="n">
        <f aca="false">Data!A964</f>
        <v>41570</v>
      </c>
      <c r="AF969" s="17" t="n">
        <f aca="false">Data!B964</f>
        <v>74.14</v>
      </c>
      <c r="AG969" s="17" t="n">
        <f aca="false">Data!F964</f>
        <v>78431122</v>
      </c>
      <c r="AH969" s="17" t="n">
        <f aca="false">Data!C964</f>
        <v>75.1</v>
      </c>
      <c r="AI969" s="17" t="n">
        <f aca="false">Data!D964</f>
        <v>74.14</v>
      </c>
      <c r="AJ969" s="17" t="n">
        <f aca="false">Data!E964</f>
        <v>74.99</v>
      </c>
      <c r="AK969" s="17" t="n">
        <f aca="false">Data!F964</f>
        <v>78431122</v>
      </c>
      <c r="AL969" s="17" t="n">
        <f aca="false">AJ969</f>
        <v>74.99</v>
      </c>
      <c r="AM969" s="17" t="n">
        <f aca="false">(AL969-AL968)/AL969*100</f>
        <v>-1.33351113481798</v>
      </c>
      <c r="AN969" s="17" t="n">
        <f aca="false">(AK969-AK968)/AK969*100</f>
        <v>-22.6440379113791</v>
      </c>
      <c r="AO969" s="17" t="str">
        <f aca="false">IF(AN969&lt;-8,"FITS BITCH",IF(AN969&gt;-8,"no"))</f>
        <v>FITS BITCH</v>
      </c>
      <c r="AP969" s="17" t="str">
        <f aca="false">IF(AH970&lt;AH969,"FITS BITCH",IF(AH970&gt;AH969,"no"))</f>
        <v>no</v>
      </c>
      <c r="AQ969" s="17" t="str">
        <f aca="false">IF(AI970&lt;AI969,"FITS BITCH",IF(AI970&gt;AI969,"no"))</f>
        <v>FITS BITCH</v>
      </c>
      <c r="AR969" s="17" t="str">
        <f aca="false">IF(AJ969&lt;AH970,"FITS BITCH",IF(AJ969&gt;AH970,"no"))</f>
        <v>FITS BITCH</v>
      </c>
      <c r="AS969" s="17" t="str">
        <f aca="false">IF(AJ969&gt;AJ970,"FITS BITCH",IF(AJ969&lt;AJ970,"no"))</f>
        <v>FITS BITCH</v>
      </c>
      <c r="AT969" s="91" t="str">
        <f aca="false">IF(AND($AO969="FITS BITCH",$AP969="FITS BITCH",$AR969="FITS BITCH"),"BULLISH","")</f>
        <v/>
      </c>
      <c r="AU969" s="91" t="str">
        <f aca="false">IF(AND($AO969="FITS BITCH",$AQ969="FITS BITCH",$AS969="FITS BITCH"),"BEARISH","")</f>
        <v>BEARISH</v>
      </c>
      <c r="AV969" s="86"/>
      <c r="AW969" s="86"/>
      <c r="AX969" s="86"/>
    </row>
    <row r="970" customFormat="false" ht="15.75" hidden="false" customHeight="false" outlineLevel="0" collapsed="false">
      <c r="AE970" s="90" t="n">
        <f aca="false">Data!A965</f>
        <v>41569</v>
      </c>
      <c r="AF970" s="17" t="n">
        <f aca="false">Data!B965</f>
        <v>75.2</v>
      </c>
      <c r="AG970" s="17" t="n">
        <f aca="false">Data!F965</f>
        <v>133515753</v>
      </c>
      <c r="AH970" s="17" t="n">
        <f aca="false">Data!C965</f>
        <v>75.49</v>
      </c>
      <c r="AI970" s="17" t="n">
        <f aca="false">Data!D965</f>
        <v>72.58</v>
      </c>
      <c r="AJ970" s="17" t="n">
        <f aca="false">Data!E965</f>
        <v>74.27</v>
      </c>
      <c r="AK970" s="17" t="n">
        <f aca="false">Data!F965</f>
        <v>133515753</v>
      </c>
      <c r="AL970" s="17" t="n">
        <f aca="false">AJ970</f>
        <v>74.27</v>
      </c>
      <c r="AM970" s="17" t="n">
        <f aca="false">(AL970-AL969)/AL970*100</f>
        <v>-0.969435842197386</v>
      </c>
      <c r="AN970" s="17" t="n">
        <f aca="false">(AK970-AK969)/AK970*100</f>
        <v>41.2570275508988</v>
      </c>
      <c r="AO970" s="17" t="str">
        <f aca="false">IF(AN970&lt;-8,"FITS BITCH",IF(AN970&gt;-8,"no"))</f>
        <v>no</v>
      </c>
      <c r="AP970" s="17" t="str">
        <f aca="false">IF(AH971&lt;AH970,"FITS BITCH",IF(AH971&gt;AH970,"no"))</f>
        <v>FITS BITCH</v>
      </c>
      <c r="AQ970" s="17" t="str">
        <f aca="false">IF(AI971&lt;AI970,"FITS BITCH",IF(AI971&gt;AI970,"no"))</f>
        <v>no</v>
      </c>
      <c r="AR970" s="17" t="str">
        <f aca="false">IF(AJ970&lt;AH971,"FITS BITCH",IF(AJ970&gt;AH971,"no"))</f>
        <v>FITS BITCH</v>
      </c>
      <c r="AS970" s="17" t="str">
        <f aca="false">IF(AJ970&gt;AJ971,"FITS BITCH",IF(AJ970&lt;AJ971,"no"))</f>
        <v>no</v>
      </c>
      <c r="AT970" s="91" t="str">
        <f aca="false">IF(AND($AO970="FITS BITCH",$AP970="FITS BITCH",$AR970="FITS BITCH"),"BULLISH","")</f>
        <v/>
      </c>
      <c r="AU970" s="91" t="str">
        <f aca="false">IF(AND($AO970="FITS BITCH",$AQ970="FITS BITCH",$AS970="FITS BITCH"),"BEARISH","")</f>
        <v/>
      </c>
      <c r="AV970" s="86"/>
      <c r="AW970" s="86"/>
      <c r="AX970" s="86"/>
    </row>
    <row r="971" customFormat="false" ht="15.75" hidden="false" customHeight="false" outlineLevel="0" collapsed="false">
      <c r="AE971" s="90" t="n">
        <f aca="false">Data!A966</f>
        <v>41568</v>
      </c>
      <c r="AF971" s="17" t="n">
        <f aca="false">Data!B966</f>
        <v>73.11</v>
      </c>
      <c r="AG971" s="17" t="n">
        <f aca="false">Data!F966</f>
        <v>99526945</v>
      </c>
      <c r="AH971" s="17" t="n">
        <f aca="false">Data!C966</f>
        <v>74.9</v>
      </c>
      <c r="AI971" s="17" t="n">
        <f aca="false">Data!D966</f>
        <v>73.07</v>
      </c>
      <c r="AJ971" s="17" t="n">
        <f aca="false">Data!E966</f>
        <v>74.48</v>
      </c>
      <c r="AK971" s="17" t="n">
        <f aca="false">Data!F966</f>
        <v>99526945</v>
      </c>
      <c r="AL971" s="17" t="n">
        <f aca="false">AJ971</f>
        <v>74.48</v>
      </c>
      <c r="AM971" s="17" t="n">
        <f aca="false">(AL971-AL970)/AL971*100</f>
        <v>0.281954887218056</v>
      </c>
      <c r="AN971" s="17" t="n">
        <f aca="false">(AK971-AK970)/AK971*100</f>
        <v>-34.150357975923</v>
      </c>
      <c r="AO971" s="17" t="str">
        <f aca="false">IF(AN971&lt;-8,"FITS BITCH",IF(AN971&gt;-8,"no"))</f>
        <v>FITS BITCH</v>
      </c>
      <c r="AP971" s="17" t="str">
        <f aca="false">IF(AH972&lt;AH971,"FITS BITCH",IF(AH972&gt;AH971,"no"))</f>
        <v>FITS BITCH</v>
      </c>
      <c r="AQ971" s="17" t="str">
        <f aca="false">IF(AI972&lt;AI971,"FITS BITCH",IF(AI972&gt;AI971,"no"))</f>
        <v>FITS BITCH</v>
      </c>
      <c r="AR971" s="17" t="str">
        <f aca="false">IF(AJ971&lt;AH972,"FITS BITCH",IF(AJ971&gt;AH972,"no"))</f>
        <v>no</v>
      </c>
      <c r="AS971" s="17" t="str">
        <f aca="false">IF(AJ971&gt;AJ972,"FITS BITCH",IF(AJ971&lt;AJ972,"no"))</f>
        <v>FITS BITCH</v>
      </c>
      <c r="AT971" s="91" t="str">
        <f aca="false">IF(AND($AO971="FITS BITCH",$AP971="FITS BITCH",$AR971="FITS BITCH"),"BULLISH","")</f>
        <v/>
      </c>
      <c r="AU971" s="91" t="str">
        <f aca="false">IF(AND($AO971="FITS BITCH",$AQ971="FITS BITCH",$AS971="FITS BITCH"),"BEARISH","")</f>
        <v>BEARISH</v>
      </c>
      <c r="AV971" s="86"/>
      <c r="AW971" s="86"/>
      <c r="AX971" s="86"/>
    </row>
    <row r="972" customFormat="false" ht="15.75" hidden="false" customHeight="false" outlineLevel="0" collapsed="false">
      <c r="AE972" s="90" t="n">
        <f aca="false">Data!A967</f>
        <v>41565</v>
      </c>
      <c r="AF972" s="17" t="n">
        <f aca="false">Data!B967</f>
        <v>72.28</v>
      </c>
      <c r="AG972" s="17" t="n">
        <f aca="false">Data!F967</f>
        <v>72635570</v>
      </c>
      <c r="AH972" s="17" t="n">
        <f aca="false">Data!C967</f>
        <v>72.75</v>
      </c>
      <c r="AI972" s="17" t="n">
        <f aca="false">Data!D967</f>
        <v>72.24</v>
      </c>
      <c r="AJ972" s="17" t="n">
        <f aca="false">Data!E967</f>
        <v>72.7</v>
      </c>
      <c r="AK972" s="17" t="n">
        <f aca="false">Data!F967</f>
        <v>72635570</v>
      </c>
      <c r="AL972" s="17" t="n">
        <f aca="false">AJ972</f>
        <v>72.7</v>
      </c>
      <c r="AM972" s="17" t="n">
        <f aca="false">(AL972-AL971)/AL972*100</f>
        <v>-2.4484181568088</v>
      </c>
      <c r="AN972" s="17" t="n">
        <f aca="false">(AK972-AK971)/AK972*100</f>
        <v>-37.0223225342625</v>
      </c>
      <c r="AO972" s="17" t="str">
        <f aca="false">IF(AN972&lt;-8,"FITS BITCH",IF(AN972&gt;-8,"no"))</f>
        <v>FITS BITCH</v>
      </c>
      <c r="AP972" s="17" t="str">
        <f aca="false">IF(AH973&lt;AH972,"FITS BITCH",IF(AH973&gt;AH972,"no"))</f>
        <v>FITS BITCH</v>
      </c>
      <c r="AQ972" s="17" t="str">
        <f aca="false">IF(AI973&lt;AI972,"FITS BITCH",IF(AI973&gt;AI972,"no"))</f>
        <v>FITS BITCH</v>
      </c>
      <c r="AR972" s="17" t="str">
        <f aca="false">IF(AJ972&lt;AH973,"FITS BITCH",IF(AJ972&gt;AH973,"no"))</f>
        <v>no</v>
      </c>
      <c r="AS972" s="17" t="str">
        <f aca="false">IF(AJ972&gt;AJ973,"FITS BITCH",IF(AJ972&lt;AJ973,"no"))</f>
        <v>FITS BITCH</v>
      </c>
      <c r="AT972" s="91" t="str">
        <f aca="false">IF(AND($AO972="FITS BITCH",$AP972="FITS BITCH",$AR972="FITS BITCH"),"BULLISH","")</f>
        <v/>
      </c>
      <c r="AU972" s="91" t="str">
        <f aca="false">IF(AND($AO972="FITS BITCH",$AQ972="FITS BITCH",$AS972="FITS BITCH"),"BEARISH","")</f>
        <v>BEARISH</v>
      </c>
      <c r="AV972" s="86"/>
      <c r="AW972" s="86"/>
      <c r="AX972" s="86"/>
    </row>
    <row r="973" customFormat="false" ht="15.75" hidden="false" customHeight="false" outlineLevel="0" collapsed="false">
      <c r="AE973" s="90" t="n">
        <f aca="false">Data!A968</f>
        <v>41564</v>
      </c>
      <c r="AF973" s="17" t="n">
        <f aca="false">Data!B968</f>
        <v>71.43</v>
      </c>
      <c r="AG973" s="17" t="n">
        <f aca="false">Data!F968</f>
        <v>63398335</v>
      </c>
      <c r="AH973" s="17" t="n">
        <f aca="false">Data!C968</f>
        <v>72.11</v>
      </c>
      <c r="AI973" s="17" t="n">
        <f aca="false">Data!D968</f>
        <v>71.38</v>
      </c>
      <c r="AJ973" s="17" t="n">
        <f aca="false">Data!E968</f>
        <v>72.07</v>
      </c>
      <c r="AK973" s="17" t="n">
        <f aca="false">Data!F968</f>
        <v>63398335</v>
      </c>
      <c r="AL973" s="17" t="n">
        <f aca="false">AJ973</f>
        <v>72.07</v>
      </c>
      <c r="AM973" s="17" t="n">
        <f aca="false">(AL973-AL972)/AL973*100</f>
        <v>-0.874150131816303</v>
      </c>
      <c r="AN973" s="17" t="n">
        <f aca="false">(AK973-AK972)/AK973*100</f>
        <v>-14.570153932276</v>
      </c>
      <c r="AO973" s="17" t="str">
        <f aca="false">IF(AN973&lt;-8,"FITS BITCH",IF(AN973&gt;-8,"no"))</f>
        <v>FITS BITCH</v>
      </c>
      <c r="AP973" s="17" t="str">
        <f aca="false">IF(AH974&lt;AH973,"FITS BITCH",IF(AH974&gt;AH973,"no"))</f>
        <v>FITS BITCH</v>
      </c>
      <c r="AQ973" s="17" t="str">
        <f aca="false">IF(AI974&lt;AI973,"FITS BITCH",IF(AI974&gt;AI973,"no"))</f>
        <v>FITS BITCH</v>
      </c>
      <c r="AR973" s="17" t="str">
        <f aca="false">IF(AJ973&lt;AH974,"FITS BITCH",IF(AJ973&gt;AH974,"no"))</f>
        <v>no</v>
      </c>
      <c r="AS973" s="17" t="str">
        <f aca="false">IF(AJ973&gt;AJ974,"FITS BITCH",IF(AJ973&lt;AJ974,"no"))</f>
        <v>FITS BITCH</v>
      </c>
      <c r="AT973" s="91" t="str">
        <f aca="false">IF(AND($AO973="FITS BITCH",$AP973="FITS BITCH",$AR973="FITS BITCH"),"BULLISH","")</f>
        <v/>
      </c>
      <c r="AU973" s="91" t="str">
        <f aca="false">IF(AND($AO973="FITS BITCH",$AQ973="FITS BITCH",$AS973="FITS BITCH"),"BEARISH","")</f>
        <v>BEARISH</v>
      </c>
      <c r="AV973" s="86"/>
      <c r="AW973" s="86"/>
      <c r="AX973" s="86"/>
    </row>
    <row r="974" customFormat="false" ht="15.75" hidden="false" customHeight="false" outlineLevel="0" collapsed="false">
      <c r="AE974" s="90" t="n">
        <f aca="false">Data!A969</f>
        <v>41563</v>
      </c>
      <c r="AF974" s="17" t="n">
        <f aca="false">Data!B969</f>
        <v>71.54</v>
      </c>
      <c r="AG974" s="17" t="n">
        <f aca="false">Data!F969</f>
        <v>62775013</v>
      </c>
      <c r="AH974" s="17" t="n">
        <f aca="false">Data!C969</f>
        <v>71.79</v>
      </c>
      <c r="AI974" s="17" t="n">
        <f aca="false">Data!D969</f>
        <v>71.32</v>
      </c>
      <c r="AJ974" s="17" t="n">
        <f aca="false">Data!E969</f>
        <v>71.59</v>
      </c>
      <c r="AK974" s="17" t="n">
        <f aca="false">Data!F969</f>
        <v>62775013</v>
      </c>
      <c r="AL974" s="17" t="n">
        <f aca="false">AJ974</f>
        <v>71.59</v>
      </c>
      <c r="AM974" s="17" t="n">
        <f aca="false">(AL974-AL973)/AL974*100</f>
        <v>-0.670484704567663</v>
      </c>
      <c r="AN974" s="17" t="n">
        <f aca="false">(AK974-AK973)/AK974*100</f>
        <v>-0.992946030931129</v>
      </c>
      <c r="AO974" s="17" t="str">
        <f aca="false">IF(AN974&lt;-8,"FITS BITCH",IF(AN974&gt;-8,"no"))</f>
        <v>no</v>
      </c>
      <c r="AP974" s="17" t="str">
        <f aca="false">IF(AH975&lt;AH974,"FITS BITCH",IF(AH975&gt;AH974,"no"))</f>
        <v>FITS BITCH</v>
      </c>
      <c r="AQ974" s="17" t="str">
        <f aca="false">IF(AI975&lt;AI974,"FITS BITCH",IF(AI975&gt;AI974,"no"))</f>
        <v>FITS BITCH</v>
      </c>
      <c r="AR974" s="17" t="str">
        <f aca="false">IF(AJ974&lt;AH975,"FITS BITCH",IF(AJ974&gt;AH975,"no"))</f>
        <v>FITS BITCH</v>
      </c>
      <c r="AS974" s="17" t="str">
        <f aca="false">IF(AJ974&gt;AJ975,"FITS BITCH",IF(AJ974&lt;AJ975,"no"))</f>
        <v>FITS BITCH</v>
      </c>
      <c r="AT974" s="91" t="str">
        <f aca="false">IF(AND($AO974="FITS BITCH",$AP974="FITS BITCH",$AR974="FITS BITCH"),"BULLISH","")</f>
        <v/>
      </c>
      <c r="AU974" s="91" t="str">
        <f aca="false">IF(AND($AO974="FITS BITCH",$AQ974="FITS BITCH",$AS974="FITS BITCH"),"BEARISH","")</f>
        <v/>
      </c>
      <c r="AV974" s="86"/>
      <c r="AW974" s="86"/>
      <c r="AX974" s="86"/>
    </row>
    <row r="975" customFormat="false" ht="15.75" hidden="false" customHeight="false" outlineLevel="0" collapsed="false">
      <c r="AE975" s="90" t="n">
        <f aca="false">Data!A970</f>
        <v>41562</v>
      </c>
      <c r="AF975" s="17" t="n">
        <f aca="false">Data!B970</f>
        <v>71.07</v>
      </c>
      <c r="AG975" s="17" t="n">
        <f aca="false">Data!F970</f>
        <v>80018603</v>
      </c>
      <c r="AH975" s="17" t="n">
        <f aca="false">Data!C970</f>
        <v>71.71</v>
      </c>
      <c r="AI975" s="17" t="n">
        <f aca="false">Data!D970</f>
        <v>70.79</v>
      </c>
      <c r="AJ975" s="17" t="n">
        <f aca="false">Data!E970</f>
        <v>71.24</v>
      </c>
      <c r="AK975" s="17" t="n">
        <f aca="false">Data!F970</f>
        <v>80018603</v>
      </c>
      <c r="AL975" s="17" t="n">
        <f aca="false">AJ975</f>
        <v>71.24</v>
      </c>
      <c r="AM975" s="17" t="n">
        <f aca="false">(AL975-AL974)/AL975*100</f>
        <v>-0.491297024143752</v>
      </c>
      <c r="AN975" s="17" t="n">
        <f aca="false">(AK975-AK974)/AK975*100</f>
        <v>21.5494764386227</v>
      </c>
      <c r="AO975" s="17" t="str">
        <f aca="false">IF(AN975&lt;-8,"FITS BITCH",IF(AN975&gt;-8,"no"))</f>
        <v>no</v>
      </c>
      <c r="AP975" s="17" t="str">
        <f aca="false">IF(AH976&lt;AH975,"FITS BITCH",IF(AH976&gt;AH975,"no"))</f>
        <v>FITS BITCH</v>
      </c>
      <c r="AQ975" s="17" t="str">
        <f aca="false">IF(AI976&lt;AI975,"FITS BITCH",IF(AI976&gt;AI975,"no"))</f>
        <v>FITS BITCH</v>
      </c>
      <c r="AR975" s="17" t="str">
        <f aca="false">IF(AJ975&lt;AH976,"FITS BITCH",IF(AJ975&gt;AH976,"no"))</f>
        <v>no</v>
      </c>
      <c r="AS975" s="17" t="str">
        <f aca="false">IF(AJ975&gt;AJ976,"FITS BITCH",IF(AJ975&lt;AJ976,"no"))</f>
        <v>FITS BITCH</v>
      </c>
      <c r="AT975" s="91" t="str">
        <f aca="false">IF(AND($AO975="FITS BITCH",$AP975="FITS BITCH",$AR975="FITS BITCH"),"BULLISH","")</f>
        <v/>
      </c>
      <c r="AU975" s="91" t="str">
        <f aca="false">IF(AND($AO975="FITS BITCH",$AQ975="FITS BITCH",$AS975="FITS BITCH"),"BEARISH","")</f>
        <v/>
      </c>
      <c r="AV975" s="86"/>
      <c r="AW975" s="86"/>
      <c r="AX975" s="86"/>
    </row>
    <row r="976" customFormat="false" ht="15.75" hidden="false" customHeight="false" outlineLevel="0" collapsed="false">
      <c r="AE976" s="90" t="n">
        <f aca="false">Data!A971</f>
        <v>41561</v>
      </c>
      <c r="AF976" s="17" t="n">
        <f aca="false">Data!B971</f>
        <v>69.98</v>
      </c>
      <c r="AG976" s="17" t="n">
        <f aca="false">Data!F971</f>
        <v>65474542</v>
      </c>
      <c r="AH976" s="17" t="n">
        <f aca="false">Data!C971</f>
        <v>71.08</v>
      </c>
      <c r="AI976" s="17" t="n">
        <f aca="false">Data!D971</f>
        <v>69.91</v>
      </c>
      <c r="AJ976" s="17" t="n">
        <f aca="false">Data!E971</f>
        <v>70.86</v>
      </c>
      <c r="AK976" s="17" t="n">
        <f aca="false">Data!F971</f>
        <v>65474542</v>
      </c>
      <c r="AL976" s="17" t="n">
        <f aca="false">AJ976</f>
        <v>70.86</v>
      </c>
      <c r="AM976" s="17" t="n">
        <f aca="false">(AL976-AL975)/AL976*100</f>
        <v>-0.536268698842782</v>
      </c>
      <c r="AN976" s="17" t="n">
        <f aca="false">(AK976-AK975)/AK976*100</f>
        <v>-22.2133069674623</v>
      </c>
      <c r="AO976" s="17" t="str">
        <f aca="false">IF(AN976&lt;-8,"FITS BITCH",IF(AN976&gt;-8,"no"))</f>
        <v>FITS BITCH</v>
      </c>
      <c r="AP976" s="17" t="str">
        <f aca="false">IF(AH977&lt;AH976,"FITS BITCH",IF(AH977&gt;AH976,"no"))</f>
        <v>FITS BITCH</v>
      </c>
      <c r="AQ976" s="17" t="str">
        <f aca="false">IF(AI977&lt;AI976,"FITS BITCH",IF(AI977&gt;AI976,"no"))</f>
        <v>FITS BITCH</v>
      </c>
      <c r="AR976" s="17" t="str">
        <f aca="false">IF(AJ976&lt;AH977,"FITS BITCH",IF(AJ976&gt;AH977,"no"))</f>
        <v>no</v>
      </c>
      <c r="AS976" s="17" t="str">
        <f aca="false">IF(AJ976&gt;AJ977,"FITS BITCH",IF(AJ976&lt;AJ977,"no"))</f>
        <v>FITS BITCH</v>
      </c>
      <c r="AT976" s="91" t="str">
        <f aca="false">IF(AND($AO976="FITS BITCH",$AP976="FITS BITCH",$AR976="FITS BITCH"),"BULLISH","")</f>
        <v/>
      </c>
      <c r="AU976" s="91" t="str">
        <f aca="false">IF(AND($AO976="FITS BITCH",$AQ976="FITS BITCH",$AS976="FITS BITCH"),"BEARISH","")</f>
        <v>BEARISH</v>
      </c>
      <c r="AV976" s="86"/>
      <c r="AW976" s="86"/>
      <c r="AX976" s="86"/>
    </row>
    <row r="977" customFormat="false" ht="15.75" hidden="false" customHeight="false" outlineLevel="0" collapsed="false">
      <c r="AE977" s="90" t="n">
        <f aca="false">Data!A972</f>
        <v>41558</v>
      </c>
      <c r="AF977" s="17" t="n">
        <f aca="false">Data!B972</f>
        <v>69.57</v>
      </c>
      <c r="AG977" s="17" t="n">
        <f aca="false">Data!F972</f>
        <v>66934938</v>
      </c>
      <c r="AH977" s="17" t="n">
        <f aca="false">Data!C972</f>
        <v>70.55</v>
      </c>
      <c r="AI977" s="17" t="n">
        <f aca="false">Data!D972</f>
        <v>69.31</v>
      </c>
      <c r="AJ977" s="17" t="n">
        <f aca="false">Data!E972</f>
        <v>70.4</v>
      </c>
      <c r="AK977" s="17" t="n">
        <f aca="false">Data!F972</f>
        <v>66934938</v>
      </c>
      <c r="AL977" s="17" t="n">
        <f aca="false">AJ977</f>
        <v>70.4</v>
      </c>
      <c r="AM977" s="17" t="n">
        <f aca="false">(AL977-AL976)/AL977*100</f>
        <v>-0.653409090909082</v>
      </c>
      <c r="AN977" s="17" t="n">
        <f aca="false">(AK977-AK976)/AK977*100</f>
        <v>2.18181422682426</v>
      </c>
      <c r="AO977" s="17" t="str">
        <f aca="false">IF(AN977&lt;-8,"FITS BITCH",IF(AN977&gt;-8,"no"))</f>
        <v>no</v>
      </c>
      <c r="AP977" s="17" t="str">
        <f aca="false">IF(AH978&lt;AH977,"FITS BITCH",IF(AH978&gt;AH977,"no"))</f>
        <v>FITS BITCH</v>
      </c>
      <c r="AQ977" s="17" t="str">
        <f aca="false">IF(AI978&lt;AI977,"FITS BITCH",IF(AI978&gt;AI977,"no"))</f>
        <v>no</v>
      </c>
      <c r="AR977" s="17" t="str">
        <f aca="false">IF(AJ977&lt;AH978,"FITS BITCH",IF(AJ977&gt;AH978,"no"))</f>
        <v>no</v>
      </c>
      <c r="AS977" s="17" t="str">
        <f aca="false">IF(AJ977&gt;AJ978,"FITS BITCH",IF(AJ977&lt;AJ978,"no"))</f>
        <v>FITS BITCH</v>
      </c>
      <c r="AT977" s="91" t="str">
        <f aca="false">IF(AND($AO977="FITS BITCH",$AP977="FITS BITCH",$AR977="FITS BITCH"),"BULLISH","")</f>
        <v/>
      </c>
      <c r="AU977" s="91" t="str">
        <f aca="false">IF(AND($AO977="FITS BITCH",$AQ977="FITS BITCH",$AS977="FITS BITCH"),"BEARISH","")</f>
        <v/>
      </c>
      <c r="AV977" s="86"/>
      <c r="AW977" s="86"/>
      <c r="AX977" s="86"/>
    </row>
    <row r="978" customFormat="false" ht="15.75" hidden="false" customHeight="false" outlineLevel="0" collapsed="false">
      <c r="AE978" s="90" t="n">
        <f aca="false">Data!A973</f>
        <v>41557</v>
      </c>
      <c r="AF978" s="17" t="n">
        <f aca="false">Data!B973</f>
        <v>70.19</v>
      </c>
      <c r="AG978" s="17" t="n">
        <f aca="false">Data!F973</f>
        <v>69650490</v>
      </c>
      <c r="AH978" s="17" t="n">
        <f aca="false">Data!C973</f>
        <v>70.34</v>
      </c>
      <c r="AI978" s="17" t="n">
        <f aca="false">Data!D973</f>
        <v>69.58</v>
      </c>
      <c r="AJ978" s="17" t="n">
        <f aca="false">Data!E973</f>
        <v>69.95</v>
      </c>
      <c r="AK978" s="17" t="n">
        <f aca="false">Data!F973</f>
        <v>69650490</v>
      </c>
      <c r="AL978" s="17" t="n">
        <f aca="false">AJ978</f>
        <v>69.95</v>
      </c>
      <c r="AM978" s="17" t="n">
        <f aca="false">(AL978-AL977)/AL978*100</f>
        <v>-0.643316654753399</v>
      </c>
      <c r="AN978" s="17" t="n">
        <f aca="false">(AK978-AK977)/AK978*100</f>
        <v>3.89882684242422</v>
      </c>
      <c r="AO978" s="17" t="str">
        <f aca="false">IF(AN978&lt;-8,"FITS BITCH",IF(AN978&gt;-8,"no"))</f>
        <v>no</v>
      </c>
      <c r="AP978" s="17" t="str">
        <f aca="false">IF(AH979&lt;AH978,"FITS BITCH",IF(AH979&gt;AH978,"no"))</f>
        <v>FITS BITCH</v>
      </c>
      <c r="AQ978" s="17" t="str">
        <f aca="false">IF(AI979&lt;AI978,"FITS BITCH",IF(AI979&gt;AI978,"no"))</f>
        <v>FITS BITCH</v>
      </c>
      <c r="AR978" s="17" t="str">
        <f aca="false">IF(AJ978&lt;AH979,"FITS BITCH",IF(AJ978&gt;AH979,"no"))</f>
        <v>no</v>
      </c>
      <c r="AS978" s="17" t="str">
        <f aca="false">IF(AJ978&gt;AJ979,"FITS BITCH",IF(AJ978&lt;AJ979,"no"))</f>
        <v>FITS BITCH</v>
      </c>
      <c r="AT978" s="91" t="str">
        <f aca="false">IF(AND($AO978="FITS BITCH",$AP978="FITS BITCH",$AR978="FITS BITCH"),"BULLISH","")</f>
        <v/>
      </c>
      <c r="AU978" s="91" t="str">
        <f aca="false">IF(AND($AO978="FITS BITCH",$AQ978="FITS BITCH",$AS978="FITS BITCH"),"BEARISH","")</f>
        <v/>
      </c>
      <c r="AV978" s="86"/>
      <c r="AW978" s="86"/>
      <c r="AX978" s="86"/>
    </row>
    <row r="979" customFormat="false" ht="15.75" hidden="false" customHeight="false" outlineLevel="0" collapsed="false">
      <c r="AE979" s="90" t="n">
        <f aca="false">Data!A974</f>
        <v>41556</v>
      </c>
      <c r="AF979" s="17" t="n">
        <f aca="false">Data!B974</f>
        <v>69.23</v>
      </c>
      <c r="AG979" s="17" t="n">
        <f aca="false">Data!F974</f>
        <v>75431216</v>
      </c>
      <c r="AH979" s="17" t="n">
        <f aca="false">Data!C974</f>
        <v>69.68</v>
      </c>
      <c r="AI979" s="17" t="n">
        <f aca="false">Data!D974</f>
        <v>68.33</v>
      </c>
      <c r="AJ979" s="17" t="n">
        <f aca="false">Data!E974</f>
        <v>69.51</v>
      </c>
      <c r="AK979" s="17" t="n">
        <f aca="false">Data!F974</f>
        <v>75431216</v>
      </c>
      <c r="AL979" s="17" t="n">
        <f aca="false">AJ979</f>
        <v>69.51</v>
      </c>
      <c r="AM979" s="17" t="n">
        <f aca="false">(AL979-AL978)/AL979*100</f>
        <v>-0.633002445691264</v>
      </c>
      <c r="AN979" s="17" t="n">
        <f aca="false">(AK979-AK978)/AK979*100</f>
        <v>7.6635725983789</v>
      </c>
      <c r="AO979" s="17" t="str">
        <f aca="false">IF(AN979&lt;-8,"FITS BITCH",IF(AN979&gt;-8,"no"))</f>
        <v>no</v>
      </c>
      <c r="AP979" s="17" t="str">
        <f aca="false">IF(AH980&lt;AH979,"FITS BITCH",IF(AH980&gt;AH979,"no"))</f>
        <v>no</v>
      </c>
      <c r="AQ979" s="17" t="str">
        <f aca="false">IF(AI980&lt;AI979,"FITS BITCH",IF(AI980&gt;AI979,"no"))</f>
        <v>no</v>
      </c>
      <c r="AR979" s="17" t="str">
        <f aca="false">IF(AJ979&lt;AH980,"FITS BITCH",IF(AJ979&gt;AH980,"no"))</f>
        <v>FITS BITCH</v>
      </c>
      <c r="AS979" s="17" t="str">
        <f aca="false">IF(AJ979&gt;AJ980,"FITS BITCH",IF(AJ979&lt;AJ980,"no"))</f>
        <v>FITS BITCH</v>
      </c>
      <c r="AT979" s="91" t="str">
        <f aca="false">IF(AND($AO979="FITS BITCH",$AP979="FITS BITCH",$AR979="FITS BITCH"),"BULLISH","")</f>
        <v/>
      </c>
      <c r="AU979" s="91" t="str">
        <f aca="false">IF(AND($AO979="FITS BITCH",$AQ979="FITS BITCH",$AS979="FITS BITCH"),"BEARISH","")</f>
        <v/>
      </c>
      <c r="AV979" s="86"/>
      <c r="AW979" s="86"/>
      <c r="AX979" s="86"/>
    </row>
    <row r="980" customFormat="false" ht="15.75" hidden="false" customHeight="false" outlineLevel="0" collapsed="false">
      <c r="AE980" s="90" t="n">
        <f aca="false">Data!A975</f>
        <v>41555</v>
      </c>
      <c r="AF980" s="17" t="n">
        <f aca="false">Data!B975</f>
        <v>69.99</v>
      </c>
      <c r="AG980" s="17" t="n">
        <f aca="false">Data!F975</f>
        <v>72729006</v>
      </c>
      <c r="AH980" s="17" t="n">
        <f aca="false">Data!C975</f>
        <v>70.09</v>
      </c>
      <c r="AI980" s="17" t="n">
        <f aca="false">Data!D975</f>
        <v>68.65</v>
      </c>
      <c r="AJ980" s="17" t="n">
        <f aca="false">Data!E975</f>
        <v>68.71</v>
      </c>
      <c r="AK980" s="17" t="n">
        <f aca="false">Data!F975</f>
        <v>72729006</v>
      </c>
      <c r="AL980" s="17" t="n">
        <f aca="false">AJ980</f>
        <v>68.71</v>
      </c>
      <c r="AM980" s="17" t="n">
        <f aca="false">(AL980-AL979)/AL980*100</f>
        <v>-1.16431378256442</v>
      </c>
      <c r="AN980" s="17" t="n">
        <f aca="false">(AK980-AK979)/AK980*100</f>
        <v>-3.71545020153307</v>
      </c>
      <c r="AO980" s="17" t="str">
        <f aca="false">IF(AN980&lt;-8,"FITS BITCH",IF(AN980&gt;-8,"no"))</f>
        <v>no</v>
      </c>
      <c r="AP980" s="17" t="str">
        <f aca="false">IF(AH981&lt;AH980,"FITS BITCH",IF(AH981&gt;AH980,"no"))</f>
        <v>no</v>
      </c>
      <c r="AQ980" s="17" t="str">
        <f aca="false">IF(AI981&lt;AI980,"FITS BITCH",IF(AI981&gt;AI980,"no"))</f>
        <v>no</v>
      </c>
      <c r="AR980" s="17" t="str">
        <f aca="false">IF(AJ980&lt;AH981,"FITS BITCH",IF(AJ980&gt;AH981,"no"))</f>
        <v>FITS BITCH</v>
      </c>
      <c r="AS980" s="17" t="str">
        <f aca="false">IF(AJ980&gt;AJ981,"FITS BITCH",IF(AJ980&lt;AJ981,"no"))</f>
        <v>no</v>
      </c>
      <c r="AT980" s="91" t="str">
        <f aca="false">IF(AND($AO980="FITS BITCH",$AP980="FITS BITCH",$AR980="FITS BITCH"),"BULLISH","")</f>
        <v/>
      </c>
      <c r="AU980" s="91" t="str">
        <f aca="false">IF(AND($AO980="FITS BITCH",$AQ980="FITS BITCH",$AS980="FITS BITCH"),"BEARISH","")</f>
        <v/>
      </c>
      <c r="AV980" s="86"/>
      <c r="AW980" s="86"/>
      <c r="AX980" s="86"/>
    </row>
    <row r="981" customFormat="false" ht="15.75" hidden="false" customHeight="false" outlineLevel="0" collapsed="false">
      <c r="AE981" s="90" t="n">
        <f aca="false">Data!A976</f>
        <v>41554</v>
      </c>
      <c r="AF981" s="17" t="n">
        <f aca="false">Data!B976</f>
        <v>69.51</v>
      </c>
      <c r="AG981" s="17" t="n">
        <f aca="false">Data!F976</f>
        <v>78073107</v>
      </c>
      <c r="AH981" s="17" t="n">
        <f aca="false">Data!C976</f>
        <v>70.38</v>
      </c>
      <c r="AI981" s="17" t="n">
        <f aca="false">Data!D976</f>
        <v>69.34</v>
      </c>
      <c r="AJ981" s="17" t="n">
        <f aca="false">Data!E976</f>
        <v>69.68</v>
      </c>
      <c r="AK981" s="17" t="n">
        <f aca="false">Data!F976</f>
        <v>78073107</v>
      </c>
      <c r="AL981" s="17" t="n">
        <f aca="false">AJ981</f>
        <v>69.68</v>
      </c>
      <c r="AM981" s="17" t="n">
        <f aca="false">(AL981-AL980)/AL981*100</f>
        <v>1.39207807118257</v>
      </c>
      <c r="AN981" s="17" t="n">
        <f aca="false">(AK981-AK980)/AK981*100</f>
        <v>6.8449959343875</v>
      </c>
      <c r="AO981" s="17" t="str">
        <f aca="false">IF(AN981&lt;-8,"FITS BITCH",IF(AN981&gt;-8,"no"))</f>
        <v>no</v>
      </c>
      <c r="AP981" s="17" t="str">
        <f aca="false">IF(AH982&lt;AH981,"FITS BITCH",IF(AH982&gt;AH981,"no"))</f>
        <v>FITS BITCH</v>
      </c>
      <c r="AQ981" s="17" t="str">
        <f aca="false">IF(AI982&lt;AI981,"FITS BITCH",IF(AI982&gt;AI981,"no"))</f>
        <v>FITS BITCH</v>
      </c>
      <c r="AR981" s="17" t="str">
        <f aca="false">IF(AJ981&lt;AH982,"FITS BITCH",IF(AJ981&gt;AH982,"no"))</f>
        <v>no</v>
      </c>
      <c r="AS981" s="17" t="str">
        <f aca="false">IF(AJ981&gt;AJ982,"FITS BITCH",IF(AJ981&lt;AJ982,"no"))</f>
        <v>FITS BITCH</v>
      </c>
      <c r="AT981" s="91" t="str">
        <f aca="false">IF(AND($AO981="FITS BITCH",$AP981="FITS BITCH",$AR981="FITS BITCH"),"BULLISH","")</f>
        <v/>
      </c>
      <c r="AU981" s="91" t="str">
        <f aca="false">IF(AND($AO981="FITS BITCH",$AQ981="FITS BITCH",$AS981="FITS BITCH"),"BEARISH","")</f>
        <v/>
      </c>
      <c r="AV981" s="86"/>
      <c r="AW981" s="86"/>
      <c r="AX981" s="86"/>
    </row>
    <row r="982" customFormat="false" ht="15.75" hidden="false" customHeight="false" outlineLevel="0" collapsed="false">
      <c r="AE982" s="90" t="n">
        <f aca="false">Data!A977</f>
        <v>41551</v>
      </c>
      <c r="AF982" s="17" t="n">
        <f aca="false">Data!B977</f>
        <v>69.12</v>
      </c>
      <c r="AG982" s="17" t="n">
        <f aca="false">Data!F977</f>
        <v>64717380</v>
      </c>
      <c r="AH982" s="17" t="n">
        <f aca="false">Data!C977</f>
        <v>69.23</v>
      </c>
      <c r="AI982" s="17" t="n">
        <f aca="false">Data!D977</f>
        <v>68.37</v>
      </c>
      <c r="AJ982" s="17" t="n">
        <f aca="false">Data!E977</f>
        <v>69</v>
      </c>
      <c r="AK982" s="17" t="n">
        <f aca="false">Data!F977</f>
        <v>64717380</v>
      </c>
      <c r="AL982" s="17" t="n">
        <f aca="false">AJ982</f>
        <v>69</v>
      </c>
      <c r="AM982" s="17" t="n">
        <f aca="false">(AL982-AL981)/AL982*100</f>
        <v>-0.985507246376822</v>
      </c>
      <c r="AN982" s="17" t="n">
        <f aca="false">(AK982-AK981)/AK982*100</f>
        <v>-20.6370019923551</v>
      </c>
      <c r="AO982" s="17" t="str">
        <f aca="false">IF(AN982&lt;-8,"FITS BITCH",IF(AN982&gt;-8,"no"))</f>
        <v>FITS BITCH</v>
      </c>
      <c r="AP982" s="17" t="str">
        <f aca="false">IF(AH983&lt;AH982,"FITS BITCH",IF(AH983&gt;AH982,"no"))</f>
        <v>no</v>
      </c>
      <c r="AQ982" s="17" t="str">
        <f aca="false">IF(AI983&lt;AI982,"FITS BITCH",IF(AI983&gt;AI982,"no"))</f>
        <v>no</v>
      </c>
      <c r="AR982" s="17" t="str">
        <f aca="false">IF(AJ982&lt;AH983,"FITS BITCH",IF(AJ982&gt;AH983,"no"))</f>
        <v>FITS BITCH</v>
      </c>
      <c r="AS982" s="17" t="str">
        <f aca="false">IF(AJ982&gt;AJ983,"FITS BITCH",IF(AJ982&lt;AJ983,"no"))</f>
        <v>no</v>
      </c>
      <c r="AT982" s="91" t="str">
        <f aca="false">IF(AND($AO982="FITS BITCH",$AP982="FITS BITCH",$AR982="FITS BITCH"),"BULLISH","")</f>
        <v/>
      </c>
      <c r="AU982" s="91" t="str">
        <f aca="false">IF(AND($AO982="FITS BITCH",$AQ982="FITS BITCH",$AS982="FITS BITCH"),"BEARISH","")</f>
        <v/>
      </c>
      <c r="AV982" s="86"/>
      <c r="AW982" s="86"/>
      <c r="AX982" s="86"/>
    </row>
    <row r="983" customFormat="false" ht="15.75" hidden="false" customHeight="false" outlineLevel="0" collapsed="false">
      <c r="AE983" s="90" t="n">
        <f aca="false">Data!A978</f>
        <v>41550</v>
      </c>
      <c r="AF983" s="17" t="n">
        <f aca="false">Data!B978</f>
        <v>70.07</v>
      </c>
      <c r="AG983" s="17" t="n">
        <f aca="false">Data!F978</f>
        <v>80688503</v>
      </c>
      <c r="AH983" s="17" t="n">
        <f aca="false">Data!C978</f>
        <v>70.34</v>
      </c>
      <c r="AI983" s="17" t="n">
        <f aca="false">Data!D978</f>
        <v>68.68</v>
      </c>
      <c r="AJ983" s="17" t="n">
        <f aca="false">Data!E978</f>
        <v>69.06</v>
      </c>
      <c r="AK983" s="17" t="n">
        <f aca="false">Data!F978</f>
        <v>80688503</v>
      </c>
      <c r="AL983" s="17" t="n">
        <f aca="false">AJ983</f>
        <v>69.06</v>
      </c>
      <c r="AM983" s="17" t="n">
        <f aca="false">(AL983-AL982)/AL983*100</f>
        <v>0.0868809730669016</v>
      </c>
      <c r="AN983" s="17" t="n">
        <f aca="false">(AK983-AK982)/AK983*100</f>
        <v>19.7935547273693</v>
      </c>
      <c r="AO983" s="17" t="str">
        <f aca="false">IF(AN983&lt;-8,"FITS BITCH",IF(AN983&gt;-8,"no"))</f>
        <v>no</v>
      </c>
      <c r="AP983" s="17" t="str">
        <f aca="false">IF(AH984&lt;AH983,"FITS BITCH",IF(AH984&gt;AH983,"no"))</f>
        <v>FITS BITCH</v>
      </c>
      <c r="AQ983" s="17" t="str">
        <f aca="false">IF(AI984&lt;AI983,"FITS BITCH",IF(AI984&gt;AI983,"no"))</f>
        <v>no</v>
      </c>
      <c r="AR983" s="17" t="str">
        <f aca="false">IF(AJ983&lt;AH984,"FITS BITCH",IF(AJ983&gt;AH984,"no"))</f>
        <v>FITS BITCH</v>
      </c>
      <c r="AS983" s="17" t="str">
        <f aca="false">IF(AJ983&gt;AJ984,"FITS BITCH",IF(AJ983&lt;AJ984,"no"))</f>
        <v>no</v>
      </c>
      <c r="AT983" s="91" t="str">
        <f aca="false">IF(AND($AO983="FITS BITCH",$AP983="FITS BITCH",$AR983="FITS BITCH"),"BULLISH","")</f>
        <v/>
      </c>
      <c r="AU983" s="91" t="str">
        <f aca="false">IF(AND($AO983="FITS BITCH",$AQ983="FITS BITCH",$AS983="FITS BITCH"),"BEARISH","")</f>
        <v/>
      </c>
      <c r="AV983" s="86"/>
      <c r="AW983" s="86"/>
      <c r="AX983" s="86"/>
    </row>
    <row r="984" customFormat="false" ht="15.75" hidden="false" customHeight="false" outlineLevel="0" collapsed="false">
      <c r="AE984" s="90" t="n">
        <f aca="false">Data!A979</f>
        <v>41549</v>
      </c>
      <c r="AF984" s="17" t="n">
        <f aca="false">Data!B979</f>
        <v>69.38</v>
      </c>
      <c r="AG984" s="17" t="n">
        <f aca="false">Data!F979</f>
        <v>72295902</v>
      </c>
      <c r="AH984" s="17" t="n">
        <f aca="false">Data!C979</f>
        <v>70.26</v>
      </c>
      <c r="AI984" s="17" t="n">
        <f aca="false">Data!D979</f>
        <v>69.11</v>
      </c>
      <c r="AJ984" s="17" t="n">
        <f aca="false">Data!E979</f>
        <v>69.94</v>
      </c>
      <c r="AK984" s="17" t="n">
        <f aca="false">Data!F979</f>
        <v>72295902</v>
      </c>
      <c r="AL984" s="17" t="n">
        <f aca="false">AJ984</f>
        <v>69.94</v>
      </c>
      <c r="AM984" s="17" t="n">
        <f aca="false">(AL984-AL983)/AL984*100</f>
        <v>1.25822133257077</v>
      </c>
      <c r="AN984" s="17" t="n">
        <f aca="false">(AK984-AK983)/AK984*100</f>
        <v>-11.6086814989873</v>
      </c>
      <c r="AO984" s="17" t="str">
        <f aca="false">IF(AN984&lt;-8,"FITS BITCH",IF(AN984&gt;-8,"no"))</f>
        <v>FITS BITCH</v>
      </c>
      <c r="AP984" s="17" t="str">
        <f aca="false">IF(AH985&lt;AH984,"FITS BITCH",IF(AH985&gt;AH984,"no"))</f>
        <v>FITS BITCH</v>
      </c>
      <c r="AQ984" s="17" t="str">
        <f aca="false">IF(AI985&lt;AI984,"FITS BITCH",IF(AI985&gt;AI984,"no"))</f>
        <v>FITS BITCH</v>
      </c>
      <c r="AR984" s="17" t="str">
        <f aca="false">IF(AJ984&lt;AH985,"FITS BITCH",IF(AJ984&gt;AH985,"no"))</f>
        <v>no</v>
      </c>
      <c r="AS984" s="17" t="str">
        <f aca="false">IF(AJ984&gt;AJ985,"FITS BITCH",IF(AJ984&lt;AJ985,"no"))</f>
        <v>FITS BITCH</v>
      </c>
      <c r="AT984" s="91" t="str">
        <f aca="false">IF(AND($AO984="FITS BITCH",$AP984="FITS BITCH",$AR984="FITS BITCH"),"BULLISH","")</f>
        <v/>
      </c>
      <c r="AU984" s="91" t="str">
        <f aca="false">IF(AND($AO984="FITS BITCH",$AQ984="FITS BITCH",$AS984="FITS BITCH"),"BEARISH","")</f>
        <v>BEARISH</v>
      </c>
      <c r="AV984" s="86"/>
      <c r="AW984" s="86"/>
      <c r="AX984" s="86"/>
    </row>
    <row r="985" customFormat="false" ht="15.75" hidden="false" customHeight="false" outlineLevel="0" collapsed="false">
      <c r="AE985" s="90" t="n">
        <f aca="false">Data!A980</f>
        <v>41548</v>
      </c>
      <c r="AF985" s="17" t="n">
        <f aca="false">Data!B980</f>
        <v>68.35</v>
      </c>
      <c r="AG985" s="17" t="n">
        <f aca="false">Data!F980</f>
        <v>88470655</v>
      </c>
      <c r="AH985" s="17" t="n">
        <f aca="false">Data!C980</f>
        <v>69.88</v>
      </c>
      <c r="AI985" s="17" t="n">
        <f aca="false">Data!D980</f>
        <v>68.34</v>
      </c>
      <c r="AJ985" s="17" t="n">
        <f aca="false">Data!E980</f>
        <v>69.71</v>
      </c>
      <c r="AK985" s="17" t="n">
        <f aca="false">Data!F980</f>
        <v>88470655</v>
      </c>
      <c r="AL985" s="17" t="n">
        <f aca="false">AJ985</f>
        <v>69.71</v>
      </c>
      <c r="AM985" s="17" t="n">
        <f aca="false">(AL985-AL984)/AL985*100</f>
        <v>-0.32993831588008</v>
      </c>
      <c r="AN985" s="17" t="n">
        <f aca="false">(AK985-AK984)/AK985*100</f>
        <v>18.2826192481564</v>
      </c>
      <c r="AO985" s="17" t="str">
        <f aca="false">IF(AN985&lt;-8,"FITS BITCH",IF(AN985&gt;-8,"no"))</f>
        <v>no</v>
      </c>
      <c r="AP985" s="17" t="str">
        <f aca="false">IF(AH986&lt;AH985,"FITS BITCH",IF(AH986&gt;AH985,"no"))</f>
        <v>FITS BITCH</v>
      </c>
      <c r="AQ985" s="17" t="str">
        <f aca="false">IF(AI986&lt;AI985,"FITS BITCH",IF(AI986&gt;AI985,"no"))</f>
        <v>FITS BITCH</v>
      </c>
      <c r="AR985" s="17" t="str">
        <f aca="false">IF(AJ985&lt;AH986,"FITS BITCH",IF(AJ985&gt;AH986,"no"))</f>
        <v>no</v>
      </c>
      <c r="AS985" s="17" t="str">
        <f aca="false">IF(AJ985&gt;AJ986,"FITS BITCH",IF(AJ985&lt;AJ986,"no"))</f>
        <v>FITS BITCH</v>
      </c>
      <c r="AT985" s="91" t="str">
        <f aca="false">IF(AND($AO985="FITS BITCH",$AP985="FITS BITCH",$AR985="FITS BITCH"),"BULLISH","")</f>
        <v/>
      </c>
      <c r="AU985" s="91" t="str">
        <f aca="false">IF(AND($AO985="FITS BITCH",$AQ985="FITS BITCH",$AS985="FITS BITCH"),"BEARISH","")</f>
        <v/>
      </c>
      <c r="AV985" s="86"/>
      <c r="AW985" s="86"/>
      <c r="AX985" s="86"/>
    </row>
    <row r="986" customFormat="false" ht="15.75" hidden="false" customHeight="false" outlineLevel="0" collapsed="false">
      <c r="AE986" s="90" t="n">
        <f aca="false">Data!A981</f>
        <v>41547</v>
      </c>
      <c r="AF986" s="17" t="n">
        <f aca="false">Data!B981</f>
        <v>68.18</v>
      </c>
      <c r="AG986" s="17" t="n">
        <f aca="false">Data!F981</f>
        <v>65039408</v>
      </c>
      <c r="AH986" s="17" t="n">
        <f aca="false">Data!C981</f>
        <v>68.81</v>
      </c>
      <c r="AI986" s="17" t="n">
        <f aca="false">Data!D981</f>
        <v>67.77</v>
      </c>
      <c r="AJ986" s="17" t="n">
        <f aca="false">Data!E981</f>
        <v>68.11</v>
      </c>
      <c r="AK986" s="17" t="n">
        <f aca="false">Data!F981</f>
        <v>65039408</v>
      </c>
      <c r="AL986" s="17" t="n">
        <f aca="false">AJ986</f>
        <v>68.11</v>
      </c>
      <c r="AM986" s="17" t="n">
        <f aca="false">(AL986-AL985)/AL986*100</f>
        <v>-2.34914109528703</v>
      </c>
      <c r="AN986" s="17" t="n">
        <f aca="false">(AK986-AK985)/AK986*100</f>
        <v>-36.0262304355538</v>
      </c>
      <c r="AO986" s="17" t="str">
        <f aca="false">IF(AN986&lt;-8,"FITS BITCH",IF(AN986&gt;-8,"no"))</f>
        <v>FITS BITCH</v>
      </c>
      <c r="AP986" s="17" t="str">
        <f aca="false">IF(AH987&lt;AH986,"FITS BITCH",IF(AH987&gt;AH986,"no"))</f>
        <v>no</v>
      </c>
      <c r="AQ986" s="17" t="str">
        <f aca="false">IF(AI987&lt;AI986,"FITS BITCH",IF(AI987&gt;AI986,"no"))</f>
        <v>no</v>
      </c>
      <c r="AR986" s="17" t="str">
        <f aca="false">IF(AJ986&lt;AH987,"FITS BITCH",IF(AJ986&gt;AH987,"no"))</f>
        <v>FITS BITCH</v>
      </c>
      <c r="AS986" s="17" t="str">
        <f aca="false">IF(AJ986&gt;AJ987,"FITS BITCH",IF(AJ986&lt;AJ987,"no"))</f>
        <v>no</v>
      </c>
      <c r="AT986" s="91" t="str">
        <f aca="false">IF(AND($AO986="FITS BITCH",$AP986="FITS BITCH",$AR986="FITS BITCH"),"BULLISH","")</f>
        <v/>
      </c>
      <c r="AU986" s="91" t="str">
        <f aca="false">IF(AND($AO986="FITS BITCH",$AQ986="FITS BITCH",$AS986="FITS BITCH"),"BEARISH","")</f>
        <v/>
      </c>
      <c r="AV986" s="86"/>
      <c r="AW986" s="86"/>
      <c r="AX986" s="86"/>
    </row>
    <row r="987" customFormat="false" ht="15.75" hidden="false" customHeight="false" outlineLevel="0" collapsed="false">
      <c r="AE987" s="90" t="n">
        <f aca="false">Data!A982</f>
        <v>41544</v>
      </c>
      <c r="AF987" s="17" t="n">
        <f aca="false">Data!B982</f>
        <v>69.11</v>
      </c>
      <c r="AG987" s="17" t="n">
        <f aca="false">Data!F982</f>
        <v>57009729</v>
      </c>
      <c r="AH987" s="17" t="n">
        <f aca="false">Data!C982</f>
        <v>69.24</v>
      </c>
      <c r="AI987" s="17" t="n">
        <f aca="false">Data!D982</f>
        <v>68.67</v>
      </c>
      <c r="AJ987" s="17" t="n">
        <f aca="false">Data!E982</f>
        <v>68.96</v>
      </c>
      <c r="AK987" s="17" t="n">
        <f aca="false">Data!F982</f>
        <v>57009729</v>
      </c>
      <c r="AL987" s="17" t="n">
        <f aca="false">AJ987</f>
        <v>68.96</v>
      </c>
      <c r="AM987" s="17" t="n">
        <f aca="false">(AL987-AL986)/AL987*100</f>
        <v>1.23259860788862</v>
      </c>
      <c r="AN987" s="17" t="n">
        <f aca="false">(AK987-AK986)/AK987*100</f>
        <v>-14.084752095559</v>
      </c>
      <c r="AO987" s="17" t="str">
        <f aca="false">IF(AN987&lt;-8,"FITS BITCH",IF(AN987&gt;-8,"no"))</f>
        <v>FITS BITCH</v>
      </c>
      <c r="AP987" s="17" t="str">
        <f aca="false">IF(AH988&lt;AH987,"FITS BITCH",IF(AH988&gt;AH987,"no"))</f>
        <v>no</v>
      </c>
      <c r="AQ987" s="17" t="str">
        <f aca="false">IF(AI988&lt;AI987,"FITS BITCH",IF(AI988&gt;AI987,"no"))</f>
        <v>no</v>
      </c>
      <c r="AR987" s="17" t="str">
        <f aca="false">IF(AJ987&lt;AH988,"FITS BITCH",IF(AJ987&gt;AH988,"no"))</f>
        <v>FITS BITCH</v>
      </c>
      <c r="AS987" s="17" t="str">
        <f aca="false">IF(AJ987&gt;AJ988,"FITS BITCH",IF(AJ987&lt;AJ988,"no"))</f>
        <v>no</v>
      </c>
      <c r="AT987" s="91" t="str">
        <f aca="false">IF(AND($AO987="FITS BITCH",$AP987="FITS BITCH",$AR987="FITS BITCH"),"BULLISH","")</f>
        <v/>
      </c>
      <c r="AU987" s="91" t="str">
        <f aca="false">IF(AND($AO987="FITS BITCH",$AQ987="FITS BITCH",$AS987="FITS BITCH"),"BEARISH","")</f>
        <v/>
      </c>
      <c r="AV987" s="86"/>
      <c r="AW987" s="86"/>
      <c r="AX987" s="86"/>
    </row>
    <row r="988" customFormat="false" ht="15.75" hidden="false" customHeight="false" outlineLevel="0" collapsed="false">
      <c r="AE988" s="90" t="n">
        <f aca="false">Data!A983</f>
        <v>41543</v>
      </c>
      <c r="AF988" s="17" t="n">
        <f aca="false">Data!B983</f>
        <v>69.43</v>
      </c>
      <c r="AG988" s="17" t="n">
        <f aca="false">Data!F983</f>
        <v>59305183</v>
      </c>
      <c r="AH988" s="17" t="n">
        <f aca="false">Data!C983</f>
        <v>69.79</v>
      </c>
      <c r="AI988" s="17" t="n">
        <f aca="false">Data!D983</f>
        <v>69.13</v>
      </c>
      <c r="AJ988" s="17" t="n">
        <f aca="false">Data!E983</f>
        <v>69.46</v>
      </c>
      <c r="AK988" s="17" t="n">
        <f aca="false">Data!F983</f>
        <v>59305183</v>
      </c>
      <c r="AL988" s="17" t="n">
        <f aca="false">AJ988</f>
        <v>69.46</v>
      </c>
      <c r="AM988" s="17" t="n">
        <f aca="false">(AL988-AL987)/AL988*100</f>
        <v>0.71983875611863</v>
      </c>
      <c r="AN988" s="17" t="n">
        <f aca="false">(AK988-AK987)/AK988*100</f>
        <v>3.87057906894917</v>
      </c>
      <c r="AO988" s="17" t="str">
        <f aca="false">IF(AN988&lt;-8,"FITS BITCH",IF(AN988&gt;-8,"no"))</f>
        <v>no</v>
      </c>
      <c r="AP988" s="17" t="str">
        <f aca="false">IF(AH989&lt;AH988,"FITS BITCH",IF(AH989&gt;AH988,"no"))</f>
        <v>no</v>
      </c>
      <c r="AQ988" s="17" t="str">
        <f aca="false">IF(AI989&lt;AI988,"FITS BITCH",IF(AI989&gt;AI988,"no"))</f>
        <v>FITS BITCH</v>
      </c>
      <c r="AR988" s="17" t="str">
        <f aca="false">IF(AJ988&lt;AH989,"FITS BITCH",IF(AJ988&gt;AH989,"no"))</f>
        <v>FITS BITCH</v>
      </c>
      <c r="AS988" s="17" t="str">
        <f aca="false">IF(AJ988&gt;AJ989,"FITS BITCH",IF(AJ988&lt;AJ989,"no"))</f>
        <v>FITS BITCH</v>
      </c>
      <c r="AT988" s="91" t="str">
        <f aca="false">IF(AND($AO988="FITS BITCH",$AP988="FITS BITCH",$AR988="FITS BITCH"),"BULLISH","")</f>
        <v/>
      </c>
      <c r="AU988" s="91" t="str">
        <f aca="false">IF(AND($AO988="FITS BITCH",$AQ988="FITS BITCH",$AS988="FITS BITCH"),"BEARISH","")</f>
        <v/>
      </c>
      <c r="AV988" s="86"/>
      <c r="AW988" s="86"/>
      <c r="AX988" s="86"/>
    </row>
    <row r="989" customFormat="false" ht="15.75" hidden="false" customHeight="false" outlineLevel="0" collapsed="false">
      <c r="AE989" s="90" t="n">
        <f aca="false">Data!A984</f>
        <v>41542</v>
      </c>
      <c r="AF989" s="17" t="n">
        <f aca="false">Data!B984</f>
        <v>69.89</v>
      </c>
      <c r="AG989" s="17" t="n">
        <f aca="false">Data!F984</f>
        <v>79239167</v>
      </c>
      <c r="AH989" s="17" t="n">
        <f aca="false">Data!C984</f>
        <v>69.95</v>
      </c>
      <c r="AI989" s="17" t="n">
        <f aca="false">Data!D984</f>
        <v>68.78</v>
      </c>
      <c r="AJ989" s="17" t="n">
        <f aca="false">Data!E984</f>
        <v>68.79</v>
      </c>
      <c r="AK989" s="17" t="n">
        <f aca="false">Data!F984</f>
        <v>79239167</v>
      </c>
      <c r="AL989" s="17" t="n">
        <f aca="false">AJ989</f>
        <v>68.79</v>
      </c>
      <c r="AM989" s="17" t="n">
        <f aca="false">(AL989-AL988)/AL989*100</f>
        <v>-0.973978775984863</v>
      </c>
      <c r="AN989" s="17" t="n">
        <f aca="false">(AK989-AK988)/AK989*100</f>
        <v>25.1567308878954</v>
      </c>
      <c r="AO989" s="17" t="str">
        <f aca="false">IF(AN989&lt;-8,"FITS BITCH",IF(AN989&gt;-8,"no"))</f>
        <v>no</v>
      </c>
      <c r="AP989" s="17" t="str">
        <f aca="false">IF(AH990&lt;AH989,"FITS BITCH",IF(AH990&gt;AH989,"no"))</f>
        <v>no</v>
      </c>
      <c r="AQ989" s="17" t="str">
        <f aca="false">IF(AI990&lt;AI989,"FITS BITCH",IF(AI990&gt;AI989,"no"))</f>
        <v>no</v>
      </c>
      <c r="AR989" s="17" t="str">
        <f aca="false">IF(AJ989&lt;AH990,"FITS BITCH",IF(AJ989&gt;AH990,"no"))</f>
        <v>FITS BITCH</v>
      </c>
      <c r="AS989" s="17" t="str">
        <f aca="false">IF(AJ989&gt;AJ990,"FITS BITCH",IF(AJ989&lt;AJ990,"no"))</f>
        <v>no</v>
      </c>
      <c r="AT989" s="91" t="str">
        <f aca="false">IF(AND($AO989="FITS BITCH",$AP989="FITS BITCH",$AR989="FITS BITCH"),"BULLISH","")</f>
        <v/>
      </c>
      <c r="AU989" s="91" t="str">
        <f aca="false">IF(AND($AO989="FITS BITCH",$AQ989="FITS BITCH",$AS989="FITS BITCH"),"BEARISH","")</f>
        <v/>
      </c>
      <c r="AV989" s="86"/>
      <c r="AW989" s="86"/>
      <c r="AX989" s="86"/>
    </row>
    <row r="990" customFormat="false" ht="15.75" hidden="false" customHeight="false" outlineLevel="0" collapsed="false">
      <c r="AE990" s="90" t="n">
        <f aca="false">Data!A985</f>
        <v>41541</v>
      </c>
      <c r="AF990" s="17" t="n">
        <f aca="false">Data!B985</f>
        <v>70.7</v>
      </c>
      <c r="AG990" s="17" t="n">
        <f aca="false">Data!F985</f>
        <v>91085743</v>
      </c>
      <c r="AH990" s="17" t="n">
        <f aca="false">Data!C985</f>
        <v>70.78</v>
      </c>
      <c r="AI990" s="17" t="n">
        <f aca="false">Data!D985</f>
        <v>69.69</v>
      </c>
      <c r="AJ990" s="17" t="n">
        <f aca="false">Data!E985</f>
        <v>69.87</v>
      </c>
      <c r="AK990" s="17" t="n">
        <f aca="false">Data!F985</f>
        <v>91085743</v>
      </c>
      <c r="AL990" s="17" t="n">
        <f aca="false">AJ990</f>
        <v>69.87</v>
      </c>
      <c r="AM990" s="17" t="n">
        <f aca="false">(AL990-AL989)/AL990*100</f>
        <v>1.54572778016316</v>
      </c>
      <c r="AN990" s="17" t="n">
        <f aca="false">(AK990-AK989)/AK990*100</f>
        <v>13.0059607681962</v>
      </c>
      <c r="AO990" s="17" t="str">
        <f aca="false">IF(AN990&lt;-8,"FITS BITCH",IF(AN990&gt;-8,"no"))</f>
        <v>no</v>
      </c>
      <c r="AP990" s="17" t="str">
        <f aca="false">IF(AH991&lt;AH990,"FITS BITCH",IF(AH991&gt;AH990,"no"))</f>
        <v>no</v>
      </c>
      <c r="AQ990" s="17" t="str">
        <f aca="false">IF(AI991&lt;AI990,"FITS BITCH",IF(AI991&gt;AI990,"no"))</f>
        <v>FITS BITCH</v>
      </c>
      <c r="AR990" s="17" t="str">
        <f aca="false">IF(AJ990&lt;AH991,"FITS BITCH",IF(AJ990&gt;AH991,"no"))</f>
        <v>FITS BITCH</v>
      </c>
      <c r="AS990" s="17" t="str">
        <f aca="false">IF(AJ990&gt;AJ991,"FITS BITCH",IF(AJ990&lt;AJ991,"no"))</f>
        <v>no</v>
      </c>
      <c r="AT990" s="91" t="str">
        <f aca="false">IF(AND($AO990="FITS BITCH",$AP990="FITS BITCH",$AR990="FITS BITCH"),"BULLISH","")</f>
        <v/>
      </c>
      <c r="AU990" s="91" t="str">
        <f aca="false">IF(AND($AO990="FITS BITCH",$AQ990="FITS BITCH",$AS990="FITS BITCH"),"BEARISH","")</f>
        <v/>
      </c>
      <c r="AV990" s="86"/>
      <c r="AW990" s="86"/>
      <c r="AX990" s="86"/>
    </row>
    <row r="991" customFormat="false" ht="15.75" hidden="false" customHeight="false" outlineLevel="0" collapsed="false">
      <c r="AE991" s="90" t="n">
        <f aca="false">Data!A986</f>
        <v>41540</v>
      </c>
      <c r="AF991" s="17" t="n">
        <f aca="false">Data!B986</f>
        <v>70.87</v>
      </c>
      <c r="AG991" s="17" t="n">
        <f aca="false">Data!F986</f>
        <v>190526525</v>
      </c>
      <c r="AH991" s="17" t="n">
        <f aca="false">Data!C986</f>
        <v>70.99</v>
      </c>
      <c r="AI991" s="17" t="n">
        <f aca="false">Data!D986</f>
        <v>68.94</v>
      </c>
      <c r="AJ991" s="17" t="n">
        <f aca="false">Data!E986</f>
        <v>70.09</v>
      </c>
      <c r="AK991" s="17" t="n">
        <f aca="false">Data!F986</f>
        <v>190526525</v>
      </c>
      <c r="AL991" s="17" t="n">
        <f aca="false">AJ991</f>
        <v>70.09</v>
      </c>
      <c r="AM991" s="17" t="n">
        <f aca="false">(AL991-AL990)/AL991*100</f>
        <v>0.313882151519473</v>
      </c>
      <c r="AN991" s="17" t="n">
        <f aca="false">(AK991-AK990)/AK991*100</f>
        <v>52.1926183244039</v>
      </c>
      <c r="AO991" s="17" t="str">
        <f aca="false">IF(AN991&lt;-8,"FITS BITCH",IF(AN991&gt;-8,"no"))</f>
        <v>no</v>
      </c>
      <c r="AP991" s="17" t="str">
        <f aca="false">IF(AH992&lt;AH991,"FITS BITCH",IF(AH992&gt;AH991,"no"))</f>
        <v>FITS BITCH</v>
      </c>
      <c r="AQ991" s="17" t="str">
        <f aca="false">IF(AI992&lt;AI991,"FITS BITCH",IF(AI992&gt;AI991,"no"))</f>
        <v>FITS BITCH</v>
      </c>
      <c r="AR991" s="17" t="str">
        <f aca="false">IF(AJ991&lt;AH992,"FITS BITCH",IF(AJ991&gt;AH992,"no"))</f>
        <v>no</v>
      </c>
      <c r="AS991" s="17" t="str">
        <f aca="false">IF(AJ991&gt;AJ992,"FITS BITCH",IF(AJ991&lt;AJ992,"no"))</f>
        <v>FITS BITCH</v>
      </c>
      <c r="AT991" s="91" t="str">
        <f aca="false">IF(AND($AO991="FITS BITCH",$AP991="FITS BITCH",$AR991="FITS BITCH"),"BULLISH","")</f>
        <v/>
      </c>
      <c r="AU991" s="91" t="str">
        <f aca="false">IF(AND($AO991="FITS BITCH",$AQ991="FITS BITCH",$AS991="FITS BITCH"),"BEARISH","")</f>
        <v/>
      </c>
      <c r="AV991" s="86"/>
      <c r="AW991" s="86"/>
      <c r="AX991" s="86"/>
    </row>
    <row r="992" customFormat="false" ht="15.75" hidden="false" customHeight="false" outlineLevel="0" collapsed="false">
      <c r="AE992" s="90" t="n">
        <f aca="false">Data!A987</f>
        <v>41537</v>
      </c>
      <c r="AF992" s="17" t="n">
        <f aca="false">Data!B987</f>
        <v>68.29</v>
      </c>
      <c r="AG992" s="17" t="n">
        <f aca="false">Data!F987</f>
        <v>174825322</v>
      </c>
      <c r="AH992" s="17" t="n">
        <f aca="false">Data!C987</f>
        <v>68.36</v>
      </c>
      <c r="AI992" s="17" t="n">
        <f aca="false">Data!D987</f>
        <v>66.57</v>
      </c>
      <c r="AJ992" s="17" t="n">
        <f aca="false">Data!E987</f>
        <v>66.77</v>
      </c>
      <c r="AK992" s="17" t="n">
        <f aca="false">Data!F987</f>
        <v>174825322</v>
      </c>
      <c r="AL992" s="17" t="n">
        <f aca="false">AJ992</f>
        <v>66.77</v>
      </c>
      <c r="AM992" s="17" t="n">
        <f aca="false">(AL992-AL991)/AL992*100</f>
        <v>-4.97229294593381</v>
      </c>
      <c r="AN992" s="17" t="n">
        <f aca="false">(AK992-AK991)/AK992*100</f>
        <v>-8.98108055536714</v>
      </c>
      <c r="AO992" s="17" t="str">
        <f aca="false">IF(AN992&lt;-8,"FITS BITCH",IF(AN992&gt;-8,"no"))</f>
        <v>FITS BITCH</v>
      </c>
      <c r="AP992" s="17" t="str">
        <f aca="false">IF(AH993&lt;AH992,"FITS BITCH",IF(AH993&gt;AH992,"no"))</f>
        <v>FITS BITCH</v>
      </c>
      <c r="AQ992" s="17" t="str">
        <f aca="false">IF(AI993&lt;AI992,"FITS BITCH",IF(AI993&gt;AI992,"no"))</f>
        <v>no</v>
      </c>
      <c r="AR992" s="17" t="str">
        <f aca="false">IF(AJ992&lt;AH993,"FITS BITCH",IF(AJ992&gt;AH993,"no"))</f>
        <v>FITS BITCH</v>
      </c>
      <c r="AS992" s="17" t="str">
        <f aca="false">IF(AJ992&gt;AJ993,"FITS BITCH",IF(AJ992&lt;AJ993,"no"))</f>
        <v>no</v>
      </c>
      <c r="AT992" s="91" t="str">
        <f aca="false">IF(AND($AO992="FITS BITCH",$AP992="FITS BITCH",$AR992="FITS BITCH"),"BULLISH","")</f>
        <v>BULLISH</v>
      </c>
      <c r="AU992" s="91" t="str">
        <f aca="false">IF(AND($AO992="FITS BITCH",$AQ992="FITS BITCH",$AS992="FITS BITCH"),"BEARISH","")</f>
        <v/>
      </c>
      <c r="AV992" s="86"/>
      <c r="AW992" s="86"/>
      <c r="AX992" s="86"/>
    </row>
    <row r="993" customFormat="false" ht="15.75" hidden="false" customHeight="false" outlineLevel="0" collapsed="false">
      <c r="AE993" s="90" t="n">
        <f aca="false">Data!A988</f>
        <v>41536</v>
      </c>
      <c r="AF993" s="17" t="n">
        <f aca="false">Data!B988</f>
        <v>67.24</v>
      </c>
      <c r="AG993" s="17" t="n">
        <f aca="false">Data!F988</f>
        <v>101134712</v>
      </c>
      <c r="AH993" s="17" t="n">
        <f aca="false">Data!C988</f>
        <v>67.98</v>
      </c>
      <c r="AI993" s="17" t="n">
        <f aca="false">Data!D988</f>
        <v>67.04</v>
      </c>
      <c r="AJ993" s="17" t="n">
        <f aca="false">Data!E988</f>
        <v>67.47</v>
      </c>
      <c r="AK993" s="17" t="n">
        <f aca="false">Data!F988</f>
        <v>101134712</v>
      </c>
      <c r="AL993" s="17" t="n">
        <f aca="false">AJ993</f>
        <v>67.47</v>
      </c>
      <c r="AM993" s="17" t="n">
        <f aca="false">(AL993-AL992)/AL993*100</f>
        <v>1.03749814732474</v>
      </c>
      <c r="AN993" s="17" t="n">
        <f aca="false">(AK993-AK992)/AK993*100</f>
        <v>-72.8638155413939</v>
      </c>
      <c r="AO993" s="17" t="str">
        <f aca="false">IF(AN993&lt;-8,"FITS BITCH",IF(AN993&gt;-8,"no"))</f>
        <v>FITS BITCH</v>
      </c>
      <c r="AP993" s="17" t="str">
        <f aca="false">IF(AH994&lt;AH993,"FITS BITCH",IF(AH994&gt;AH993,"no"))</f>
        <v>FITS BITCH</v>
      </c>
      <c r="AQ993" s="17" t="str">
        <f aca="false">IF(AI994&lt;AI993,"FITS BITCH",IF(AI994&gt;AI993,"no"))</f>
        <v>FITS BITCH</v>
      </c>
      <c r="AR993" s="17" t="str">
        <f aca="false">IF(AJ993&lt;AH994,"FITS BITCH",IF(AJ993&gt;AH994,"no"))</f>
        <v>no</v>
      </c>
      <c r="AS993" s="17" t="str">
        <f aca="false">IF(AJ993&gt;AJ994,"FITS BITCH",IF(AJ993&lt;AJ994,"no"))</f>
        <v>FITS BITCH</v>
      </c>
      <c r="AT993" s="91" t="str">
        <f aca="false">IF(AND($AO993="FITS BITCH",$AP993="FITS BITCH",$AR993="FITS BITCH"),"BULLISH","")</f>
        <v/>
      </c>
      <c r="AU993" s="91" t="str">
        <f aca="false">IF(AND($AO993="FITS BITCH",$AQ993="FITS BITCH",$AS993="FITS BITCH"),"BEARISH","")</f>
        <v>BEARISH</v>
      </c>
      <c r="AV993" s="86"/>
      <c r="AW993" s="86"/>
      <c r="AX993" s="86"/>
    </row>
    <row r="994" customFormat="false" ht="15.75" hidden="false" customHeight="false" outlineLevel="0" collapsed="false">
      <c r="AE994" s="90" t="n">
        <f aca="false">Data!A989</f>
        <v>41535</v>
      </c>
      <c r="AF994" s="17" t="n">
        <f aca="false">Data!B989</f>
        <v>66.17</v>
      </c>
      <c r="AG994" s="17" t="n">
        <f aca="false">Data!F989</f>
        <v>114215304</v>
      </c>
      <c r="AH994" s="17" t="n">
        <f aca="false">Data!C989</f>
        <v>66.62</v>
      </c>
      <c r="AI994" s="17" t="n">
        <f aca="false">Data!D989</f>
        <v>65.81</v>
      </c>
      <c r="AJ994" s="17" t="n">
        <f aca="false">Data!E989</f>
        <v>66.38</v>
      </c>
      <c r="AK994" s="17" t="n">
        <f aca="false">Data!F989</f>
        <v>114215304</v>
      </c>
      <c r="AL994" s="17" t="n">
        <f aca="false">AJ994</f>
        <v>66.38</v>
      </c>
      <c r="AM994" s="17" t="n">
        <f aca="false">(AL994-AL993)/AL994*100</f>
        <v>-1.64206086170534</v>
      </c>
      <c r="AN994" s="17" t="n">
        <f aca="false">(AK994-AK993)/AK994*100</f>
        <v>11.4525738162024</v>
      </c>
      <c r="AO994" s="17" t="str">
        <f aca="false">IF(AN994&lt;-8,"FITS BITCH",IF(AN994&gt;-8,"no"))</f>
        <v>no</v>
      </c>
      <c r="AP994" s="17" t="str">
        <f aca="false">IF(AH995&lt;AH994,"FITS BITCH",IF(AH995&gt;AH994,"no"))</f>
        <v>FITS BITCH</v>
      </c>
      <c r="AQ994" s="17" t="str">
        <f aca="false">IF(AI995&lt;AI994,"FITS BITCH",IF(AI995&gt;AI994,"no"))</f>
        <v>FITS BITCH</v>
      </c>
      <c r="AR994" s="17" t="str">
        <f aca="false">IF(AJ994&lt;AH995,"FITS BITCH",IF(AJ994&gt;AH995,"no"))</f>
        <v>no</v>
      </c>
      <c r="AS994" s="17" t="str">
        <f aca="false">IF(AJ994&gt;AJ995,"FITS BITCH",IF(AJ994&lt;AJ995,"no"))</f>
        <v>FITS BITCH</v>
      </c>
      <c r="AT994" s="91" t="str">
        <f aca="false">IF(AND($AO994="FITS BITCH",$AP994="FITS BITCH",$AR994="FITS BITCH"),"BULLISH","")</f>
        <v/>
      </c>
      <c r="AU994" s="91" t="str">
        <f aca="false">IF(AND($AO994="FITS BITCH",$AQ994="FITS BITCH",$AS994="FITS BITCH"),"BEARISH","")</f>
        <v/>
      </c>
      <c r="AV994" s="86"/>
      <c r="AW994" s="86"/>
      <c r="AX994" s="86"/>
    </row>
    <row r="995" customFormat="false" ht="15.75" hidden="false" customHeight="false" outlineLevel="0" collapsed="false">
      <c r="AE995" s="90" t="n">
        <f aca="false">Data!A990</f>
        <v>41534</v>
      </c>
      <c r="AF995" s="17" t="n">
        <f aca="false">Data!B990</f>
        <v>63.99</v>
      </c>
      <c r="AG995" s="17" t="n">
        <f aca="false">Data!F990</f>
        <v>99844773</v>
      </c>
      <c r="AH995" s="17" t="n">
        <f aca="false">Data!C990</f>
        <v>65.67</v>
      </c>
      <c r="AI995" s="17" t="n">
        <f aca="false">Data!D990</f>
        <v>63.93</v>
      </c>
      <c r="AJ995" s="17" t="n">
        <f aca="false">Data!E990</f>
        <v>65.05</v>
      </c>
      <c r="AK995" s="17" t="n">
        <f aca="false">Data!F990</f>
        <v>99844773</v>
      </c>
      <c r="AL995" s="17" t="n">
        <f aca="false">AJ995</f>
        <v>65.05</v>
      </c>
      <c r="AM995" s="17" t="n">
        <f aca="false">(AL995-AL994)/AL995*100</f>
        <v>-2.0445810914681</v>
      </c>
      <c r="AN995" s="17" t="n">
        <f aca="false">(AK995-AK994)/AK995*100</f>
        <v>-14.3928726243887</v>
      </c>
      <c r="AO995" s="17" t="str">
        <f aca="false">IF(AN995&lt;-8,"FITS BITCH",IF(AN995&gt;-8,"no"))</f>
        <v>FITS BITCH</v>
      </c>
      <c r="AP995" s="17" t="str">
        <f aca="false">IF(AH996&lt;AH995,"FITS BITCH",IF(AH996&gt;AH995,"no"))</f>
        <v>no</v>
      </c>
      <c r="AQ995" s="17" t="str">
        <f aca="false">IF(AI996&lt;AI995,"FITS BITCH",IF(AI996&gt;AI995,"no"))</f>
        <v>FITS BITCH</v>
      </c>
      <c r="AR995" s="17" t="str">
        <f aca="false">IF(AJ995&lt;AH996,"FITS BITCH",IF(AJ995&gt;AH996,"no"))</f>
        <v>FITS BITCH</v>
      </c>
      <c r="AS995" s="17" t="str">
        <f aca="false">IF(AJ995&gt;AJ996,"FITS BITCH",IF(AJ995&lt;AJ996,"no"))</f>
        <v>FITS BITCH</v>
      </c>
      <c r="AT995" s="91" t="str">
        <f aca="false">IF(AND($AO995="FITS BITCH",$AP995="FITS BITCH",$AR995="FITS BITCH"),"BULLISH","")</f>
        <v/>
      </c>
      <c r="AU995" s="91" t="str">
        <f aca="false">IF(AND($AO995="FITS BITCH",$AQ995="FITS BITCH",$AS995="FITS BITCH"),"BEARISH","")</f>
        <v>BEARISH</v>
      </c>
      <c r="AV995" s="86"/>
      <c r="AW995" s="86"/>
      <c r="AX995" s="86"/>
    </row>
    <row r="996" customFormat="false" ht="15.75" hidden="false" customHeight="false" outlineLevel="0" collapsed="false">
      <c r="AE996" s="90" t="n">
        <f aca="false">Data!A991</f>
        <v>41533</v>
      </c>
      <c r="AF996" s="17" t="n">
        <f aca="false">Data!B991</f>
        <v>65.86</v>
      </c>
      <c r="AG996" s="17" t="n">
        <f aca="false">Data!F991</f>
        <v>137137665</v>
      </c>
      <c r="AH996" s="17" t="n">
        <f aca="false">Data!C991</f>
        <v>65.94</v>
      </c>
      <c r="AI996" s="17" t="n">
        <f aca="false">Data!D991</f>
        <v>63.89</v>
      </c>
      <c r="AJ996" s="17" t="n">
        <f aca="false">Data!E991</f>
        <v>64.3</v>
      </c>
      <c r="AK996" s="17" t="n">
        <f aca="false">Data!F991</f>
        <v>137137665</v>
      </c>
      <c r="AL996" s="17" t="n">
        <f aca="false">AJ996</f>
        <v>64.3</v>
      </c>
      <c r="AM996" s="17" t="n">
        <f aca="false">(AL996-AL995)/AL996*100</f>
        <v>-1.16640746500778</v>
      </c>
      <c r="AN996" s="17" t="n">
        <f aca="false">(AK996-AK995)/AK996*100</f>
        <v>27.193763288882</v>
      </c>
      <c r="AO996" s="17" t="str">
        <f aca="false">IF(AN996&lt;-8,"FITS BITCH",IF(AN996&gt;-8,"no"))</f>
        <v>no</v>
      </c>
      <c r="AP996" s="17" t="str">
        <f aca="false">IF(AH997&lt;AH996,"FITS BITCH",IF(AH997&gt;AH996,"no"))</f>
        <v>no</v>
      </c>
      <c r="AQ996" s="17" t="str">
        <f aca="false">IF(AI997&lt;AI996,"FITS BITCH",IF(AI997&gt;AI996,"no"))</f>
        <v>no</v>
      </c>
      <c r="AR996" s="17" t="str">
        <f aca="false">IF(AJ996&lt;AH997,"FITS BITCH",IF(AJ996&gt;AH997,"no"))</f>
        <v>FITS BITCH</v>
      </c>
      <c r="AS996" s="17" t="str">
        <f aca="false">IF(AJ996&gt;AJ997,"FITS BITCH",IF(AJ996&lt;AJ997,"no"))</f>
        <v>no</v>
      </c>
      <c r="AT996" s="91" t="str">
        <f aca="false">IF(AND($AO996="FITS BITCH",$AP996="FITS BITCH",$AR996="FITS BITCH"),"BULLISH","")</f>
        <v/>
      </c>
      <c r="AU996" s="91" t="str">
        <f aca="false">IF(AND($AO996="FITS BITCH",$AQ996="FITS BITCH",$AS996="FITS BITCH"),"BEARISH","")</f>
        <v/>
      </c>
      <c r="AV996" s="86"/>
      <c r="AW996" s="86"/>
      <c r="AX996" s="86"/>
    </row>
    <row r="997" customFormat="false" ht="15.75" hidden="false" customHeight="false" outlineLevel="0" collapsed="false">
      <c r="AE997" s="90" t="n">
        <f aca="false">Data!A992</f>
        <v>41530</v>
      </c>
      <c r="AF997" s="17" t="n">
        <f aca="false">Data!B992</f>
        <v>67.05</v>
      </c>
      <c r="AG997" s="17" t="n">
        <f aca="false">Data!F992</f>
        <v>74708438</v>
      </c>
      <c r="AH997" s="17" t="n">
        <f aca="false">Data!C992</f>
        <v>67.4</v>
      </c>
      <c r="AI997" s="17" t="n">
        <f aca="false">Data!D992</f>
        <v>66.39</v>
      </c>
      <c r="AJ997" s="17" t="n">
        <f aca="false">Data!E992</f>
        <v>66.41</v>
      </c>
      <c r="AK997" s="17" t="n">
        <f aca="false">Data!F992</f>
        <v>74708438</v>
      </c>
      <c r="AL997" s="17" t="n">
        <f aca="false">AJ997</f>
        <v>66.41</v>
      </c>
      <c r="AM997" s="17" t="n">
        <f aca="false">(AL997-AL996)/AL997*100</f>
        <v>3.17723234452643</v>
      </c>
      <c r="AN997" s="17" t="n">
        <f aca="false">(AK997-AK996)/AK997*100</f>
        <v>-83.5638231386929</v>
      </c>
      <c r="AO997" s="17" t="str">
        <f aca="false">IF(AN997&lt;-8,"FITS BITCH",IF(AN997&gt;-8,"no"))</f>
        <v>FITS BITCH</v>
      </c>
      <c r="AP997" s="17" t="str">
        <f aca="false">IF(AH998&lt;AH997,"FITS BITCH",IF(AH998&gt;AH997,"no"))</f>
        <v>no</v>
      </c>
      <c r="AQ997" s="17" t="str">
        <f aca="false">IF(AI998&lt;AI997,"FITS BITCH",IF(AI998&gt;AI997,"no"))</f>
        <v>no</v>
      </c>
      <c r="AR997" s="17" t="str">
        <f aca="false">IF(AJ997&lt;AH998,"FITS BITCH",IF(AJ997&gt;AH998,"no"))</f>
        <v>FITS BITCH</v>
      </c>
      <c r="AS997" s="17" t="str">
        <f aca="false">IF(AJ997&gt;AJ998,"FITS BITCH",IF(AJ997&lt;AJ998,"no"))</f>
        <v>no</v>
      </c>
      <c r="AT997" s="91" t="str">
        <f aca="false">IF(AND($AO997="FITS BITCH",$AP997="FITS BITCH",$AR997="FITS BITCH"),"BULLISH","")</f>
        <v/>
      </c>
      <c r="AU997" s="91" t="str">
        <f aca="false">IF(AND($AO997="FITS BITCH",$AQ997="FITS BITCH",$AS997="FITS BITCH"),"BEARISH","")</f>
        <v/>
      </c>
      <c r="AV997" s="86"/>
      <c r="AW997" s="86"/>
      <c r="AX997" s="86"/>
    </row>
    <row r="998" customFormat="false" ht="15.75" hidden="false" customHeight="false" outlineLevel="0" collapsed="false">
      <c r="AE998" s="90" t="n">
        <f aca="false">Data!A993</f>
        <v>41529</v>
      </c>
      <c r="AF998" s="17" t="n">
        <f aca="false">Data!B993</f>
        <v>66.93</v>
      </c>
      <c r="AG998" s="17" t="n">
        <f aca="false">Data!F993</f>
        <v>101012471</v>
      </c>
      <c r="AH998" s="17" t="n">
        <f aca="false">Data!C993</f>
        <v>67.91</v>
      </c>
      <c r="AI998" s="17" t="n">
        <f aca="false">Data!D993</f>
        <v>66.57</v>
      </c>
      <c r="AJ998" s="17" t="n">
        <f aca="false">Data!E993</f>
        <v>67.53</v>
      </c>
      <c r="AK998" s="17" t="n">
        <f aca="false">Data!F993</f>
        <v>101012471</v>
      </c>
      <c r="AL998" s="17" t="n">
        <f aca="false">AJ998</f>
        <v>67.53</v>
      </c>
      <c r="AM998" s="17" t="n">
        <f aca="false">(AL998-AL997)/AL998*100</f>
        <v>1.65852213830891</v>
      </c>
      <c r="AN998" s="17" t="n">
        <f aca="false">(AK998-AK997)/AK998*100</f>
        <v>26.0403816871285</v>
      </c>
      <c r="AO998" s="17" t="str">
        <f aca="false">IF(AN998&lt;-8,"FITS BITCH",IF(AN998&gt;-8,"no"))</f>
        <v>no</v>
      </c>
      <c r="AP998" s="17" t="str">
        <f aca="false">IF(AH999&lt;AH998,"FITS BITCH",IF(AH999&gt;AH998,"no"))</f>
        <v>FITS BITCH</v>
      </c>
      <c r="AQ998" s="17" t="str">
        <f aca="false">IF(AI999&lt;AI998,"FITS BITCH",IF(AI999&gt;AI998,"no"))</f>
        <v>FITS BITCH</v>
      </c>
      <c r="AR998" s="17" t="str">
        <f aca="false">IF(AJ998&lt;AH999,"FITS BITCH",IF(AJ998&gt;AH999,"no"))</f>
        <v>FITS BITCH</v>
      </c>
      <c r="AS998" s="17" t="str">
        <f aca="false">IF(AJ998&gt;AJ999,"FITS BITCH",IF(AJ998&lt;AJ999,"no"))</f>
        <v>FITS BITCH</v>
      </c>
      <c r="AT998" s="91" t="str">
        <f aca="false">IF(AND($AO998="FITS BITCH",$AP998="FITS BITCH",$AR998="FITS BITCH"),"BULLISH","")</f>
        <v/>
      </c>
      <c r="AU998" s="91" t="str">
        <f aca="false">IF(AND($AO998="FITS BITCH",$AQ998="FITS BITCH",$AS998="FITS BITCH"),"BEARISH","")</f>
        <v/>
      </c>
      <c r="AV998" s="86"/>
      <c r="AW998" s="86"/>
      <c r="AX998" s="86"/>
    </row>
    <row r="999" customFormat="false" ht="15.75" hidden="false" customHeight="false" outlineLevel="0" collapsed="false">
      <c r="AE999" s="90" t="n">
        <f aca="false">Data!A994</f>
        <v>41528</v>
      </c>
      <c r="AF999" s="17" t="n">
        <f aca="false">Data!B994</f>
        <v>66.72</v>
      </c>
      <c r="AG999" s="17" t="n">
        <f aca="false">Data!F994</f>
        <v>223526688</v>
      </c>
      <c r="AH999" s="17" t="n">
        <f aca="false">Data!C994</f>
        <v>67.67</v>
      </c>
      <c r="AI999" s="17" t="n">
        <f aca="false">Data!D994</f>
        <v>66.4</v>
      </c>
      <c r="AJ999" s="17" t="n">
        <f aca="false">Data!E994</f>
        <v>66.82</v>
      </c>
      <c r="AK999" s="17" t="n">
        <f aca="false">Data!F994</f>
        <v>223526688</v>
      </c>
      <c r="AL999" s="17" t="n">
        <f aca="false">AJ999</f>
        <v>66.82</v>
      </c>
      <c r="AM999" s="17" t="n">
        <f aca="false">(AL999-AL998)/AL999*100</f>
        <v>-1.06255612092189</v>
      </c>
      <c r="AN999" s="17" t="n">
        <f aca="false">(AK999-AK998)/AK999*100</f>
        <v>54.8096596859164</v>
      </c>
      <c r="AO999" s="17" t="str">
        <f aca="false">IF(AN999&lt;-8,"FITS BITCH",IF(AN999&gt;-8,"no"))</f>
        <v>no</v>
      </c>
      <c r="AP999" s="17" t="str">
        <f aca="false">IF(AH1000&lt;AH999,"FITS BITCH",IF(AH1000&gt;AH999,"no"))</f>
        <v>no</v>
      </c>
      <c r="AQ999" s="17" t="str">
        <f aca="false">IF(AI1000&lt;AI999,"FITS BITCH",IF(AI1000&gt;AI999,"no"))</f>
        <v>no</v>
      </c>
      <c r="AR999" s="17" t="str">
        <f aca="false">IF(AJ999&lt;AH1000,"FITS BITCH",IF(AJ999&gt;AH1000,"no"))</f>
        <v>FITS BITCH</v>
      </c>
      <c r="AS999" s="17" t="str">
        <f aca="false">IF(AJ999&gt;AJ1000,"FITS BITCH",IF(AJ999&lt;AJ1000,"no"))</f>
        <v>no</v>
      </c>
      <c r="AT999" s="91" t="str">
        <f aca="false">IF(AND($AO999="FITS BITCH",$AP999="FITS BITCH",$AR999="FITS BITCH"),"BULLISH","")</f>
        <v/>
      </c>
      <c r="AU999" s="91" t="str">
        <f aca="false">IF(AND($AO999="FITS BITCH",$AQ999="FITS BITCH",$AS999="FITS BITCH"),"BEARISH","")</f>
        <v/>
      </c>
      <c r="AV999" s="86"/>
      <c r="AW999" s="86"/>
      <c r="AX999" s="86"/>
    </row>
    <row r="1000" customFormat="false" ht="15.75" hidden="false" customHeight="false" outlineLevel="0" collapsed="false">
      <c r="AE1000" s="90" t="n">
        <f aca="false">Data!A995</f>
        <v>41527</v>
      </c>
      <c r="AF1000" s="17" t="n">
        <f aca="false">Data!B995</f>
        <v>72.31</v>
      </c>
      <c r="AG1000" s="17" t="n">
        <f aca="false">Data!F995</f>
        <v>185798872</v>
      </c>
      <c r="AH1000" s="17" t="n">
        <f aca="false">Data!C995</f>
        <v>72.49</v>
      </c>
      <c r="AI1000" s="17" t="n">
        <f aca="false">Data!D995</f>
        <v>69.93</v>
      </c>
      <c r="AJ1000" s="17" t="n">
        <f aca="false">Data!E995</f>
        <v>70.66</v>
      </c>
      <c r="AK1000" s="17" t="n">
        <f aca="false">Data!F995</f>
        <v>185798872</v>
      </c>
      <c r="AL1000" s="17" t="n">
        <f aca="false">AJ1000</f>
        <v>70.66</v>
      </c>
      <c r="AM1000" s="17" t="n">
        <f aca="false">(AL1000-AL999)/AL1000*100</f>
        <v>5.43447495046703</v>
      </c>
      <c r="AN1000" s="17" t="n">
        <f aca="false">(AK1000-AK999)/AK1000*100</f>
        <v>-20.3057293049659</v>
      </c>
      <c r="AO1000" s="17" t="str">
        <f aca="false">IF(AN1000&lt;-8,"FITS BITCH",IF(AN1000&gt;-8,"no"))</f>
        <v>FITS BITCH</v>
      </c>
      <c r="AP1000" s="17" t="str">
        <f aca="false">IF(AH1001&lt;AH1000,"FITS BITCH",IF(AH1001&gt;AH1000,"no"))</f>
        <v>no</v>
      </c>
      <c r="AQ1000" s="17" t="str">
        <f aca="false">IF(AI1001&lt;AI1000,"FITS BITCH",IF(AI1001&gt;AI1000,"no"))</f>
        <v>no</v>
      </c>
      <c r="AR1000" s="17" t="str">
        <f aca="false">IF(AJ1000&lt;AH1001,"FITS BITCH",IF(AJ1000&gt;AH1001,"no"))</f>
        <v>FITS BITCH</v>
      </c>
      <c r="AS1000" s="17" t="str">
        <f aca="false">IF(AJ1000&gt;AJ1001,"FITS BITCH",IF(AJ1000&lt;AJ1001,"no"))</f>
        <v>no</v>
      </c>
      <c r="AT1000" s="91" t="str">
        <f aca="false">IF(AND($AO1000="FITS BITCH",$AP1000="FITS BITCH",$AR1000="FITS BITCH"),"BULLISH","")</f>
        <v/>
      </c>
      <c r="AU1000" s="91" t="str">
        <f aca="false">IF(AND($AO1000="FITS BITCH",$AQ1000="FITS BITCH",$AS1000="FITS BITCH"),"BEARISH","")</f>
        <v/>
      </c>
      <c r="AV1000" s="86"/>
      <c r="AW1000" s="86"/>
      <c r="AX1000" s="86"/>
    </row>
    <row r="1001" customFormat="false" ht="15.75" hidden="false" customHeight="false" outlineLevel="0" collapsed="false">
      <c r="AE1001" s="90" t="n">
        <f aca="false">Data!A996</f>
        <v>41526</v>
      </c>
      <c r="AF1001" s="17" t="n">
        <f aca="false">Data!B996</f>
        <v>72.14</v>
      </c>
      <c r="AG1001" s="17" t="n">
        <f aca="false">Data!F996</f>
        <v>85171583</v>
      </c>
      <c r="AH1001" s="17" t="n">
        <f aca="false">Data!C996</f>
        <v>72.56</v>
      </c>
      <c r="AI1001" s="17" t="n">
        <f aca="false">Data!D996</f>
        <v>71.93</v>
      </c>
      <c r="AJ1001" s="17" t="n">
        <f aca="false">Data!E996</f>
        <v>72.31</v>
      </c>
      <c r="AK1001" s="17" t="n">
        <f aca="false">Data!F996</f>
        <v>85171583</v>
      </c>
      <c r="AL1001" s="17" t="n">
        <f aca="false">AJ1001</f>
        <v>72.31</v>
      </c>
      <c r="AM1001" s="17" t="n">
        <f aca="false">(AL1001-AL1000)/AL1001*100</f>
        <v>2.28184206887015</v>
      </c>
      <c r="AN1001" s="17" t="n">
        <f aca="false">(AK1001-AK1000)/AK1001*100</f>
        <v>-118.146552471615</v>
      </c>
      <c r="AO1001" s="17" t="str">
        <f aca="false">IF(AN1001&lt;-8,"FITS BITCH",IF(AN1001&gt;-8,"no"))</f>
        <v>FITS BITCH</v>
      </c>
      <c r="AP1001" s="17" t="str">
        <f aca="false">IF(AH1002&lt;AH1001,"FITS BITCH",IF(AH1002&gt;AH1001,"no"))</f>
        <v>FITS BITCH</v>
      </c>
      <c r="AQ1001" s="17" t="str">
        <f aca="false">IF(AI1002&lt;AI1001,"FITS BITCH",IF(AI1002&gt;AI1001,"no"))</f>
        <v>FITS BITCH</v>
      </c>
      <c r="AR1001" s="17" t="str">
        <f aca="false">IF(AJ1001&lt;AH1002,"FITS BITCH",IF(AJ1001&gt;AH1002,"no"))</f>
        <v>no</v>
      </c>
      <c r="AS1001" s="17" t="str">
        <f aca="false">IF(AJ1001&gt;AJ1002,"FITS BITCH",IF(AJ1001&lt;AJ1002,"no"))</f>
        <v>FITS BITCH</v>
      </c>
      <c r="AT1001" s="91" t="str">
        <f aca="false">IF(AND($AO1001="FITS BITCH",$AP1001="FITS BITCH",$AR1001="FITS BITCH"),"BULLISH","")</f>
        <v/>
      </c>
      <c r="AU1001" s="91" t="str">
        <f aca="false">IF(AND($AO1001="FITS BITCH",$AQ1001="FITS BITCH",$AS1001="FITS BITCH"),"BEARISH","")</f>
        <v>BEARISH</v>
      </c>
      <c r="AV1001" s="86"/>
      <c r="AW1001" s="86"/>
      <c r="AX1001" s="86"/>
    </row>
    <row r="1002" customFormat="false" ht="15.75" hidden="false" customHeight="false" outlineLevel="0" collapsed="false">
      <c r="AE1002" s="90" t="n">
        <f aca="false">Data!A997</f>
        <v>41523</v>
      </c>
      <c r="AF1002" s="17" t="n">
        <f aca="false">Data!B997</f>
        <v>71.21</v>
      </c>
      <c r="AG1002" s="17" t="n">
        <f aca="false">Data!F997</f>
        <v>89881253</v>
      </c>
      <c r="AH1002" s="17" t="n">
        <f aca="false">Data!C997</f>
        <v>71.34</v>
      </c>
      <c r="AI1002" s="17" t="n">
        <f aca="false">Data!D997</f>
        <v>69.99</v>
      </c>
      <c r="AJ1002" s="17" t="n">
        <f aca="false">Data!E997</f>
        <v>71.17</v>
      </c>
      <c r="AK1002" s="17" t="n">
        <f aca="false">Data!F997</f>
        <v>89881253</v>
      </c>
      <c r="AL1002" s="17" t="n">
        <f aca="false">AJ1002</f>
        <v>71.17</v>
      </c>
      <c r="AM1002" s="17" t="n">
        <f aca="false">(AL1002-AL1001)/AL1002*100</f>
        <v>-1.6017985106084</v>
      </c>
      <c r="AN1002" s="17" t="n">
        <f aca="false">(AK1002-AK1001)/AK1002*100</f>
        <v>5.23988022285359</v>
      </c>
      <c r="AO1002" s="17" t="str">
        <f aca="false">IF(AN1002&lt;-8,"FITS BITCH",IF(AN1002&gt;-8,"no"))</f>
        <v>no</v>
      </c>
      <c r="AP1002" s="17" t="str">
        <f aca="false">IF(AH1003&lt;AH1002,"FITS BITCH",IF(AH1003&gt;AH1002,"no"))</f>
        <v>no</v>
      </c>
      <c r="AQ1002" s="17" t="str">
        <f aca="false">IF(AI1003&lt;AI1002,"FITS BITCH",IF(AI1003&gt;AI1002,"no"))</f>
        <v>no</v>
      </c>
      <c r="AR1002" s="17" t="str">
        <f aca="false">IF(AJ1002&lt;AH1003,"FITS BITCH",IF(AJ1002&gt;AH1003,"no"))</f>
        <v>FITS BITCH</v>
      </c>
      <c r="AS1002" s="17" t="str">
        <f aca="false">IF(AJ1002&gt;AJ1003,"FITS BITCH",IF(AJ1002&lt;AJ1003,"no"))</f>
        <v>FITS BITCH</v>
      </c>
      <c r="AT1002" s="91" t="str">
        <f aca="false">IF(AND($AO1002="FITS BITCH",$AP1002="FITS BITCH",$AR1002="FITS BITCH"),"BULLISH","")</f>
        <v/>
      </c>
      <c r="AU1002" s="91" t="str">
        <f aca="false">IF(AND($AO1002="FITS BITCH",$AQ1002="FITS BITCH",$AS1002="FITS BITCH"),"BEARISH","")</f>
        <v/>
      </c>
      <c r="AV1002" s="86"/>
      <c r="AW1002" s="86"/>
      <c r="AX1002" s="86"/>
    </row>
    <row r="1003" customFormat="false" ht="15.75" hidden="false" customHeight="false" outlineLevel="0" collapsed="false">
      <c r="AE1003" s="90" t="n">
        <f aca="false">Data!A998</f>
        <v>41522</v>
      </c>
      <c r="AF1003" s="17" t="n">
        <f aca="false">Data!B998</f>
        <v>71.46</v>
      </c>
      <c r="AG1003" s="17" t="n">
        <f aca="false">Data!F998</f>
        <v>59091879</v>
      </c>
      <c r="AH1003" s="17" t="n">
        <f aca="false">Data!C998</f>
        <v>71.53</v>
      </c>
      <c r="AI1003" s="17" t="n">
        <f aca="false">Data!D998</f>
        <v>70.52</v>
      </c>
      <c r="AJ1003" s="17" t="n">
        <f aca="false">Data!E998</f>
        <v>70.75</v>
      </c>
      <c r="AK1003" s="17" t="n">
        <f aca="false">Data!F998</f>
        <v>59091879</v>
      </c>
      <c r="AL1003" s="17" t="n">
        <f aca="false">AJ1003</f>
        <v>70.75</v>
      </c>
      <c r="AM1003" s="17" t="n">
        <f aca="false">(AL1003-AL1002)/AL1003*100</f>
        <v>-0.593639575971734</v>
      </c>
      <c r="AN1003" s="17" t="n">
        <f aca="false">(AK1003-AK1002)/AK1003*100</f>
        <v>-52.1042392305718</v>
      </c>
      <c r="AO1003" s="17" t="str">
        <f aca="false">IF(AN1003&lt;-8,"FITS BITCH",IF(AN1003&gt;-8,"no"))</f>
        <v>FITS BITCH</v>
      </c>
      <c r="AP1003" s="17" t="str">
        <f aca="false">IF(AH1004&lt;AH1003,"FITS BITCH",IF(AH1004&gt;AH1003,"no"))</f>
        <v>no</v>
      </c>
      <c r="AQ1003" s="17" t="str">
        <f aca="false">IF(AI1004&lt;AI1003,"FITS BITCH",IF(AI1004&gt;AI1003,"no"))</f>
        <v>no</v>
      </c>
      <c r="AR1003" s="17" t="str">
        <f aca="false">IF(AJ1003&lt;AH1004,"FITS BITCH",IF(AJ1003&gt;AH1004,"no"))</f>
        <v>FITS BITCH</v>
      </c>
      <c r="AS1003" s="17" t="str">
        <f aca="false">IF(AJ1003&gt;AJ1004,"FITS BITCH",IF(AJ1003&lt;AJ1004,"no"))</f>
        <v>no</v>
      </c>
      <c r="AT1003" s="91" t="str">
        <f aca="false">IF(AND($AO1003="FITS BITCH",$AP1003="FITS BITCH",$AR1003="FITS BITCH"),"BULLISH","")</f>
        <v/>
      </c>
      <c r="AU1003" s="91" t="str">
        <f aca="false">IF(AND($AO1003="FITS BITCH",$AQ1003="FITS BITCH",$AS1003="FITS BITCH"),"BEARISH","")</f>
        <v/>
      </c>
      <c r="AV1003" s="86"/>
      <c r="AW1003" s="86"/>
      <c r="AX1003" s="86"/>
    </row>
    <row r="1004" customFormat="false" ht="15.75" hidden="false" customHeight="false" outlineLevel="0" collapsed="false">
      <c r="AE1004" s="90" t="n">
        <f aca="false">Data!A999</f>
        <v>41521</v>
      </c>
      <c r="AF1004" s="17" t="n">
        <f aca="false">Data!B999</f>
        <v>71.37</v>
      </c>
      <c r="AG1004" s="17" t="n">
        <f aca="false">Data!F999</f>
        <v>86257878</v>
      </c>
      <c r="AH1004" s="17" t="n">
        <f aca="false">Data!C999</f>
        <v>71.75</v>
      </c>
      <c r="AI1004" s="17" t="n">
        <f aca="false">Data!D999</f>
        <v>70.9</v>
      </c>
      <c r="AJ1004" s="17" t="n">
        <f aca="false">Data!E999</f>
        <v>71.24</v>
      </c>
      <c r="AK1004" s="17" t="n">
        <f aca="false">Data!F999</f>
        <v>86257878</v>
      </c>
      <c r="AL1004" s="17" t="n">
        <f aca="false">AJ1004</f>
        <v>71.24</v>
      </c>
      <c r="AM1004" s="17" t="n">
        <f aca="false">(AL1004-AL1003)/AL1004*100</f>
        <v>0.687815833801228</v>
      </c>
      <c r="AN1004" s="17" t="n">
        <f aca="false">(AK1004-AK1003)/AK1004*100</f>
        <v>31.4939338062548</v>
      </c>
      <c r="AO1004" s="17" t="str">
        <f aca="false">IF(AN1004&lt;-8,"FITS BITCH",IF(AN1004&gt;-8,"no"))</f>
        <v>no</v>
      </c>
      <c r="AP1004" s="17" t="str">
        <f aca="false">IF(AH1005&lt;AH1004,"FITS BITCH",IF(AH1005&gt;AH1004,"no"))</f>
        <v>FITS BITCH</v>
      </c>
      <c r="AQ1004" s="17" t="str">
        <f aca="false">IF(AI1005&lt;AI1004,"FITS BITCH",IF(AI1005&gt;AI1004,"no"))</f>
        <v>FITS BITCH</v>
      </c>
      <c r="AR1004" s="17" t="str">
        <f aca="false">IF(AJ1004&lt;AH1005,"FITS BITCH",IF(AJ1004&gt;AH1005,"no"))</f>
        <v>FITS BITCH</v>
      </c>
      <c r="AS1004" s="17" t="str">
        <f aca="false">IF(AJ1004&gt;AJ1005,"FITS BITCH",IF(AJ1004&lt;AJ1005,"no"))</f>
        <v>FITS BITCH</v>
      </c>
      <c r="AT1004" s="91" t="str">
        <f aca="false">IF(AND($AO1004="FITS BITCH",$AP1004="FITS BITCH",$AR1004="FITS BITCH"),"BULLISH","")</f>
        <v/>
      </c>
      <c r="AU1004" s="91" t="str">
        <f aca="false">IF(AND($AO1004="FITS BITCH",$AQ1004="FITS BITCH",$AS1004="FITS BITCH"),"BEARISH","")</f>
        <v/>
      </c>
      <c r="AV1004" s="86"/>
      <c r="AW1004" s="86"/>
      <c r="AX1004" s="86"/>
    </row>
    <row r="1005" customFormat="false" ht="15.75" hidden="false" customHeight="false" outlineLevel="0" collapsed="false">
      <c r="AE1005" s="90" t="n">
        <f aca="false">Data!A1000</f>
        <v>41520</v>
      </c>
      <c r="AF1005" s="17" t="n">
        <f aca="false">Data!B1000</f>
        <v>70.44</v>
      </c>
      <c r="AG1005" s="17" t="n">
        <f aca="false">Data!F1000</f>
        <v>83025166</v>
      </c>
      <c r="AH1005" s="17" t="n">
        <f aca="false">Data!C1000</f>
        <v>71.51</v>
      </c>
      <c r="AI1005" s="17" t="n">
        <f aca="false">Data!D1000</f>
        <v>69.62</v>
      </c>
      <c r="AJ1005" s="17" t="n">
        <f aca="false">Data!E1000</f>
        <v>69.8</v>
      </c>
      <c r="AK1005" s="17" t="n">
        <f aca="false">Data!F1000</f>
        <v>83025166</v>
      </c>
      <c r="AL1005" s="17" t="n">
        <f aca="false">AJ1005</f>
        <v>69.8</v>
      </c>
      <c r="AM1005" s="17" t="n">
        <f aca="false">(AL1005-AL1004)/AL1005*100</f>
        <v>-2.06303724928366</v>
      </c>
      <c r="AN1005" s="17" t="n">
        <f aca="false">(AK1005-AK1004)/AK1005*100</f>
        <v>-3.89365316053689</v>
      </c>
      <c r="AO1005" s="17" t="str">
        <f aca="false">IF(AN1005&lt;-8,"FITS BITCH",IF(AN1005&gt;-8,"no"))</f>
        <v>no</v>
      </c>
      <c r="AP1005" s="17" t="str">
        <f aca="false">IF(AH1006&lt;AH1005,"FITS BITCH",IF(AH1006&gt;AH1005,"no"))</f>
        <v>FITS BITCH</v>
      </c>
      <c r="AQ1005" s="17" t="str">
        <f aca="false">IF(AI1006&lt;AI1005,"FITS BITCH",IF(AI1006&gt;AI1005,"no"))</f>
        <v>FITS BITCH</v>
      </c>
      <c r="AR1005" s="17" t="str">
        <f aca="false">IF(AJ1005&lt;AH1006,"FITS BITCH",IF(AJ1005&gt;AH1006,"no"))</f>
        <v>FITS BITCH</v>
      </c>
      <c r="AS1005" s="17" t="str">
        <f aca="false">IF(AJ1005&gt;AJ1006,"FITS BITCH",IF(AJ1005&lt;AJ1006,"no"))</f>
        <v>FITS BITCH</v>
      </c>
      <c r="AT1005" s="91" t="str">
        <f aca="false">IF(AND($AO1005="FITS BITCH",$AP1005="FITS BITCH",$AR1005="FITS BITCH"),"BULLISH","")</f>
        <v/>
      </c>
      <c r="AU1005" s="91" t="str">
        <f aca="false">IF(AND($AO1005="FITS BITCH",$AQ1005="FITS BITCH",$AS1005="FITS BITCH"),"BEARISH","")</f>
        <v/>
      </c>
      <c r="AV1005" s="86"/>
      <c r="AW1005" s="86"/>
      <c r="AX1005" s="86"/>
    </row>
    <row r="1006" customFormat="false" ht="15.75" hidden="false" customHeight="false" outlineLevel="0" collapsed="false">
      <c r="AE1006" s="90" t="n">
        <f aca="false">Data!A1001</f>
        <v>41516</v>
      </c>
      <c r="AF1006" s="17" t="n">
        <f aca="false">Data!B1001</f>
        <v>70.29</v>
      </c>
      <c r="AG1006" s="17" t="n">
        <f aca="false">Data!F1001</f>
        <v>68100788</v>
      </c>
      <c r="AH1006" s="17" t="n">
        <f aca="false">Data!C1001</f>
        <v>70.42</v>
      </c>
      <c r="AI1006" s="17" t="n">
        <f aca="false">Data!D1001</f>
        <v>69.5</v>
      </c>
      <c r="AJ1006" s="17" t="n">
        <f aca="false">Data!E1001</f>
        <v>69.6</v>
      </c>
      <c r="AK1006" s="17" t="n">
        <f aca="false">Data!F1001</f>
        <v>68100788</v>
      </c>
      <c r="AL1006" s="17" t="n">
        <f aca="false">AJ1006</f>
        <v>69.6</v>
      </c>
      <c r="AM1006" s="17" t="n">
        <f aca="false">(AL1006-AL1005)/AL1006*100</f>
        <v>-0.287356321839085</v>
      </c>
      <c r="AN1006" s="17" t="n">
        <f aca="false">(AK1006-AK1005)/AK1006*100</f>
        <v>-21.9151326119751</v>
      </c>
      <c r="AO1006" s="17" t="str">
        <f aca="false">IF(AN1006&lt;-8,"FITS BITCH",IF(AN1006&gt;-8,"no"))</f>
        <v>FITS BITCH</v>
      </c>
      <c r="AP1006" s="17" t="str">
        <f aca="false">IF(AH1007&lt;AH1006,"FITS BITCH",IF(AH1007&gt;AH1006,"no"))</f>
        <v>no</v>
      </c>
      <c r="AQ1006" s="17" t="str">
        <f aca="false">IF(AI1007&lt;AI1006,"FITS BITCH",IF(AI1007&gt;AI1006,"no"))</f>
        <v>no</v>
      </c>
      <c r="AR1006" s="17" t="str">
        <f aca="false">IF(AJ1006&lt;AH1007,"FITS BITCH",IF(AJ1006&gt;AH1007,"no"))</f>
        <v>FITS BITCH</v>
      </c>
      <c r="AS1006" s="17" t="str">
        <f aca="false">IF(AJ1006&gt;AJ1007,"FITS BITCH",IF(AJ1006&lt;AJ1007,"no"))</f>
        <v>no</v>
      </c>
      <c r="AT1006" s="91" t="str">
        <f aca="false">IF(AND($AO1006="FITS BITCH",$AP1006="FITS BITCH",$AR1006="FITS BITCH"),"BULLISH","")</f>
        <v/>
      </c>
      <c r="AU1006" s="91" t="str">
        <f aca="false">IF(AND($AO1006="FITS BITCH",$AQ1006="FITS BITCH",$AS1006="FITS BITCH"),"BEARISH","")</f>
        <v/>
      </c>
      <c r="AV1006" s="86"/>
      <c r="AW1006" s="86"/>
      <c r="AX1006" s="86"/>
    </row>
    <row r="1007" customFormat="false" ht="15.75" hidden="false" customHeight="false" outlineLevel="0" collapsed="false">
      <c r="AE1007" s="90" t="n">
        <f aca="false">Data!A1002</f>
        <v>41515</v>
      </c>
      <c r="AF1007" s="17" t="n">
        <f aca="false">Data!B1002</f>
        <v>70.24</v>
      </c>
      <c r="AG1007" s="17" t="n">
        <f aca="false">Data!F1002</f>
        <v>59913714</v>
      </c>
      <c r="AH1007" s="17" t="n">
        <f aca="false">Data!C1002</f>
        <v>70.93</v>
      </c>
      <c r="AI1007" s="17" t="n">
        <f aca="false">Data!D1002</f>
        <v>70.16</v>
      </c>
      <c r="AJ1007" s="17" t="n">
        <f aca="false">Data!E1002</f>
        <v>70.24</v>
      </c>
      <c r="AK1007" s="17" t="n">
        <f aca="false">Data!F1002</f>
        <v>59913714</v>
      </c>
      <c r="AL1007" s="17" t="n">
        <f aca="false">AJ1007</f>
        <v>70.24</v>
      </c>
      <c r="AM1007" s="17" t="n">
        <f aca="false">(AL1007-AL1006)/AL1007*100</f>
        <v>0.91116173120729</v>
      </c>
      <c r="AN1007" s="17" t="n">
        <f aca="false">(AK1007-AK1006)/AK1007*100</f>
        <v>-13.6647746457514</v>
      </c>
      <c r="AO1007" s="17" t="str">
        <f aca="false">IF(AN1007&lt;-8,"FITS BITCH",IF(AN1007&gt;-8,"no"))</f>
        <v>FITS BITCH</v>
      </c>
      <c r="AP1007" s="17" t="str">
        <f aca="false">IF(AH1008&lt;AH1007,"FITS BITCH",IF(AH1008&gt;AH1007,"no"))</f>
        <v>FITS BITCH</v>
      </c>
      <c r="AQ1007" s="17" t="str">
        <f aca="false">IF(AI1008&lt;AI1007,"FITS BITCH",IF(AI1008&gt;AI1007,"no"))</f>
        <v>FITS BITCH</v>
      </c>
      <c r="AR1007" s="17" t="str">
        <f aca="false">IF(AJ1007&lt;AH1008,"FITS BITCH",IF(AJ1007&gt;AH1008,"no"))</f>
        <v>FITS BITCH</v>
      </c>
      <c r="AS1007" s="17" t="str">
        <f aca="false">IF(AJ1007&gt;AJ1008,"FITS BITCH",IF(AJ1007&lt;AJ1008,"no"))</f>
        <v>FITS BITCH</v>
      </c>
      <c r="AT1007" s="91" t="str">
        <f aca="false">IF(AND($AO1007="FITS BITCH",$AP1007="FITS BITCH",$AR1007="FITS BITCH"),"BULLISH","")</f>
        <v>BULLISH</v>
      </c>
      <c r="AU1007" s="91" t="str">
        <f aca="false">IF(AND($AO1007="FITS BITCH",$AQ1007="FITS BITCH",$AS1007="FITS BITCH"),"BEARISH","")</f>
        <v>BEARISH</v>
      </c>
      <c r="AV1007" s="86"/>
      <c r="AW1007" s="86"/>
      <c r="AX1007" s="86"/>
    </row>
    <row r="1008" customFormat="false" ht="15.75" hidden="false" customHeight="false" outlineLevel="0" collapsed="false">
      <c r="AE1008" s="90" t="n">
        <f aca="false">Data!A1003</f>
        <v>41514</v>
      </c>
      <c r="AF1008" s="17" t="n">
        <f aca="false">Data!B1003</f>
        <v>69.43</v>
      </c>
      <c r="AG1008" s="17" t="n">
        <f aca="false">Data!F1003</f>
        <v>76901678</v>
      </c>
      <c r="AH1008" s="17" t="n">
        <f aca="false">Data!C1003</f>
        <v>70.83</v>
      </c>
      <c r="AI1008" s="17" t="n">
        <f aca="false">Data!D1003</f>
        <v>69.43</v>
      </c>
      <c r="AJ1008" s="17" t="n">
        <f aca="false">Data!E1003</f>
        <v>70.13</v>
      </c>
      <c r="AK1008" s="17" t="n">
        <f aca="false">Data!F1003</f>
        <v>76901678</v>
      </c>
      <c r="AL1008" s="17" t="n">
        <f aca="false">AJ1008</f>
        <v>70.13</v>
      </c>
      <c r="AM1008" s="17" t="n">
        <f aca="false">(AL1008-AL1007)/AL1008*100</f>
        <v>-0.156851561385997</v>
      </c>
      <c r="AN1008" s="17" t="n">
        <f aca="false">(AK1008-AK1007)/AK1008*100</f>
        <v>22.0904984674067</v>
      </c>
      <c r="AO1008" s="17" t="str">
        <f aca="false">IF(AN1008&lt;-8,"FITS BITCH",IF(AN1008&gt;-8,"no"))</f>
        <v>no</v>
      </c>
      <c r="AP1008" s="17" t="str">
        <f aca="false">IF(AH1009&lt;AH1008,"FITS BITCH",IF(AH1009&gt;AH1008,"no"))</f>
        <v>no</v>
      </c>
      <c r="AQ1008" s="17" t="str">
        <f aca="false">IF(AI1009&lt;AI1008,"FITS BITCH",IF(AI1009&gt;AI1008,"no"))</f>
        <v>no</v>
      </c>
      <c r="AR1008" s="17" t="str">
        <f aca="false">IF(AJ1008&lt;AH1009,"FITS BITCH",IF(AJ1008&gt;AH1009,"no"))</f>
        <v>FITS BITCH</v>
      </c>
      <c r="AS1008" s="17" t="str">
        <f aca="false">IF(AJ1008&gt;AJ1009,"FITS BITCH",IF(AJ1008&lt;AJ1009,"no"))</f>
        <v>FITS BITCH</v>
      </c>
      <c r="AT1008" s="91" t="str">
        <f aca="false">IF(AND($AO1008="FITS BITCH",$AP1008="FITS BITCH",$AR1008="FITS BITCH"),"BULLISH","")</f>
        <v/>
      </c>
      <c r="AU1008" s="91" t="str">
        <f aca="false">IF(AND($AO1008="FITS BITCH",$AQ1008="FITS BITCH",$AS1008="FITS BITCH"),"BEARISH","")</f>
        <v/>
      </c>
      <c r="AV1008" s="86"/>
      <c r="AW1008" s="86"/>
      <c r="AX1008" s="86"/>
    </row>
    <row r="1009" customFormat="false" ht="15.75" hidden="false" customHeight="false" outlineLevel="0" collapsed="false">
      <c r="AE1009" s="90" t="n">
        <f aca="false">Data!A1004</f>
        <v>41513</v>
      </c>
      <c r="AF1009" s="17" t="n">
        <f aca="false">Data!B1004</f>
        <v>71.14</v>
      </c>
      <c r="AG1009" s="17" t="n">
        <f aca="false">Data!F1004</f>
        <v>106047109</v>
      </c>
      <c r="AH1009" s="17" t="n">
        <f aca="false">Data!C1004</f>
        <v>71.79</v>
      </c>
      <c r="AI1009" s="17" t="n">
        <f aca="false">Data!D1004</f>
        <v>69.47</v>
      </c>
      <c r="AJ1009" s="17" t="n">
        <f aca="false">Data!E1004</f>
        <v>69.8</v>
      </c>
      <c r="AK1009" s="17" t="n">
        <f aca="false">Data!F1004</f>
        <v>106047109</v>
      </c>
      <c r="AL1009" s="17" t="n">
        <f aca="false">AJ1009</f>
        <v>69.8</v>
      </c>
      <c r="AM1009" s="17" t="n">
        <f aca="false">(AL1009-AL1008)/AL1009*100</f>
        <v>-0.472779369627505</v>
      </c>
      <c r="AN1009" s="17" t="n">
        <f aca="false">(AK1009-AK1008)/AK1009*100</f>
        <v>27.4834752920987</v>
      </c>
      <c r="AO1009" s="17" t="str">
        <f aca="false">IF(AN1009&lt;-8,"FITS BITCH",IF(AN1009&gt;-8,"no"))</f>
        <v>no</v>
      </c>
      <c r="AP1009" s="17" t="str">
        <f aca="false">IF(AH1010&lt;AH1009,"FITS BITCH",IF(AH1010&gt;AH1009,"no"))</f>
        <v>no</v>
      </c>
      <c r="AQ1009" s="17" t="str">
        <f aca="false">IF(AI1010&lt;AI1009,"FITS BITCH",IF(AI1010&gt;AI1009,"no"))</f>
        <v>no</v>
      </c>
      <c r="AR1009" s="17" t="str">
        <f aca="false">IF(AJ1009&lt;AH1010,"FITS BITCH",IF(AJ1009&gt;AH1010,"no"))</f>
        <v>FITS BITCH</v>
      </c>
      <c r="AS1009" s="17" t="str">
        <f aca="false">IF(AJ1009&gt;AJ1010,"FITS BITCH",IF(AJ1009&lt;AJ1010,"no"))</f>
        <v>no</v>
      </c>
      <c r="AT1009" s="91" t="str">
        <f aca="false">IF(AND($AO1009="FITS BITCH",$AP1009="FITS BITCH",$AR1009="FITS BITCH"),"BULLISH","")</f>
        <v/>
      </c>
      <c r="AU1009" s="91" t="str">
        <f aca="false">IF(AND($AO1009="FITS BITCH",$AQ1009="FITS BITCH",$AS1009="FITS BITCH"),"BEARISH","")</f>
        <v/>
      </c>
      <c r="AV1009" s="86"/>
      <c r="AW1009" s="86"/>
      <c r="AX1009" s="86"/>
    </row>
    <row r="1010" customFormat="false" ht="15.75" hidden="false" customHeight="false" outlineLevel="0" collapsed="false">
      <c r="AE1010" s="90" t="n">
        <f aca="false">Data!A1005</f>
        <v>41512</v>
      </c>
      <c r="AF1010" s="17" t="n">
        <f aca="false">Data!B1005</f>
        <v>71.54</v>
      </c>
      <c r="AG1010" s="17" t="n">
        <f aca="false">Data!F1005</f>
        <v>82741050</v>
      </c>
      <c r="AH1010" s="17" t="n">
        <f aca="false">Data!C1005</f>
        <v>72.89</v>
      </c>
      <c r="AI1010" s="17" t="n">
        <f aca="false">Data!D1005</f>
        <v>71.5</v>
      </c>
      <c r="AJ1010" s="17" t="n">
        <f aca="false">Data!E1005</f>
        <v>71.85</v>
      </c>
      <c r="AK1010" s="17" t="n">
        <f aca="false">Data!F1005</f>
        <v>82741050</v>
      </c>
      <c r="AL1010" s="17" t="n">
        <f aca="false">AJ1010</f>
        <v>71.85</v>
      </c>
      <c r="AM1010" s="17" t="n">
        <f aca="false">(AL1010-AL1009)/AL1010*100</f>
        <v>2.85316631871955</v>
      </c>
      <c r="AN1010" s="17" t="n">
        <f aca="false">(AK1010-AK1009)/AK1010*100</f>
        <v>-28.1674682639391</v>
      </c>
      <c r="AO1010" s="17" t="str">
        <f aca="false">IF(AN1010&lt;-8,"FITS BITCH",IF(AN1010&gt;-8,"no"))</f>
        <v>FITS BITCH</v>
      </c>
      <c r="AP1010" s="17" t="str">
        <f aca="false">IF(AH1011&lt;AH1010,"FITS BITCH",IF(AH1011&gt;AH1010,"no"))</f>
        <v>FITS BITCH</v>
      </c>
      <c r="AQ1010" s="17" t="str">
        <f aca="false">IF(AI1011&lt;AI1010,"FITS BITCH",IF(AI1011&gt;AI1010,"no"))</f>
        <v>FITS BITCH</v>
      </c>
      <c r="AR1010" s="17" t="str">
        <f aca="false">IF(AJ1010&lt;AH1011,"FITS BITCH",IF(AJ1010&gt;AH1011,"no"))</f>
        <v>FITS BITCH</v>
      </c>
      <c r="AS1010" s="17" t="str">
        <f aca="false">IF(AJ1010&gt;AJ1011,"FITS BITCH",IF(AJ1010&lt;AJ1011,"no"))</f>
        <v>FITS BITCH</v>
      </c>
      <c r="AT1010" s="91" t="str">
        <f aca="false">IF(AND($AO1010="FITS BITCH",$AP1010="FITS BITCH",$AR1010="FITS BITCH"),"BULLISH","")</f>
        <v>BULLISH</v>
      </c>
      <c r="AU1010" s="91" t="str">
        <f aca="false">IF(AND($AO1010="FITS BITCH",$AQ1010="FITS BITCH",$AS1010="FITS BITCH"),"BEARISH","")</f>
        <v>BEARISH</v>
      </c>
      <c r="AV1010" s="86"/>
      <c r="AW1010" s="86"/>
      <c r="AX1010" s="86"/>
    </row>
    <row r="1011" customFormat="false" ht="15.75" hidden="false" customHeight="false" outlineLevel="0" collapsed="false">
      <c r="AE1011" s="90" t="n">
        <f aca="false">Data!A1006</f>
        <v>41509</v>
      </c>
      <c r="AF1011" s="17" t="n">
        <f aca="false">Data!B1006</f>
        <v>71.9</v>
      </c>
      <c r="AG1011" s="17" t="n">
        <f aca="false">Data!F1006</f>
        <v>55682221</v>
      </c>
      <c r="AH1011" s="17" t="n">
        <f aca="false">Data!C1006</f>
        <v>71.91</v>
      </c>
      <c r="AI1011" s="17" t="n">
        <f aca="false">Data!D1006</f>
        <v>71.34</v>
      </c>
      <c r="AJ1011" s="17" t="n">
        <f aca="false">Data!E1006</f>
        <v>71.57</v>
      </c>
      <c r="AK1011" s="17" t="n">
        <f aca="false">Data!F1006</f>
        <v>55682221</v>
      </c>
      <c r="AL1011" s="17" t="n">
        <f aca="false">AJ1011</f>
        <v>71.57</v>
      </c>
      <c r="AM1011" s="17" t="n">
        <f aca="false">(AL1011-AL1010)/AL1011*100</f>
        <v>-0.391225373759957</v>
      </c>
      <c r="AN1011" s="17" t="n">
        <f aca="false">(AK1011-AK1010)/AK1011*100</f>
        <v>-48.595096449188</v>
      </c>
      <c r="AO1011" s="17" t="str">
        <f aca="false">IF(AN1011&lt;-8,"FITS BITCH",IF(AN1011&gt;-8,"no"))</f>
        <v>FITS BITCH</v>
      </c>
      <c r="AP1011" s="17" t="str">
        <f aca="false">IF(AH1012&lt;AH1011,"FITS BITCH",IF(AH1012&gt;AH1011,"no"))</f>
        <v>no</v>
      </c>
      <c r="AQ1011" s="17" t="str">
        <f aca="false">IF(AI1012&lt;AI1011,"FITS BITCH",IF(AI1012&gt;AI1011,"no"))</f>
        <v>FITS BITCH</v>
      </c>
      <c r="AR1011" s="17" t="str">
        <f aca="false">IF(AJ1011&lt;AH1012,"FITS BITCH",IF(AJ1011&gt;AH1012,"no"))</f>
        <v>FITS BITCH</v>
      </c>
      <c r="AS1011" s="17" t="str">
        <f aca="false">IF(AJ1011&gt;AJ1012,"FITS BITCH",IF(AJ1011&lt;AJ1012,"no"))</f>
        <v>no</v>
      </c>
      <c r="AT1011" s="91" t="str">
        <f aca="false">IF(AND($AO1011="FITS BITCH",$AP1011="FITS BITCH",$AR1011="FITS BITCH"),"BULLISH","")</f>
        <v/>
      </c>
      <c r="AU1011" s="91" t="str">
        <f aca="false">IF(AND($AO1011="FITS BITCH",$AQ1011="FITS BITCH",$AS1011="FITS BITCH"),"BEARISH","")</f>
        <v/>
      </c>
      <c r="AV1011" s="86"/>
      <c r="AW1011" s="86"/>
      <c r="AX1011" s="86"/>
    </row>
    <row r="1012" customFormat="false" ht="15.75" hidden="false" customHeight="false" outlineLevel="0" collapsed="false">
      <c r="AE1012" s="90" t="n">
        <f aca="false">Data!A1007</f>
        <v>41508</v>
      </c>
      <c r="AF1012" s="17" t="n">
        <f aca="false">Data!B1007</f>
        <v>72.14</v>
      </c>
      <c r="AG1012" s="17" t="n">
        <f aca="false">Data!F1007</f>
        <v>61051676</v>
      </c>
      <c r="AH1012" s="17" t="n">
        <f aca="false">Data!C1007</f>
        <v>72.23</v>
      </c>
      <c r="AI1012" s="17" t="n">
        <f aca="false">Data!D1007</f>
        <v>71.17</v>
      </c>
      <c r="AJ1012" s="17" t="n">
        <f aca="false">Data!E1007</f>
        <v>71.85</v>
      </c>
      <c r="AK1012" s="17" t="n">
        <f aca="false">Data!F1007</f>
        <v>61051676</v>
      </c>
      <c r="AL1012" s="17" t="n">
        <f aca="false">AJ1012</f>
        <v>71.85</v>
      </c>
      <c r="AM1012" s="17" t="n">
        <f aca="false">(AL1012-AL1011)/AL1012*100</f>
        <v>0.389700765483648</v>
      </c>
      <c r="AN1012" s="17" t="n">
        <f aca="false">(AK1012-AK1011)/AK1012*100</f>
        <v>8.7949346386494</v>
      </c>
      <c r="AO1012" s="17" t="str">
        <f aca="false">IF(AN1012&lt;-8,"FITS BITCH",IF(AN1012&gt;-8,"no"))</f>
        <v>no</v>
      </c>
      <c r="AP1012" s="17" t="str">
        <f aca="false">IF(AH1013&lt;AH1012,"FITS BITCH",IF(AH1013&gt;AH1012,"no"))</f>
        <v>no</v>
      </c>
      <c r="AQ1012" s="17" t="str">
        <f aca="false">IF(AI1013&lt;AI1012,"FITS BITCH",IF(AI1013&gt;AI1012,"no"))</f>
        <v>no</v>
      </c>
      <c r="AR1012" s="17" t="str">
        <f aca="false">IF(AJ1012&lt;AH1013,"FITS BITCH",IF(AJ1012&gt;AH1013,"no"))</f>
        <v>FITS BITCH</v>
      </c>
      <c r="AS1012" s="17" t="str">
        <f aca="false">IF(AJ1012&gt;AJ1013,"FITS BITCH",IF(AJ1012&lt;AJ1013,"no"))</f>
        <v>FITS BITCH</v>
      </c>
      <c r="AT1012" s="91" t="str">
        <f aca="false">IF(AND($AO1012="FITS BITCH",$AP1012="FITS BITCH",$AR1012="FITS BITCH"),"BULLISH","")</f>
        <v/>
      </c>
      <c r="AU1012" s="91" t="str">
        <f aca="false">IF(AND($AO1012="FITS BITCH",$AQ1012="FITS BITCH",$AS1012="FITS BITCH"),"BEARISH","")</f>
        <v/>
      </c>
      <c r="AV1012" s="86"/>
      <c r="AW1012" s="86"/>
      <c r="AX1012" s="86"/>
    </row>
    <row r="1013" customFormat="false" ht="15.75" hidden="false" customHeight="false" outlineLevel="0" collapsed="false">
      <c r="AE1013" s="90" t="n">
        <f aca="false">Data!A1008</f>
        <v>41507</v>
      </c>
      <c r="AF1013" s="17" t="n">
        <f aca="false">Data!B1008</f>
        <v>71.94</v>
      </c>
      <c r="AG1013" s="17" t="n">
        <f aca="false">Data!F1008</f>
        <v>83969305</v>
      </c>
      <c r="AH1013" s="17" t="n">
        <f aca="false">Data!C1008</f>
        <v>72.45</v>
      </c>
      <c r="AI1013" s="17" t="n">
        <f aca="false">Data!D1008</f>
        <v>71.6</v>
      </c>
      <c r="AJ1013" s="17" t="n">
        <f aca="false">Data!E1008</f>
        <v>71.77</v>
      </c>
      <c r="AK1013" s="17" t="n">
        <f aca="false">Data!F1008</f>
        <v>83969305</v>
      </c>
      <c r="AL1013" s="17" t="n">
        <f aca="false">AJ1013</f>
        <v>71.77</v>
      </c>
      <c r="AM1013" s="17" t="n">
        <f aca="false">(AL1013-AL1012)/AL1013*100</f>
        <v>-0.11146718684687</v>
      </c>
      <c r="AN1013" s="17" t="n">
        <f aca="false">(AK1013-AK1012)/AK1013*100</f>
        <v>27.2928649343948</v>
      </c>
      <c r="AO1013" s="17" t="str">
        <f aca="false">IF(AN1013&lt;-8,"FITS BITCH",IF(AN1013&gt;-8,"no"))</f>
        <v>no</v>
      </c>
      <c r="AP1013" s="17" t="str">
        <f aca="false">IF(AH1014&lt;AH1013,"FITS BITCH",IF(AH1014&gt;AH1013,"no"))</f>
        <v>no</v>
      </c>
      <c r="AQ1013" s="17" t="str">
        <f aca="false">IF(AI1014&lt;AI1013,"FITS BITCH",IF(AI1014&gt;AI1013,"no"))</f>
        <v>FITS BITCH</v>
      </c>
      <c r="AR1013" s="17" t="str">
        <f aca="false">IF(AJ1013&lt;AH1014,"FITS BITCH",IF(AJ1013&gt;AH1014,"no"))</f>
        <v>FITS BITCH</v>
      </c>
      <c r="AS1013" s="17" t="str">
        <f aca="false">IF(AJ1013&gt;AJ1014,"FITS BITCH",IF(AJ1013&lt;AJ1014,"no"))</f>
        <v>FITS BITCH</v>
      </c>
      <c r="AT1013" s="91" t="str">
        <f aca="false">IF(AND($AO1013="FITS BITCH",$AP1013="FITS BITCH",$AR1013="FITS BITCH"),"BULLISH","")</f>
        <v/>
      </c>
      <c r="AU1013" s="91" t="str">
        <f aca="false">IF(AND($AO1013="FITS BITCH",$AQ1013="FITS BITCH",$AS1013="FITS BITCH"),"BEARISH","")</f>
        <v/>
      </c>
      <c r="AV1013" s="86"/>
      <c r="AW1013" s="86"/>
      <c r="AX1013" s="86"/>
    </row>
    <row r="1014" customFormat="false" ht="15.75" hidden="false" customHeight="false" outlineLevel="0" collapsed="false">
      <c r="AE1014" s="90" t="n">
        <f aca="false">Data!A1009</f>
        <v>41506</v>
      </c>
      <c r="AF1014" s="17" t="n">
        <f aca="false">Data!B1009</f>
        <v>72.82</v>
      </c>
      <c r="AG1014" s="17" t="n">
        <f aca="false">Data!F1009</f>
        <v>89671743</v>
      </c>
      <c r="AH1014" s="17" t="n">
        <f aca="false">Data!C1009</f>
        <v>72.94</v>
      </c>
      <c r="AI1014" s="17" t="n">
        <f aca="false">Data!D1009</f>
        <v>71.55</v>
      </c>
      <c r="AJ1014" s="17" t="n">
        <f aca="false">Data!E1009</f>
        <v>71.58</v>
      </c>
      <c r="AK1014" s="17" t="n">
        <f aca="false">Data!F1009</f>
        <v>89671743</v>
      </c>
      <c r="AL1014" s="17" t="n">
        <f aca="false">AJ1014</f>
        <v>71.58</v>
      </c>
      <c r="AM1014" s="17" t="n">
        <f aca="false">(AL1014-AL1013)/AL1014*100</f>
        <v>-0.265437272981276</v>
      </c>
      <c r="AN1014" s="17" t="n">
        <f aca="false">(AK1014-AK1013)/AK1014*100</f>
        <v>6.35923626465028</v>
      </c>
      <c r="AO1014" s="17" t="str">
        <f aca="false">IF(AN1014&lt;-8,"FITS BITCH",IF(AN1014&gt;-8,"no"))</f>
        <v>no</v>
      </c>
      <c r="AP1014" s="17" t="str">
        <f aca="false">IF(AH1015&lt;AH1014,"FITS BITCH",IF(AH1015&gt;AH1014,"no"))</f>
        <v>no</v>
      </c>
      <c r="AQ1014" s="17" t="str">
        <f aca="false">IF(AI1015&lt;AI1014,"FITS BITCH",IF(AI1015&gt;AI1014,"no"))</f>
        <v>no</v>
      </c>
      <c r="AR1014" s="17" t="str">
        <f aca="false">IF(AJ1014&lt;AH1015,"FITS BITCH",IF(AJ1014&gt;AH1015,"no"))</f>
        <v>FITS BITCH</v>
      </c>
      <c r="AS1014" s="17" t="str">
        <f aca="false">IF(AJ1014&gt;AJ1015,"FITS BITCH",IF(AJ1014&lt;AJ1015,"no"))</f>
        <v>no</v>
      </c>
      <c r="AT1014" s="91" t="str">
        <f aca="false">IF(AND($AO1014="FITS BITCH",$AP1014="FITS BITCH",$AR1014="FITS BITCH"),"BULLISH","")</f>
        <v/>
      </c>
      <c r="AU1014" s="91" t="str">
        <f aca="false">IF(AND($AO1014="FITS BITCH",$AQ1014="FITS BITCH",$AS1014="FITS BITCH"),"BEARISH","")</f>
        <v/>
      </c>
    </row>
    <row r="1015" customFormat="false" ht="15.75" hidden="false" customHeight="false" outlineLevel="0" collapsed="false">
      <c r="AE1015" s="90" t="n">
        <f aca="false">Data!A1010</f>
        <v>41505</v>
      </c>
      <c r="AF1015" s="17" t="n">
        <f aca="false">Data!B1010</f>
        <v>72.05</v>
      </c>
      <c r="AG1015" s="17" t="n">
        <f aca="false">Data!F1010</f>
        <v>127629481</v>
      </c>
      <c r="AH1015" s="17" t="n">
        <f aca="false">Data!C1010</f>
        <v>73.39</v>
      </c>
      <c r="AI1015" s="17" t="n">
        <f aca="false">Data!D1010</f>
        <v>72</v>
      </c>
      <c r="AJ1015" s="17" t="n">
        <f aca="false">Data!E1010</f>
        <v>72.53</v>
      </c>
      <c r="AK1015" s="17" t="n">
        <f aca="false">Data!F1010</f>
        <v>127629481</v>
      </c>
      <c r="AL1015" s="17" t="n">
        <f aca="false">AJ1015</f>
        <v>72.53</v>
      </c>
      <c r="AM1015" s="17" t="n">
        <f aca="false">(AL1015-AL1014)/AL1015*100</f>
        <v>1.30980284020406</v>
      </c>
      <c r="AN1015" s="17" t="n">
        <f aca="false">(AK1015-AK1014)/AK1015*100</f>
        <v>29.740572242866</v>
      </c>
      <c r="AO1015" s="17" t="str">
        <f aca="false">IF(AN1015&lt;-8,"FITS BITCH",IF(AN1015&gt;-8,"no"))</f>
        <v>no</v>
      </c>
      <c r="AP1015" s="17" t="str">
        <f aca="false">IF(AH1016&lt;AH1015,"FITS BITCH",IF(AH1016&gt;AH1015,"no"))</f>
        <v>FITS BITCH</v>
      </c>
      <c r="AQ1015" s="17" t="str">
        <f aca="false">IF(AI1016&lt;AI1015,"FITS BITCH",IF(AI1016&gt;AI1015,"no"))</f>
        <v>FITS BITCH</v>
      </c>
      <c r="AR1015" s="17" t="str">
        <f aca="false">IF(AJ1015&lt;AH1016,"FITS BITCH",IF(AJ1015&gt;AH1016,"no"))</f>
        <v>no</v>
      </c>
      <c r="AS1015" s="17" t="str">
        <f aca="false">IF(AJ1015&gt;AJ1016,"FITS BITCH",IF(AJ1015&lt;AJ1016,"no"))</f>
        <v>FITS BITCH</v>
      </c>
      <c r="AT1015" s="91" t="str">
        <f aca="false">IF(AND($AO1015="FITS BITCH",$AP1015="FITS BITCH",$AR1015="FITS BITCH"),"BULLISH","")</f>
        <v/>
      </c>
      <c r="AU1015" s="91" t="str">
        <f aca="false">IF(AND($AO1015="FITS BITCH",$AQ1015="FITS BITCH",$AS1015="FITS BITCH"),"BEARISH","")</f>
        <v/>
      </c>
    </row>
    <row r="1016" customFormat="false" ht="15.75" hidden="false" customHeight="false" outlineLevel="0" collapsed="false">
      <c r="AE1016" s="90" t="n">
        <f aca="false">Data!A1011</f>
        <v>41502</v>
      </c>
      <c r="AF1016" s="17" t="n">
        <f aca="false">Data!B1011</f>
        <v>71.45</v>
      </c>
      <c r="AG1016" s="17" t="n">
        <f aca="false">Data!F1011</f>
        <v>90575856</v>
      </c>
      <c r="AH1016" s="17" t="n">
        <f aca="false">Data!C1011</f>
        <v>71.85</v>
      </c>
      <c r="AI1016" s="17" t="n">
        <f aca="false">Data!D1011</f>
        <v>71.27</v>
      </c>
      <c r="AJ1016" s="17" t="n">
        <f aca="false">Data!E1011</f>
        <v>71.76</v>
      </c>
      <c r="AK1016" s="17" t="n">
        <f aca="false">Data!F1011</f>
        <v>90575856</v>
      </c>
      <c r="AL1016" s="17" t="n">
        <f aca="false">AJ1016</f>
        <v>71.76</v>
      </c>
      <c r="AM1016" s="17" t="n">
        <f aca="false">(AL1016-AL1015)/AL1016*100</f>
        <v>-1.07302118171683</v>
      </c>
      <c r="AN1016" s="17" t="n">
        <f aca="false">(AK1016-AK1015)/AK1016*100</f>
        <v>-40.9089426656923</v>
      </c>
      <c r="AO1016" s="17" t="str">
        <f aca="false">IF(AN1016&lt;-8,"FITS BITCH",IF(AN1016&gt;-8,"no"))</f>
        <v>FITS BITCH</v>
      </c>
      <c r="AP1016" s="17" t="str">
        <f aca="false">IF(AH1017&lt;AH1016,"FITS BITCH",IF(AH1017&gt;AH1016,"no"))</f>
        <v>FITS BITCH</v>
      </c>
      <c r="AQ1016" s="17" t="str">
        <f aca="false">IF(AI1017&lt;AI1016,"FITS BITCH",IF(AI1017&gt;AI1016,"no"))</f>
        <v>FITS BITCH</v>
      </c>
      <c r="AR1016" s="17" t="str">
        <f aca="false">IF(AJ1016&lt;AH1017,"FITS BITCH",IF(AJ1016&gt;AH1017,"no"))</f>
        <v>FITS BITCH</v>
      </c>
      <c r="AS1016" s="17" t="str">
        <f aca="false">IF(AJ1016&gt;AJ1017,"FITS BITCH",IF(AJ1016&lt;AJ1017,"no"))</f>
        <v>FITS BITCH</v>
      </c>
      <c r="AT1016" s="91" t="str">
        <f aca="false">IF(AND($AO1016="FITS BITCH",$AP1016="FITS BITCH",$AR1016="FITS BITCH"),"BULLISH","")</f>
        <v>BULLISH</v>
      </c>
      <c r="AU1016" s="91" t="str">
        <f aca="false">IF(AND($AO1016="FITS BITCH",$AQ1016="FITS BITCH",$AS1016="FITS BITCH"),"BEARISH","")</f>
        <v>BEARISH</v>
      </c>
    </row>
    <row r="1017" customFormat="false" ht="15.75" hidden="false" customHeight="false" outlineLevel="0" collapsed="false">
      <c r="AE1017" s="90" t="n">
        <f aca="false">Data!A1012</f>
        <v>41501</v>
      </c>
      <c r="AF1017" s="17" t="n">
        <f aca="false">Data!B1012</f>
        <v>70.92</v>
      </c>
      <c r="AG1017" s="17" t="n">
        <f aca="false">Data!F1012</f>
        <v>122573507</v>
      </c>
      <c r="AH1017" s="17" t="n">
        <f aca="false">Data!C1012</f>
        <v>71.77</v>
      </c>
      <c r="AI1017" s="17" t="n">
        <f aca="false">Data!D1012</f>
        <v>69.87</v>
      </c>
      <c r="AJ1017" s="17" t="n">
        <f aca="false">Data!E1012</f>
        <v>71.13</v>
      </c>
      <c r="AK1017" s="17" t="n">
        <f aca="false">Data!F1012</f>
        <v>122573507</v>
      </c>
      <c r="AL1017" s="17" t="n">
        <f aca="false">AJ1017</f>
        <v>71.13</v>
      </c>
      <c r="AM1017" s="17" t="n">
        <f aca="false">(AL1017-AL1016)/AL1017*100</f>
        <v>-0.88570223534375</v>
      </c>
      <c r="AN1017" s="17" t="n">
        <f aca="false">(AK1017-AK1016)/AK1017*100</f>
        <v>26.1048670166547</v>
      </c>
      <c r="AO1017" s="17" t="str">
        <f aca="false">IF(AN1017&lt;-8,"FITS BITCH",IF(AN1017&gt;-8,"no"))</f>
        <v>no</v>
      </c>
      <c r="AP1017" s="17" t="str">
        <f aca="false">IF(AH1018&lt;AH1017,"FITS BITCH",IF(AH1018&gt;AH1017,"no"))</f>
        <v>no</v>
      </c>
      <c r="AQ1017" s="17" t="str">
        <f aca="false">IF(AI1018&lt;AI1017,"FITS BITCH",IF(AI1018&gt;AI1017,"no"))</f>
        <v>no</v>
      </c>
      <c r="AR1017" s="17" t="str">
        <f aca="false">IF(AJ1017&lt;AH1018,"FITS BITCH",IF(AJ1017&gt;AH1018,"no"))</f>
        <v>FITS BITCH</v>
      </c>
      <c r="AS1017" s="17" t="str">
        <f aca="false">IF(AJ1017&gt;AJ1018,"FITS BITCH",IF(AJ1017&lt;AJ1018,"no"))</f>
        <v>no</v>
      </c>
      <c r="AT1017" s="91" t="str">
        <f aca="false">IF(AND($AO1017="FITS BITCH",$AP1017="FITS BITCH",$AR1017="FITS BITCH"),"BULLISH","")</f>
        <v/>
      </c>
      <c r="AU1017" s="91" t="str">
        <f aca="false">IF(AND($AO1017="FITS BITCH",$AQ1017="FITS BITCH",$AS1017="FITS BITCH"),"BEARISH","")</f>
        <v/>
      </c>
    </row>
    <row r="1018" customFormat="false" ht="15.75" hidden="false" customHeight="false" outlineLevel="0" collapsed="false">
      <c r="AE1018" s="90" t="n">
        <f aca="false">Data!A1013</f>
        <v>41500</v>
      </c>
      <c r="AF1018" s="17" t="n">
        <f aca="false">Data!B1013</f>
        <v>71.13</v>
      </c>
      <c r="AG1018" s="17" t="n">
        <f aca="false">Data!F1013</f>
        <v>189092911</v>
      </c>
      <c r="AH1018" s="17" t="n">
        <f aca="false">Data!C1013</f>
        <v>72.04</v>
      </c>
      <c r="AI1018" s="17" t="n">
        <f aca="false">Data!D1013</f>
        <v>70.49</v>
      </c>
      <c r="AJ1018" s="17" t="n">
        <f aca="false">Data!E1013</f>
        <v>71.21</v>
      </c>
      <c r="AK1018" s="17" t="n">
        <f aca="false">Data!F1013</f>
        <v>189092911</v>
      </c>
      <c r="AL1018" s="17" t="n">
        <f aca="false">AJ1018</f>
        <v>71.21</v>
      </c>
      <c r="AM1018" s="17" t="n">
        <f aca="false">(AL1018-AL1017)/AL1018*100</f>
        <v>0.112343771942141</v>
      </c>
      <c r="AN1018" s="17" t="n">
        <f aca="false">(AK1018-AK1017)/AK1018*100</f>
        <v>35.1781585296976</v>
      </c>
      <c r="AO1018" s="17" t="str">
        <f aca="false">IF(AN1018&lt;-8,"FITS BITCH",IF(AN1018&gt;-8,"no"))</f>
        <v>no</v>
      </c>
      <c r="AP1018" s="17" t="str">
        <f aca="false">IF(AH1019&lt;AH1018,"FITS BITCH",IF(AH1019&gt;AH1018,"no"))</f>
        <v>FITS BITCH</v>
      </c>
      <c r="AQ1018" s="17" t="str">
        <f aca="false">IF(AI1019&lt;AI1018,"FITS BITCH",IF(AI1019&gt;AI1018,"no"))</f>
        <v>FITS BITCH</v>
      </c>
      <c r="AR1018" s="17" t="str">
        <f aca="false">IF(AJ1018&lt;AH1019,"FITS BITCH",IF(AJ1018&gt;AH1019,"no"))</f>
        <v>no</v>
      </c>
      <c r="AS1018" s="17" t="str">
        <f aca="false">IF(AJ1018&gt;AJ1019,"FITS BITCH",IF(AJ1018&lt;AJ1019,"no"))</f>
        <v>FITS BITCH</v>
      </c>
      <c r="AT1018" s="91" t="str">
        <f aca="false">IF(AND($AO1018="FITS BITCH",$AP1018="FITS BITCH",$AR1018="FITS BITCH"),"BULLISH","")</f>
        <v/>
      </c>
      <c r="AU1018" s="91" t="str">
        <f aca="false">IF(AND($AO1018="FITS BITCH",$AQ1018="FITS BITCH",$AS1018="FITS BITCH"),"BEARISH","")</f>
        <v/>
      </c>
    </row>
    <row r="1019" customFormat="false" ht="15.75" hidden="false" customHeight="false" outlineLevel="0" collapsed="false">
      <c r="AE1019" s="90" t="n">
        <f aca="false">Data!A1014</f>
        <v>41499</v>
      </c>
      <c r="AF1019" s="17" t="n">
        <f aca="false">Data!B1014</f>
        <v>67.28</v>
      </c>
      <c r="AG1019" s="17" t="n">
        <f aca="false">Data!F1014</f>
        <v>220484936</v>
      </c>
      <c r="AH1019" s="17" t="n">
        <f aca="false">Data!C1014</f>
        <v>70.67</v>
      </c>
      <c r="AI1019" s="17" t="n">
        <f aca="false">Data!D1014</f>
        <v>66.86</v>
      </c>
      <c r="AJ1019" s="17" t="n">
        <f aca="false">Data!E1014</f>
        <v>69.94</v>
      </c>
      <c r="AK1019" s="17" t="n">
        <f aca="false">Data!F1014</f>
        <v>220484936</v>
      </c>
      <c r="AL1019" s="17" t="n">
        <f aca="false">AJ1019</f>
        <v>69.94</v>
      </c>
      <c r="AM1019" s="17" t="n">
        <f aca="false">(AL1019-AL1018)/AL1019*100</f>
        <v>-1.81584215041464</v>
      </c>
      <c r="AN1019" s="17" t="n">
        <f aca="false">(AK1019-AK1018)/AK1019*100</f>
        <v>14.2377187165295</v>
      </c>
      <c r="AO1019" s="17" t="str">
        <f aca="false">IF(AN1019&lt;-8,"FITS BITCH",IF(AN1019&gt;-8,"no"))</f>
        <v>no</v>
      </c>
      <c r="AP1019" s="17" t="str">
        <f aca="false">IF(AH1020&lt;AH1019,"FITS BITCH",IF(AH1020&gt;AH1019,"no"))</f>
        <v>FITS BITCH</v>
      </c>
      <c r="AQ1019" s="17" t="str">
        <f aca="false">IF(AI1020&lt;AI1019,"FITS BITCH",IF(AI1020&gt;AI1019,"no"))</f>
        <v>FITS BITCH</v>
      </c>
      <c r="AR1019" s="17" t="str">
        <f aca="false">IF(AJ1019&lt;AH1020,"FITS BITCH",IF(AJ1019&gt;AH1020,"no"))</f>
        <v>no</v>
      </c>
      <c r="AS1019" s="17" t="str">
        <f aca="false">IF(AJ1019&gt;AJ1020,"FITS BITCH",IF(AJ1019&lt;AJ1020,"no"))</f>
        <v>FITS BITCH</v>
      </c>
      <c r="AT1019" s="91" t="str">
        <f aca="false">IF(AND($AO1019="FITS BITCH",$AP1019="FITS BITCH",$AR1019="FITS BITCH"),"BULLISH","")</f>
        <v/>
      </c>
      <c r="AU1019" s="91" t="str">
        <f aca="false">IF(AND($AO1019="FITS BITCH",$AQ1019="FITS BITCH",$AS1019="FITS BITCH"),"BEARISH","")</f>
        <v/>
      </c>
    </row>
    <row r="1020" customFormat="false" ht="15.75" hidden="false" customHeight="false" outlineLevel="0" collapsed="false">
      <c r="AE1020" s="90" t="n">
        <f aca="false">Data!A1015</f>
        <v>41498</v>
      </c>
      <c r="AF1020" s="17" t="n">
        <f aca="false">Data!B1015</f>
        <v>65.27</v>
      </c>
      <c r="AG1020" s="17" t="n">
        <f aca="false">Data!F1015</f>
        <v>91108290</v>
      </c>
      <c r="AH1020" s="17" t="n">
        <f aca="false">Data!C1015</f>
        <v>66.95</v>
      </c>
      <c r="AI1020" s="17" t="n">
        <f aca="false">Data!D1015</f>
        <v>65.23</v>
      </c>
      <c r="AJ1020" s="17" t="n">
        <f aca="false">Data!E1015</f>
        <v>66.77</v>
      </c>
      <c r="AK1020" s="17" t="n">
        <f aca="false">Data!F1015</f>
        <v>91108290</v>
      </c>
      <c r="AL1020" s="17" t="n">
        <f aca="false">AJ1020</f>
        <v>66.77</v>
      </c>
      <c r="AM1020" s="17" t="n">
        <f aca="false">(AL1020-AL1019)/AL1020*100</f>
        <v>-4.74764115620788</v>
      </c>
      <c r="AN1020" s="17" t="n">
        <f aca="false">(AK1020-AK1019)/AK1020*100</f>
        <v>-142.003154707437</v>
      </c>
      <c r="AO1020" s="17" t="str">
        <f aca="false">IF(AN1020&lt;-8,"FITS BITCH",IF(AN1020&gt;-8,"no"))</f>
        <v>FITS BITCH</v>
      </c>
      <c r="AP1020" s="17" t="str">
        <f aca="false">IF(AH1021&lt;AH1020,"FITS BITCH",IF(AH1021&gt;AH1020,"no"))</f>
        <v>FITS BITCH</v>
      </c>
      <c r="AQ1020" s="17" t="str">
        <f aca="false">IF(AI1021&lt;AI1020,"FITS BITCH",IF(AI1021&gt;AI1020,"no"))</f>
        <v>FITS BITCH</v>
      </c>
      <c r="AR1020" s="17" t="str">
        <f aca="false">IF(AJ1020&lt;AH1021,"FITS BITCH",IF(AJ1020&gt;AH1021,"no"))</f>
        <v>no</v>
      </c>
      <c r="AS1020" s="17" t="str">
        <f aca="false">IF(AJ1020&gt;AJ1021,"FITS BITCH",IF(AJ1020&lt;AJ1021,"no"))</f>
        <v>FITS BITCH</v>
      </c>
      <c r="AT1020" s="91" t="str">
        <f aca="false">IF(AND($AO1020="FITS BITCH",$AP1020="FITS BITCH",$AR1020="FITS BITCH"),"BULLISH","")</f>
        <v/>
      </c>
      <c r="AU1020" s="91" t="str">
        <f aca="false">IF(AND($AO1020="FITS BITCH",$AQ1020="FITS BITCH",$AS1020="FITS BITCH"),"BEARISH","")</f>
        <v>BEARISH</v>
      </c>
    </row>
    <row r="1021" customFormat="false" ht="15.75" hidden="false" customHeight="false" outlineLevel="0" collapsed="false">
      <c r="AE1021" s="90" t="n">
        <f aca="false">Data!A1016</f>
        <v>41495</v>
      </c>
      <c r="AF1021" s="17" t="n">
        <f aca="false">Data!B1016</f>
        <v>65.52</v>
      </c>
      <c r="AG1021" s="17" t="n">
        <f aca="false">Data!F1016</f>
        <v>66905209</v>
      </c>
      <c r="AH1021" s="17" t="n">
        <f aca="false">Data!C1016</f>
        <v>65.78</v>
      </c>
      <c r="AI1021" s="17" t="n">
        <f aca="false">Data!D1016</f>
        <v>64.81</v>
      </c>
      <c r="AJ1021" s="17" t="n">
        <f aca="false">Data!E1016</f>
        <v>64.92</v>
      </c>
      <c r="AK1021" s="17" t="n">
        <f aca="false">Data!F1016</f>
        <v>66905209</v>
      </c>
      <c r="AL1021" s="17" t="n">
        <f aca="false">AJ1021</f>
        <v>64.92</v>
      </c>
      <c r="AM1021" s="17" t="n">
        <f aca="false">(AL1021-AL1020)/AL1021*100</f>
        <v>-2.84966112138015</v>
      </c>
      <c r="AN1021" s="17" t="n">
        <f aca="false">(AK1021-AK1020)/AK1021*100</f>
        <v>-36.1751818158135</v>
      </c>
      <c r="AO1021" s="17" t="str">
        <f aca="false">IF(AN1021&lt;-8,"FITS BITCH",IF(AN1021&gt;-8,"no"))</f>
        <v>FITS BITCH</v>
      </c>
      <c r="AP1021" s="17" t="str">
        <f aca="false">IF(AH1022&lt;AH1021,"FITS BITCH",IF(AH1022&gt;AH1021,"no"))</f>
        <v>no</v>
      </c>
      <c r="AQ1021" s="17" t="str">
        <f aca="false">IF(AI1022&lt;AI1021,"FITS BITCH",IF(AI1022&gt;AI1021,"no"))</f>
        <v>no</v>
      </c>
      <c r="AR1021" s="17" t="str">
        <f aca="false">IF(AJ1021&lt;AH1022,"FITS BITCH",IF(AJ1021&gt;AH1022,"no"))</f>
        <v>FITS BITCH</v>
      </c>
      <c r="AS1021" s="17" t="str">
        <f aca="false">IF(AJ1021&gt;AJ1022,"FITS BITCH",IF(AJ1021&lt;AJ1022,"no"))</f>
        <v>no</v>
      </c>
      <c r="AT1021" s="91" t="str">
        <f aca="false">IF(AND($AO1021="FITS BITCH",$AP1021="FITS BITCH",$AR1021="FITS BITCH"),"BULLISH","")</f>
        <v/>
      </c>
      <c r="AU1021" s="91" t="str">
        <f aca="false">IF(AND($AO1021="FITS BITCH",$AQ1021="FITS BITCH",$AS1021="FITS BITCH"),"BEARISH","")</f>
        <v/>
      </c>
    </row>
    <row r="1022" customFormat="false" ht="15.75" hidden="false" customHeight="false" outlineLevel="0" collapsed="false">
      <c r="AE1022" s="90" t="n">
        <f aca="false">Data!A1017</f>
        <v>41494</v>
      </c>
      <c r="AF1022" s="17" t="n">
        <f aca="false">Data!B1017</f>
        <v>66.26</v>
      </c>
      <c r="AG1022" s="17" t="n">
        <f aca="false">Data!F1017</f>
        <v>63999838</v>
      </c>
      <c r="AH1022" s="17" t="n">
        <f aca="false">Data!C1017</f>
        <v>66.3</v>
      </c>
      <c r="AI1022" s="17" t="n">
        <f aca="false">Data!D1017</f>
        <v>65.42</v>
      </c>
      <c r="AJ1022" s="17" t="n">
        <f aca="false">Data!E1017</f>
        <v>65.86</v>
      </c>
      <c r="AK1022" s="17" t="n">
        <f aca="false">Data!F1017</f>
        <v>63999838</v>
      </c>
      <c r="AL1022" s="17" t="n">
        <f aca="false">AJ1022</f>
        <v>65.86</v>
      </c>
      <c r="AM1022" s="17" t="n">
        <f aca="false">(AL1022-AL1021)/AL1022*100</f>
        <v>1.42726996659581</v>
      </c>
      <c r="AN1022" s="17" t="n">
        <f aca="false">(AK1022-AK1021)/AK1022*100</f>
        <v>-4.53965367849837</v>
      </c>
      <c r="AO1022" s="17" t="str">
        <f aca="false">IF(AN1022&lt;-8,"FITS BITCH",IF(AN1022&gt;-8,"no"))</f>
        <v>no</v>
      </c>
      <c r="AP1022" s="17" t="str">
        <f aca="false">IF(AH1023&lt;AH1022,"FITS BITCH",IF(AH1023&gt;AH1022,"no"))</f>
        <v>no</v>
      </c>
      <c r="AQ1022" s="17" t="str">
        <f aca="false">IF(AI1023&lt;AI1022,"FITS BITCH",IF(AI1023&gt;AI1022,"no"))</f>
        <v>no</v>
      </c>
      <c r="AR1022" s="17" t="str">
        <f aca="false">IF(AJ1022&lt;AH1023,"FITS BITCH",IF(AJ1022&gt;AH1023,"no"))</f>
        <v>FITS BITCH</v>
      </c>
      <c r="AS1022" s="17" t="str">
        <f aca="false">IF(AJ1022&gt;AJ1023,"FITS BITCH",IF(AJ1022&lt;AJ1023,"no"))</f>
        <v>no</v>
      </c>
      <c r="AT1022" s="91" t="str">
        <f aca="false">IF(AND($AO1022="FITS BITCH",$AP1022="FITS BITCH",$AR1022="FITS BITCH"),"BULLISH","")</f>
        <v/>
      </c>
      <c r="AU1022" s="91" t="str">
        <f aca="false">IF(AND($AO1022="FITS BITCH",$AQ1022="FITS BITCH",$AS1022="FITS BITCH"),"BEARISH","")</f>
        <v/>
      </c>
    </row>
    <row r="1023" customFormat="false" ht="15.75" hidden="false" customHeight="false" outlineLevel="0" collapsed="false">
      <c r="AE1023" s="90" t="n">
        <f aca="false">Data!A1018</f>
        <v>41493</v>
      </c>
      <c r="AF1023" s="17" t="n">
        <f aca="false">Data!B1018</f>
        <v>66.26</v>
      </c>
      <c r="AG1023" s="17" t="n">
        <f aca="false">Data!F1018</f>
        <v>74713968</v>
      </c>
      <c r="AH1023" s="17" t="n">
        <f aca="false">Data!C1018</f>
        <v>66.71</v>
      </c>
      <c r="AI1023" s="17" t="n">
        <f aca="false">Data!D1018</f>
        <v>65.97</v>
      </c>
      <c r="AJ1023" s="17" t="n">
        <f aca="false">Data!E1018</f>
        <v>66.43</v>
      </c>
      <c r="AK1023" s="17" t="n">
        <f aca="false">Data!F1018</f>
        <v>74713968</v>
      </c>
      <c r="AL1023" s="17" t="n">
        <f aca="false">AJ1023</f>
        <v>66.43</v>
      </c>
      <c r="AM1023" s="17" t="n">
        <f aca="false">(AL1023-AL1022)/AL1023*100</f>
        <v>0.858046063525527</v>
      </c>
      <c r="AN1023" s="17" t="n">
        <f aca="false">(AK1023-AK1022)/AK1023*100</f>
        <v>14.3401967353681</v>
      </c>
      <c r="AO1023" s="17" t="str">
        <f aca="false">IF(AN1023&lt;-8,"FITS BITCH",IF(AN1023&gt;-8,"no"))</f>
        <v>no</v>
      </c>
      <c r="AP1023" s="17" t="str">
        <f aca="false">IF(AH1024&lt;AH1023,"FITS BITCH",IF(AH1024&gt;AH1023,"no"))</f>
        <v>no</v>
      </c>
      <c r="AQ1023" s="17" t="str">
        <f aca="false">IF(AI1024&lt;AI1023,"FITS BITCH",IF(AI1024&gt;AI1023,"no"))</f>
        <v>no</v>
      </c>
      <c r="AR1023" s="17" t="str">
        <f aca="false">IF(AJ1023&lt;AH1024,"FITS BITCH",IF(AJ1023&gt;AH1024,"no"))</f>
        <v>FITS BITCH</v>
      </c>
      <c r="AS1023" s="17" t="str">
        <f aca="false">IF(AJ1023&gt;AJ1024,"FITS BITCH",IF(AJ1023&lt;AJ1024,"no"))</f>
        <v>no</v>
      </c>
      <c r="AT1023" s="91" t="str">
        <f aca="false">IF(AND($AO1023="FITS BITCH",$AP1023="FITS BITCH",$AR1023="FITS BITCH"),"BULLISH","")</f>
        <v/>
      </c>
      <c r="AU1023" s="91" t="str">
        <f aca="false">IF(AND($AO1023="FITS BITCH",$AQ1023="FITS BITCH",$AS1023="FITS BITCH"),"BEARISH","")</f>
        <v/>
      </c>
    </row>
    <row r="1024" customFormat="false" ht="15.75" hidden="false" customHeight="false" outlineLevel="0" collapsed="false">
      <c r="AE1024" s="90" t="n">
        <f aca="false">Data!A1019</f>
        <v>41492</v>
      </c>
      <c r="AF1024" s="17" t="n">
        <f aca="false">Data!B1019</f>
        <v>66.86</v>
      </c>
      <c r="AG1024" s="17" t="n">
        <f aca="false">Data!F1019</f>
        <v>83728540</v>
      </c>
      <c r="AH1024" s="17" t="n">
        <f aca="false">Data!C1019</f>
        <v>67.41</v>
      </c>
      <c r="AI1024" s="17" t="n">
        <f aca="false">Data!D1019</f>
        <v>66.02</v>
      </c>
      <c r="AJ1024" s="17" t="n">
        <f aca="false">Data!E1019</f>
        <v>66.46</v>
      </c>
      <c r="AK1024" s="17" t="n">
        <f aca="false">Data!F1019</f>
        <v>83728540</v>
      </c>
      <c r="AL1024" s="17" t="n">
        <f aca="false">AJ1024</f>
        <v>66.46</v>
      </c>
      <c r="AM1024" s="17" t="n">
        <f aca="false">(AL1024-AL1023)/AL1024*100</f>
        <v>0.0451399337947441</v>
      </c>
      <c r="AN1024" s="17" t="n">
        <f aca="false">(AK1024-AK1023)/AK1024*100</f>
        <v>10.7664268360585</v>
      </c>
      <c r="AO1024" s="17" t="str">
        <f aca="false">IF(AN1024&lt;-8,"FITS BITCH",IF(AN1024&gt;-8,"no"))</f>
        <v>no</v>
      </c>
      <c r="AP1024" s="17" t="str">
        <f aca="false">IF(AH1025&lt;AH1024,"FITS BITCH",IF(AH1025&gt;AH1024,"no"))</f>
        <v>FITS BITCH</v>
      </c>
      <c r="AQ1024" s="17" t="n">
        <f aca="false">IF(AI1025&lt;AI1024,"FITS BITCH",IF(AI1025&gt;AI1024,"no"))</f>
        <v>0</v>
      </c>
      <c r="AR1024" s="17" t="str">
        <f aca="false">IF(AJ1024&lt;AH1025,"FITS BITCH",IF(AJ1024&gt;AH1025,"no"))</f>
        <v>FITS BITCH</v>
      </c>
      <c r="AS1024" s="17" t="str">
        <f aca="false">IF(AJ1024&gt;AJ1025,"FITS BITCH",IF(AJ1024&lt;AJ1025,"no"))</f>
        <v>no</v>
      </c>
      <c r="AT1024" s="91" t="str">
        <f aca="false">IF(AND($AO1024="FITS BITCH",$AP1024="FITS BITCH",$AR1024="FITS BITCH"),"BULLISH","")</f>
        <v/>
      </c>
      <c r="AU1024" s="91" t="str">
        <f aca="false">IF(AND($AO1024="FITS BITCH",$AQ1024="FITS BITCH",$AS1024="FITS BITCH"),"BEARISH","")</f>
        <v/>
      </c>
    </row>
    <row r="1025" customFormat="false" ht="15.75" hidden="false" customHeight="false" outlineLevel="0" collapsed="false">
      <c r="AE1025" s="90" t="n">
        <f aca="false">Data!A1020</f>
        <v>41491</v>
      </c>
      <c r="AF1025" s="17" t="n">
        <f aca="false">Data!B1020</f>
        <v>66.38</v>
      </c>
      <c r="AG1025" s="17" t="n">
        <f aca="false">Data!F1020</f>
        <v>79713592</v>
      </c>
      <c r="AH1025" s="17" t="n">
        <f aca="false">Data!C1020</f>
        <v>67.24</v>
      </c>
      <c r="AI1025" s="17" t="n">
        <f aca="false">Data!D1020</f>
        <v>66.02</v>
      </c>
      <c r="AJ1025" s="17" t="n">
        <f aca="false">Data!E1020</f>
        <v>67.06</v>
      </c>
      <c r="AK1025" s="17" t="n">
        <f aca="false">Data!F1020</f>
        <v>79713592</v>
      </c>
      <c r="AL1025" s="17" t="n">
        <f aca="false">AJ1025</f>
        <v>67.06</v>
      </c>
      <c r="AM1025" s="17" t="n">
        <f aca="false">(AL1025-AL1024)/AL1025*100</f>
        <v>0.894721145243079</v>
      </c>
      <c r="AN1025" s="17" t="n">
        <f aca="false">(AK1025-AK1024)/AK1025*100</f>
        <v>-5.03671695035396</v>
      </c>
      <c r="AO1025" s="17" t="str">
        <f aca="false">IF(AN1025&lt;-8,"FITS BITCH",IF(AN1025&gt;-8,"no"))</f>
        <v>no</v>
      </c>
      <c r="AP1025" s="17" t="str">
        <f aca="false">IF(AH1026&lt;AH1025,"FITS BITCH",IF(AH1026&gt;AH1025,"no"))</f>
        <v>FITS BITCH</v>
      </c>
      <c r="AQ1025" s="17" t="str">
        <f aca="false">IF(AI1026&lt;AI1025,"FITS BITCH",IF(AI1026&gt;AI1025,"no"))</f>
        <v>FITS BITCH</v>
      </c>
      <c r="AR1025" s="17" t="str">
        <f aca="false">IF(AJ1025&lt;AH1026,"FITS BITCH",IF(AJ1025&gt;AH1026,"no"))</f>
        <v>no</v>
      </c>
      <c r="AS1025" s="17" t="str">
        <f aca="false">IF(AJ1025&gt;AJ1026,"FITS BITCH",IF(AJ1025&lt;AJ1026,"no"))</f>
        <v>FITS BITCH</v>
      </c>
      <c r="AT1025" s="91" t="str">
        <f aca="false">IF(AND($AO1025="FITS BITCH",$AP1025="FITS BITCH",$AR1025="FITS BITCH"),"BULLISH","")</f>
        <v/>
      </c>
      <c r="AU1025" s="91" t="str">
        <f aca="false">IF(AND($AO1025="FITS BITCH",$AQ1025="FITS BITCH",$AS1025="FITS BITCH"),"BEARISH","")</f>
        <v/>
      </c>
    </row>
    <row r="1026" customFormat="false" ht="15.75" hidden="false" customHeight="false" outlineLevel="0" collapsed="false">
      <c r="AE1026" s="90" t="n">
        <f aca="false">Data!A1021</f>
        <v>41488</v>
      </c>
      <c r="AF1026" s="17" t="n">
        <f aca="false">Data!B1021</f>
        <v>65.43</v>
      </c>
      <c r="AG1026" s="17" t="n">
        <f aca="false">Data!F1021</f>
        <v>68695326</v>
      </c>
      <c r="AH1026" s="17" t="n">
        <f aca="false">Data!C1021</f>
        <v>66.12</v>
      </c>
      <c r="AI1026" s="17" t="n">
        <f aca="false">Data!D1021</f>
        <v>65.24</v>
      </c>
      <c r="AJ1026" s="17" t="n">
        <f aca="false">Data!E1021</f>
        <v>66.08</v>
      </c>
      <c r="AK1026" s="17" t="n">
        <f aca="false">Data!F1021</f>
        <v>68695326</v>
      </c>
      <c r="AL1026" s="17" t="n">
        <f aca="false">AJ1026</f>
        <v>66.08</v>
      </c>
      <c r="AM1026" s="17" t="n">
        <f aca="false">(AL1026-AL1025)/AL1026*100</f>
        <v>-1.48305084745763</v>
      </c>
      <c r="AN1026" s="17" t="n">
        <f aca="false">(AK1026-AK1025)/AK1026*100</f>
        <v>-16.0393241310188</v>
      </c>
      <c r="AO1026" s="17" t="str">
        <f aca="false">IF(AN1026&lt;-8,"FITS BITCH",IF(AN1026&gt;-8,"no"))</f>
        <v>FITS BITCH</v>
      </c>
      <c r="AP1026" s="17" t="str">
        <f aca="false">IF(AH1027&lt;AH1026,"FITS BITCH",IF(AH1027&gt;AH1026,"no"))</f>
        <v>FITS BITCH</v>
      </c>
      <c r="AQ1026" s="17" t="str">
        <f aca="false">IF(AI1027&lt;AI1026,"FITS BITCH",IF(AI1027&gt;AI1026,"no"))</f>
        <v>FITS BITCH</v>
      </c>
      <c r="AR1026" s="17" t="str">
        <f aca="false">IF(AJ1026&lt;AH1027,"FITS BITCH",IF(AJ1026&gt;AH1027,"no"))</f>
        <v>no</v>
      </c>
      <c r="AS1026" s="17" t="str">
        <f aca="false">IF(AJ1026&gt;AJ1027,"FITS BITCH",IF(AJ1026&lt;AJ1027,"no"))</f>
        <v>FITS BITCH</v>
      </c>
      <c r="AT1026" s="91" t="str">
        <f aca="false">IF(AND($AO1026="FITS BITCH",$AP1026="FITS BITCH",$AR1026="FITS BITCH"),"BULLISH","")</f>
        <v/>
      </c>
      <c r="AU1026" s="91" t="str">
        <f aca="false">IF(AND($AO1026="FITS BITCH",$AQ1026="FITS BITCH",$AS1026="FITS BITCH"),"BEARISH","")</f>
        <v>BEARISH</v>
      </c>
    </row>
    <row r="1027" customFormat="false" ht="15.75" hidden="false" customHeight="false" outlineLevel="0" collapsed="false">
      <c r="AE1027" s="90" t="n">
        <f aca="false">Data!A1022</f>
        <v>41487</v>
      </c>
      <c r="AF1027" s="17" t="n">
        <f aca="false">Data!B1022</f>
        <v>65.11</v>
      </c>
      <c r="AG1027" s="17" t="n">
        <f aca="false">Data!F1022</f>
        <v>51562322</v>
      </c>
      <c r="AH1027" s="17" t="n">
        <f aca="false">Data!C1022</f>
        <v>65.26</v>
      </c>
      <c r="AI1027" s="17" t="n">
        <f aca="false">Data!D1022</f>
        <v>64.75</v>
      </c>
      <c r="AJ1027" s="17" t="n">
        <f aca="false">Data!E1022</f>
        <v>65.24</v>
      </c>
      <c r="AK1027" s="17" t="n">
        <f aca="false">Data!F1022</f>
        <v>51562322</v>
      </c>
      <c r="AL1027" s="17" t="n">
        <f aca="false">AJ1027</f>
        <v>65.24</v>
      </c>
      <c r="AM1027" s="17" t="n">
        <f aca="false">(AL1027-AL1026)/AL1027*100</f>
        <v>-1.28755364806868</v>
      </c>
      <c r="AN1027" s="17" t="n">
        <f aca="false">(AK1027-AK1026)/AK1027*100</f>
        <v>-33.2277588274632</v>
      </c>
      <c r="AO1027" s="17" t="str">
        <f aca="false">IF(AN1027&lt;-8,"FITS BITCH",IF(AN1027&gt;-8,"no"))</f>
        <v>FITS BITCH</v>
      </c>
      <c r="AP1027" s="17" t="str">
        <f aca="false">IF(AH1028&lt;AH1027,"FITS BITCH",IF(AH1028&gt;AH1027,"no"))</f>
        <v>no</v>
      </c>
      <c r="AQ1027" s="17" t="str">
        <f aca="false">IF(AI1028&lt;AI1027,"FITS BITCH",IF(AI1028&gt;AI1027,"no"))</f>
        <v>FITS BITCH</v>
      </c>
      <c r="AR1027" s="17" t="str">
        <f aca="false">IF(AJ1027&lt;AH1028,"FITS BITCH",IF(AJ1027&gt;AH1028,"no"))</f>
        <v>FITS BITCH</v>
      </c>
      <c r="AS1027" s="17" t="str">
        <f aca="false">IF(AJ1027&gt;AJ1028,"FITS BITCH",IF(AJ1027&lt;AJ1028,"no"))</f>
        <v>FITS BITCH</v>
      </c>
      <c r="AT1027" s="91" t="str">
        <f aca="false">IF(AND($AO1027="FITS BITCH",$AP1027="FITS BITCH",$AR1027="FITS BITCH"),"BULLISH","")</f>
        <v/>
      </c>
      <c r="AU1027" s="91" t="str">
        <f aca="false">IF(AND($AO1027="FITS BITCH",$AQ1027="FITS BITCH",$AS1027="FITS BITCH"),"BEARISH","")</f>
        <v>BEARISH</v>
      </c>
    </row>
    <row r="1028" customFormat="false" ht="15.75" hidden="false" customHeight="false" outlineLevel="0" collapsed="false">
      <c r="AE1028" s="90" t="n">
        <f aca="false">Data!A1023</f>
        <v>41486</v>
      </c>
      <c r="AF1028" s="17" t="n">
        <f aca="false">Data!B1023</f>
        <v>65</v>
      </c>
      <c r="AG1028" s="17" t="n">
        <f aca="false">Data!F1023</f>
        <v>80739351</v>
      </c>
      <c r="AH1028" s="17" t="n">
        <f aca="false">Data!C1023</f>
        <v>65.33</v>
      </c>
      <c r="AI1028" s="17" t="n">
        <f aca="false">Data!D1023</f>
        <v>64.2</v>
      </c>
      <c r="AJ1028" s="17" t="n">
        <f aca="false">Data!E1023</f>
        <v>64.65</v>
      </c>
      <c r="AK1028" s="17" t="n">
        <f aca="false">Data!F1023</f>
        <v>80739351</v>
      </c>
      <c r="AL1028" s="17" t="n">
        <f aca="false">AJ1028</f>
        <v>64.65</v>
      </c>
      <c r="AM1028" s="17" t="n">
        <f aca="false">(AL1028-AL1027)/AL1028*100</f>
        <v>-0.912606341840664</v>
      </c>
      <c r="AN1028" s="17" t="n">
        <f aca="false">(AK1028-AK1027)/AK1028*100</f>
        <v>36.1373093028702</v>
      </c>
      <c r="AO1028" s="17" t="str">
        <f aca="false">IF(AN1028&lt;-8,"FITS BITCH",IF(AN1028&gt;-8,"no"))</f>
        <v>no</v>
      </c>
      <c r="AP1028" s="17" t="str">
        <f aca="false">IF(AH1029&lt;AH1028,"FITS BITCH",IF(AH1029&gt;AH1028,"no"))</f>
        <v>FITS BITCH</v>
      </c>
      <c r="AQ1028" s="17" t="str">
        <f aca="false">IF(AI1029&lt;AI1028,"FITS BITCH",IF(AI1029&gt;AI1028,"no"))</f>
        <v>FITS BITCH</v>
      </c>
      <c r="AR1028" s="17" t="str">
        <f aca="false">IF(AJ1028&lt;AH1029,"FITS BITCH",IF(AJ1028&gt;AH1029,"no"))</f>
        <v>FITS BITCH</v>
      </c>
      <c r="AS1028" s="17" t="str">
        <f aca="false">IF(AJ1028&gt;AJ1029,"FITS BITCH",IF(AJ1028&lt;AJ1029,"no"))</f>
        <v>no</v>
      </c>
      <c r="AT1028" s="91" t="str">
        <f aca="false">IF(AND($AO1028="FITS BITCH",$AP1028="FITS BITCH",$AR1028="FITS BITCH"),"BULLISH","")</f>
        <v/>
      </c>
      <c r="AU1028" s="91" t="str">
        <f aca="false">IF(AND($AO1028="FITS BITCH",$AQ1028="FITS BITCH",$AS1028="FITS BITCH"),"BEARISH","")</f>
        <v/>
      </c>
    </row>
    <row r="1029" customFormat="false" ht="15.75" hidden="false" customHeight="false" outlineLevel="0" collapsed="false">
      <c r="AE1029" s="90" t="n">
        <f aca="false">Data!A1024</f>
        <v>41485</v>
      </c>
      <c r="AF1029" s="17" t="n">
        <f aca="false">Data!B1024</f>
        <v>64.28</v>
      </c>
      <c r="AG1029" s="17" t="n">
        <f aca="false">Data!F1024</f>
        <v>77355565</v>
      </c>
      <c r="AH1029" s="17" t="n">
        <f aca="false">Data!C1024</f>
        <v>65.31</v>
      </c>
      <c r="AI1029" s="17" t="n">
        <f aca="false">Data!D1024</f>
        <v>64.18</v>
      </c>
      <c r="AJ1029" s="17" t="n">
        <f aca="false">Data!E1024</f>
        <v>64.76</v>
      </c>
      <c r="AK1029" s="17" t="n">
        <f aca="false">Data!F1024</f>
        <v>77355565</v>
      </c>
      <c r="AL1029" s="17" t="n">
        <f aca="false">AJ1029</f>
        <v>64.76</v>
      </c>
      <c r="AM1029" s="17" t="n">
        <f aca="false">(AL1029-AL1028)/AL1029*100</f>
        <v>0.169857936998146</v>
      </c>
      <c r="AN1029" s="17" t="n">
        <f aca="false">(AK1029-AK1028)/AK1029*100</f>
        <v>-4.37432781985368</v>
      </c>
      <c r="AO1029" s="17" t="str">
        <f aca="false">IF(AN1029&lt;-8,"FITS BITCH",IF(AN1029&gt;-8,"no"))</f>
        <v>no</v>
      </c>
      <c r="AP1029" s="17" t="str">
        <f aca="false">IF(AH1030&lt;AH1029,"FITS BITCH",IF(AH1030&gt;AH1029,"no"))</f>
        <v>FITS BITCH</v>
      </c>
      <c r="AQ1029" s="17" t="str">
        <f aca="false">IF(AI1030&lt;AI1029,"FITS BITCH",IF(AI1030&gt;AI1029,"no"))</f>
        <v>FITS BITCH</v>
      </c>
      <c r="AR1029" s="17" t="str">
        <f aca="false">IF(AJ1029&lt;AH1030,"FITS BITCH",IF(AJ1029&gt;AH1030,"no"))</f>
        <v>no</v>
      </c>
      <c r="AS1029" s="17" t="str">
        <f aca="false">IF(AJ1029&gt;AJ1030,"FITS BITCH",IF(AJ1029&lt;AJ1030,"no"))</f>
        <v>FITS BITCH</v>
      </c>
      <c r="AT1029" s="91" t="str">
        <f aca="false">IF(AND($AO1029="FITS BITCH",$AP1029="FITS BITCH",$AR1029="FITS BITCH"),"BULLISH","")</f>
        <v/>
      </c>
      <c r="AU1029" s="91" t="str">
        <f aca="false">IF(AND($AO1029="FITS BITCH",$AQ1029="FITS BITCH",$AS1029="FITS BITCH"),"BEARISH","")</f>
        <v/>
      </c>
    </row>
    <row r="1030" customFormat="false" ht="15.75" hidden="false" customHeight="false" outlineLevel="0" collapsed="false">
      <c r="AE1030" s="90" t="n">
        <f aca="false">Data!A1025</f>
        <v>41484</v>
      </c>
      <c r="AF1030" s="17" t="n">
        <f aca="false">Data!B1025</f>
        <v>62.97</v>
      </c>
      <c r="AG1030" s="17" t="n">
        <f aca="false">Data!F1025</f>
        <v>62110300</v>
      </c>
      <c r="AH1030" s="17" t="n">
        <f aca="false">Data!C1025</f>
        <v>64.28</v>
      </c>
      <c r="AI1030" s="17" t="n">
        <f aca="false">Data!D1025</f>
        <v>62.89</v>
      </c>
      <c r="AJ1030" s="17" t="n">
        <f aca="false">Data!E1025</f>
        <v>63.97</v>
      </c>
      <c r="AK1030" s="17" t="n">
        <f aca="false">Data!F1025</f>
        <v>62110300</v>
      </c>
      <c r="AL1030" s="17" t="n">
        <f aca="false">AJ1030</f>
        <v>63.97</v>
      </c>
      <c r="AM1030" s="17" t="n">
        <f aca="false">(AL1030-AL1029)/AL1030*100</f>
        <v>-1.23495388463343</v>
      </c>
      <c r="AN1030" s="17" t="n">
        <f aca="false">(AK1030-AK1029)/AK1030*100</f>
        <v>-24.5454699140078</v>
      </c>
      <c r="AO1030" s="17" t="str">
        <f aca="false">IF(AN1030&lt;-8,"FITS BITCH",IF(AN1030&gt;-8,"no"))</f>
        <v>FITS BITCH</v>
      </c>
      <c r="AP1030" s="17" t="str">
        <f aca="false">IF(AH1031&lt;AH1030,"FITS BITCH",IF(AH1031&gt;AH1030,"no"))</f>
        <v>FITS BITCH</v>
      </c>
      <c r="AQ1030" s="17" t="str">
        <f aca="false">IF(AI1031&lt;AI1030,"FITS BITCH",IF(AI1031&gt;AI1030,"no"))</f>
        <v>FITS BITCH</v>
      </c>
      <c r="AR1030" s="17" t="str">
        <f aca="false">IF(AJ1030&lt;AH1031,"FITS BITCH",IF(AJ1030&gt;AH1031,"no"))</f>
        <v>no</v>
      </c>
      <c r="AS1030" s="17" t="str">
        <f aca="false">IF(AJ1030&gt;AJ1031,"FITS BITCH",IF(AJ1030&lt;AJ1031,"no"))</f>
        <v>FITS BITCH</v>
      </c>
      <c r="AT1030" s="91" t="str">
        <f aca="false">IF(AND($AO1030="FITS BITCH",$AP1030="FITS BITCH",$AR1030="FITS BITCH"),"BULLISH","")</f>
        <v/>
      </c>
      <c r="AU1030" s="91" t="str">
        <f aca="false">IF(AND($AO1030="FITS BITCH",$AQ1030="FITS BITCH",$AS1030="FITS BITCH"),"BEARISH","")</f>
        <v>BEARISH</v>
      </c>
    </row>
    <row r="1031" customFormat="false" ht="15.75" hidden="false" customHeight="false" outlineLevel="0" collapsed="false">
      <c r="AE1031" s="90" t="n">
        <f aca="false">Data!A1026</f>
        <v>41481</v>
      </c>
      <c r="AF1031" s="17" t="n">
        <f aca="false">Data!B1026</f>
        <v>62.19</v>
      </c>
      <c r="AG1031" s="17" t="n">
        <f aca="false">Data!F1026</f>
        <v>50068753</v>
      </c>
      <c r="AH1031" s="17" t="n">
        <f aca="false">Data!C1026</f>
        <v>63.01</v>
      </c>
      <c r="AI1031" s="17" t="n">
        <f aca="false">Data!D1026</f>
        <v>62.05</v>
      </c>
      <c r="AJ1031" s="17" t="n">
        <f aca="false">Data!E1026</f>
        <v>63</v>
      </c>
      <c r="AK1031" s="17" t="n">
        <f aca="false">Data!F1026</f>
        <v>50068753</v>
      </c>
      <c r="AL1031" s="17" t="n">
        <f aca="false">AJ1031</f>
        <v>63</v>
      </c>
      <c r="AM1031" s="17" t="n">
        <f aca="false">(AL1031-AL1030)/AL1031*100</f>
        <v>-1.53968253968254</v>
      </c>
      <c r="AN1031" s="17" t="n">
        <f aca="false">(AK1031-AK1030)/AK1031*100</f>
        <v>-24.0500237743089</v>
      </c>
      <c r="AO1031" s="17" t="str">
        <f aca="false">IF(AN1031&lt;-8,"FITS BITCH",IF(AN1031&gt;-8,"no"))</f>
        <v>FITS BITCH</v>
      </c>
      <c r="AP1031" s="17" t="str">
        <f aca="false">IF(AH1032&lt;AH1031,"FITS BITCH",IF(AH1032&gt;AH1031,"no"))</f>
        <v>no</v>
      </c>
      <c r="AQ1031" s="17" t="str">
        <f aca="false">IF(AI1032&lt;AI1031,"FITS BITCH",IF(AI1032&gt;AI1031,"no"))</f>
        <v>no</v>
      </c>
      <c r="AR1031" s="17" t="str">
        <f aca="false">IF(AJ1031&lt;AH1032,"FITS BITCH",IF(AJ1031&gt;AH1032,"no"))</f>
        <v>FITS BITCH</v>
      </c>
      <c r="AS1031" s="17" t="str">
        <f aca="false">IF(AJ1031&gt;AJ1032,"FITS BITCH",IF(AJ1031&lt;AJ1032,"no"))</f>
        <v>FITS BITCH</v>
      </c>
      <c r="AT1031" s="91" t="str">
        <f aca="false">IF(AND($AO1031="FITS BITCH",$AP1031="FITS BITCH",$AR1031="FITS BITCH"),"BULLISH","")</f>
        <v/>
      </c>
      <c r="AU1031" s="91" t="str">
        <f aca="false">IF(AND($AO1031="FITS BITCH",$AQ1031="FITS BITCH",$AS1031="FITS BITCH"),"BEARISH","")</f>
        <v/>
      </c>
    </row>
    <row r="1032" customFormat="false" ht="15.75" hidden="false" customHeight="false" outlineLevel="0" collapsed="false">
      <c r="AE1032" s="90" t="n">
        <f aca="false">Data!A1027</f>
        <v>41480</v>
      </c>
      <c r="AF1032" s="17" t="n">
        <f aca="false">Data!B1027</f>
        <v>62.96</v>
      </c>
      <c r="AG1032" s="17" t="n">
        <f aca="false">Data!F1027</f>
        <v>57420636</v>
      </c>
      <c r="AH1032" s="17" t="n">
        <f aca="false">Data!C1027</f>
        <v>63.06</v>
      </c>
      <c r="AI1032" s="17" t="n">
        <f aca="false">Data!D1027</f>
        <v>62.26</v>
      </c>
      <c r="AJ1032" s="17" t="n">
        <f aca="false">Data!E1027</f>
        <v>62.64</v>
      </c>
      <c r="AK1032" s="17" t="n">
        <f aca="false">Data!F1027</f>
        <v>57420636</v>
      </c>
      <c r="AL1032" s="17" t="n">
        <f aca="false">AJ1032</f>
        <v>62.64</v>
      </c>
      <c r="AM1032" s="17" t="n">
        <f aca="false">(AL1032-AL1031)/AL1032*100</f>
        <v>-0.57471264367816</v>
      </c>
      <c r="AN1032" s="17" t="n">
        <f aca="false">(AK1032-AK1031)/AK1032*100</f>
        <v>12.8035555022414</v>
      </c>
      <c r="AO1032" s="17" t="str">
        <f aca="false">IF(AN1032&lt;-8,"FITS BITCH",IF(AN1032&gt;-8,"no"))</f>
        <v>no</v>
      </c>
      <c r="AP1032" s="17" t="str">
        <f aca="false">IF(AH1033&lt;AH1032,"FITS BITCH",IF(AH1033&gt;AH1032,"no"))</f>
        <v>no</v>
      </c>
      <c r="AQ1032" s="17" t="str">
        <f aca="false">IF(AI1033&lt;AI1032,"FITS BITCH",IF(AI1033&gt;AI1032,"no"))</f>
        <v>FITS BITCH</v>
      </c>
      <c r="AR1032" s="17" t="str">
        <f aca="false">IF(AJ1032&lt;AH1033,"FITS BITCH",IF(AJ1032&gt;AH1033,"no"))</f>
        <v>FITS BITCH</v>
      </c>
      <c r="AS1032" s="17" t="str">
        <f aca="false">IF(AJ1032&gt;AJ1033,"FITS BITCH",IF(AJ1032&lt;AJ1033,"no"))</f>
        <v>no</v>
      </c>
      <c r="AT1032" s="91" t="str">
        <f aca="false">IF(AND($AO1032="FITS BITCH",$AP1032="FITS BITCH",$AR1032="FITS BITCH"),"BULLISH","")</f>
        <v/>
      </c>
      <c r="AU1032" s="91" t="str">
        <f aca="false">IF(AND($AO1032="FITS BITCH",$AQ1032="FITS BITCH",$AS1032="FITS BITCH"),"BEARISH","")</f>
        <v/>
      </c>
    </row>
    <row r="1033" customFormat="false" ht="15.75" hidden="false" customHeight="false" outlineLevel="0" collapsed="false">
      <c r="AE1033" s="90" t="n">
        <f aca="false">Data!A1028</f>
        <v>41479</v>
      </c>
      <c r="AF1033" s="17" t="n">
        <f aca="false">Data!B1028</f>
        <v>62.7</v>
      </c>
      <c r="AG1033" s="17" t="n">
        <f aca="false">Data!F1028</f>
        <v>148013824</v>
      </c>
      <c r="AH1033" s="17" t="n">
        <f aca="false">Data!C1028</f>
        <v>63.51</v>
      </c>
      <c r="AI1033" s="17" t="n">
        <f aca="false">Data!D1028</f>
        <v>62.18</v>
      </c>
      <c r="AJ1033" s="17" t="n">
        <f aca="false">Data!E1028</f>
        <v>62.93</v>
      </c>
      <c r="AK1033" s="17" t="n">
        <f aca="false">Data!F1028</f>
        <v>148013824</v>
      </c>
      <c r="AL1033" s="17" t="n">
        <f aca="false">AJ1033</f>
        <v>62.93</v>
      </c>
      <c r="AM1033" s="17" t="n">
        <f aca="false">(AL1033-AL1032)/AL1033*100</f>
        <v>0.460829493087556</v>
      </c>
      <c r="AN1033" s="17" t="n">
        <f aca="false">(AK1033-AK1032)/AK1033*100</f>
        <v>61.2058965519329</v>
      </c>
      <c r="AO1033" s="17" t="str">
        <f aca="false">IF(AN1033&lt;-8,"FITS BITCH",IF(AN1033&gt;-8,"no"))</f>
        <v>no</v>
      </c>
      <c r="AP1033" s="17" t="str">
        <f aca="false">IF(AH1034&lt;AH1033,"FITS BITCH",IF(AH1034&gt;AH1033,"no"))</f>
        <v>FITS BITCH</v>
      </c>
      <c r="AQ1033" s="17" t="str">
        <f aca="false">IF(AI1034&lt;AI1033,"FITS BITCH",IF(AI1034&gt;AI1033,"no"))</f>
        <v>FITS BITCH</v>
      </c>
      <c r="AR1033" s="17" t="str">
        <f aca="false">IF(AJ1033&lt;AH1034,"FITS BITCH",IF(AJ1033&gt;AH1034,"no"))</f>
        <v>no</v>
      </c>
      <c r="AS1033" s="17" t="str">
        <f aca="false">IF(AJ1033&gt;AJ1034,"FITS BITCH",IF(AJ1033&lt;AJ1034,"no"))</f>
        <v>FITS BITCH</v>
      </c>
      <c r="AT1033" s="91" t="str">
        <f aca="false">IF(AND($AO1033="FITS BITCH",$AP1033="FITS BITCH",$AR1033="FITS BITCH"),"BULLISH","")</f>
        <v/>
      </c>
      <c r="AU1033" s="91" t="str">
        <f aca="false">IF(AND($AO1033="FITS BITCH",$AQ1033="FITS BITCH",$AS1033="FITS BITCH"),"BEARISH","")</f>
        <v/>
      </c>
    </row>
    <row r="1034" customFormat="false" ht="15.75" hidden="false" customHeight="false" outlineLevel="0" collapsed="false">
      <c r="AE1034" s="90" t="n">
        <f aca="false">Data!A1029</f>
        <v>41478</v>
      </c>
      <c r="AF1034" s="17" t="n">
        <f aca="false">Data!B1029</f>
        <v>60.86</v>
      </c>
      <c r="AG1034" s="17" t="n">
        <f aca="false">Data!F1029</f>
        <v>92348403</v>
      </c>
      <c r="AH1034" s="17" t="n">
        <f aca="false">Data!C1029</f>
        <v>60.99</v>
      </c>
      <c r="AI1034" s="17" t="n">
        <f aca="false">Data!D1029</f>
        <v>59.82</v>
      </c>
      <c r="AJ1034" s="17" t="n">
        <f aca="false">Data!E1029</f>
        <v>59.86</v>
      </c>
      <c r="AK1034" s="17" t="n">
        <f aca="false">Data!F1029</f>
        <v>92348403</v>
      </c>
      <c r="AL1034" s="17" t="n">
        <f aca="false">AJ1034</f>
        <v>59.86</v>
      </c>
      <c r="AM1034" s="17" t="n">
        <f aca="false">(AL1034-AL1033)/AL1034*100</f>
        <v>-5.1286334781156</v>
      </c>
      <c r="AN1034" s="17" t="n">
        <f aca="false">(AK1034-AK1033)/AK1034*100</f>
        <v>-60.277621693144</v>
      </c>
      <c r="AO1034" s="17" t="str">
        <f aca="false">IF(AN1034&lt;-8,"FITS BITCH",IF(AN1034&gt;-8,"no"))</f>
        <v>FITS BITCH</v>
      </c>
      <c r="AP1034" s="17" t="str">
        <f aca="false">IF(AH1035&lt;AH1034,"FITS BITCH",IF(AH1035&gt;AH1034,"no"))</f>
        <v>no</v>
      </c>
      <c r="AQ1034" s="17" t="str">
        <f aca="false">IF(AI1035&lt;AI1034,"FITS BITCH",IF(AI1035&gt;AI1034,"no"))</f>
        <v>no</v>
      </c>
      <c r="AR1034" s="17" t="str">
        <f aca="false">IF(AJ1034&lt;AH1035,"FITS BITCH",IF(AJ1034&gt;AH1035,"no"))</f>
        <v>FITS BITCH</v>
      </c>
      <c r="AS1034" s="17" t="str">
        <f aca="false">IF(AJ1034&gt;AJ1035,"FITS BITCH",IF(AJ1034&lt;AJ1035,"no"))</f>
        <v>no</v>
      </c>
      <c r="AT1034" s="91" t="str">
        <f aca="false">IF(AND($AO1034="FITS BITCH",$AP1034="FITS BITCH",$AR1034="FITS BITCH"),"BULLISH","")</f>
        <v/>
      </c>
      <c r="AU1034" s="91" t="str">
        <f aca="false">IF(AND($AO1034="FITS BITCH",$AQ1034="FITS BITCH",$AS1034="FITS BITCH"),"BEARISH","")</f>
        <v/>
      </c>
    </row>
    <row r="1035" customFormat="false" ht="15.75" hidden="false" customHeight="false" outlineLevel="0" collapsed="false">
      <c r="AE1035" s="90" t="n">
        <f aca="false">Data!A1030</f>
        <v>41477</v>
      </c>
      <c r="AF1035" s="17" t="n">
        <f aca="false">Data!B1030</f>
        <v>61.35</v>
      </c>
      <c r="AG1035" s="17" t="n">
        <f aca="false">Data!F1030</f>
        <v>51997596</v>
      </c>
      <c r="AH1035" s="17" t="n">
        <f aca="false">Data!C1030</f>
        <v>61.39</v>
      </c>
      <c r="AI1035" s="17" t="n">
        <f aca="false">Data!D1030</f>
        <v>60.78</v>
      </c>
      <c r="AJ1035" s="17" t="n">
        <f aca="false">Data!E1030</f>
        <v>60.9</v>
      </c>
      <c r="AK1035" s="17" t="n">
        <f aca="false">Data!F1030</f>
        <v>51997596</v>
      </c>
      <c r="AL1035" s="17" t="n">
        <f aca="false">AJ1035</f>
        <v>60.9</v>
      </c>
      <c r="AM1035" s="17" t="n">
        <f aca="false">(AL1035-AL1034)/AL1035*100</f>
        <v>1.70771756978653</v>
      </c>
      <c r="AN1035" s="17" t="n">
        <f aca="false">(AK1035-AK1034)/AK1035*100</f>
        <v>-77.601293336715</v>
      </c>
      <c r="AO1035" s="17" t="str">
        <f aca="false">IF(AN1035&lt;-8,"FITS BITCH",IF(AN1035&gt;-8,"no"))</f>
        <v>FITS BITCH</v>
      </c>
      <c r="AP1035" s="17" t="str">
        <f aca="false">IF(AH1036&lt;AH1035,"FITS BITCH",IF(AH1036&gt;AH1035,"no"))</f>
        <v>no</v>
      </c>
      <c r="AQ1035" s="17" t="str">
        <f aca="false">IF(AI1036&lt;AI1035,"FITS BITCH",IF(AI1036&gt;AI1035,"no"))</f>
        <v>FITS BITCH</v>
      </c>
      <c r="AR1035" s="17" t="str">
        <f aca="false">IF(AJ1035&lt;AH1036,"FITS BITCH",IF(AJ1035&gt;AH1036,"no"))</f>
        <v>FITS BITCH</v>
      </c>
      <c r="AS1035" s="17" t="str">
        <f aca="false">IF(AJ1035&gt;AJ1036,"FITS BITCH",IF(AJ1035&lt;AJ1036,"no"))</f>
        <v>FITS BITCH</v>
      </c>
      <c r="AT1035" s="91" t="str">
        <f aca="false">IF(AND($AO1035="FITS BITCH",$AP1035="FITS BITCH",$AR1035="FITS BITCH"),"BULLISH","")</f>
        <v/>
      </c>
      <c r="AU1035" s="91" t="str">
        <f aca="false">IF(AND($AO1035="FITS BITCH",$AQ1035="FITS BITCH",$AS1035="FITS BITCH"),"BEARISH","")</f>
        <v>BEARISH</v>
      </c>
    </row>
    <row r="1036" customFormat="false" ht="15.75" hidden="false" customHeight="false" outlineLevel="0" collapsed="false">
      <c r="AE1036" s="90" t="n">
        <f aca="false">Data!A1031</f>
        <v>41474</v>
      </c>
      <c r="AF1036" s="17" t="n">
        <f aca="false">Data!B1031</f>
        <v>61.87</v>
      </c>
      <c r="AG1036" s="17" t="n">
        <f aca="false">Data!F1031</f>
        <v>67194715</v>
      </c>
      <c r="AH1036" s="17" t="n">
        <f aca="false">Data!C1031</f>
        <v>62</v>
      </c>
      <c r="AI1036" s="17" t="n">
        <f aca="false">Data!D1031</f>
        <v>60.62</v>
      </c>
      <c r="AJ1036" s="17" t="n">
        <f aca="false">Data!E1031</f>
        <v>60.71</v>
      </c>
      <c r="AK1036" s="17" t="n">
        <f aca="false">Data!F1031</f>
        <v>67194715</v>
      </c>
      <c r="AL1036" s="17" t="n">
        <f aca="false">AJ1036</f>
        <v>60.71</v>
      </c>
      <c r="AM1036" s="17" t="n">
        <f aca="false">(AL1036-AL1035)/AL1036*100</f>
        <v>-0.312963267995384</v>
      </c>
      <c r="AN1036" s="17" t="n">
        <f aca="false">(AK1036-AK1035)/AK1036*100</f>
        <v>22.6165391132323</v>
      </c>
      <c r="AO1036" s="17" t="str">
        <f aca="false">IF(AN1036&lt;-8,"FITS BITCH",IF(AN1036&gt;-8,"no"))</f>
        <v>no</v>
      </c>
      <c r="AP1036" s="17" t="str">
        <f aca="false">IF(AH1037&lt;AH1036,"FITS BITCH",IF(AH1037&gt;AH1036,"no"))</f>
        <v>no</v>
      </c>
      <c r="AQ1036" s="17" t="str">
        <f aca="false">IF(AI1037&lt;AI1036,"FITS BITCH",IF(AI1037&gt;AI1036,"no"))</f>
        <v>no</v>
      </c>
      <c r="AR1036" s="17" t="str">
        <f aca="false">IF(AJ1036&lt;AH1037,"FITS BITCH",IF(AJ1036&gt;AH1037,"no"))</f>
        <v>FITS BITCH</v>
      </c>
      <c r="AS1036" s="17" t="str">
        <f aca="false">IF(AJ1036&gt;AJ1037,"FITS BITCH",IF(AJ1036&lt;AJ1037,"no"))</f>
        <v>no</v>
      </c>
      <c r="AT1036" s="91" t="str">
        <f aca="false">IF(AND($AO1036="FITS BITCH",$AP1036="FITS BITCH",$AR1036="FITS BITCH"),"BULLISH","")</f>
        <v/>
      </c>
      <c r="AU1036" s="91" t="str">
        <f aca="false">IF(AND($AO1036="FITS BITCH",$AQ1036="FITS BITCH",$AS1036="FITS BITCH"),"BEARISH","")</f>
        <v/>
      </c>
    </row>
    <row r="1037" customFormat="false" ht="15.75" hidden="false" customHeight="false" outlineLevel="0" collapsed="false">
      <c r="AE1037" s="90" t="n">
        <f aca="false">Data!A1032</f>
        <v>41473</v>
      </c>
      <c r="AF1037" s="17" t="n">
        <f aca="false">Data!B1032</f>
        <v>61.91</v>
      </c>
      <c r="AG1037" s="17" t="n">
        <f aca="false">Data!F1032</f>
        <v>54760818</v>
      </c>
      <c r="AH1037" s="17" t="n">
        <f aca="false">Data!C1032</f>
        <v>62.12</v>
      </c>
      <c r="AI1037" s="17" t="n">
        <f aca="false">Data!D1032</f>
        <v>61.52</v>
      </c>
      <c r="AJ1037" s="17" t="n">
        <f aca="false">Data!E1032</f>
        <v>61.68</v>
      </c>
      <c r="AK1037" s="17" t="n">
        <f aca="false">Data!F1032</f>
        <v>54760818</v>
      </c>
      <c r="AL1037" s="17" t="n">
        <f aca="false">AJ1037</f>
        <v>61.68</v>
      </c>
      <c r="AM1037" s="17" t="n">
        <f aca="false">(AL1037-AL1036)/AL1037*100</f>
        <v>1.57263294422827</v>
      </c>
      <c r="AN1037" s="17" t="n">
        <f aca="false">(AK1037-AK1036)/AK1037*100</f>
        <v>-22.7058277325222</v>
      </c>
      <c r="AO1037" s="17" t="str">
        <f aca="false">IF(AN1037&lt;-8,"FITS BITCH",IF(AN1037&gt;-8,"no"))</f>
        <v>FITS BITCH</v>
      </c>
      <c r="AP1037" s="17" t="str">
        <f aca="false">IF(AH1038&lt;AH1037,"FITS BITCH",IF(AH1038&gt;AH1037,"no"))</f>
        <v>FITS BITCH</v>
      </c>
      <c r="AQ1037" s="17" t="str">
        <f aca="false">IF(AI1038&lt;AI1037,"FITS BITCH",IF(AI1038&gt;AI1037,"no"))</f>
        <v>FITS BITCH</v>
      </c>
      <c r="AR1037" s="17" t="str">
        <f aca="false">IF(AJ1037&lt;AH1038,"FITS BITCH",IF(AJ1037&gt;AH1038,"no"))</f>
        <v>FITS BITCH</v>
      </c>
      <c r="AS1037" s="17" t="str">
        <f aca="false">IF(AJ1037&gt;AJ1038,"FITS BITCH",IF(AJ1037&lt;AJ1038,"no"))</f>
        <v>FITS BITCH</v>
      </c>
      <c r="AT1037" s="91" t="str">
        <f aca="false">IF(AND($AO1037="FITS BITCH",$AP1037="FITS BITCH",$AR1037="FITS BITCH"),"BULLISH","")</f>
        <v>BULLISH</v>
      </c>
      <c r="AU1037" s="91" t="str">
        <f aca="false">IF(AND($AO1037="FITS BITCH",$AQ1037="FITS BITCH",$AS1037="FITS BITCH"),"BEARISH","")</f>
        <v>BEARISH</v>
      </c>
    </row>
    <row r="1038" customFormat="false" ht="15.75" hidden="false" customHeight="false" outlineLevel="0" collapsed="false">
      <c r="AE1038" s="90" t="n">
        <f aca="false">Data!A1033</f>
        <v>41472</v>
      </c>
      <c r="AF1038" s="17" t="n">
        <f aca="false">Data!B1033</f>
        <v>61.39</v>
      </c>
      <c r="AG1038" s="17" t="n">
        <f aca="false">Data!F1033</f>
        <v>49764064</v>
      </c>
      <c r="AH1038" s="17" t="n">
        <f aca="false">Data!C1033</f>
        <v>61.75</v>
      </c>
      <c r="AI1038" s="17" t="n">
        <f aca="false">Data!D1033</f>
        <v>61.17</v>
      </c>
      <c r="AJ1038" s="17" t="n">
        <f aca="false">Data!E1033</f>
        <v>61.47</v>
      </c>
      <c r="AK1038" s="17" t="n">
        <f aca="false">Data!F1033</f>
        <v>49764064</v>
      </c>
      <c r="AL1038" s="17" t="n">
        <f aca="false">AJ1038</f>
        <v>61.47</v>
      </c>
      <c r="AM1038" s="17" t="n">
        <f aca="false">(AL1038-AL1037)/AL1038*100</f>
        <v>-0.341630063445585</v>
      </c>
      <c r="AN1038" s="17" t="n">
        <f aca="false">(AK1038-AK1037)/AK1038*100</f>
        <v>-10.0408881396825</v>
      </c>
      <c r="AO1038" s="17" t="str">
        <f aca="false">IF(AN1038&lt;-8,"FITS BITCH",IF(AN1038&gt;-8,"no"))</f>
        <v>FITS BITCH</v>
      </c>
      <c r="AP1038" s="17" t="str">
        <f aca="false">IF(AH1039&lt;AH1038,"FITS BITCH",IF(AH1039&gt;AH1038,"no"))</f>
        <v>FITS BITCH</v>
      </c>
      <c r="AQ1038" s="17" t="str">
        <f aca="false">IF(AI1039&lt;AI1038,"FITS BITCH",IF(AI1039&gt;AI1038,"no"))</f>
        <v>FITS BITCH</v>
      </c>
      <c r="AR1038" s="17" t="str">
        <f aca="false">IF(AJ1038&lt;AH1039,"FITS BITCH",IF(AJ1038&gt;AH1039,"no"))</f>
        <v>FITS BITCH</v>
      </c>
      <c r="AS1038" s="17" t="str">
        <f aca="false">IF(AJ1038&gt;AJ1039,"FITS BITCH",IF(AJ1038&lt;AJ1039,"no"))</f>
        <v>FITS BITCH</v>
      </c>
      <c r="AT1038" s="91" t="str">
        <f aca="false">IF(AND($AO1038="FITS BITCH",$AP1038="FITS BITCH",$AR1038="FITS BITCH"),"BULLISH","")</f>
        <v>BULLISH</v>
      </c>
      <c r="AU1038" s="91" t="str">
        <f aca="false">IF(AND($AO1038="FITS BITCH",$AQ1038="FITS BITCH",$AS1038="FITS BITCH"),"BEARISH","")</f>
        <v>BEARISH</v>
      </c>
    </row>
    <row r="1039" customFormat="false" ht="15.75" hidden="false" customHeight="false" outlineLevel="0" collapsed="false">
      <c r="AE1039" s="90" t="n">
        <f aca="false">Data!A1034</f>
        <v>41471</v>
      </c>
      <c r="AF1039" s="17" t="n">
        <f aca="false">Data!B1034</f>
        <v>60.93</v>
      </c>
      <c r="AG1039" s="17" t="n">
        <f aca="false">Data!F1034</f>
        <v>54134367</v>
      </c>
      <c r="AH1039" s="17" t="n">
        <f aca="false">Data!C1034</f>
        <v>61.53</v>
      </c>
      <c r="AI1039" s="17" t="n">
        <f aca="false">Data!D1034</f>
        <v>60.6</v>
      </c>
      <c r="AJ1039" s="17" t="n">
        <f aca="false">Data!E1034</f>
        <v>61.46</v>
      </c>
      <c r="AK1039" s="17" t="n">
        <f aca="false">Data!F1034</f>
        <v>54134367</v>
      </c>
      <c r="AL1039" s="17" t="n">
        <f aca="false">AJ1039</f>
        <v>61.46</v>
      </c>
      <c r="AM1039" s="17" t="n">
        <f aca="false">(AL1039-AL1038)/AL1039*100</f>
        <v>-0.0162707452001269</v>
      </c>
      <c r="AN1039" s="17" t="n">
        <f aca="false">(AK1039-AK1038)/AK1039*100</f>
        <v>8.07306567378907</v>
      </c>
      <c r="AO1039" s="17" t="str">
        <f aca="false">IF(AN1039&lt;-8,"FITS BITCH",IF(AN1039&gt;-8,"no"))</f>
        <v>no</v>
      </c>
      <c r="AP1039" s="17" t="str">
        <f aca="false">IF(AH1040&lt;AH1039,"FITS BITCH",IF(AH1040&gt;AH1039,"no"))</f>
        <v>no</v>
      </c>
      <c r="AQ1039" s="17" t="str">
        <f aca="false">IF(AI1040&lt;AI1039,"FITS BITCH",IF(AI1040&gt;AI1039,"no"))</f>
        <v>no</v>
      </c>
      <c r="AR1039" s="17" t="str">
        <f aca="false">IF(AJ1039&lt;AH1040,"FITS BITCH",IF(AJ1039&gt;AH1040,"no"))</f>
        <v>FITS BITCH</v>
      </c>
      <c r="AS1039" s="17" t="str">
        <f aca="false">IF(AJ1039&gt;AJ1040,"FITS BITCH",IF(AJ1039&lt;AJ1040,"no"))</f>
        <v>FITS BITCH</v>
      </c>
      <c r="AT1039" s="91" t="str">
        <f aca="false">IF(AND($AO1039="FITS BITCH",$AP1039="FITS BITCH",$AR1039="FITS BITCH"),"BULLISH","")</f>
        <v/>
      </c>
      <c r="AU1039" s="91" t="str">
        <f aca="false">IF(AND($AO1039="FITS BITCH",$AQ1039="FITS BITCH",$AS1039="FITS BITCH"),"BEARISH","")</f>
        <v/>
      </c>
    </row>
    <row r="1040" customFormat="false" ht="15.75" hidden="false" customHeight="false" outlineLevel="0" collapsed="false">
      <c r="AE1040" s="90" t="n">
        <f aca="false">Data!A1035</f>
        <v>41470</v>
      </c>
      <c r="AF1040" s="17" t="n">
        <f aca="false">Data!B1035</f>
        <v>60.72</v>
      </c>
      <c r="AG1040" s="17" t="n">
        <f aca="false">Data!F1035</f>
        <v>60543105</v>
      </c>
      <c r="AH1040" s="17" t="n">
        <f aca="false">Data!C1035</f>
        <v>61.64</v>
      </c>
      <c r="AI1040" s="17" t="n">
        <f aca="false">Data!D1035</f>
        <v>60.69</v>
      </c>
      <c r="AJ1040" s="17" t="n">
        <f aca="false">Data!E1035</f>
        <v>61.06</v>
      </c>
      <c r="AK1040" s="17" t="n">
        <f aca="false">Data!F1035</f>
        <v>60543105</v>
      </c>
      <c r="AL1040" s="17" t="n">
        <f aca="false">AJ1040</f>
        <v>61.06</v>
      </c>
      <c r="AM1040" s="17" t="n">
        <f aca="false">(AL1040-AL1039)/AL1040*100</f>
        <v>-0.655093350802487</v>
      </c>
      <c r="AN1040" s="17" t="n">
        <f aca="false">(AK1040-AK1039)/AK1040*100</f>
        <v>10.5854134835007</v>
      </c>
      <c r="AO1040" s="17" t="str">
        <f aca="false">IF(AN1040&lt;-8,"FITS BITCH",IF(AN1040&gt;-8,"no"))</f>
        <v>no</v>
      </c>
      <c r="AP1040" s="17" t="str">
        <f aca="false">IF(AH1041&lt;AH1040,"FITS BITCH",IF(AH1041&gt;AH1040,"no"))</f>
        <v>FITS BITCH</v>
      </c>
      <c r="AQ1040" s="17" t="str">
        <f aca="false">IF(AI1041&lt;AI1040,"FITS BITCH",IF(AI1041&gt;AI1040,"no"))</f>
        <v>FITS BITCH</v>
      </c>
      <c r="AR1040" s="17" t="str">
        <f aca="false">IF(AJ1040&lt;AH1041,"FITS BITCH",IF(AJ1040&gt;AH1041,"no"))</f>
        <v>FITS BITCH</v>
      </c>
      <c r="AS1040" s="17" t="str">
        <f aca="false">IF(AJ1040&gt;AJ1041,"FITS BITCH",IF(AJ1040&lt;AJ1041,"no"))</f>
        <v>FITS BITCH</v>
      </c>
      <c r="AT1040" s="91" t="str">
        <f aca="false">IF(AND($AO1040="FITS BITCH",$AP1040="FITS BITCH",$AR1040="FITS BITCH"),"BULLISH","")</f>
        <v/>
      </c>
      <c r="AU1040" s="91" t="str">
        <f aca="false">IF(AND($AO1040="FITS BITCH",$AQ1040="FITS BITCH",$AS1040="FITS BITCH"),"BEARISH","")</f>
        <v/>
      </c>
    </row>
    <row r="1041" customFormat="false" ht="15.75" hidden="false" customHeight="false" outlineLevel="0" collapsed="false">
      <c r="AE1041" s="90" t="n">
        <f aca="false">Data!A1036</f>
        <v>41467</v>
      </c>
      <c r="AF1041" s="17" t="n">
        <f aca="false">Data!B1036</f>
        <v>61.09</v>
      </c>
      <c r="AG1041" s="17" t="n">
        <f aca="false">Data!F1036</f>
        <v>69910463</v>
      </c>
      <c r="AH1041" s="17" t="n">
        <f aca="false">Data!C1036</f>
        <v>61.4</v>
      </c>
      <c r="AI1041" s="17" t="n">
        <f aca="false">Data!D1036</f>
        <v>60.49</v>
      </c>
      <c r="AJ1041" s="17" t="n">
        <f aca="false">Data!E1036</f>
        <v>60.93</v>
      </c>
      <c r="AK1041" s="17" t="n">
        <f aca="false">Data!F1036</f>
        <v>69910463</v>
      </c>
      <c r="AL1041" s="17" t="n">
        <f aca="false">AJ1041</f>
        <v>60.93</v>
      </c>
      <c r="AM1041" s="17" t="n">
        <f aca="false">(AL1041-AL1040)/AL1041*100</f>
        <v>-0.21335959297555</v>
      </c>
      <c r="AN1041" s="17" t="n">
        <f aca="false">(AK1041-AK1040)/AK1041*100</f>
        <v>13.399078761644</v>
      </c>
      <c r="AO1041" s="17" t="str">
        <f aca="false">IF(AN1041&lt;-8,"FITS BITCH",IF(AN1041&gt;-8,"no"))</f>
        <v>no</v>
      </c>
      <c r="AP1041" s="17" t="str">
        <f aca="false">IF(AH1042&lt;AH1041,"FITS BITCH",IF(AH1042&gt;AH1041,"no"))</f>
        <v>FITS BITCH</v>
      </c>
      <c r="AQ1041" s="17" t="str">
        <f aca="false">IF(AI1042&lt;AI1041,"FITS BITCH",IF(AI1042&gt;AI1041,"no"))</f>
        <v>FITS BITCH</v>
      </c>
      <c r="AR1041" s="17" t="str">
        <f aca="false">IF(AJ1041&lt;AH1042,"FITS BITCH",IF(AJ1041&gt;AH1042,"no"))</f>
        <v>FITS BITCH</v>
      </c>
      <c r="AS1041" s="17" t="str">
        <f aca="false">IF(AJ1041&gt;AJ1042,"FITS BITCH",IF(AJ1041&lt;AJ1042,"no"))</f>
        <v>no</v>
      </c>
      <c r="AT1041" s="91" t="str">
        <f aca="false">IF(AND($AO1041="FITS BITCH",$AP1041="FITS BITCH",$AR1041="FITS BITCH"),"BULLISH","")</f>
        <v/>
      </c>
      <c r="AU1041" s="91" t="str">
        <f aca="false">IF(AND($AO1041="FITS BITCH",$AQ1041="FITS BITCH",$AS1041="FITS BITCH"),"BEARISH","")</f>
        <v/>
      </c>
    </row>
    <row r="1042" customFormat="false" ht="15.75" hidden="false" customHeight="false" outlineLevel="0" collapsed="false">
      <c r="AE1042" s="90" t="n">
        <f aca="false">Data!A1037</f>
        <v>41466</v>
      </c>
      <c r="AF1042" s="17" t="n">
        <f aca="false">Data!B1037</f>
        <v>60.42</v>
      </c>
      <c r="AG1042" s="17" t="n">
        <f aca="false">Data!F1037</f>
        <v>81618964</v>
      </c>
      <c r="AH1042" s="17" t="n">
        <f aca="false">Data!C1037</f>
        <v>61.18</v>
      </c>
      <c r="AI1042" s="17" t="n">
        <f aca="false">Data!D1037</f>
        <v>60.17</v>
      </c>
      <c r="AJ1042" s="17" t="n">
        <f aca="false">Data!E1037</f>
        <v>61.04</v>
      </c>
      <c r="AK1042" s="17" t="n">
        <f aca="false">Data!F1037</f>
        <v>81618964</v>
      </c>
      <c r="AL1042" s="17" t="n">
        <f aca="false">AJ1042</f>
        <v>61.04</v>
      </c>
      <c r="AM1042" s="17" t="n">
        <f aca="false">(AL1042-AL1041)/AL1042*100</f>
        <v>0.180209698558322</v>
      </c>
      <c r="AN1042" s="17" t="n">
        <f aca="false">(AK1042-AK1041)/AK1042*100</f>
        <v>14.3453193059397</v>
      </c>
      <c r="AO1042" s="17" t="str">
        <f aca="false">IF(AN1042&lt;-8,"FITS BITCH",IF(AN1042&gt;-8,"no"))</f>
        <v>no</v>
      </c>
      <c r="AP1042" s="17" t="str">
        <f aca="false">IF(AH1043&lt;AH1042,"FITS BITCH",IF(AH1043&gt;AH1042,"no"))</f>
        <v>FITS BITCH</v>
      </c>
      <c r="AQ1042" s="17" t="str">
        <f aca="false">IF(AI1043&lt;AI1042,"FITS BITCH",IF(AI1043&gt;AI1042,"no"))</f>
        <v>FITS BITCH</v>
      </c>
      <c r="AR1042" s="17" t="str">
        <f aca="false">IF(AJ1042&lt;AH1043,"FITS BITCH",IF(AJ1042&gt;AH1043,"no"))</f>
        <v>no</v>
      </c>
      <c r="AS1042" s="17" t="str">
        <f aca="false">IF(AJ1042&gt;AJ1043,"FITS BITCH",IF(AJ1042&lt;AJ1043,"no"))</f>
        <v>FITS BITCH</v>
      </c>
      <c r="AT1042" s="91" t="str">
        <f aca="false">IF(AND($AO1042="FITS BITCH",$AP1042="FITS BITCH",$AR1042="FITS BITCH"),"BULLISH","")</f>
        <v/>
      </c>
      <c r="AU1042" s="91" t="str">
        <f aca="false">IF(AND($AO1042="FITS BITCH",$AQ1042="FITS BITCH",$AS1042="FITS BITCH"),"BEARISH","")</f>
        <v/>
      </c>
    </row>
  </sheetData>
  <mergeCells count="20">
    <mergeCell ref="B1:N1"/>
    <mergeCell ref="AE1:AM1"/>
    <mergeCell ref="BR1:CJ1"/>
    <mergeCell ref="B2:G2"/>
    <mergeCell ref="B5:E5"/>
    <mergeCell ref="V6:AC6"/>
    <mergeCell ref="C85:E85"/>
    <mergeCell ref="C86:E86"/>
    <mergeCell ref="C87:E87"/>
    <mergeCell ref="C88:E88"/>
    <mergeCell ref="C89:E89"/>
    <mergeCell ref="C90:E90"/>
    <mergeCell ref="C91:E91"/>
    <mergeCell ref="C92:E92"/>
    <mergeCell ref="C93:E93"/>
    <mergeCell ref="C94:E94"/>
    <mergeCell ref="C95:E95"/>
    <mergeCell ref="C97:E97"/>
    <mergeCell ref="C98:E98"/>
    <mergeCell ref="C99:E99"/>
  </mergeCells>
  <conditionalFormatting sqref="H11">
    <cfRule type="containsText" priority="2" aboveAverage="0" equalAverage="0" bottom="0" percent="0" rank="0" text="even" dxfId="0"/>
    <cfRule type="containsText" priority="3" aboveAverage="0" equalAverage="0" bottom="0" percent="0" rank="0" text="High Volatility" dxfId="1"/>
    <cfRule type="containsText" priority="4" aboveAverage="0" equalAverage="0" bottom="0" percent="0" rank="0" text="Low Volatility" dxfId="2"/>
  </conditionalFormatting>
  <conditionalFormatting sqref="D9:D10 C8:E8">
    <cfRule type="containsText" priority="5" aboveAverage="0" equalAverage="0" bottom="0" percent="0" rank="0" text="High" dxfId="3"/>
  </conditionalFormatting>
  <conditionalFormatting sqref="C8:E8 D9:D10">
    <cfRule type="containsText" priority="6" aboveAverage="0" equalAverage="0" bottom="0" percent="0" rank="0" text="Medium" dxfId="4"/>
    <cfRule type="containsText" priority="7" aboveAverage="0" equalAverage="0" bottom="0" percent="0" rank="0" text="Low" dxfId="5"/>
  </conditionalFormatting>
  <conditionalFormatting sqref="D8:D10">
    <cfRule type="containsText" priority="8" aboveAverage="0" equalAverage="0" bottom="0" percent="0" rank="0" text="Average" dxfId="6"/>
  </conditionalFormatting>
  <conditionalFormatting sqref="I11">
    <cfRule type="containsText" priority="9" aboveAverage="0" equalAverage="0" bottom="0" percent="0" rank="0" text="current close is above 52 week avg" dxfId="7"/>
    <cfRule type="containsText" priority="10" aboveAverage="0" equalAverage="0" bottom="0" percent="0" rank="0" text="current close is below 52 week avg" dxfId="8"/>
  </conditionalFormatting>
  <conditionalFormatting sqref="J11">
    <cfRule type="containsText" priority="11" aboveAverage="0" equalAverage="0" bottom="0" percent="0" rank="0" text="Part mind No heart" dxfId="9"/>
    <cfRule type="containsText" priority="12" aboveAverage="0" equalAverage="0" bottom="0" percent="0" rank="0" text="Heart is there" dxfId="10"/>
    <cfRule type="containsText" priority="13" aboveAverage="0" equalAverage="0" bottom="0" percent="0" rank="0" text="Mind is there" dxfId="11"/>
    <cfRule type="containsText" priority="14" aboveAverage="0" equalAverage="0" bottom="0" percent="0" rank="0" text="Heart and mind aint there at all" dxfId="0"/>
    <cfRule type="containsText" priority="15" aboveAverage="0" equalAverage="0" bottom="0" percent="0" rank="0" text="Heart and mind kick ass" dxfId="1"/>
  </conditionalFormatting>
  <conditionalFormatting sqref="L18">
    <cfRule type="containsText" priority="16" aboveAverage="0" equalAverage="0" bottom="0" percent="0" rank="0" text="Part mind No heart" dxfId="2"/>
    <cfRule type="containsText" priority="17" aboveAverage="0" equalAverage="0" bottom="0" percent="0" rank="0" text="Part mind No heart" dxfId="3"/>
  </conditionalFormatting>
  <conditionalFormatting sqref="L11">
    <cfRule type="containsText" priority="18" aboveAverage="0" equalAverage="0" bottom="0" percent="0" rank="0" text="This gets you a decent amount compared to industry standard" dxfId="4"/>
    <cfRule type="containsText" priority="19" aboveAverage="0" equalAverage="0" bottom="0" percent="0" rank="0" text="Spend a lot of dollars to get 1" dxfId="5"/>
  </conditionalFormatting>
  <conditionalFormatting sqref="H12">
    <cfRule type="containsText" priority="20" aboveAverage="0" equalAverage="0" bottom="0" percent="0" rank="0" text="no" dxfId="6"/>
    <cfRule type="containsText" priority="21" aboveAverage="0" equalAverage="0" bottom="0" percent="0" rank="0" text="yes" dxfId="7"/>
  </conditionalFormatting>
  <conditionalFormatting sqref="I12">
    <cfRule type="containsText" priority="22" aboveAverage="0" equalAverage="0" bottom="0" percent="0" rank="0" text="yes" dxfId="8"/>
    <cfRule type="containsText" priority="23" aboveAverage="0" equalAverage="0" bottom="0" percent="0" rank="0" text="no" dxfId="9"/>
  </conditionalFormatting>
  <conditionalFormatting sqref="N8">
    <cfRule type="containsText" priority="24" aboveAverage="0" equalAverage="0" bottom="0" percent="0" rank="0" text="Not a straight stock buy, so move onto step 2 as option is more likely" dxfId="10"/>
    <cfRule type="containsText" priority="25" aboveAverage="0" equalAverage="0" bottom="0" percent="0" rank="0" text="Not a buy, so move onto step 2" dxfId="11"/>
    <cfRule type="containsText" priority="26" aboveAverage="0" equalAverage="0" bottom="0" percent="0" rank="0" text="Great Buy" dxfId="0"/>
  </conditionalFormatting>
  <conditionalFormatting sqref="BL41">
    <cfRule type="iconSet" priority="27">
      <iconSet iconSet="5Arrows">
        <cfvo type="percent" val="0"/>
        <cfvo type="percent" val="20"/>
        <cfvo type="percent" val="40"/>
        <cfvo type="percent" val="60"/>
        <cfvo type="percent" val="80"/>
      </iconSet>
    </cfRule>
  </conditionalFormatting>
  <conditionalFormatting sqref="BM19">
    <cfRule type="cellIs" priority="28" operator="lessThan" aboveAverage="0" equalAverage="0" bottom="0" percent="0" rank="0" text="" dxfId="1">
      <formula>$BM$16</formula>
    </cfRule>
    <cfRule type="cellIs" priority="29" operator="greaterThan" aboveAverage="0" equalAverage="0" bottom="0" percent="0" rank="0" text="" dxfId="2">
      <formula>$BM$16</formula>
    </cfRule>
  </conditionalFormatting>
  <conditionalFormatting sqref="BM20">
    <cfRule type="cellIs" priority="30" operator="greaterThan" aboveAverage="0" equalAverage="0" bottom="0" percent="0" rank="0" text="" dxfId="3">
      <formula>$BM$17</formula>
    </cfRule>
    <cfRule type="cellIs" priority="31" operator="lessThan" aboveAverage="0" equalAverage="0" bottom="0" percent="0" rank="0" text="" dxfId="4">
      <formula>$BM$17</formula>
    </cfRule>
  </conditionalFormatting>
  <conditionalFormatting sqref="BB69:BK69">
    <cfRule type="iconSet" priority="32">
      <iconSet iconSet="3TrafficLights1">
        <cfvo type="percent" val="0"/>
        <cfvo type="num" val="0.33"/>
        <cfvo type="num" val="0.66"/>
      </iconSet>
    </cfRule>
  </conditionalFormatting>
  <conditionalFormatting sqref="BB98:BK98">
    <cfRule type="iconSet" priority="33">
      <iconSet iconSet="3TrafficLights1">
        <cfvo type="percent" val="0"/>
        <cfvo type="num" val="0.33"/>
        <cfvo type="num" val="0.66"/>
      </iconSet>
    </cfRule>
  </conditionalFormatting>
  <conditionalFormatting sqref="AZ6">
    <cfRule type="containsText" priority="34" aboveAverage="0" equalAverage="0" bottom="0" percent="0" rank="0" text="Down - Regression is low" dxfId="5"/>
    <cfRule type="containsText" priority="35" aboveAverage="0" equalAverage="0" bottom="0" percent="0" rank="0" text="Down - Regression is ok" dxfId="6"/>
    <cfRule type="containsText" priority="36" aboveAverage="0" equalAverage="0" bottom="0" percent="0" rank="0" text="Down - Regression is great" dxfId="7"/>
    <cfRule type="containsText" priority="37" aboveAverage="0" equalAverage="0" bottom="0" percent="0" rank="0" text="Up - Regression is great" dxfId="8"/>
    <cfRule type="containsText" priority="38" aboveAverage="0" equalAverage="0" bottom="0" percent="0" rank="0" text="Up - Regression is ok" dxfId="9"/>
    <cfRule type="containsText" priority="39" aboveAverage="0" equalAverage="0" bottom="0" percent="0" rank="0" text="Up - Regression is low" dxfId="10"/>
    <cfRule type="containsText" priority="40" aboveAverage="0" equalAverage="0" bottom="0" percent="0" rank="0" text="Neutral" dxfId="11"/>
    <cfRule type="containsText" priority="41" aboveAverage="0" equalAverage="0" bottom="0" percent="0" rank="0" text="Down" dxfId="12"/>
    <cfRule type="containsText" priority="42" aboveAverage="0" equalAverage="0" bottom="0" percent="0" rank="0" text="Up" dxfId="13"/>
  </conditionalFormatting>
  <conditionalFormatting sqref="BH6">
    <cfRule type="containsText" priority="43" aboveAverage="0" equalAverage="0" bottom="0" percent="0" rank="0" text="Neutral" dxfId="14"/>
    <cfRule type="containsText" priority="44" aboveAverage="0" equalAverage="0" bottom="0" percent="0" rank="0" text="Down" dxfId="15"/>
    <cfRule type="containsText" priority="45" aboveAverage="0" equalAverage="0" bottom="0" percent="0" rank="0" text="Up" dxfId="16"/>
  </conditionalFormatting>
  <conditionalFormatting sqref="D8">
    <cfRule type="containsText" priority="46" aboveAverage="0" equalAverage="0" bottom="0" percent="0" rank="0" text="Low Profits" dxfId="17"/>
    <cfRule type="containsText" priority="47" aboveAverage="0" equalAverage="0" bottom="0" percent="0" rank="0" text="Average Profits" dxfId="18"/>
    <cfRule type="containsText" priority="48" aboveAverage="0" equalAverage="0" bottom="0" percent="0" rank="0" text="High Profits" dxfId="19"/>
  </conditionalFormatting>
  <conditionalFormatting sqref="D9">
    <cfRule type="containsText" priority="49" aboveAverage="0" equalAverage="0" bottom="0" percent="0" rank="0" text="Average Efficiency" dxfId="20"/>
    <cfRule type="containsText" priority="50" aboveAverage="0" equalAverage="0" bottom="0" percent="0" rank="0" text="High Efficiency" dxfId="21"/>
    <cfRule type="containsText" priority="51" aboveAverage="0" equalAverage="0" bottom="0" percent="0" rank="0" text="Low Efficiency" dxfId="22"/>
  </conditionalFormatting>
  <conditionalFormatting sqref="D10">
    <cfRule type="containsText" priority="52" aboveAverage="0" equalAverage="0" bottom="0" percent="0" rank="0" text="High Growth" dxfId="23"/>
    <cfRule type="containsText" priority="53" aboveAverage="0" equalAverage="0" bottom="0" percent="0" rank="0" text="Average Growth" dxfId="24"/>
    <cfRule type="containsText" priority="54" aboveAverage="0" equalAverage="0" bottom="0" percent="0" rank="0" text="Low Growth" dxfId="25"/>
  </conditionalFormatting>
  <conditionalFormatting sqref="E8">
    <cfRule type="containsText" priority="55" aboveAverage="0" equalAverage="0" bottom="0" percent="0" rank="0" text="Average" dxfId="26"/>
  </conditionalFormatting>
  <conditionalFormatting sqref="BA69">
    <cfRule type="iconSet" priority="56">
      <iconSet iconSet="3TrafficLights1">
        <cfvo type="percent" val="0"/>
        <cfvo type="num" val="0.33"/>
        <cfvo type="num" val="0.66"/>
      </iconSet>
    </cfRule>
  </conditionalFormatting>
  <conditionalFormatting sqref="BC39:BK39 BA39">
    <cfRule type="iconSet" priority="57">
      <iconSet iconSet="3TrafficLights1">
        <cfvo type="percent" val="0"/>
        <cfvo type="num" val="0.33"/>
        <cfvo type="num" val="0.66"/>
      </iconSet>
    </cfRule>
  </conditionalFormatting>
  <conditionalFormatting sqref="BA98">
    <cfRule type="iconSet" priority="58">
      <iconSet iconSet="3TrafficLights1">
        <cfvo type="percent" val="0"/>
        <cfvo type="num" val="0.33"/>
        <cfvo type="num" val="0.66"/>
      </iconSet>
    </cfRule>
  </conditionalFormatting>
  <dataValidations count="1">
    <dataValidation allowBlank="false" operator="between" showDropDown="false" showErrorMessage="true" showInputMessage="true" sqref="AZ6 BH6" type="none">
      <formula1>0</formula1>
      <formula2>0</formula2>
    </dataValidation>
  </dataValidations>
  <printOptions headings="false" gridLines="true" gridLinesSet="true" horizontalCentered="true" verticalCentered="true"/>
  <pageMargins left="0.75" right="0.75" top="1" bottom="1" header="0.5" footer="0.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&amp;L280 Group, LLC.&amp;Rwww.280group.com</oddHeader>
    <oddFooter>&amp;LCopyright © 2007 280 Group, LLC.  Content Copyright © 2007 Blackblot.  Used by permission.  All rights reserved.&amp;R&amp;P</oddFooter>
  </headerFooter>
  <drawing r:id="rId2"/>
  <legacyDrawing r:id="rId3"/>
</worksheet>
</file>

<file path=xl/worksheets/sheet3.xml><?xml version="1.0" encoding="utf-8"?>
<worksheet xmlns="http://schemas.openxmlformats.org/spreadsheetml/2006/main" xmlns:r="http://schemas.openxmlformats.org/officeDocument/2006/relationships">
  <sheetPr filterMode="false">
    <tabColor rgb="FFFF0000"/>
    <pageSetUpPr fitToPage="false"/>
  </sheetPr>
  <dimension ref="A1:F1038"/>
  <sheetViews>
    <sheetView showFormulas="false" showGridLines="true" showRowColHeaders="true" showZeros="true" rightToLeft="false" tabSelected="false" showOutlineSymbols="true" defaultGridColor="true" view="normal" topLeftCell="A1006" colorId="64" zoomScale="76" zoomScaleNormal="76" zoomScalePageLayoutView="100" workbookViewId="0">
      <selection pane="topLeft" activeCell="F1007" activeCellId="0" sqref="F1007"/>
    </sheetView>
  </sheetViews>
  <sheetFormatPr defaultRowHeight="12.75"/>
  <cols>
    <col collapsed="false" hidden="false" max="7" min="1" style="0" width="12.4183673469388"/>
    <col collapsed="false" hidden="false" max="1025" min="8" style="0" width="10.8010204081633"/>
  </cols>
  <sheetData>
    <row r="1" customFormat="false" ht="12.8" hidden="false" customHeight="false" outlineLevel="0" collapsed="false">
      <c r="B1" s="0" t="s">
        <v>133</v>
      </c>
      <c r="C1" s="0" t="s">
        <v>88</v>
      </c>
      <c r="D1" s="0" t="s">
        <v>134</v>
      </c>
      <c r="E1" s="0" t="s">
        <v>135</v>
      </c>
      <c r="F1" s="0" t="s">
        <v>136</v>
      </c>
    </row>
    <row r="2" customFormat="false" ht="12.75" hidden="false" customHeight="false" outlineLevel="0" collapsed="false">
      <c r="A2" s="129" t="n">
        <v>42965</v>
      </c>
      <c r="B2" s="0" t="n">
        <v>157.86</v>
      </c>
      <c r="C2" s="0" t="n">
        <v>159.5</v>
      </c>
      <c r="D2" s="0" t="n">
        <v>156.72</v>
      </c>
      <c r="E2" s="0" t="n">
        <v>157.5</v>
      </c>
      <c r="F2" s="0" t="n">
        <v>27353246</v>
      </c>
    </row>
    <row r="3" customFormat="false" ht="12.75" hidden="false" customHeight="false" outlineLevel="0" collapsed="false">
      <c r="A3" s="129" t="n">
        <v>42964</v>
      </c>
      <c r="B3" s="0" t="n">
        <v>160.52</v>
      </c>
      <c r="C3" s="0" t="n">
        <v>160.71</v>
      </c>
      <c r="D3" s="0" t="n">
        <v>157.84</v>
      </c>
      <c r="E3" s="0" t="n">
        <v>157.86</v>
      </c>
      <c r="F3" s="0" t="n">
        <v>27940565</v>
      </c>
    </row>
    <row r="4" customFormat="false" ht="12.75" hidden="false" customHeight="false" outlineLevel="0" collapsed="false">
      <c r="A4" s="129" t="n">
        <v>42963</v>
      </c>
      <c r="B4" s="0" t="n">
        <v>161.94</v>
      </c>
      <c r="C4" s="0" t="n">
        <v>162.51</v>
      </c>
      <c r="D4" s="0" t="n">
        <v>160.15</v>
      </c>
      <c r="E4" s="0" t="n">
        <v>160.95</v>
      </c>
      <c r="F4" s="0" t="n">
        <v>27671612</v>
      </c>
    </row>
    <row r="5" customFormat="false" ht="12.75" hidden="false" customHeight="false" outlineLevel="0" collapsed="false">
      <c r="A5" s="129" t="n">
        <v>42962</v>
      </c>
      <c r="B5" s="0" t="n">
        <v>160.66</v>
      </c>
      <c r="C5" s="0" t="n">
        <v>162.2</v>
      </c>
      <c r="D5" s="0" t="n">
        <v>160.14</v>
      </c>
      <c r="E5" s="0" t="n">
        <v>161.6</v>
      </c>
      <c r="F5" s="0" t="n">
        <v>29465487</v>
      </c>
    </row>
    <row r="6" customFormat="false" ht="12.75" hidden="false" customHeight="false" outlineLevel="0" collapsed="false">
      <c r="A6" s="129" t="n">
        <v>42961</v>
      </c>
      <c r="B6" s="0" t="n">
        <v>159.32</v>
      </c>
      <c r="C6" s="0" t="n">
        <v>160.21</v>
      </c>
      <c r="D6" s="0" t="n">
        <v>158.75</v>
      </c>
      <c r="E6" s="0" t="n">
        <v>159.85</v>
      </c>
      <c r="F6" s="0" t="n">
        <v>22122734</v>
      </c>
    </row>
    <row r="7" customFormat="false" ht="12.75" hidden="false" customHeight="false" outlineLevel="0" collapsed="false">
      <c r="A7" s="129" t="n">
        <v>42958</v>
      </c>
      <c r="B7" s="0" t="n">
        <v>156.6</v>
      </c>
      <c r="C7" s="0" t="n">
        <v>158.57</v>
      </c>
      <c r="D7" s="0" t="n">
        <v>156.07</v>
      </c>
      <c r="E7" s="0" t="n">
        <v>157.48</v>
      </c>
      <c r="F7" s="0" t="n">
        <v>26257096</v>
      </c>
    </row>
    <row r="8" customFormat="false" ht="12.75" hidden="false" customHeight="false" outlineLevel="0" collapsed="false">
      <c r="A8" s="129" t="n">
        <v>42957</v>
      </c>
      <c r="B8" s="0" t="n">
        <v>159.9</v>
      </c>
      <c r="C8" s="0" t="n">
        <v>160</v>
      </c>
      <c r="D8" s="0" t="n">
        <v>154.63</v>
      </c>
      <c r="E8" s="0" t="n">
        <v>155.32</v>
      </c>
      <c r="F8" s="0" t="n">
        <v>40804273</v>
      </c>
    </row>
    <row r="9" customFormat="false" ht="12.75" hidden="false" customHeight="false" outlineLevel="0" collapsed="false">
      <c r="A9" s="129" t="n">
        <v>42956</v>
      </c>
      <c r="B9" s="0" t="n">
        <v>159.26</v>
      </c>
      <c r="C9" s="0" t="n">
        <v>161.27</v>
      </c>
      <c r="D9" s="0" t="n">
        <v>159.11</v>
      </c>
      <c r="E9" s="0" t="n">
        <v>161.06</v>
      </c>
      <c r="F9" s="0" t="n">
        <v>26131530</v>
      </c>
    </row>
    <row r="10" customFormat="false" ht="12.75" hidden="false" customHeight="false" outlineLevel="0" collapsed="false">
      <c r="A10" s="129" t="n">
        <v>42955</v>
      </c>
      <c r="B10" s="0" t="n">
        <v>158.6</v>
      </c>
      <c r="C10" s="0" t="n">
        <v>161.83</v>
      </c>
      <c r="D10" s="0" t="n">
        <v>158.27</v>
      </c>
      <c r="E10" s="0" t="n">
        <v>160.08</v>
      </c>
      <c r="F10" s="0" t="n">
        <v>36205896</v>
      </c>
    </row>
    <row r="11" customFormat="false" ht="12.75" hidden="false" customHeight="false" outlineLevel="0" collapsed="false">
      <c r="A11" s="129" t="n">
        <v>42954</v>
      </c>
      <c r="B11" s="0" t="n">
        <v>157.06</v>
      </c>
      <c r="C11" s="0" t="n">
        <v>158.92</v>
      </c>
      <c r="D11" s="0" t="n">
        <v>156.67</v>
      </c>
      <c r="E11" s="0" t="n">
        <v>158.81</v>
      </c>
      <c r="F11" s="0" t="n">
        <v>21870321</v>
      </c>
    </row>
    <row r="12" customFormat="false" ht="12.75" hidden="false" customHeight="false" outlineLevel="0" collapsed="false">
      <c r="A12" s="129" t="n">
        <v>42951</v>
      </c>
      <c r="B12" s="0" t="n">
        <v>156.07</v>
      </c>
      <c r="C12" s="0" t="n">
        <v>157.4</v>
      </c>
      <c r="D12" s="0" t="n">
        <v>155.69</v>
      </c>
      <c r="E12" s="0" t="n">
        <v>156.39</v>
      </c>
      <c r="F12" s="0" t="n">
        <v>20559852</v>
      </c>
    </row>
    <row r="13" customFormat="false" ht="12.75" hidden="false" customHeight="false" outlineLevel="0" collapsed="false">
      <c r="A13" s="129" t="n">
        <v>42950</v>
      </c>
      <c r="B13" s="0" t="n">
        <v>157.05</v>
      </c>
      <c r="C13" s="0" t="n">
        <v>157.21</v>
      </c>
      <c r="D13" s="0" t="n">
        <v>155.02</v>
      </c>
      <c r="E13" s="0" t="n">
        <v>155.57</v>
      </c>
      <c r="F13" s="0" t="n">
        <v>27097296</v>
      </c>
    </row>
    <row r="14" customFormat="false" ht="12.75" hidden="false" customHeight="false" outlineLevel="0" collapsed="false">
      <c r="A14" s="129" t="n">
        <v>42949</v>
      </c>
      <c r="B14" s="0" t="n">
        <v>159.28</v>
      </c>
      <c r="C14" s="0" t="n">
        <v>159.75</v>
      </c>
      <c r="D14" s="0" t="n">
        <v>156.16</v>
      </c>
      <c r="E14" s="0" t="n">
        <v>157.14</v>
      </c>
      <c r="F14" s="0" t="n">
        <v>69936800</v>
      </c>
    </row>
    <row r="15" customFormat="false" ht="12.75" hidden="false" customHeight="false" outlineLevel="0" collapsed="false">
      <c r="A15" s="129" t="n">
        <v>42948</v>
      </c>
      <c r="B15" s="0" t="n">
        <v>149.1</v>
      </c>
      <c r="C15" s="0" t="n">
        <v>150.22</v>
      </c>
      <c r="D15" s="0" t="n">
        <v>148.41</v>
      </c>
      <c r="E15" s="0" t="n">
        <v>150.05</v>
      </c>
      <c r="F15" s="0" t="n">
        <v>35368645</v>
      </c>
    </row>
    <row r="16" customFormat="false" ht="12.75" hidden="false" customHeight="false" outlineLevel="0" collapsed="false">
      <c r="A16" s="129" t="n">
        <v>42947</v>
      </c>
      <c r="B16" s="0" t="n">
        <v>149.9</v>
      </c>
      <c r="C16" s="0" t="n">
        <v>150.33</v>
      </c>
      <c r="D16" s="0" t="n">
        <v>148.13</v>
      </c>
      <c r="E16" s="0" t="n">
        <v>148.73</v>
      </c>
      <c r="F16" s="0" t="n">
        <v>19845920</v>
      </c>
    </row>
    <row r="17" customFormat="false" ht="12.75" hidden="false" customHeight="false" outlineLevel="0" collapsed="false">
      <c r="A17" s="129" t="n">
        <v>42944</v>
      </c>
      <c r="B17" s="0" t="n">
        <v>149.89</v>
      </c>
      <c r="C17" s="0" t="n">
        <v>150.23</v>
      </c>
      <c r="D17" s="0" t="n">
        <v>149.19</v>
      </c>
      <c r="E17" s="0" t="n">
        <v>149.5</v>
      </c>
      <c r="F17" s="0" t="n">
        <v>17213653</v>
      </c>
    </row>
    <row r="18" customFormat="false" ht="12.75" hidden="false" customHeight="false" outlineLevel="0" collapsed="false">
      <c r="A18" s="129" t="n">
        <v>42943</v>
      </c>
      <c r="B18" s="0" t="n">
        <v>153.75</v>
      </c>
      <c r="C18" s="0" t="n">
        <v>153.99</v>
      </c>
      <c r="D18" s="0" t="n">
        <v>147.3</v>
      </c>
      <c r="E18" s="0" t="n">
        <v>150.56</v>
      </c>
      <c r="F18" s="0" t="n">
        <v>32476337</v>
      </c>
    </row>
    <row r="19" customFormat="false" ht="12.75" hidden="false" customHeight="false" outlineLevel="0" collapsed="false">
      <c r="A19" s="129" t="n">
        <v>42942</v>
      </c>
      <c r="B19" s="0" t="n">
        <v>153.35</v>
      </c>
      <c r="C19" s="0" t="n">
        <v>153.93</v>
      </c>
      <c r="D19" s="0" t="n">
        <v>153.06</v>
      </c>
      <c r="E19" s="0" t="n">
        <v>153.46</v>
      </c>
      <c r="F19" s="0" t="n">
        <v>15780951</v>
      </c>
    </row>
    <row r="20" customFormat="false" ht="12.75" hidden="false" customHeight="false" outlineLevel="0" collapsed="false">
      <c r="A20" s="129" t="n">
        <v>42941</v>
      </c>
      <c r="B20" s="0" t="n">
        <v>151.8</v>
      </c>
      <c r="C20" s="0" t="n">
        <v>153.84</v>
      </c>
      <c r="D20" s="0" t="n">
        <v>151.8</v>
      </c>
      <c r="E20" s="0" t="n">
        <v>152.74</v>
      </c>
      <c r="F20" s="0" t="n">
        <v>18853932</v>
      </c>
    </row>
    <row r="21" customFormat="false" ht="12.75" hidden="false" customHeight="false" outlineLevel="0" collapsed="false">
      <c r="A21" s="129" t="n">
        <v>42940</v>
      </c>
      <c r="B21" s="0" t="n">
        <v>150.58</v>
      </c>
      <c r="C21" s="0" t="n">
        <v>152.44</v>
      </c>
      <c r="D21" s="0" t="n">
        <v>149.9</v>
      </c>
      <c r="E21" s="0" t="n">
        <v>152.09</v>
      </c>
      <c r="F21" s="0" t="n">
        <v>21493160</v>
      </c>
    </row>
    <row r="22" customFormat="false" ht="12.75" hidden="false" customHeight="false" outlineLevel="0" collapsed="false">
      <c r="A22" s="129" t="n">
        <v>42937</v>
      </c>
      <c r="B22" s="0" t="n">
        <v>149.99</v>
      </c>
      <c r="C22" s="0" t="n">
        <v>150.44</v>
      </c>
      <c r="D22" s="0" t="n">
        <v>148.88</v>
      </c>
      <c r="E22" s="0" t="n">
        <v>150.27</v>
      </c>
      <c r="F22" s="0" t="n">
        <v>26252630</v>
      </c>
    </row>
    <row r="23" customFormat="false" ht="12.75" hidden="false" customHeight="false" outlineLevel="0" collapsed="false">
      <c r="A23" s="129" t="n">
        <v>42936</v>
      </c>
      <c r="B23" s="0" t="n">
        <v>151.5</v>
      </c>
      <c r="C23" s="0" t="n">
        <v>151.74</v>
      </c>
      <c r="D23" s="0" t="n">
        <v>150.19</v>
      </c>
      <c r="E23" s="0" t="n">
        <v>150.34</v>
      </c>
      <c r="F23" s="0" t="n">
        <v>17243748</v>
      </c>
    </row>
    <row r="24" customFormat="false" ht="12.75" hidden="false" customHeight="false" outlineLevel="0" collapsed="false">
      <c r="A24" s="129" t="n">
        <v>42935</v>
      </c>
      <c r="B24" s="0" t="n">
        <v>150.48</v>
      </c>
      <c r="C24" s="0" t="n">
        <v>151.42</v>
      </c>
      <c r="D24" s="0" t="n">
        <v>149.95</v>
      </c>
      <c r="E24" s="0" t="n">
        <v>151.02</v>
      </c>
      <c r="F24" s="0" t="n">
        <v>20922969</v>
      </c>
    </row>
    <row r="25" customFormat="false" ht="12.75" hidden="false" customHeight="false" outlineLevel="0" collapsed="false">
      <c r="A25" s="129" t="n">
        <v>42934</v>
      </c>
      <c r="B25" s="0" t="n">
        <v>149.2</v>
      </c>
      <c r="C25" s="0" t="n">
        <v>150.13</v>
      </c>
      <c r="D25" s="0" t="n">
        <v>148.67</v>
      </c>
      <c r="E25" s="0" t="n">
        <v>150.08</v>
      </c>
      <c r="F25" s="0" t="n">
        <v>17868792</v>
      </c>
    </row>
    <row r="26" customFormat="false" ht="12.75" hidden="false" customHeight="false" outlineLevel="0" collapsed="false">
      <c r="A26" s="129" t="n">
        <v>42933</v>
      </c>
      <c r="B26" s="0" t="n">
        <v>148.82</v>
      </c>
      <c r="C26" s="0" t="n">
        <v>150.9</v>
      </c>
      <c r="D26" s="0" t="n">
        <v>148.57</v>
      </c>
      <c r="E26" s="0" t="n">
        <v>149.56</v>
      </c>
      <c r="F26" s="0" t="n">
        <v>23793456</v>
      </c>
    </row>
    <row r="27" customFormat="false" ht="12.75" hidden="false" customHeight="false" outlineLevel="0" collapsed="false">
      <c r="A27" s="129" t="n">
        <v>42930</v>
      </c>
      <c r="B27" s="0" t="n">
        <v>147.97</v>
      </c>
      <c r="C27" s="0" t="n">
        <v>149.33</v>
      </c>
      <c r="D27" s="0" t="n">
        <v>147.33</v>
      </c>
      <c r="E27" s="0" t="n">
        <v>149.04</v>
      </c>
      <c r="F27" s="0" t="n">
        <v>20132061</v>
      </c>
    </row>
    <row r="28" customFormat="false" ht="12.75" hidden="false" customHeight="false" outlineLevel="0" collapsed="false">
      <c r="A28" s="129" t="n">
        <v>42929</v>
      </c>
      <c r="B28" s="0" t="n">
        <v>145.5</v>
      </c>
      <c r="C28" s="0" t="n">
        <v>148.49</v>
      </c>
      <c r="D28" s="0" t="n">
        <v>145.44</v>
      </c>
      <c r="E28" s="0" t="n">
        <v>147.77</v>
      </c>
      <c r="F28" s="0" t="n">
        <v>25199373</v>
      </c>
    </row>
    <row r="29" customFormat="false" ht="12.75" hidden="false" customHeight="false" outlineLevel="0" collapsed="false">
      <c r="A29" s="129" t="n">
        <v>42928</v>
      </c>
      <c r="B29" s="0" t="n">
        <v>145.87</v>
      </c>
      <c r="C29" s="0" t="n">
        <v>146.18</v>
      </c>
      <c r="D29" s="0" t="n">
        <v>144.82</v>
      </c>
      <c r="E29" s="0" t="n">
        <v>145.74</v>
      </c>
      <c r="F29" s="0" t="n">
        <v>24884478</v>
      </c>
    </row>
    <row r="30" customFormat="false" ht="12.75" hidden="false" customHeight="false" outlineLevel="0" collapsed="false">
      <c r="A30" s="129" t="n">
        <v>42927</v>
      </c>
      <c r="B30" s="0" t="n">
        <v>144.73</v>
      </c>
      <c r="C30" s="0" t="n">
        <v>145.85</v>
      </c>
      <c r="D30" s="0" t="n">
        <v>144.38</v>
      </c>
      <c r="E30" s="0" t="n">
        <v>145.53</v>
      </c>
      <c r="F30" s="0" t="n">
        <v>19781836</v>
      </c>
    </row>
    <row r="31" customFormat="false" ht="12.75" hidden="false" customHeight="false" outlineLevel="0" collapsed="false">
      <c r="A31" s="129" t="n">
        <v>42926</v>
      </c>
      <c r="B31" s="0" t="n">
        <v>144.11</v>
      </c>
      <c r="C31" s="0" t="n">
        <v>145.95</v>
      </c>
      <c r="D31" s="0" t="n">
        <v>143.37</v>
      </c>
      <c r="E31" s="0" t="n">
        <v>145.06</v>
      </c>
      <c r="F31" s="0" t="n">
        <v>21090636</v>
      </c>
    </row>
    <row r="32" customFormat="false" ht="12.75" hidden="false" customHeight="false" outlineLevel="0" collapsed="false">
      <c r="A32" s="129" t="n">
        <v>42923</v>
      </c>
      <c r="B32" s="0" t="n">
        <v>142.9</v>
      </c>
      <c r="C32" s="0" t="n">
        <v>144.75</v>
      </c>
      <c r="D32" s="0" t="n">
        <v>142.9</v>
      </c>
      <c r="E32" s="0" t="n">
        <v>144.18</v>
      </c>
      <c r="F32" s="0" t="n">
        <v>19201712</v>
      </c>
    </row>
    <row r="33" customFormat="false" ht="12.75" hidden="false" customHeight="false" outlineLevel="0" collapsed="false">
      <c r="A33" s="129" t="n">
        <v>42922</v>
      </c>
      <c r="B33" s="0" t="n">
        <v>143.02</v>
      </c>
      <c r="C33" s="0" t="n">
        <v>143.5</v>
      </c>
      <c r="D33" s="0" t="n">
        <v>142.41</v>
      </c>
      <c r="E33" s="0" t="n">
        <v>142.73</v>
      </c>
      <c r="F33" s="0" t="n">
        <v>24128782</v>
      </c>
    </row>
    <row r="34" customFormat="false" ht="12.75" hidden="false" customHeight="false" outlineLevel="0" collapsed="false">
      <c r="A34" s="129" t="n">
        <v>42921</v>
      </c>
      <c r="B34" s="0" t="n">
        <v>143.69</v>
      </c>
      <c r="C34" s="0" t="n">
        <v>144.79</v>
      </c>
      <c r="D34" s="0" t="n">
        <v>142.72</v>
      </c>
      <c r="E34" s="0" t="n">
        <v>144.09</v>
      </c>
      <c r="F34" s="0" t="n">
        <v>21569557</v>
      </c>
    </row>
    <row r="35" customFormat="false" ht="12.75" hidden="false" customHeight="false" outlineLevel="0" collapsed="false">
      <c r="A35" s="129" t="n">
        <v>42919</v>
      </c>
      <c r="B35" s="0" t="n">
        <v>144.88</v>
      </c>
      <c r="C35" s="0" t="n">
        <v>145.3</v>
      </c>
      <c r="D35" s="0" t="n">
        <v>143.1</v>
      </c>
      <c r="E35" s="0" t="n">
        <v>143.5</v>
      </c>
      <c r="F35" s="0" t="n">
        <v>14277848</v>
      </c>
    </row>
    <row r="36" customFormat="false" ht="12.75" hidden="false" customHeight="false" outlineLevel="0" collapsed="false">
      <c r="A36" s="129" t="n">
        <v>42916</v>
      </c>
      <c r="B36" s="0" t="n">
        <v>144.45</v>
      </c>
      <c r="C36" s="0" t="n">
        <v>144.96</v>
      </c>
      <c r="D36" s="0" t="n">
        <v>143.78</v>
      </c>
      <c r="E36" s="0" t="n">
        <v>144.02</v>
      </c>
      <c r="F36" s="0" t="n">
        <v>23024107</v>
      </c>
    </row>
    <row r="37" customFormat="false" ht="12.75" hidden="false" customHeight="false" outlineLevel="0" collapsed="false">
      <c r="A37" s="129" t="n">
        <v>42915</v>
      </c>
      <c r="B37" s="0" t="n">
        <v>144.71</v>
      </c>
      <c r="C37" s="0" t="n">
        <v>145.13</v>
      </c>
      <c r="D37" s="0" t="n">
        <v>142.28</v>
      </c>
      <c r="E37" s="0" t="n">
        <v>143.68</v>
      </c>
      <c r="F37" s="0" t="n">
        <v>31499368</v>
      </c>
    </row>
    <row r="38" customFormat="false" ht="12.75" hidden="false" customHeight="false" outlineLevel="0" collapsed="false">
      <c r="A38" s="129" t="n">
        <v>42914</v>
      </c>
      <c r="B38" s="0" t="n">
        <v>144.49</v>
      </c>
      <c r="C38" s="0" t="n">
        <v>146.11</v>
      </c>
      <c r="D38" s="0" t="n">
        <v>143.16</v>
      </c>
      <c r="E38" s="0" t="n">
        <v>145.83</v>
      </c>
      <c r="F38" s="0" t="n">
        <v>22082432</v>
      </c>
    </row>
    <row r="39" customFormat="false" ht="12.75" hidden="false" customHeight="false" outlineLevel="0" collapsed="false">
      <c r="A39" s="129" t="n">
        <v>42913</v>
      </c>
      <c r="B39" s="0" t="n">
        <v>145.01</v>
      </c>
      <c r="C39" s="0" t="n">
        <v>146.16</v>
      </c>
      <c r="D39" s="0" t="n">
        <v>143.62</v>
      </c>
      <c r="E39" s="0" t="n">
        <v>143.73</v>
      </c>
      <c r="F39" s="0" t="n">
        <v>24761891</v>
      </c>
    </row>
    <row r="40" customFormat="false" ht="12.75" hidden="false" customHeight="false" outlineLevel="0" collapsed="false">
      <c r="A40" s="129" t="n">
        <v>42912</v>
      </c>
      <c r="B40" s="0" t="n">
        <v>147.17</v>
      </c>
      <c r="C40" s="0" t="n">
        <v>148.28</v>
      </c>
      <c r="D40" s="0" t="n">
        <v>145.38</v>
      </c>
      <c r="E40" s="0" t="n">
        <v>145.82</v>
      </c>
      <c r="F40" s="0" t="n">
        <v>25692361</v>
      </c>
    </row>
    <row r="41" customFormat="false" ht="12.75" hidden="false" customHeight="false" outlineLevel="0" collapsed="false">
      <c r="A41" s="129" t="n">
        <v>42909</v>
      </c>
      <c r="B41" s="0" t="n">
        <v>145.13</v>
      </c>
      <c r="C41" s="0" t="n">
        <v>147.16</v>
      </c>
      <c r="D41" s="0" t="n">
        <v>145.11</v>
      </c>
      <c r="E41" s="0" t="n">
        <v>146.28</v>
      </c>
      <c r="F41" s="0" t="n">
        <v>35439389</v>
      </c>
    </row>
    <row r="42" customFormat="false" ht="12.75" hidden="false" customHeight="false" outlineLevel="0" collapsed="false">
      <c r="A42" s="129" t="n">
        <v>42908</v>
      </c>
      <c r="B42" s="0" t="n">
        <v>145.77</v>
      </c>
      <c r="C42" s="0" t="n">
        <v>146.7</v>
      </c>
      <c r="D42" s="0" t="n">
        <v>145.12</v>
      </c>
      <c r="E42" s="0" t="n">
        <v>145.63</v>
      </c>
      <c r="F42" s="0" t="n">
        <v>19106294</v>
      </c>
    </row>
    <row r="43" customFormat="false" ht="12.75" hidden="false" customHeight="false" outlineLevel="0" collapsed="false">
      <c r="A43" s="129" t="n">
        <v>42907</v>
      </c>
      <c r="B43" s="0" t="n">
        <v>145.52</v>
      </c>
      <c r="C43" s="0" t="n">
        <v>146.07</v>
      </c>
      <c r="D43" s="0" t="n">
        <v>144.61</v>
      </c>
      <c r="E43" s="0" t="n">
        <v>145.87</v>
      </c>
      <c r="F43" s="0" t="n">
        <v>21265751</v>
      </c>
    </row>
    <row r="44" customFormat="false" ht="12.75" hidden="false" customHeight="false" outlineLevel="0" collapsed="false">
      <c r="A44" s="129" t="n">
        <v>42906</v>
      </c>
      <c r="B44" s="0" t="n">
        <v>146.87</v>
      </c>
      <c r="C44" s="0" t="n">
        <v>146.87</v>
      </c>
      <c r="D44" s="0" t="n">
        <v>144.94</v>
      </c>
      <c r="E44" s="0" t="n">
        <v>145.01</v>
      </c>
      <c r="F44" s="0" t="n">
        <v>24900073</v>
      </c>
    </row>
    <row r="45" customFormat="false" ht="12.75" hidden="false" customHeight="false" outlineLevel="0" collapsed="false">
      <c r="A45" s="129" t="n">
        <v>42905</v>
      </c>
      <c r="B45" s="0" t="n">
        <v>143.66</v>
      </c>
      <c r="C45" s="0" t="n">
        <v>146.74</v>
      </c>
      <c r="D45" s="0" t="n">
        <v>143.66</v>
      </c>
      <c r="E45" s="0" t="n">
        <v>146.34</v>
      </c>
      <c r="F45" s="0" t="n">
        <v>32541404</v>
      </c>
    </row>
    <row r="46" customFormat="false" ht="12.75" hidden="false" customHeight="false" outlineLevel="0" collapsed="false">
      <c r="A46" s="129" t="n">
        <v>42902</v>
      </c>
      <c r="B46" s="0" t="n">
        <v>143.78</v>
      </c>
      <c r="C46" s="0" t="n">
        <v>144.5</v>
      </c>
      <c r="D46" s="0" t="n">
        <v>142.2</v>
      </c>
      <c r="E46" s="0" t="n">
        <v>142.27</v>
      </c>
      <c r="F46" s="0" t="n">
        <v>50361093</v>
      </c>
    </row>
    <row r="47" customFormat="false" ht="12.75" hidden="false" customHeight="false" outlineLevel="0" collapsed="false">
      <c r="A47" s="129" t="n">
        <v>42901</v>
      </c>
      <c r="B47" s="0" t="n">
        <v>143.32</v>
      </c>
      <c r="C47" s="0" t="n">
        <v>144.48</v>
      </c>
      <c r="D47" s="0" t="n">
        <v>142.21</v>
      </c>
      <c r="E47" s="0" t="n">
        <v>144.29</v>
      </c>
      <c r="F47" s="0" t="n">
        <v>32165373</v>
      </c>
    </row>
    <row r="48" customFormat="false" ht="12.75" hidden="false" customHeight="false" outlineLevel="0" collapsed="false">
      <c r="A48" s="129" t="n">
        <v>42900</v>
      </c>
      <c r="B48" s="0" t="n">
        <v>147.5</v>
      </c>
      <c r="C48" s="0" t="n">
        <v>147.5</v>
      </c>
      <c r="D48" s="0" t="n">
        <v>143.84</v>
      </c>
      <c r="E48" s="0" t="n">
        <v>145.16</v>
      </c>
      <c r="F48" s="0" t="n">
        <v>31531232</v>
      </c>
    </row>
    <row r="49" customFormat="false" ht="12.75" hidden="false" customHeight="false" outlineLevel="0" collapsed="false">
      <c r="A49" s="129" t="n">
        <v>42899</v>
      </c>
      <c r="B49" s="0" t="n">
        <v>147.16</v>
      </c>
      <c r="C49" s="0" t="n">
        <v>147.45</v>
      </c>
      <c r="D49" s="0" t="n">
        <v>145.15</v>
      </c>
      <c r="E49" s="0" t="n">
        <v>146.59</v>
      </c>
      <c r="F49" s="0" t="n">
        <v>34165445</v>
      </c>
    </row>
    <row r="50" customFormat="false" ht="12.75" hidden="false" customHeight="false" outlineLevel="0" collapsed="false">
      <c r="A50" s="129" t="n">
        <v>42898</v>
      </c>
      <c r="B50" s="0" t="n">
        <v>145.74</v>
      </c>
      <c r="C50" s="0" t="n">
        <v>146.09</v>
      </c>
      <c r="D50" s="0" t="n">
        <v>142.51</v>
      </c>
      <c r="E50" s="0" t="n">
        <v>145.42</v>
      </c>
      <c r="F50" s="0" t="n">
        <v>72307330</v>
      </c>
    </row>
    <row r="51" customFormat="false" ht="12.75" hidden="false" customHeight="false" outlineLevel="0" collapsed="false">
      <c r="A51" s="129" t="n">
        <v>42895</v>
      </c>
      <c r="B51" s="0" t="n">
        <v>155.19</v>
      </c>
      <c r="C51" s="0" t="n">
        <v>155.19</v>
      </c>
      <c r="D51" s="0" t="n">
        <v>146.02</v>
      </c>
      <c r="E51" s="0" t="n">
        <v>148.98</v>
      </c>
      <c r="F51" s="0" t="n">
        <v>64882657</v>
      </c>
    </row>
    <row r="52" customFormat="false" ht="12.75" hidden="false" customHeight="false" outlineLevel="0" collapsed="false">
      <c r="A52" s="129" t="n">
        <v>42894</v>
      </c>
      <c r="B52" s="0" t="n">
        <v>155.25</v>
      </c>
      <c r="C52" s="0" t="n">
        <v>155.54</v>
      </c>
      <c r="D52" s="0" t="n">
        <v>154.4</v>
      </c>
      <c r="E52" s="0" t="n">
        <v>154.99</v>
      </c>
      <c r="F52" s="0" t="n">
        <v>21250798</v>
      </c>
    </row>
    <row r="53" customFormat="false" ht="12.75" hidden="false" customHeight="false" outlineLevel="0" collapsed="false">
      <c r="A53" s="129" t="n">
        <v>42893</v>
      </c>
      <c r="B53" s="0" t="n">
        <v>155.02</v>
      </c>
      <c r="C53" s="0" t="n">
        <v>155.98</v>
      </c>
      <c r="D53" s="0" t="n">
        <v>154.48</v>
      </c>
      <c r="E53" s="0" t="n">
        <v>155.37</v>
      </c>
      <c r="F53" s="0" t="n">
        <v>21069647</v>
      </c>
    </row>
    <row r="54" customFormat="false" ht="12.75" hidden="false" customHeight="false" outlineLevel="0" collapsed="false">
      <c r="A54" s="129" t="n">
        <v>42892</v>
      </c>
      <c r="B54" s="0" t="n">
        <v>153.9</v>
      </c>
      <c r="C54" s="0" t="n">
        <v>155.81</v>
      </c>
      <c r="D54" s="0" t="n">
        <v>153.78</v>
      </c>
      <c r="E54" s="0" t="n">
        <v>154.45</v>
      </c>
      <c r="F54" s="0" t="n">
        <v>26624926</v>
      </c>
    </row>
    <row r="55" customFormat="false" ht="12.75" hidden="false" customHeight="false" outlineLevel="0" collapsed="false">
      <c r="A55" s="129" t="n">
        <v>42891</v>
      </c>
      <c r="B55" s="0" t="n">
        <v>154.34</v>
      </c>
      <c r="C55" s="0" t="n">
        <v>154.45</v>
      </c>
      <c r="D55" s="0" t="n">
        <v>153.46</v>
      </c>
      <c r="E55" s="0" t="n">
        <v>153.93</v>
      </c>
      <c r="F55" s="0" t="n">
        <v>25331662</v>
      </c>
    </row>
    <row r="56" customFormat="false" ht="12.75" hidden="false" customHeight="false" outlineLevel="0" collapsed="false">
      <c r="A56" s="129" t="n">
        <v>42888</v>
      </c>
      <c r="B56" s="0" t="n">
        <v>153.58</v>
      </c>
      <c r="C56" s="0" t="n">
        <v>155.45</v>
      </c>
      <c r="D56" s="0" t="n">
        <v>152.89</v>
      </c>
      <c r="E56" s="0" t="n">
        <v>155.45</v>
      </c>
      <c r="F56" s="0" t="n">
        <v>27770715</v>
      </c>
    </row>
    <row r="57" customFormat="false" ht="12.75" hidden="false" customHeight="false" outlineLevel="0" collapsed="false">
      <c r="A57" s="129" t="n">
        <v>42887</v>
      </c>
      <c r="B57" s="0" t="n">
        <v>153.17</v>
      </c>
      <c r="C57" s="0" t="n">
        <v>153.33</v>
      </c>
      <c r="D57" s="0" t="n">
        <v>152.22</v>
      </c>
      <c r="E57" s="0" t="n">
        <v>153.18</v>
      </c>
      <c r="F57" s="0" t="n">
        <v>16404088</v>
      </c>
    </row>
    <row r="58" customFormat="false" ht="12.75" hidden="false" customHeight="false" outlineLevel="0" collapsed="false">
      <c r="A58" s="129" t="n">
        <v>42886</v>
      </c>
      <c r="B58" s="0" t="n">
        <v>153.97</v>
      </c>
      <c r="C58" s="0" t="n">
        <v>154.17</v>
      </c>
      <c r="D58" s="0" t="n">
        <v>152.38</v>
      </c>
      <c r="E58" s="0" t="n">
        <v>152.76</v>
      </c>
      <c r="F58" s="0" t="n">
        <v>24451164</v>
      </c>
    </row>
    <row r="59" customFormat="false" ht="12.75" hidden="false" customHeight="false" outlineLevel="0" collapsed="false">
      <c r="A59" s="129" t="n">
        <v>42885</v>
      </c>
      <c r="B59" s="0" t="n">
        <v>153.42</v>
      </c>
      <c r="C59" s="0" t="n">
        <v>154.43</v>
      </c>
      <c r="D59" s="0" t="n">
        <v>153.33</v>
      </c>
      <c r="E59" s="0" t="n">
        <v>153.67</v>
      </c>
      <c r="F59" s="0" t="n">
        <v>20126851</v>
      </c>
    </row>
    <row r="60" customFormat="false" ht="12.75" hidden="false" customHeight="false" outlineLevel="0" collapsed="false">
      <c r="A60" s="129" t="n">
        <v>42881</v>
      </c>
      <c r="B60" s="0" t="n">
        <v>154</v>
      </c>
      <c r="C60" s="0" t="n">
        <v>154.24</v>
      </c>
      <c r="D60" s="0" t="n">
        <v>153.31</v>
      </c>
      <c r="E60" s="0" t="n">
        <v>153.61</v>
      </c>
      <c r="F60" s="0" t="n">
        <v>21927637</v>
      </c>
    </row>
    <row r="61" customFormat="false" ht="12.75" hidden="false" customHeight="false" outlineLevel="0" collapsed="false">
      <c r="A61" s="129" t="n">
        <v>42880</v>
      </c>
      <c r="B61" s="0" t="n">
        <v>153.73</v>
      </c>
      <c r="C61" s="0" t="n">
        <v>154.35</v>
      </c>
      <c r="D61" s="0" t="n">
        <v>153.03</v>
      </c>
      <c r="E61" s="0" t="n">
        <v>153.87</v>
      </c>
      <c r="F61" s="0" t="n">
        <v>19235598</v>
      </c>
    </row>
    <row r="62" customFormat="false" ht="12.75" hidden="false" customHeight="false" outlineLevel="0" collapsed="false">
      <c r="A62" s="129" t="n">
        <v>42879</v>
      </c>
      <c r="B62" s="0" t="n">
        <v>153.84</v>
      </c>
      <c r="C62" s="0" t="n">
        <v>154.17</v>
      </c>
      <c r="D62" s="0" t="n">
        <v>152.67</v>
      </c>
      <c r="E62" s="0" t="n">
        <v>153.34</v>
      </c>
      <c r="F62" s="0" t="n">
        <v>19219154</v>
      </c>
    </row>
    <row r="63" customFormat="false" ht="12.75" hidden="false" customHeight="false" outlineLevel="0" collapsed="false">
      <c r="A63" s="129" t="n">
        <v>42878</v>
      </c>
      <c r="B63" s="0" t="n">
        <v>154.9</v>
      </c>
      <c r="C63" s="0" t="n">
        <v>154.9</v>
      </c>
      <c r="D63" s="0" t="n">
        <v>153.31</v>
      </c>
      <c r="E63" s="0" t="n">
        <v>153.8</v>
      </c>
      <c r="F63" s="0" t="n">
        <v>19918871</v>
      </c>
    </row>
    <row r="64" customFormat="false" ht="12.75" hidden="false" customHeight="false" outlineLevel="0" collapsed="false">
      <c r="A64" s="129" t="n">
        <v>42877</v>
      </c>
      <c r="B64" s="0" t="n">
        <v>154</v>
      </c>
      <c r="C64" s="0" t="n">
        <v>154.58</v>
      </c>
      <c r="D64" s="0" t="n">
        <v>152.91</v>
      </c>
      <c r="E64" s="0" t="n">
        <v>153.99</v>
      </c>
      <c r="F64" s="0" t="n">
        <v>22966437</v>
      </c>
    </row>
    <row r="65" customFormat="false" ht="12.75" hidden="false" customHeight="false" outlineLevel="0" collapsed="false">
      <c r="A65" s="129" t="n">
        <v>42874</v>
      </c>
      <c r="B65" s="0" t="n">
        <v>153.38</v>
      </c>
      <c r="C65" s="0" t="n">
        <v>153.98</v>
      </c>
      <c r="D65" s="0" t="n">
        <v>152.63</v>
      </c>
      <c r="E65" s="0" t="n">
        <v>153.06</v>
      </c>
      <c r="F65" s="0" t="n">
        <v>26960788</v>
      </c>
    </row>
    <row r="66" customFormat="false" ht="12.75" hidden="false" customHeight="false" outlineLevel="0" collapsed="false">
      <c r="A66" s="129" t="n">
        <v>42873</v>
      </c>
      <c r="B66" s="0" t="n">
        <v>151.27</v>
      </c>
      <c r="C66" s="0" t="n">
        <v>153.34</v>
      </c>
      <c r="D66" s="0" t="n">
        <v>151.13</v>
      </c>
      <c r="E66" s="0" t="n">
        <v>152.54</v>
      </c>
      <c r="F66" s="0" t="n">
        <v>33568215</v>
      </c>
    </row>
    <row r="67" customFormat="false" ht="12.75" hidden="false" customHeight="false" outlineLevel="0" collapsed="false">
      <c r="A67" s="129" t="n">
        <v>42872</v>
      </c>
      <c r="B67" s="0" t="n">
        <v>153.6</v>
      </c>
      <c r="C67" s="0" t="n">
        <v>154.57</v>
      </c>
      <c r="D67" s="0" t="n">
        <v>149.71</v>
      </c>
      <c r="E67" s="0" t="n">
        <v>150.25</v>
      </c>
      <c r="F67" s="0" t="n">
        <v>50767678</v>
      </c>
    </row>
    <row r="68" customFormat="false" ht="12.75" hidden="false" customHeight="false" outlineLevel="0" collapsed="false">
      <c r="A68" s="129" t="n">
        <v>42871</v>
      </c>
      <c r="B68" s="0" t="n">
        <v>155.94</v>
      </c>
      <c r="C68" s="0" t="n">
        <v>156.06</v>
      </c>
      <c r="D68" s="0" t="n">
        <v>154.72</v>
      </c>
      <c r="E68" s="0" t="n">
        <v>155.47</v>
      </c>
      <c r="F68" s="0" t="n">
        <v>20048478</v>
      </c>
    </row>
    <row r="69" customFormat="false" ht="12.75" hidden="false" customHeight="false" outlineLevel="0" collapsed="false">
      <c r="A69" s="129" t="n">
        <v>42870</v>
      </c>
      <c r="B69" s="0" t="n">
        <v>156.01</v>
      </c>
      <c r="C69" s="0" t="n">
        <v>156.65</v>
      </c>
      <c r="D69" s="0" t="n">
        <v>155.05</v>
      </c>
      <c r="E69" s="0" t="n">
        <v>155.7</v>
      </c>
      <c r="F69" s="0" t="n">
        <v>26009719</v>
      </c>
    </row>
    <row r="70" customFormat="false" ht="12.75" hidden="false" customHeight="false" outlineLevel="0" collapsed="false">
      <c r="A70" s="129" t="n">
        <v>42867</v>
      </c>
      <c r="B70" s="0" t="n">
        <v>154.7</v>
      </c>
      <c r="C70" s="0" t="n">
        <v>156.42</v>
      </c>
      <c r="D70" s="0" t="n">
        <v>154.67</v>
      </c>
      <c r="E70" s="0" t="n">
        <v>156.1</v>
      </c>
      <c r="F70" s="0" t="n">
        <v>32527017</v>
      </c>
    </row>
    <row r="71" customFormat="false" ht="12.75" hidden="false" customHeight="false" outlineLevel="0" collapsed="false">
      <c r="A71" s="129" t="n">
        <v>42866</v>
      </c>
      <c r="B71" s="0" t="n">
        <v>152.45</v>
      </c>
      <c r="C71" s="0" t="n">
        <v>154.07</v>
      </c>
      <c r="D71" s="0" t="n">
        <v>152.31</v>
      </c>
      <c r="E71" s="0" t="n">
        <v>153.95</v>
      </c>
      <c r="F71" s="0" t="n">
        <v>27255058</v>
      </c>
    </row>
    <row r="72" customFormat="false" ht="12.75" hidden="false" customHeight="false" outlineLevel="0" collapsed="false">
      <c r="A72" s="129" t="n">
        <v>42865</v>
      </c>
      <c r="B72" s="0" t="n">
        <v>153.63</v>
      </c>
      <c r="C72" s="0" t="n">
        <v>153.94</v>
      </c>
      <c r="D72" s="0" t="n">
        <v>152.11</v>
      </c>
      <c r="E72" s="0" t="n">
        <v>153.26</v>
      </c>
      <c r="F72" s="0" t="n">
        <v>25805692</v>
      </c>
    </row>
    <row r="73" customFormat="false" ht="12.75" hidden="false" customHeight="false" outlineLevel="0" collapsed="false">
      <c r="A73" s="129" t="n">
        <v>42864</v>
      </c>
      <c r="B73" s="0" t="n">
        <v>153.87</v>
      </c>
      <c r="C73" s="0" t="n">
        <v>154.88</v>
      </c>
      <c r="D73" s="0" t="n">
        <v>153.45</v>
      </c>
      <c r="E73" s="0" t="n">
        <v>153.99</v>
      </c>
      <c r="F73" s="0" t="n">
        <v>39130363</v>
      </c>
    </row>
    <row r="74" customFormat="false" ht="12.75" hidden="false" customHeight="false" outlineLevel="0" collapsed="false">
      <c r="A74" s="129" t="n">
        <v>42863</v>
      </c>
      <c r="B74" s="0" t="n">
        <v>149.03</v>
      </c>
      <c r="C74" s="0" t="n">
        <v>153.7</v>
      </c>
      <c r="D74" s="0" t="n">
        <v>149.03</v>
      </c>
      <c r="E74" s="0" t="n">
        <v>153.01</v>
      </c>
      <c r="F74" s="0" t="n">
        <v>48752413</v>
      </c>
    </row>
    <row r="75" customFormat="false" ht="12.75" hidden="false" customHeight="false" outlineLevel="0" collapsed="false">
      <c r="A75" s="129" t="n">
        <v>42860</v>
      </c>
      <c r="B75" s="0" t="n">
        <v>146.76</v>
      </c>
      <c r="C75" s="0" t="n">
        <v>148.98</v>
      </c>
      <c r="D75" s="0" t="n">
        <v>146.76</v>
      </c>
      <c r="E75" s="0" t="n">
        <v>148.96</v>
      </c>
      <c r="F75" s="0" t="n">
        <v>27327725</v>
      </c>
    </row>
    <row r="76" customFormat="false" ht="12.75" hidden="false" customHeight="false" outlineLevel="0" collapsed="false">
      <c r="A76" s="129" t="n">
        <v>42859</v>
      </c>
      <c r="B76" s="0" t="n">
        <v>146.52</v>
      </c>
      <c r="C76" s="0" t="n">
        <v>147.14</v>
      </c>
      <c r="D76" s="0" t="n">
        <v>145.81</v>
      </c>
      <c r="E76" s="0" t="n">
        <v>146.53</v>
      </c>
      <c r="F76" s="0" t="n">
        <v>23371872</v>
      </c>
    </row>
    <row r="77" customFormat="false" ht="12.75" hidden="false" customHeight="false" outlineLevel="0" collapsed="false">
      <c r="A77" s="129" t="n">
        <v>42858</v>
      </c>
      <c r="B77" s="0" t="n">
        <v>145.59</v>
      </c>
      <c r="C77" s="0" t="n">
        <v>147.49</v>
      </c>
      <c r="D77" s="0" t="n">
        <v>144.27</v>
      </c>
      <c r="E77" s="0" t="n">
        <v>147.06</v>
      </c>
      <c r="F77" s="0" t="n">
        <v>45697034</v>
      </c>
    </row>
    <row r="78" customFormat="false" ht="12.75" hidden="false" customHeight="false" outlineLevel="0" collapsed="false">
      <c r="A78" s="129" t="n">
        <v>42857</v>
      </c>
      <c r="B78" s="0" t="n">
        <v>147.54</v>
      </c>
      <c r="C78" s="0" t="n">
        <v>148.09</v>
      </c>
      <c r="D78" s="0" t="n">
        <v>146.84</v>
      </c>
      <c r="E78" s="0" t="n">
        <v>147.51</v>
      </c>
      <c r="F78" s="0" t="n">
        <v>45352194</v>
      </c>
    </row>
    <row r="79" customFormat="false" ht="12.75" hidden="false" customHeight="false" outlineLevel="0" collapsed="false">
      <c r="A79" s="129" t="n">
        <v>42856</v>
      </c>
      <c r="B79" s="0" t="n">
        <v>145.1</v>
      </c>
      <c r="C79" s="0" t="n">
        <v>147.2</v>
      </c>
      <c r="D79" s="0" t="n">
        <v>144.96</v>
      </c>
      <c r="E79" s="0" t="n">
        <v>146.58</v>
      </c>
      <c r="F79" s="0" t="n">
        <v>33602943</v>
      </c>
    </row>
    <row r="80" customFormat="false" ht="12.75" hidden="false" customHeight="false" outlineLevel="0" collapsed="false">
      <c r="A80" s="129" t="n">
        <v>42853</v>
      </c>
      <c r="B80" s="0" t="n">
        <v>144.09</v>
      </c>
      <c r="C80" s="0" t="n">
        <v>144.3</v>
      </c>
      <c r="D80" s="0" t="n">
        <v>143.27</v>
      </c>
      <c r="E80" s="0" t="n">
        <v>143.65</v>
      </c>
      <c r="F80" s="0" t="n">
        <v>20860358</v>
      </c>
    </row>
    <row r="81" customFormat="false" ht="12.75" hidden="false" customHeight="false" outlineLevel="0" collapsed="false">
      <c r="A81" s="129" t="n">
        <v>42852</v>
      </c>
      <c r="B81" s="0" t="n">
        <v>143.92</v>
      </c>
      <c r="C81" s="0" t="n">
        <v>144.16</v>
      </c>
      <c r="D81" s="0" t="n">
        <v>143.31</v>
      </c>
      <c r="E81" s="0" t="n">
        <v>143.79</v>
      </c>
      <c r="F81" s="0" t="n">
        <v>14246347</v>
      </c>
    </row>
    <row r="82" customFormat="false" ht="12.75" hidden="false" customHeight="false" outlineLevel="0" collapsed="false">
      <c r="A82" s="129" t="n">
        <v>42851</v>
      </c>
      <c r="B82" s="0" t="n">
        <v>144.47</v>
      </c>
      <c r="C82" s="0" t="n">
        <v>144.6</v>
      </c>
      <c r="D82" s="0" t="n">
        <v>143.38</v>
      </c>
      <c r="E82" s="0" t="n">
        <v>143.68</v>
      </c>
      <c r="F82" s="0" t="n">
        <v>20041241</v>
      </c>
    </row>
    <row r="83" customFormat="false" ht="12.75" hidden="false" customHeight="false" outlineLevel="0" collapsed="false">
      <c r="A83" s="129" t="n">
        <v>42850</v>
      </c>
      <c r="B83" s="0" t="n">
        <v>143.91</v>
      </c>
      <c r="C83" s="0" t="n">
        <v>144.9</v>
      </c>
      <c r="D83" s="0" t="n">
        <v>143.87</v>
      </c>
      <c r="E83" s="0" t="n">
        <v>144.53</v>
      </c>
      <c r="F83" s="0" t="n">
        <v>18871501</v>
      </c>
    </row>
    <row r="84" customFormat="false" ht="12.75" hidden="false" customHeight="false" outlineLevel="0" collapsed="false">
      <c r="A84" s="129" t="n">
        <v>42849</v>
      </c>
      <c r="B84" s="0" t="n">
        <v>143.5</v>
      </c>
      <c r="C84" s="0" t="n">
        <v>143.95</v>
      </c>
      <c r="D84" s="0" t="n">
        <v>143.18</v>
      </c>
      <c r="E84" s="0" t="n">
        <v>143.64</v>
      </c>
      <c r="F84" s="0" t="n">
        <v>17134333</v>
      </c>
    </row>
    <row r="85" customFormat="false" ht="12.75" hidden="false" customHeight="false" outlineLevel="0" collapsed="false">
      <c r="A85" s="129" t="n">
        <v>42846</v>
      </c>
      <c r="B85" s="0" t="n">
        <v>142.44</v>
      </c>
      <c r="C85" s="0" t="n">
        <v>142.68</v>
      </c>
      <c r="D85" s="0" t="n">
        <v>141.85</v>
      </c>
      <c r="E85" s="0" t="n">
        <v>142.27</v>
      </c>
      <c r="F85" s="0" t="n">
        <v>17320928</v>
      </c>
    </row>
    <row r="86" customFormat="false" ht="12.75" hidden="false" customHeight="false" outlineLevel="0" collapsed="false">
      <c r="A86" s="129" t="n">
        <v>42845</v>
      </c>
      <c r="B86" s="0" t="n">
        <v>141.22</v>
      </c>
      <c r="C86" s="0" t="n">
        <v>142.92</v>
      </c>
      <c r="D86" s="0" t="n">
        <v>141.16</v>
      </c>
      <c r="E86" s="0" t="n">
        <v>142.44</v>
      </c>
      <c r="F86" s="0" t="n">
        <v>23319562</v>
      </c>
    </row>
    <row r="87" customFormat="false" ht="12.75" hidden="false" customHeight="false" outlineLevel="0" collapsed="false">
      <c r="A87" s="129" t="n">
        <v>42844</v>
      </c>
      <c r="B87" s="0" t="n">
        <v>141.88</v>
      </c>
      <c r="C87" s="0" t="n">
        <v>142</v>
      </c>
      <c r="D87" s="0" t="n">
        <v>140.45</v>
      </c>
      <c r="E87" s="0" t="n">
        <v>140.68</v>
      </c>
      <c r="F87" s="0" t="n">
        <v>17328375</v>
      </c>
    </row>
    <row r="88" customFormat="false" ht="12.75" hidden="false" customHeight="false" outlineLevel="0" collapsed="false">
      <c r="A88" s="129" t="n">
        <v>42843</v>
      </c>
      <c r="B88" s="0" t="n">
        <v>141.41</v>
      </c>
      <c r="C88" s="0" t="n">
        <v>142.04</v>
      </c>
      <c r="D88" s="0" t="n">
        <v>141.11</v>
      </c>
      <c r="E88" s="0" t="n">
        <v>141.2</v>
      </c>
      <c r="F88" s="0" t="n">
        <v>14697544</v>
      </c>
    </row>
    <row r="89" customFormat="false" ht="12.75" hidden="false" customHeight="false" outlineLevel="0" collapsed="false">
      <c r="A89" s="129" t="n">
        <v>42842</v>
      </c>
      <c r="B89" s="0" t="n">
        <v>141.48</v>
      </c>
      <c r="C89" s="0" t="n">
        <v>141.88</v>
      </c>
      <c r="D89" s="0" t="n">
        <v>140.87</v>
      </c>
      <c r="E89" s="0" t="n">
        <v>141.83</v>
      </c>
      <c r="F89" s="0" t="n">
        <v>16582094</v>
      </c>
    </row>
    <row r="90" customFormat="false" ht="12.75" hidden="false" customHeight="false" outlineLevel="0" collapsed="false">
      <c r="A90" s="129" t="n">
        <v>42838</v>
      </c>
      <c r="B90" s="0" t="n">
        <v>141.91</v>
      </c>
      <c r="C90" s="0" t="n">
        <v>142.38</v>
      </c>
      <c r="D90" s="0" t="n">
        <v>141.05</v>
      </c>
      <c r="E90" s="0" t="n">
        <v>141.05</v>
      </c>
      <c r="F90" s="0" t="n">
        <v>17822880</v>
      </c>
    </row>
    <row r="91" customFormat="false" ht="12.75" hidden="false" customHeight="false" outlineLevel="0" collapsed="false">
      <c r="A91" s="129" t="n">
        <v>42837</v>
      </c>
      <c r="B91" s="0" t="n">
        <v>141.6</v>
      </c>
      <c r="C91" s="0" t="n">
        <v>142.15</v>
      </c>
      <c r="D91" s="0" t="n">
        <v>141.01</v>
      </c>
      <c r="E91" s="0" t="n">
        <v>141.8</v>
      </c>
      <c r="F91" s="0" t="n">
        <v>20350000</v>
      </c>
    </row>
    <row r="92" customFormat="false" ht="12.75" hidden="false" customHeight="false" outlineLevel="0" collapsed="false">
      <c r="A92" s="129" t="n">
        <v>42836</v>
      </c>
      <c r="B92" s="0" t="n">
        <v>142.94</v>
      </c>
      <c r="C92" s="0" t="n">
        <v>143.35</v>
      </c>
      <c r="D92" s="0" t="n">
        <v>140.06</v>
      </c>
      <c r="E92" s="0" t="n">
        <v>141.63</v>
      </c>
      <c r="F92" s="0" t="n">
        <v>30379376</v>
      </c>
    </row>
    <row r="93" customFormat="false" ht="12.75" hidden="false" customHeight="false" outlineLevel="0" collapsed="false">
      <c r="A93" s="129" t="n">
        <v>42835</v>
      </c>
      <c r="B93" s="0" t="n">
        <v>143.6</v>
      </c>
      <c r="C93" s="0" t="n">
        <v>143.88</v>
      </c>
      <c r="D93" s="0" t="n">
        <v>142.9</v>
      </c>
      <c r="E93" s="0" t="n">
        <v>143.17</v>
      </c>
      <c r="F93" s="0" t="n">
        <v>18933397</v>
      </c>
    </row>
    <row r="94" customFormat="false" ht="12.75" hidden="false" customHeight="false" outlineLevel="0" collapsed="false">
      <c r="A94" s="129" t="n">
        <v>42832</v>
      </c>
      <c r="B94" s="0" t="n">
        <v>143.73</v>
      </c>
      <c r="C94" s="0" t="n">
        <v>144.18</v>
      </c>
      <c r="D94" s="0" t="n">
        <v>143.27</v>
      </c>
      <c r="E94" s="0" t="n">
        <v>143.34</v>
      </c>
      <c r="F94" s="0" t="n">
        <v>16672198</v>
      </c>
    </row>
    <row r="95" customFormat="false" ht="12.75" hidden="false" customHeight="false" outlineLevel="0" collapsed="false">
      <c r="A95" s="129" t="n">
        <v>42831</v>
      </c>
      <c r="B95" s="0" t="n">
        <v>144.29</v>
      </c>
      <c r="C95" s="0" t="n">
        <v>144.52</v>
      </c>
      <c r="D95" s="0" t="n">
        <v>143.45</v>
      </c>
      <c r="E95" s="0" t="n">
        <v>143.66</v>
      </c>
      <c r="F95" s="0" t="n">
        <v>21149034</v>
      </c>
    </row>
    <row r="96" customFormat="false" ht="12.75" hidden="false" customHeight="false" outlineLevel="0" collapsed="false">
      <c r="A96" s="129" t="n">
        <v>42830</v>
      </c>
      <c r="B96" s="0" t="n">
        <v>144.22</v>
      </c>
      <c r="C96" s="0" t="n">
        <v>145.46</v>
      </c>
      <c r="D96" s="0" t="n">
        <v>143.81</v>
      </c>
      <c r="E96" s="0" t="n">
        <v>144.02</v>
      </c>
      <c r="F96" s="0" t="n">
        <v>27717854</v>
      </c>
    </row>
    <row r="97" customFormat="false" ht="12.75" hidden="false" customHeight="false" outlineLevel="0" collapsed="false">
      <c r="A97" s="129" t="n">
        <v>42829</v>
      </c>
      <c r="B97" s="0" t="n">
        <v>143.25</v>
      </c>
      <c r="C97" s="0" t="n">
        <v>144.89</v>
      </c>
      <c r="D97" s="0" t="n">
        <v>143.17</v>
      </c>
      <c r="E97" s="0" t="n">
        <v>144.77</v>
      </c>
      <c r="F97" s="0" t="n">
        <v>19891354</v>
      </c>
    </row>
    <row r="98" customFormat="false" ht="12.75" hidden="false" customHeight="false" outlineLevel="0" collapsed="false">
      <c r="A98" s="129" t="n">
        <v>42828</v>
      </c>
      <c r="B98" s="0" t="n">
        <v>143.71</v>
      </c>
      <c r="C98" s="0" t="n">
        <v>144.12</v>
      </c>
      <c r="D98" s="0" t="n">
        <v>143.05</v>
      </c>
      <c r="E98" s="0" t="n">
        <v>143.7</v>
      </c>
      <c r="F98" s="0" t="n">
        <v>19985714</v>
      </c>
    </row>
    <row r="99" customFormat="false" ht="12.75" hidden="false" customHeight="false" outlineLevel="0" collapsed="false">
      <c r="A99" s="129" t="n">
        <v>42825</v>
      </c>
      <c r="B99" s="0" t="n">
        <v>143.72</v>
      </c>
      <c r="C99" s="0" t="n">
        <v>144.27</v>
      </c>
      <c r="D99" s="0" t="n">
        <v>143.01</v>
      </c>
      <c r="E99" s="0" t="n">
        <v>143.66</v>
      </c>
      <c r="F99" s="0" t="n">
        <v>19661651</v>
      </c>
    </row>
    <row r="100" customFormat="false" ht="12.75" hidden="false" customHeight="false" outlineLevel="0" collapsed="false">
      <c r="A100" s="129" t="n">
        <v>42824</v>
      </c>
      <c r="B100" s="0" t="n">
        <v>144.19</v>
      </c>
      <c r="C100" s="0" t="n">
        <v>144.5</v>
      </c>
      <c r="D100" s="0" t="n">
        <v>143.5</v>
      </c>
      <c r="E100" s="0" t="n">
        <v>143.93</v>
      </c>
      <c r="F100" s="0" t="n">
        <v>21207252</v>
      </c>
    </row>
    <row r="101" customFormat="false" ht="12.75" hidden="false" customHeight="false" outlineLevel="0" collapsed="false">
      <c r="A101" s="129" t="n">
        <v>42823</v>
      </c>
      <c r="B101" s="0" t="n">
        <v>143.68</v>
      </c>
      <c r="C101" s="0" t="n">
        <v>144.49</v>
      </c>
      <c r="D101" s="0" t="n">
        <v>143.19</v>
      </c>
      <c r="E101" s="0" t="n">
        <v>144.12</v>
      </c>
      <c r="F101" s="0" t="n">
        <v>29189955</v>
      </c>
    </row>
    <row r="102" customFormat="false" ht="12.75" hidden="false" customHeight="false" outlineLevel="0" collapsed="false">
      <c r="A102" s="129" t="n">
        <v>42822</v>
      </c>
      <c r="B102" s="0" t="n">
        <v>140.91</v>
      </c>
      <c r="C102" s="0" t="n">
        <v>144.04</v>
      </c>
      <c r="D102" s="0" t="n">
        <v>140.62</v>
      </c>
      <c r="E102" s="0" t="n">
        <v>143.8</v>
      </c>
      <c r="F102" s="0" t="n">
        <v>33374805</v>
      </c>
    </row>
    <row r="103" customFormat="false" ht="12.75" hidden="false" customHeight="false" outlineLevel="0" collapsed="false">
      <c r="A103" s="129" t="n">
        <v>42821</v>
      </c>
      <c r="B103" s="0" t="n">
        <v>139.39</v>
      </c>
      <c r="C103" s="0" t="n">
        <v>141.22</v>
      </c>
      <c r="D103" s="0" t="n">
        <v>138.62</v>
      </c>
      <c r="E103" s="0" t="n">
        <v>140.88</v>
      </c>
      <c r="F103" s="0" t="n">
        <v>23575094</v>
      </c>
    </row>
    <row r="104" customFormat="false" ht="12.75" hidden="false" customHeight="false" outlineLevel="0" collapsed="false">
      <c r="A104" s="129" t="n">
        <v>42818</v>
      </c>
      <c r="B104" s="0" t="n">
        <v>141.5</v>
      </c>
      <c r="C104" s="0" t="n">
        <v>141.74</v>
      </c>
      <c r="D104" s="0" t="n">
        <v>140.35</v>
      </c>
      <c r="E104" s="0" t="n">
        <v>140.64</v>
      </c>
      <c r="F104" s="0" t="n">
        <v>22395563</v>
      </c>
    </row>
    <row r="105" customFormat="false" ht="12.75" hidden="false" customHeight="false" outlineLevel="0" collapsed="false">
      <c r="A105" s="129" t="n">
        <v>42817</v>
      </c>
      <c r="B105" s="0" t="n">
        <v>141.26</v>
      </c>
      <c r="C105" s="0" t="n">
        <v>141.58</v>
      </c>
      <c r="D105" s="0" t="n">
        <v>140.61</v>
      </c>
      <c r="E105" s="0" t="n">
        <v>140.92</v>
      </c>
      <c r="F105" s="0" t="n">
        <v>20346301</v>
      </c>
    </row>
    <row r="106" customFormat="false" ht="12.75" hidden="false" customHeight="false" outlineLevel="0" collapsed="false">
      <c r="A106" s="129" t="n">
        <v>42816</v>
      </c>
      <c r="B106" s="0" t="n">
        <v>139.84</v>
      </c>
      <c r="C106" s="0" t="n">
        <v>141.6</v>
      </c>
      <c r="D106" s="0" t="n">
        <v>139.76</v>
      </c>
      <c r="E106" s="0" t="n">
        <v>141.42</v>
      </c>
      <c r="F106" s="0" t="n">
        <v>25860165</v>
      </c>
    </row>
    <row r="107" customFormat="false" ht="12.75" hidden="false" customHeight="false" outlineLevel="0" collapsed="false">
      <c r="A107" s="129" t="n">
        <v>42815</v>
      </c>
      <c r="B107" s="0" t="n">
        <v>142.11</v>
      </c>
      <c r="C107" s="0" t="n">
        <v>142.8</v>
      </c>
      <c r="D107" s="0" t="n">
        <v>139.73</v>
      </c>
      <c r="E107" s="0" t="n">
        <v>139.84</v>
      </c>
      <c r="F107" s="0" t="n">
        <v>39529912</v>
      </c>
    </row>
    <row r="108" customFormat="false" ht="12.75" hidden="false" customHeight="false" outlineLevel="0" collapsed="false">
      <c r="A108" s="129" t="n">
        <v>42814</v>
      </c>
      <c r="B108" s="0" t="n">
        <v>140.4</v>
      </c>
      <c r="C108" s="0" t="n">
        <v>141.5</v>
      </c>
      <c r="D108" s="0" t="n">
        <v>140.23</v>
      </c>
      <c r="E108" s="0" t="n">
        <v>141.46</v>
      </c>
      <c r="F108" s="0" t="n">
        <v>21542038</v>
      </c>
    </row>
    <row r="109" customFormat="false" ht="12.75" hidden="false" customHeight="false" outlineLevel="0" collapsed="false">
      <c r="A109" s="129" t="n">
        <v>42811</v>
      </c>
      <c r="B109" s="0" t="n">
        <v>141</v>
      </c>
      <c r="C109" s="0" t="n">
        <v>141</v>
      </c>
      <c r="D109" s="0" t="n">
        <v>139.89</v>
      </c>
      <c r="E109" s="0" t="n">
        <v>139.99</v>
      </c>
      <c r="F109" s="0" t="n">
        <v>43884952</v>
      </c>
    </row>
    <row r="110" customFormat="false" ht="12.75" hidden="false" customHeight="false" outlineLevel="0" collapsed="false">
      <c r="A110" s="129" t="n">
        <v>42810</v>
      </c>
      <c r="B110" s="0" t="n">
        <v>140.72</v>
      </c>
      <c r="C110" s="0" t="n">
        <v>141.02</v>
      </c>
      <c r="D110" s="0" t="n">
        <v>140.26</v>
      </c>
      <c r="E110" s="0" t="n">
        <v>140.69</v>
      </c>
      <c r="F110" s="0" t="n">
        <v>19231998</v>
      </c>
    </row>
    <row r="111" customFormat="false" ht="12.75" hidden="false" customHeight="false" outlineLevel="0" collapsed="false">
      <c r="A111" s="129" t="n">
        <v>42809</v>
      </c>
      <c r="B111" s="0" t="n">
        <v>139.41</v>
      </c>
      <c r="C111" s="0" t="n">
        <v>140.75</v>
      </c>
      <c r="D111" s="0" t="n">
        <v>139.02</v>
      </c>
      <c r="E111" s="0" t="n">
        <v>140.46</v>
      </c>
      <c r="F111" s="0" t="n">
        <v>25691774</v>
      </c>
    </row>
    <row r="112" customFormat="false" ht="12.75" hidden="false" customHeight="false" outlineLevel="0" collapsed="false">
      <c r="A112" s="129" t="n">
        <v>42808</v>
      </c>
      <c r="B112" s="0" t="n">
        <v>139.3</v>
      </c>
      <c r="C112" s="0" t="n">
        <v>139.65</v>
      </c>
      <c r="D112" s="0" t="n">
        <v>138.84</v>
      </c>
      <c r="E112" s="0" t="n">
        <v>138.99</v>
      </c>
      <c r="F112" s="0" t="n">
        <v>15309065</v>
      </c>
    </row>
    <row r="113" customFormat="false" ht="12.75" hidden="false" customHeight="false" outlineLevel="0" collapsed="false">
      <c r="A113" s="129" t="n">
        <v>42807</v>
      </c>
      <c r="B113" s="0" t="n">
        <v>138.85</v>
      </c>
      <c r="C113" s="0" t="n">
        <v>139.43</v>
      </c>
      <c r="D113" s="0" t="n">
        <v>138.82</v>
      </c>
      <c r="E113" s="0" t="n">
        <v>139.2</v>
      </c>
      <c r="F113" s="0" t="n">
        <v>17421717</v>
      </c>
    </row>
    <row r="114" customFormat="false" ht="12.75" hidden="false" customHeight="false" outlineLevel="0" collapsed="false">
      <c r="A114" s="129" t="n">
        <v>42804</v>
      </c>
      <c r="B114" s="0" t="n">
        <v>139.25</v>
      </c>
      <c r="C114" s="0" t="n">
        <v>139.36</v>
      </c>
      <c r="D114" s="0" t="n">
        <v>138.64</v>
      </c>
      <c r="E114" s="0" t="n">
        <v>139.14</v>
      </c>
      <c r="F114" s="0" t="n">
        <v>19612801</v>
      </c>
    </row>
    <row r="115" customFormat="false" ht="12.75" hidden="false" customHeight="false" outlineLevel="0" collapsed="false">
      <c r="A115" s="129" t="n">
        <v>42803</v>
      </c>
      <c r="B115" s="0" t="n">
        <v>138.74</v>
      </c>
      <c r="C115" s="0" t="n">
        <v>138.79</v>
      </c>
      <c r="D115" s="0" t="n">
        <v>137.05</v>
      </c>
      <c r="E115" s="0" t="n">
        <v>138.68</v>
      </c>
      <c r="F115" s="0" t="n">
        <v>22155904</v>
      </c>
    </row>
    <row r="116" customFormat="false" ht="12.75" hidden="false" customHeight="false" outlineLevel="0" collapsed="false">
      <c r="A116" s="129" t="n">
        <v>42802</v>
      </c>
      <c r="B116" s="0" t="n">
        <v>138.95</v>
      </c>
      <c r="C116" s="0" t="n">
        <v>139.8</v>
      </c>
      <c r="D116" s="0" t="n">
        <v>138.82</v>
      </c>
      <c r="E116" s="0" t="n">
        <v>139</v>
      </c>
      <c r="F116" s="0" t="n">
        <v>18707236</v>
      </c>
    </row>
    <row r="117" customFormat="false" ht="12.75" hidden="false" customHeight="false" outlineLevel="0" collapsed="false">
      <c r="A117" s="129" t="n">
        <v>42801</v>
      </c>
      <c r="B117" s="0" t="n">
        <v>139.06</v>
      </c>
      <c r="C117" s="0" t="n">
        <v>139.98</v>
      </c>
      <c r="D117" s="0" t="n">
        <v>138.79</v>
      </c>
      <c r="E117" s="0" t="n">
        <v>139.52</v>
      </c>
      <c r="F117" s="0" t="n">
        <v>17446297</v>
      </c>
    </row>
    <row r="118" customFormat="false" ht="12.75" hidden="false" customHeight="false" outlineLevel="0" collapsed="false">
      <c r="A118" s="129" t="n">
        <v>42800</v>
      </c>
      <c r="B118" s="0" t="n">
        <v>139.36</v>
      </c>
      <c r="C118" s="0" t="n">
        <v>139.77</v>
      </c>
      <c r="D118" s="0" t="n">
        <v>138.6</v>
      </c>
      <c r="E118" s="0" t="n">
        <v>139.34</v>
      </c>
      <c r="F118" s="0" t="n">
        <v>21750044</v>
      </c>
    </row>
    <row r="119" customFormat="false" ht="12.75" hidden="false" customHeight="false" outlineLevel="0" collapsed="false">
      <c r="A119" s="129" t="n">
        <v>42797</v>
      </c>
      <c r="B119" s="0" t="n">
        <v>138.78</v>
      </c>
      <c r="C119" s="0" t="n">
        <v>139.83</v>
      </c>
      <c r="D119" s="0" t="n">
        <v>138.59</v>
      </c>
      <c r="E119" s="0" t="n">
        <v>139.78</v>
      </c>
      <c r="F119" s="0" t="n">
        <v>21571121</v>
      </c>
    </row>
    <row r="120" customFormat="false" ht="12.75" hidden="false" customHeight="false" outlineLevel="0" collapsed="false">
      <c r="A120" s="129" t="n">
        <v>42796</v>
      </c>
      <c r="B120" s="0" t="n">
        <v>140</v>
      </c>
      <c r="C120" s="0" t="n">
        <v>140.28</v>
      </c>
      <c r="D120" s="0" t="n">
        <v>138.76</v>
      </c>
      <c r="E120" s="0" t="n">
        <v>138.96</v>
      </c>
      <c r="F120" s="0" t="n">
        <v>26210984</v>
      </c>
    </row>
    <row r="121" customFormat="false" ht="12.75" hidden="false" customHeight="false" outlineLevel="0" collapsed="false">
      <c r="A121" s="129" t="n">
        <v>42795</v>
      </c>
      <c r="B121" s="0" t="n">
        <v>137.89</v>
      </c>
      <c r="C121" s="0" t="n">
        <v>140.15</v>
      </c>
      <c r="D121" s="0" t="n">
        <v>137.6</v>
      </c>
      <c r="E121" s="0" t="n">
        <v>139.79</v>
      </c>
      <c r="F121" s="0" t="n">
        <v>36414585</v>
      </c>
    </row>
    <row r="122" customFormat="false" ht="12.75" hidden="false" customHeight="false" outlineLevel="0" collapsed="false">
      <c r="A122" s="129" t="n">
        <v>42794</v>
      </c>
      <c r="B122" s="0" t="n">
        <v>137.08</v>
      </c>
      <c r="C122" s="0" t="n">
        <v>137.44</v>
      </c>
      <c r="D122" s="0" t="n">
        <v>136.7</v>
      </c>
      <c r="E122" s="0" t="n">
        <v>136.99</v>
      </c>
      <c r="F122" s="0" t="n">
        <v>23482860</v>
      </c>
    </row>
    <row r="123" customFormat="false" ht="12.75" hidden="false" customHeight="false" outlineLevel="0" collapsed="false">
      <c r="A123" s="129" t="n">
        <v>42793</v>
      </c>
      <c r="B123" s="0" t="n">
        <v>137.14</v>
      </c>
      <c r="C123" s="0" t="n">
        <v>137.44</v>
      </c>
      <c r="D123" s="0" t="n">
        <v>136.28</v>
      </c>
      <c r="E123" s="0" t="n">
        <v>136.93</v>
      </c>
      <c r="F123" s="0" t="n">
        <v>20257426</v>
      </c>
    </row>
    <row r="124" customFormat="false" ht="12.75" hidden="false" customHeight="false" outlineLevel="0" collapsed="false">
      <c r="A124" s="129" t="n">
        <v>42790</v>
      </c>
      <c r="B124" s="0" t="n">
        <v>135.91</v>
      </c>
      <c r="C124" s="0" t="n">
        <v>136.66</v>
      </c>
      <c r="D124" s="0" t="n">
        <v>135.28</v>
      </c>
      <c r="E124" s="0" t="n">
        <v>136.66</v>
      </c>
      <c r="F124" s="0" t="n">
        <v>21776585</v>
      </c>
    </row>
    <row r="125" customFormat="false" ht="12.75" hidden="false" customHeight="false" outlineLevel="0" collapsed="false">
      <c r="A125" s="129" t="n">
        <v>42789</v>
      </c>
      <c r="B125" s="0" t="n">
        <v>137.38</v>
      </c>
      <c r="C125" s="0" t="n">
        <v>137.48</v>
      </c>
      <c r="D125" s="0" t="n">
        <v>136.3</v>
      </c>
      <c r="E125" s="0" t="n">
        <v>136.53</v>
      </c>
      <c r="F125" s="0" t="n">
        <v>20788186</v>
      </c>
    </row>
    <row r="126" customFormat="false" ht="12.75" hidden="false" customHeight="false" outlineLevel="0" collapsed="false">
      <c r="A126" s="129" t="n">
        <v>42788</v>
      </c>
      <c r="B126" s="0" t="n">
        <v>136.43</v>
      </c>
      <c r="C126" s="0" t="n">
        <v>137.12</v>
      </c>
      <c r="D126" s="0" t="n">
        <v>136.11</v>
      </c>
      <c r="E126" s="0" t="n">
        <v>137.11</v>
      </c>
      <c r="F126" s="0" t="n">
        <v>20836932</v>
      </c>
    </row>
    <row r="127" customFormat="false" ht="12.75" hidden="false" customHeight="false" outlineLevel="0" collapsed="false">
      <c r="A127" s="129" t="n">
        <v>42787</v>
      </c>
      <c r="B127" s="0" t="n">
        <v>136.23</v>
      </c>
      <c r="C127" s="0" t="n">
        <v>136.75</v>
      </c>
      <c r="D127" s="0" t="n">
        <v>135.98</v>
      </c>
      <c r="E127" s="0" t="n">
        <v>136.7</v>
      </c>
      <c r="F127" s="0" t="n">
        <v>24507156</v>
      </c>
    </row>
    <row r="128" customFormat="false" ht="12.75" hidden="false" customHeight="false" outlineLevel="0" collapsed="false">
      <c r="A128" s="129" t="n">
        <v>42783</v>
      </c>
      <c r="B128" s="0" t="n">
        <v>135.1</v>
      </c>
      <c r="C128" s="0" t="n">
        <v>135.83</v>
      </c>
      <c r="D128" s="0" t="n">
        <v>135.1</v>
      </c>
      <c r="E128" s="0" t="n">
        <v>135.72</v>
      </c>
      <c r="F128" s="0" t="n">
        <v>22198197</v>
      </c>
    </row>
    <row r="129" customFormat="false" ht="12.75" hidden="false" customHeight="false" outlineLevel="0" collapsed="false">
      <c r="A129" s="129" t="n">
        <v>42782</v>
      </c>
      <c r="B129" s="0" t="n">
        <v>135.67</v>
      </c>
      <c r="C129" s="0" t="n">
        <v>135.9</v>
      </c>
      <c r="D129" s="0" t="n">
        <v>134.84</v>
      </c>
      <c r="E129" s="0" t="n">
        <v>135.34</v>
      </c>
      <c r="F129" s="0" t="n">
        <v>22584555</v>
      </c>
    </row>
    <row r="130" customFormat="false" ht="12.75" hidden="false" customHeight="false" outlineLevel="0" collapsed="false">
      <c r="A130" s="129" t="n">
        <v>42781</v>
      </c>
      <c r="B130" s="0" t="n">
        <v>135.52</v>
      </c>
      <c r="C130" s="0" t="n">
        <v>136.27</v>
      </c>
      <c r="D130" s="0" t="n">
        <v>134.62</v>
      </c>
      <c r="E130" s="0" t="n">
        <v>135.51</v>
      </c>
      <c r="F130" s="0" t="n">
        <v>35623100</v>
      </c>
    </row>
    <row r="131" customFormat="false" ht="12.75" hidden="false" customHeight="false" outlineLevel="0" collapsed="false">
      <c r="A131" s="129" t="n">
        <v>42780</v>
      </c>
      <c r="B131" s="0" t="n">
        <v>133.47</v>
      </c>
      <c r="C131" s="0" t="n">
        <v>135.09</v>
      </c>
      <c r="D131" s="0" t="n">
        <v>133.25</v>
      </c>
      <c r="E131" s="0" t="n">
        <v>135.02</v>
      </c>
      <c r="F131" s="0" t="n">
        <v>33226223</v>
      </c>
    </row>
    <row r="132" customFormat="false" ht="12.75" hidden="false" customHeight="false" outlineLevel="0" collapsed="false">
      <c r="A132" s="129" t="n">
        <v>42779</v>
      </c>
      <c r="B132" s="0" t="n">
        <v>133.08</v>
      </c>
      <c r="C132" s="0" t="n">
        <v>133.82</v>
      </c>
      <c r="D132" s="0" t="n">
        <v>132.75</v>
      </c>
      <c r="E132" s="0" t="n">
        <v>133.29</v>
      </c>
      <c r="F132" s="0" t="n">
        <v>23035421</v>
      </c>
    </row>
    <row r="133" customFormat="false" ht="12.75" hidden="false" customHeight="false" outlineLevel="0" collapsed="false">
      <c r="A133" s="129" t="n">
        <v>42776</v>
      </c>
      <c r="B133" s="0" t="n">
        <v>132.46</v>
      </c>
      <c r="C133" s="0" t="n">
        <v>132.94</v>
      </c>
      <c r="D133" s="0" t="n">
        <v>132.05</v>
      </c>
      <c r="E133" s="0" t="n">
        <v>132.12</v>
      </c>
      <c r="F133" s="0" t="n">
        <v>20065458</v>
      </c>
    </row>
    <row r="134" customFormat="false" ht="12.75" hidden="false" customHeight="false" outlineLevel="0" collapsed="false">
      <c r="A134" s="129" t="n">
        <v>42775</v>
      </c>
      <c r="B134" s="0" t="n">
        <v>131.65</v>
      </c>
      <c r="C134" s="0" t="n">
        <v>132.44</v>
      </c>
      <c r="D134" s="0" t="n">
        <v>131.12</v>
      </c>
      <c r="E134" s="0" t="n">
        <v>132.42</v>
      </c>
      <c r="F134" s="0" t="n">
        <v>28349859</v>
      </c>
    </row>
    <row r="135" customFormat="false" ht="12.75" hidden="false" customHeight="false" outlineLevel="0" collapsed="false">
      <c r="A135" s="129" t="n">
        <v>42774</v>
      </c>
      <c r="B135" s="0" t="n">
        <v>131.35</v>
      </c>
      <c r="C135" s="0" t="n">
        <v>132.22</v>
      </c>
      <c r="D135" s="0" t="n">
        <v>131.22</v>
      </c>
      <c r="E135" s="0" t="n">
        <v>132.04</v>
      </c>
      <c r="F135" s="0" t="n">
        <v>23004072</v>
      </c>
    </row>
    <row r="136" customFormat="false" ht="12.75" hidden="false" customHeight="false" outlineLevel="0" collapsed="false">
      <c r="A136" s="129" t="n">
        <v>42773</v>
      </c>
      <c r="B136" s="0" t="n">
        <v>130.54</v>
      </c>
      <c r="C136" s="0" t="n">
        <v>132.09</v>
      </c>
      <c r="D136" s="0" t="n">
        <v>130.45</v>
      </c>
      <c r="E136" s="0" t="n">
        <v>131.53</v>
      </c>
      <c r="F136" s="0" t="n">
        <v>38183841</v>
      </c>
    </row>
    <row r="137" customFormat="false" ht="12.75" hidden="false" customHeight="false" outlineLevel="0" collapsed="false">
      <c r="A137" s="129" t="n">
        <v>42772</v>
      </c>
      <c r="B137" s="0" t="n">
        <v>129.13</v>
      </c>
      <c r="C137" s="0" t="n">
        <v>130.5</v>
      </c>
      <c r="D137" s="0" t="n">
        <v>128.9</v>
      </c>
      <c r="E137" s="0" t="n">
        <v>130.29</v>
      </c>
      <c r="F137" s="0" t="n">
        <v>26845924</v>
      </c>
    </row>
    <row r="138" customFormat="false" ht="12.75" hidden="false" customHeight="false" outlineLevel="0" collapsed="false">
      <c r="A138" s="129" t="n">
        <v>42769</v>
      </c>
      <c r="B138" s="0" t="n">
        <v>128.31</v>
      </c>
      <c r="C138" s="0" t="n">
        <v>129.19</v>
      </c>
      <c r="D138" s="0" t="n">
        <v>128.16</v>
      </c>
      <c r="E138" s="0" t="n">
        <v>129.08</v>
      </c>
      <c r="F138" s="0" t="n">
        <v>24507301</v>
      </c>
    </row>
    <row r="139" customFormat="false" ht="12.75" hidden="false" customHeight="false" outlineLevel="0" collapsed="false">
      <c r="A139" s="129" t="n">
        <v>42768</v>
      </c>
      <c r="B139" s="0" t="n">
        <v>127.98</v>
      </c>
      <c r="C139" s="0" t="n">
        <v>129.39</v>
      </c>
      <c r="D139" s="0" t="n">
        <v>127.78</v>
      </c>
      <c r="E139" s="0" t="n">
        <v>128.53</v>
      </c>
      <c r="F139" s="0" t="n">
        <v>33710411</v>
      </c>
    </row>
    <row r="140" customFormat="false" ht="12.75" hidden="false" customHeight="false" outlineLevel="0" collapsed="false">
      <c r="A140" s="129" t="n">
        <v>42767</v>
      </c>
      <c r="B140" s="0" t="n">
        <v>127.03</v>
      </c>
      <c r="C140" s="0" t="n">
        <v>130.49</v>
      </c>
      <c r="D140" s="0" t="n">
        <v>127.01</v>
      </c>
      <c r="E140" s="0" t="n">
        <v>128.75</v>
      </c>
      <c r="F140" s="0" t="n">
        <v>111985040</v>
      </c>
    </row>
    <row r="141" customFormat="false" ht="12.75" hidden="false" customHeight="false" outlineLevel="0" collapsed="false">
      <c r="A141" s="129" t="n">
        <v>42766</v>
      </c>
      <c r="B141" s="0" t="n">
        <v>121.15</v>
      </c>
      <c r="C141" s="0" t="n">
        <v>121.39</v>
      </c>
      <c r="D141" s="0" t="n">
        <v>120.62</v>
      </c>
      <c r="E141" s="0" t="n">
        <v>121.35</v>
      </c>
      <c r="F141" s="0" t="n">
        <v>49200993</v>
      </c>
    </row>
    <row r="142" customFormat="false" ht="12.75" hidden="false" customHeight="false" outlineLevel="0" collapsed="false">
      <c r="A142" s="129" t="n">
        <v>42765</v>
      </c>
      <c r="B142" s="0" t="n">
        <v>120.93</v>
      </c>
      <c r="C142" s="0" t="n">
        <v>121.63</v>
      </c>
      <c r="D142" s="0" t="n">
        <v>120.66</v>
      </c>
      <c r="E142" s="0" t="n">
        <v>121.63</v>
      </c>
      <c r="F142" s="0" t="n">
        <v>30377503</v>
      </c>
    </row>
    <row r="143" customFormat="false" ht="12.75" hidden="false" customHeight="false" outlineLevel="0" collapsed="false">
      <c r="A143" s="129" t="n">
        <v>42762</v>
      </c>
      <c r="B143" s="0" t="n">
        <v>122.14</v>
      </c>
      <c r="C143" s="0" t="n">
        <v>122.35</v>
      </c>
      <c r="D143" s="0" t="n">
        <v>121.6</v>
      </c>
      <c r="E143" s="0" t="n">
        <v>121.95</v>
      </c>
      <c r="F143" s="0" t="n">
        <v>20562944</v>
      </c>
    </row>
    <row r="144" customFormat="false" ht="12.75" hidden="false" customHeight="false" outlineLevel="0" collapsed="false">
      <c r="A144" s="129" t="n">
        <v>42761</v>
      </c>
      <c r="B144" s="0" t="n">
        <v>121.67</v>
      </c>
      <c r="C144" s="0" t="n">
        <v>122.44</v>
      </c>
      <c r="D144" s="0" t="n">
        <v>121.6</v>
      </c>
      <c r="E144" s="0" t="n">
        <v>121.94</v>
      </c>
      <c r="F144" s="0" t="n">
        <v>26337576</v>
      </c>
    </row>
    <row r="145" customFormat="false" ht="12.75" hidden="false" customHeight="false" outlineLevel="0" collapsed="false">
      <c r="A145" s="129" t="n">
        <v>42760</v>
      </c>
      <c r="B145" s="0" t="n">
        <v>120.42</v>
      </c>
      <c r="C145" s="0" t="n">
        <v>122.1</v>
      </c>
      <c r="D145" s="0" t="n">
        <v>120.28</v>
      </c>
      <c r="E145" s="0" t="n">
        <v>121.88</v>
      </c>
      <c r="F145" s="0" t="n">
        <v>32586673</v>
      </c>
    </row>
    <row r="146" customFormat="false" ht="12.75" hidden="false" customHeight="false" outlineLevel="0" collapsed="false">
      <c r="A146" s="129" t="n">
        <v>42759</v>
      </c>
      <c r="B146" s="0" t="n">
        <v>119.55</v>
      </c>
      <c r="C146" s="0" t="n">
        <v>120.1</v>
      </c>
      <c r="D146" s="0" t="n">
        <v>119.5</v>
      </c>
      <c r="E146" s="0" t="n">
        <v>119.97</v>
      </c>
      <c r="F146" s="0" t="n">
        <v>23211038</v>
      </c>
    </row>
    <row r="147" customFormat="false" ht="12.75" hidden="false" customHeight="false" outlineLevel="0" collapsed="false">
      <c r="A147" s="129" t="n">
        <v>42758</v>
      </c>
      <c r="B147" s="0" t="n">
        <v>120</v>
      </c>
      <c r="C147" s="0" t="n">
        <v>120.81</v>
      </c>
      <c r="D147" s="0" t="n">
        <v>119.77</v>
      </c>
      <c r="E147" s="0" t="n">
        <v>120.08</v>
      </c>
      <c r="F147" s="0" t="n">
        <v>22050218</v>
      </c>
    </row>
    <row r="148" customFormat="false" ht="12.75" hidden="false" customHeight="false" outlineLevel="0" collapsed="false">
      <c r="A148" s="129" t="n">
        <v>42755</v>
      </c>
      <c r="B148" s="0" t="n">
        <v>120.45</v>
      </c>
      <c r="C148" s="0" t="n">
        <v>120.45</v>
      </c>
      <c r="D148" s="0" t="n">
        <v>119.73</v>
      </c>
      <c r="E148" s="0" t="n">
        <v>120</v>
      </c>
      <c r="F148" s="0" t="n">
        <v>32597892</v>
      </c>
    </row>
    <row r="149" customFormat="false" ht="12.75" hidden="false" customHeight="false" outlineLevel="0" collapsed="false">
      <c r="A149" s="129" t="n">
        <v>42754</v>
      </c>
      <c r="B149" s="0" t="n">
        <v>119.4</v>
      </c>
      <c r="C149" s="0" t="n">
        <v>120.09</v>
      </c>
      <c r="D149" s="0" t="n">
        <v>119.37</v>
      </c>
      <c r="E149" s="0" t="n">
        <v>119.78</v>
      </c>
      <c r="F149" s="0" t="n">
        <v>25597291</v>
      </c>
    </row>
    <row r="150" customFormat="false" ht="12.75" hidden="false" customHeight="false" outlineLevel="0" collapsed="false">
      <c r="A150" s="129" t="n">
        <v>42753</v>
      </c>
      <c r="B150" s="0" t="n">
        <v>120</v>
      </c>
      <c r="C150" s="0" t="n">
        <v>120.5</v>
      </c>
      <c r="D150" s="0" t="n">
        <v>119.71</v>
      </c>
      <c r="E150" s="0" t="n">
        <v>119.99</v>
      </c>
      <c r="F150" s="0" t="n">
        <v>23712961</v>
      </c>
    </row>
    <row r="151" customFormat="false" ht="12.75" hidden="false" customHeight="false" outlineLevel="0" collapsed="false">
      <c r="A151" s="129" t="n">
        <v>42752</v>
      </c>
      <c r="B151" s="0" t="n">
        <v>118.34</v>
      </c>
      <c r="C151" s="0" t="n">
        <v>120.24</v>
      </c>
      <c r="D151" s="0" t="n">
        <v>118.22</v>
      </c>
      <c r="E151" s="0" t="n">
        <v>120</v>
      </c>
      <c r="F151" s="0" t="n">
        <v>34439843</v>
      </c>
    </row>
    <row r="152" customFormat="false" ht="12.75" hidden="false" customHeight="false" outlineLevel="0" collapsed="false">
      <c r="A152" s="129" t="n">
        <v>42748</v>
      </c>
      <c r="B152" s="0" t="n">
        <v>119.11</v>
      </c>
      <c r="C152" s="0" t="n">
        <v>119.62</v>
      </c>
      <c r="D152" s="0" t="n">
        <v>118.81</v>
      </c>
      <c r="E152" s="0" t="n">
        <v>119.04</v>
      </c>
      <c r="F152" s="0" t="n">
        <v>26111948</v>
      </c>
    </row>
    <row r="153" customFormat="false" ht="12.75" hidden="false" customHeight="false" outlineLevel="0" collapsed="false">
      <c r="A153" s="129" t="n">
        <v>42747</v>
      </c>
      <c r="B153" s="0" t="n">
        <v>118.9</v>
      </c>
      <c r="C153" s="0" t="n">
        <v>119.3</v>
      </c>
      <c r="D153" s="0" t="n">
        <v>118.21</v>
      </c>
      <c r="E153" s="0" t="n">
        <v>119.25</v>
      </c>
      <c r="F153" s="0" t="n">
        <v>27086220</v>
      </c>
    </row>
    <row r="154" customFormat="false" ht="12.75" hidden="false" customHeight="false" outlineLevel="0" collapsed="false">
      <c r="A154" s="129" t="n">
        <v>42746</v>
      </c>
      <c r="B154" s="0" t="n">
        <v>118.74</v>
      </c>
      <c r="C154" s="0" t="n">
        <v>119.93</v>
      </c>
      <c r="D154" s="0" t="n">
        <v>118.6</v>
      </c>
      <c r="E154" s="0" t="n">
        <v>119.75</v>
      </c>
      <c r="F154" s="0" t="n">
        <v>27588593</v>
      </c>
    </row>
    <row r="155" customFormat="false" ht="12.75" hidden="false" customHeight="false" outlineLevel="0" collapsed="false">
      <c r="A155" s="129" t="n">
        <v>42745</v>
      </c>
      <c r="B155" s="0" t="n">
        <v>118.77</v>
      </c>
      <c r="C155" s="0" t="n">
        <v>119.38</v>
      </c>
      <c r="D155" s="0" t="n">
        <v>118.3</v>
      </c>
      <c r="E155" s="0" t="n">
        <v>119.11</v>
      </c>
      <c r="F155" s="0" t="n">
        <v>24462051</v>
      </c>
    </row>
    <row r="156" customFormat="false" ht="12.75" hidden="false" customHeight="false" outlineLevel="0" collapsed="false">
      <c r="A156" s="129" t="n">
        <v>42744</v>
      </c>
      <c r="B156" s="0" t="n">
        <v>117.95</v>
      </c>
      <c r="C156" s="0" t="n">
        <v>119.43</v>
      </c>
      <c r="D156" s="0" t="n">
        <v>117.94</v>
      </c>
      <c r="E156" s="0" t="n">
        <v>118.99</v>
      </c>
      <c r="F156" s="0" t="n">
        <v>33561948</v>
      </c>
    </row>
    <row r="157" customFormat="false" ht="12.75" hidden="false" customHeight="false" outlineLevel="0" collapsed="false">
      <c r="A157" s="129" t="n">
        <v>42741</v>
      </c>
      <c r="B157" s="0" t="n">
        <v>116.78</v>
      </c>
      <c r="C157" s="0" t="n">
        <v>118.16</v>
      </c>
      <c r="D157" s="0" t="n">
        <v>116.47</v>
      </c>
      <c r="E157" s="0" t="n">
        <v>117.91</v>
      </c>
      <c r="F157" s="0" t="n">
        <v>31751900</v>
      </c>
    </row>
    <row r="158" customFormat="false" ht="12.75" hidden="false" customHeight="false" outlineLevel="0" collapsed="false">
      <c r="A158" s="129" t="n">
        <v>42740</v>
      </c>
      <c r="B158" s="0" t="n">
        <v>115.92</v>
      </c>
      <c r="C158" s="0" t="n">
        <v>116.86</v>
      </c>
      <c r="D158" s="0" t="n">
        <v>115.81</v>
      </c>
      <c r="E158" s="0" t="n">
        <v>116.61</v>
      </c>
      <c r="F158" s="0" t="n">
        <v>22193587</v>
      </c>
    </row>
    <row r="159" customFormat="false" ht="12.75" hidden="false" customHeight="false" outlineLevel="0" collapsed="false">
      <c r="A159" s="129" t="n">
        <v>42739</v>
      </c>
      <c r="B159" s="0" t="n">
        <v>115.85</v>
      </c>
      <c r="C159" s="0" t="n">
        <v>116.51</v>
      </c>
      <c r="D159" s="0" t="n">
        <v>115.75</v>
      </c>
      <c r="E159" s="0" t="n">
        <v>116.02</v>
      </c>
      <c r="F159" s="0" t="n">
        <v>21118116</v>
      </c>
    </row>
    <row r="160" customFormat="false" ht="12.75" hidden="false" customHeight="false" outlineLevel="0" collapsed="false">
      <c r="A160" s="129" t="n">
        <v>42738</v>
      </c>
      <c r="B160" s="0" t="n">
        <v>115.8</v>
      </c>
      <c r="C160" s="0" t="n">
        <v>116.33</v>
      </c>
      <c r="D160" s="0" t="n">
        <v>114.76</v>
      </c>
      <c r="E160" s="0" t="n">
        <v>116.15</v>
      </c>
      <c r="F160" s="0" t="n">
        <v>28781865</v>
      </c>
    </row>
    <row r="161" customFormat="false" ht="12.75" hidden="false" customHeight="false" outlineLevel="0" collapsed="false">
      <c r="A161" s="129" t="n">
        <v>42734</v>
      </c>
      <c r="B161" s="0" t="n">
        <v>116.65</v>
      </c>
      <c r="C161" s="0" t="n">
        <v>117.2</v>
      </c>
      <c r="D161" s="0" t="n">
        <v>115.43</v>
      </c>
      <c r="E161" s="0" t="n">
        <v>115.82</v>
      </c>
      <c r="F161" s="0" t="n">
        <v>30586265</v>
      </c>
    </row>
    <row r="162" customFormat="false" ht="12.75" hidden="false" customHeight="false" outlineLevel="0" collapsed="false">
      <c r="A162" s="129" t="n">
        <v>42733</v>
      </c>
      <c r="B162" s="0" t="n">
        <v>116.45</v>
      </c>
      <c r="C162" s="0" t="n">
        <v>117.11</v>
      </c>
      <c r="D162" s="0" t="n">
        <v>116.4</v>
      </c>
      <c r="E162" s="0" t="n">
        <v>116.73</v>
      </c>
      <c r="F162" s="0" t="n">
        <v>15039519</v>
      </c>
    </row>
    <row r="163" customFormat="false" ht="12.75" hidden="false" customHeight="false" outlineLevel="0" collapsed="false">
      <c r="A163" s="129" t="n">
        <v>42732</v>
      </c>
      <c r="B163" s="0" t="n">
        <v>117.52</v>
      </c>
      <c r="C163" s="0" t="n">
        <v>118.02</v>
      </c>
      <c r="D163" s="0" t="n">
        <v>116.2</v>
      </c>
      <c r="E163" s="0" t="n">
        <v>116.76</v>
      </c>
      <c r="F163" s="0" t="n">
        <v>20905892</v>
      </c>
    </row>
    <row r="164" customFormat="false" ht="12.75" hidden="false" customHeight="false" outlineLevel="0" collapsed="false">
      <c r="A164" s="129" t="n">
        <v>42731</v>
      </c>
      <c r="B164" s="0" t="n">
        <v>116.52</v>
      </c>
      <c r="C164" s="0" t="n">
        <v>117.8</v>
      </c>
      <c r="D164" s="0" t="n">
        <v>116.49</v>
      </c>
      <c r="E164" s="0" t="n">
        <v>117.26</v>
      </c>
      <c r="F164" s="0" t="n">
        <v>18296855</v>
      </c>
    </row>
    <row r="165" customFormat="false" ht="12.75" hidden="false" customHeight="false" outlineLevel="0" collapsed="false">
      <c r="A165" s="129" t="n">
        <v>42727</v>
      </c>
      <c r="B165" s="0" t="n">
        <v>115.59</v>
      </c>
      <c r="C165" s="0" t="n">
        <v>116.52</v>
      </c>
      <c r="D165" s="0" t="n">
        <v>115.59</v>
      </c>
      <c r="E165" s="0" t="n">
        <v>116.52</v>
      </c>
      <c r="F165" s="0" t="n">
        <v>14249484</v>
      </c>
    </row>
    <row r="166" customFormat="false" ht="12.75" hidden="false" customHeight="false" outlineLevel="0" collapsed="false">
      <c r="A166" s="129" t="n">
        <v>42726</v>
      </c>
      <c r="B166" s="0" t="n">
        <v>116.35</v>
      </c>
      <c r="C166" s="0" t="n">
        <v>116.51</v>
      </c>
      <c r="D166" s="0" t="n">
        <v>115.64</v>
      </c>
      <c r="E166" s="0" t="n">
        <v>116.29</v>
      </c>
      <c r="F166" s="0" t="n">
        <v>26085854</v>
      </c>
    </row>
    <row r="167" customFormat="false" ht="12.75" hidden="false" customHeight="false" outlineLevel="0" collapsed="false">
      <c r="A167" s="129" t="n">
        <v>42725</v>
      </c>
      <c r="B167" s="0" t="n">
        <v>116.8</v>
      </c>
      <c r="C167" s="0" t="n">
        <v>117.4</v>
      </c>
      <c r="D167" s="0" t="n">
        <v>116.78</v>
      </c>
      <c r="E167" s="0" t="n">
        <v>117.06</v>
      </c>
      <c r="F167" s="0" t="n">
        <v>23783165</v>
      </c>
    </row>
    <row r="168" customFormat="false" ht="12.75" hidden="false" customHeight="false" outlineLevel="0" collapsed="false">
      <c r="A168" s="129" t="n">
        <v>42724</v>
      </c>
      <c r="B168" s="0" t="n">
        <v>116.74</v>
      </c>
      <c r="C168" s="0" t="n">
        <v>117.5</v>
      </c>
      <c r="D168" s="0" t="n">
        <v>116.68</v>
      </c>
      <c r="E168" s="0" t="n">
        <v>116.95</v>
      </c>
      <c r="F168" s="0" t="n">
        <v>21424965</v>
      </c>
    </row>
    <row r="169" customFormat="false" ht="12.75" hidden="false" customHeight="false" outlineLevel="0" collapsed="false">
      <c r="A169" s="129" t="n">
        <v>42723</v>
      </c>
      <c r="B169" s="0" t="n">
        <v>115.8</v>
      </c>
      <c r="C169" s="0" t="n">
        <v>117.38</v>
      </c>
      <c r="D169" s="0" t="n">
        <v>115.75</v>
      </c>
      <c r="E169" s="0" t="n">
        <v>116.64</v>
      </c>
      <c r="F169" s="0" t="n">
        <v>27779423</v>
      </c>
    </row>
    <row r="170" customFormat="false" ht="12.75" hidden="false" customHeight="false" outlineLevel="0" collapsed="false">
      <c r="A170" s="129" t="n">
        <v>42720</v>
      </c>
      <c r="B170" s="0" t="n">
        <v>116.47</v>
      </c>
      <c r="C170" s="0" t="n">
        <v>116.5</v>
      </c>
      <c r="D170" s="0" t="n">
        <v>115.64</v>
      </c>
      <c r="E170" s="0" t="n">
        <v>115.97</v>
      </c>
      <c r="F170" s="0" t="n">
        <v>44351134</v>
      </c>
    </row>
    <row r="171" customFormat="false" ht="12.75" hidden="false" customHeight="false" outlineLevel="0" collapsed="false">
      <c r="A171" s="129" t="n">
        <v>42719</v>
      </c>
      <c r="B171" s="0" t="n">
        <v>115.38</v>
      </c>
      <c r="C171" s="0" t="n">
        <v>116.73</v>
      </c>
      <c r="D171" s="0" t="n">
        <v>115.23</v>
      </c>
      <c r="E171" s="0" t="n">
        <v>115.82</v>
      </c>
      <c r="F171" s="0" t="n">
        <v>46524544</v>
      </c>
    </row>
    <row r="172" customFormat="false" ht="12.75" hidden="false" customHeight="false" outlineLevel="0" collapsed="false">
      <c r="A172" s="129" t="n">
        <v>42718</v>
      </c>
      <c r="B172" s="0" t="n">
        <v>115.04</v>
      </c>
      <c r="C172" s="0" t="n">
        <v>116.2</v>
      </c>
      <c r="D172" s="0" t="n">
        <v>114.98</v>
      </c>
      <c r="E172" s="0" t="n">
        <v>115.19</v>
      </c>
      <c r="F172" s="0" t="n">
        <v>34031834</v>
      </c>
    </row>
    <row r="173" customFormat="false" ht="12.75" hidden="false" customHeight="false" outlineLevel="0" collapsed="false">
      <c r="A173" s="129" t="n">
        <v>42717</v>
      </c>
      <c r="B173" s="0" t="n">
        <v>113.84</v>
      </c>
      <c r="C173" s="0" t="n">
        <v>115.92</v>
      </c>
      <c r="D173" s="0" t="n">
        <v>113.75</v>
      </c>
      <c r="E173" s="0" t="n">
        <v>115.19</v>
      </c>
      <c r="F173" s="0" t="n">
        <v>43733811</v>
      </c>
    </row>
    <row r="174" customFormat="false" ht="12.75" hidden="false" customHeight="false" outlineLevel="0" collapsed="false">
      <c r="A174" s="129" t="n">
        <v>42716</v>
      </c>
      <c r="B174" s="0" t="n">
        <v>113.29</v>
      </c>
      <c r="C174" s="0" t="n">
        <v>115</v>
      </c>
      <c r="D174" s="0" t="n">
        <v>112.49</v>
      </c>
      <c r="E174" s="0" t="n">
        <v>113.3</v>
      </c>
      <c r="F174" s="0" t="n">
        <v>26374377</v>
      </c>
    </row>
    <row r="175" customFormat="false" ht="12.75" hidden="false" customHeight="false" outlineLevel="0" collapsed="false">
      <c r="A175" s="129" t="n">
        <v>42713</v>
      </c>
      <c r="B175" s="0" t="n">
        <v>112.31</v>
      </c>
      <c r="C175" s="0" t="n">
        <v>114.7</v>
      </c>
      <c r="D175" s="0" t="n">
        <v>112.31</v>
      </c>
      <c r="E175" s="0" t="n">
        <v>113.95</v>
      </c>
      <c r="F175" s="0" t="n">
        <v>34402627</v>
      </c>
    </row>
    <row r="176" customFormat="false" ht="12.75" hidden="false" customHeight="false" outlineLevel="0" collapsed="false">
      <c r="A176" s="129" t="n">
        <v>42712</v>
      </c>
      <c r="B176" s="0" t="n">
        <v>110.86</v>
      </c>
      <c r="C176" s="0" t="n">
        <v>112.43</v>
      </c>
      <c r="D176" s="0" t="n">
        <v>110.6</v>
      </c>
      <c r="E176" s="0" t="n">
        <v>112.12</v>
      </c>
      <c r="F176" s="0" t="n">
        <v>27068316</v>
      </c>
    </row>
    <row r="177" customFormat="false" ht="12.75" hidden="false" customHeight="false" outlineLevel="0" collapsed="false">
      <c r="A177" s="129" t="n">
        <v>42711</v>
      </c>
      <c r="B177" s="0" t="n">
        <v>109.26</v>
      </c>
      <c r="C177" s="0" t="n">
        <v>111.19</v>
      </c>
      <c r="D177" s="0" t="n">
        <v>109.16</v>
      </c>
      <c r="E177" s="0" t="n">
        <v>111.03</v>
      </c>
      <c r="F177" s="0" t="n">
        <v>29998719</v>
      </c>
    </row>
    <row r="178" customFormat="false" ht="12.75" hidden="false" customHeight="false" outlineLevel="0" collapsed="false">
      <c r="A178" s="129" t="n">
        <v>42710</v>
      </c>
      <c r="B178" s="0" t="n">
        <v>109.5</v>
      </c>
      <c r="C178" s="0" t="n">
        <v>110.36</v>
      </c>
      <c r="D178" s="0" t="n">
        <v>109.19</v>
      </c>
      <c r="E178" s="0" t="n">
        <v>109.95</v>
      </c>
      <c r="F178" s="0" t="n">
        <v>26195462</v>
      </c>
    </row>
    <row r="179" customFormat="false" ht="12.75" hidden="false" customHeight="false" outlineLevel="0" collapsed="false">
      <c r="A179" s="129" t="n">
        <v>42709</v>
      </c>
      <c r="B179" s="0" t="n">
        <v>110</v>
      </c>
      <c r="C179" s="0" t="n">
        <v>110.03</v>
      </c>
      <c r="D179" s="0" t="n">
        <v>108.25</v>
      </c>
      <c r="E179" s="0" t="n">
        <v>109.11</v>
      </c>
      <c r="F179" s="0" t="n">
        <v>34324540</v>
      </c>
    </row>
    <row r="180" customFormat="false" ht="12.75" hidden="false" customHeight="false" outlineLevel="0" collapsed="false">
      <c r="A180" s="129" t="n">
        <v>42706</v>
      </c>
      <c r="B180" s="0" t="n">
        <v>109.17</v>
      </c>
      <c r="C180" s="0" t="n">
        <v>110.09</v>
      </c>
      <c r="D180" s="0" t="n">
        <v>108.85</v>
      </c>
      <c r="E180" s="0" t="n">
        <v>109.9</v>
      </c>
      <c r="F180" s="0" t="n">
        <v>26527997</v>
      </c>
    </row>
    <row r="181" customFormat="false" ht="12.75" hidden="false" customHeight="false" outlineLevel="0" collapsed="false">
      <c r="A181" s="129" t="n">
        <v>42705</v>
      </c>
      <c r="B181" s="0" t="n">
        <v>110.36</v>
      </c>
      <c r="C181" s="0" t="n">
        <v>110.94</v>
      </c>
      <c r="D181" s="0" t="n">
        <v>109.03</v>
      </c>
      <c r="E181" s="0" t="n">
        <v>109.49</v>
      </c>
      <c r="F181" s="0" t="n">
        <v>37086862</v>
      </c>
    </row>
    <row r="182" customFormat="false" ht="12.75" hidden="false" customHeight="false" outlineLevel="0" collapsed="false">
      <c r="A182" s="129" t="n">
        <v>42704</v>
      </c>
      <c r="B182" s="0" t="n">
        <v>111.6</v>
      </c>
      <c r="C182" s="0" t="n">
        <v>112.2</v>
      </c>
      <c r="D182" s="0" t="n">
        <v>110.27</v>
      </c>
      <c r="E182" s="0" t="n">
        <v>110.52</v>
      </c>
      <c r="F182" s="0" t="n">
        <v>36162258</v>
      </c>
    </row>
    <row r="183" customFormat="false" ht="12.75" hidden="false" customHeight="false" outlineLevel="0" collapsed="false">
      <c r="A183" s="129" t="n">
        <v>42703</v>
      </c>
      <c r="B183" s="0" t="n">
        <v>110.78</v>
      </c>
      <c r="C183" s="0" t="n">
        <v>112.03</v>
      </c>
      <c r="D183" s="0" t="n">
        <v>110.07</v>
      </c>
      <c r="E183" s="0" t="n">
        <v>111.46</v>
      </c>
      <c r="F183" s="0" t="n">
        <v>28528750</v>
      </c>
    </row>
    <row r="184" customFormat="false" ht="12.75" hidden="false" customHeight="false" outlineLevel="0" collapsed="false">
      <c r="A184" s="129" t="n">
        <v>42702</v>
      </c>
      <c r="B184" s="0" t="n">
        <v>111.43</v>
      </c>
      <c r="C184" s="0" t="n">
        <v>112.46</v>
      </c>
      <c r="D184" s="0" t="n">
        <v>111.39</v>
      </c>
      <c r="E184" s="0" t="n">
        <v>111.57</v>
      </c>
      <c r="F184" s="0" t="n">
        <v>27193983</v>
      </c>
    </row>
    <row r="185" customFormat="false" ht="12.75" hidden="false" customHeight="false" outlineLevel="0" collapsed="false">
      <c r="A185" s="129" t="n">
        <v>42699</v>
      </c>
      <c r="B185" s="0" t="n">
        <v>111.47</v>
      </c>
      <c r="C185" s="0" t="n">
        <v>111.87</v>
      </c>
      <c r="D185" s="0" t="n">
        <v>110.95</v>
      </c>
      <c r="E185" s="0" t="n">
        <v>111.79</v>
      </c>
      <c r="F185" s="0" t="n">
        <v>11475922</v>
      </c>
    </row>
    <row r="186" customFormat="false" ht="12.75" hidden="false" customHeight="false" outlineLevel="0" collapsed="false">
      <c r="A186" s="129" t="n">
        <v>42697</v>
      </c>
      <c r="B186" s="0" t="n">
        <v>111.36</v>
      </c>
      <c r="C186" s="0" t="n">
        <v>111.51</v>
      </c>
      <c r="D186" s="0" t="n">
        <v>110.33</v>
      </c>
      <c r="E186" s="0" t="n">
        <v>111.23</v>
      </c>
      <c r="F186" s="0" t="n">
        <v>27426394</v>
      </c>
    </row>
    <row r="187" customFormat="false" ht="12.75" hidden="false" customHeight="false" outlineLevel="0" collapsed="false">
      <c r="A187" s="129" t="n">
        <v>42696</v>
      </c>
      <c r="B187" s="0" t="n">
        <v>111.95</v>
      </c>
      <c r="C187" s="0" t="n">
        <v>112.42</v>
      </c>
      <c r="D187" s="0" t="n">
        <v>111.4</v>
      </c>
      <c r="E187" s="0" t="n">
        <v>111.8</v>
      </c>
      <c r="F187" s="0" t="n">
        <v>25965534</v>
      </c>
    </row>
    <row r="188" customFormat="false" ht="12.75" hidden="false" customHeight="false" outlineLevel="0" collapsed="false">
      <c r="A188" s="129" t="n">
        <v>42695</v>
      </c>
      <c r="B188" s="0" t="n">
        <v>110.12</v>
      </c>
      <c r="C188" s="0" t="n">
        <v>111.99</v>
      </c>
      <c r="D188" s="0" t="n">
        <v>110.01</v>
      </c>
      <c r="E188" s="0" t="n">
        <v>111.73</v>
      </c>
      <c r="F188" s="0" t="n">
        <v>29264571</v>
      </c>
    </row>
    <row r="189" customFormat="false" ht="12.75" hidden="false" customHeight="false" outlineLevel="0" collapsed="false">
      <c r="A189" s="129" t="n">
        <v>42692</v>
      </c>
      <c r="B189" s="0" t="n">
        <v>109.72</v>
      </c>
      <c r="C189" s="0" t="n">
        <v>110.54</v>
      </c>
      <c r="D189" s="0" t="n">
        <v>109.66</v>
      </c>
      <c r="E189" s="0" t="n">
        <v>110.06</v>
      </c>
      <c r="F189" s="0" t="n">
        <v>28428917</v>
      </c>
    </row>
    <row r="190" customFormat="false" ht="12.75" hidden="false" customHeight="false" outlineLevel="0" collapsed="false">
      <c r="A190" s="129" t="n">
        <v>42691</v>
      </c>
      <c r="B190" s="0" t="n">
        <v>109.81</v>
      </c>
      <c r="C190" s="0" t="n">
        <v>110.35</v>
      </c>
      <c r="D190" s="0" t="n">
        <v>108.83</v>
      </c>
      <c r="E190" s="0" t="n">
        <v>109.95</v>
      </c>
      <c r="F190" s="0" t="n">
        <v>26964598</v>
      </c>
    </row>
    <row r="191" customFormat="false" ht="12.75" hidden="false" customHeight="false" outlineLevel="0" collapsed="false">
      <c r="A191" s="129" t="n">
        <v>42690</v>
      </c>
      <c r="B191" s="0" t="n">
        <v>106.7</v>
      </c>
      <c r="C191" s="0" t="n">
        <v>110.23</v>
      </c>
      <c r="D191" s="0" t="n">
        <v>106.6</v>
      </c>
      <c r="E191" s="0" t="n">
        <v>109.99</v>
      </c>
      <c r="F191" s="0" t="n">
        <v>58840522</v>
      </c>
    </row>
    <row r="192" customFormat="false" ht="12.75" hidden="false" customHeight="false" outlineLevel="0" collapsed="false">
      <c r="A192" s="129" t="n">
        <v>42689</v>
      </c>
      <c r="B192" s="0" t="n">
        <v>106.57</v>
      </c>
      <c r="C192" s="0" t="n">
        <v>107.68</v>
      </c>
      <c r="D192" s="0" t="n">
        <v>106.16</v>
      </c>
      <c r="E192" s="0" t="n">
        <v>107.11</v>
      </c>
      <c r="F192" s="0" t="n">
        <v>32264510</v>
      </c>
    </row>
    <row r="193" customFormat="false" ht="12.75" hidden="false" customHeight="false" outlineLevel="0" collapsed="false">
      <c r="A193" s="129" t="n">
        <v>42688</v>
      </c>
      <c r="B193" s="0" t="n">
        <v>107.71</v>
      </c>
      <c r="C193" s="0" t="n">
        <v>107.81</v>
      </c>
      <c r="D193" s="0" t="n">
        <v>104.08</v>
      </c>
      <c r="E193" s="0" t="n">
        <v>105.71</v>
      </c>
      <c r="F193" s="0" t="n">
        <v>51175504</v>
      </c>
    </row>
    <row r="194" customFormat="false" ht="12.75" hidden="false" customHeight="false" outlineLevel="0" collapsed="false">
      <c r="A194" s="129" t="n">
        <v>42685</v>
      </c>
      <c r="B194" s="0" t="n">
        <v>107.12</v>
      </c>
      <c r="C194" s="0" t="n">
        <v>108.87</v>
      </c>
      <c r="D194" s="0" t="n">
        <v>106.55</v>
      </c>
      <c r="E194" s="0" t="n">
        <v>108.43</v>
      </c>
      <c r="F194" s="0" t="n">
        <v>34143898</v>
      </c>
    </row>
    <row r="195" customFormat="false" ht="12.75" hidden="false" customHeight="false" outlineLevel="0" collapsed="false">
      <c r="A195" s="129" t="n">
        <v>42684</v>
      </c>
      <c r="B195" s="0" t="n">
        <v>111.09</v>
      </c>
      <c r="C195" s="0" t="n">
        <v>111.09</v>
      </c>
      <c r="D195" s="0" t="n">
        <v>105.83</v>
      </c>
      <c r="E195" s="0" t="n">
        <v>107.79</v>
      </c>
      <c r="F195" s="0" t="n">
        <v>57134541</v>
      </c>
    </row>
    <row r="196" customFormat="false" ht="12.75" hidden="false" customHeight="false" outlineLevel="0" collapsed="false">
      <c r="A196" s="129" t="n">
        <v>42683</v>
      </c>
      <c r="B196" s="0" t="n">
        <v>109.88</v>
      </c>
      <c r="C196" s="0" t="n">
        <v>111.32</v>
      </c>
      <c r="D196" s="0" t="n">
        <v>108.05</v>
      </c>
      <c r="E196" s="0" t="n">
        <v>110.88</v>
      </c>
      <c r="F196" s="0" t="n">
        <v>59176361</v>
      </c>
    </row>
    <row r="197" customFormat="false" ht="12.75" hidden="false" customHeight="false" outlineLevel="0" collapsed="false">
      <c r="A197" s="129" t="n">
        <v>42682</v>
      </c>
      <c r="B197" s="0" t="n">
        <v>110.31</v>
      </c>
      <c r="C197" s="0" t="n">
        <v>111.72</v>
      </c>
      <c r="D197" s="0" t="n">
        <v>109.7</v>
      </c>
      <c r="E197" s="0" t="n">
        <v>111.06</v>
      </c>
      <c r="F197" s="0" t="n">
        <v>24254179</v>
      </c>
    </row>
    <row r="198" customFormat="false" ht="12.75" hidden="false" customHeight="false" outlineLevel="0" collapsed="false">
      <c r="A198" s="129" t="n">
        <v>42681</v>
      </c>
      <c r="B198" s="0" t="n">
        <v>110.08</v>
      </c>
      <c r="C198" s="0" t="n">
        <v>110.51</v>
      </c>
      <c r="D198" s="0" t="n">
        <v>109.46</v>
      </c>
      <c r="E198" s="0" t="n">
        <v>110.41</v>
      </c>
      <c r="F198" s="0" t="n">
        <v>32560000</v>
      </c>
    </row>
    <row r="199" customFormat="false" ht="12.75" hidden="false" customHeight="false" outlineLevel="0" collapsed="false">
      <c r="A199" s="129" t="n">
        <v>42678</v>
      </c>
      <c r="B199" s="0" t="n">
        <v>108.53</v>
      </c>
      <c r="C199" s="0" t="n">
        <v>110.25</v>
      </c>
      <c r="D199" s="0" t="n">
        <v>108.11</v>
      </c>
      <c r="E199" s="0" t="n">
        <v>108.84</v>
      </c>
      <c r="F199" s="0" t="n">
        <v>30836997</v>
      </c>
    </row>
    <row r="200" customFormat="false" ht="12.75" hidden="false" customHeight="false" outlineLevel="0" collapsed="false">
      <c r="A200" s="129" t="n">
        <v>42677</v>
      </c>
      <c r="B200" s="0" t="n">
        <v>110.98</v>
      </c>
      <c r="C200" s="0" t="n">
        <v>111.46</v>
      </c>
      <c r="D200" s="0" t="n">
        <v>109.55</v>
      </c>
      <c r="E200" s="0" t="n">
        <v>109.83</v>
      </c>
      <c r="F200" s="0" t="n">
        <v>26932602</v>
      </c>
    </row>
    <row r="201" customFormat="false" ht="12.75" hidden="false" customHeight="false" outlineLevel="0" collapsed="false">
      <c r="A201" s="129" t="n">
        <v>42676</v>
      </c>
      <c r="B201" s="0" t="n">
        <v>111.4</v>
      </c>
      <c r="C201" s="0" t="n">
        <v>112.35</v>
      </c>
      <c r="D201" s="0" t="n">
        <v>111.23</v>
      </c>
      <c r="E201" s="0" t="n">
        <v>111.59</v>
      </c>
      <c r="F201" s="0" t="n">
        <v>28331709</v>
      </c>
    </row>
    <row r="202" customFormat="false" ht="12.75" hidden="false" customHeight="false" outlineLevel="0" collapsed="false">
      <c r="A202" s="129" t="n">
        <v>42675</v>
      </c>
      <c r="B202" s="0" t="n">
        <v>113.46</v>
      </c>
      <c r="C202" s="0" t="n">
        <v>113.77</v>
      </c>
      <c r="D202" s="0" t="n">
        <v>110.53</v>
      </c>
      <c r="E202" s="0" t="n">
        <v>111.49</v>
      </c>
      <c r="F202" s="0" t="n">
        <v>43825812</v>
      </c>
    </row>
    <row r="203" customFormat="false" ht="12.75" hidden="false" customHeight="false" outlineLevel="0" collapsed="false">
      <c r="A203" s="129" t="n">
        <v>42674</v>
      </c>
      <c r="B203" s="0" t="n">
        <v>113.65</v>
      </c>
      <c r="C203" s="0" t="n">
        <v>114.23</v>
      </c>
      <c r="D203" s="0" t="n">
        <v>113.2</v>
      </c>
      <c r="E203" s="0" t="n">
        <v>113.54</v>
      </c>
      <c r="F203" s="0" t="n">
        <v>26419398</v>
      </c>
    </row>
    <row r="204" customFormat="false" ht="12.75" hidden="false" customHeight="false" outlineLevel="0" collapsed="false">
      <c r="A204" s="129" t="n">
        <v>42671</v>
      </c>
      <c r="B204" s="0" t="n">
        <v>113.87</v>
      </c>
      <c r="C204" s="0" t="n">
        <v>115.21</v>
      </c>
      <c r="D204" s="0" t="n">
        <v>113.45</v>
      </c>
      <c r="E204" s="0" t="n">
        <v>113.72</v>
      </c>
      <c r="F204" s="0" t="n">
        <v>37861662</v>
      </c>
    </row>
    <row r="205" customFormat="false" ht="12.75" hidden="false" customHeight="false" outlineLevel="0" collapsed="false">
      <c r="A205" s="129" t="n">
        <v>42670</v>
      </c>
      <c r="B205" s="0" t="n">
        <v>115.39</v>
      </c>
      <c r="C205" s="0" t="n">
        <v>115.86</v>
      </c>
      <c r="D205" s="0" t="n">
        <v>114.1</v>
      </c>
      <c r="E205" s="0" t="n">
        <v>114.48</v>
      </c>
      <c r="F205" s="0" t="n">
        <v>34562045</v>
      </c>
    </row>
    <row r="206" customFormat="false" ht="12.75" hidden="false" customHeight="false" outlineLevel="0" collapsed="false">
      <c r="A206" s="129" t="n">
        <v>42669</v>
      </c>
      <c r="B206" s="0" t="n">
        <v>114.31</v>
      </c>
      <c r="C206" s="0" t="n">
        <v>115.7</v>
      </c>
      <c r="D206" s="0" t="n">
        <v>113.31</v>
      </c>
      <c r="E206" s="0" t="n">
        <v>115.59</v>
      </c>
      <c r="F206" s="0" t="n">
        <v>66134219</v>
      </c>
    </row>
    <row r="207" customFormat="false" ht="12.75" hidden="false" customHeight="false" outlineLevel="0" collapsed="false">
      <c r="A207" s="129" t="n">
        <v>42668</v>
      </c>
      <c r="B207" s="0" t="n">
        <v>117.95</v>
      </c>
      <c r="C207" s="0" t="n">
        <v>118.36</v>
      </c>
      <c r="D207" s="0" t="n">
        <v>117.31</v>
      </c>
      <c r="E207" s="0" t="n">
        <v>118.25</v>
      </c>
      <c r="F207" s="0" t="n">
        <v>48128970</v>
      </c>
    </row>
    <row r="208" customFormat="false" ht="12.75" hidden="false" customHeight="false" outlineLevel="0" collapsed="false">
      <c r="A208" s="129" t="n">
        <v>42667</v>
      </c>
      <c r="B208" s="0" t="n">
        <v>117.1</v>
      </c>
      <c r="C208" s="0" t="n">
        <v>117.74</v>
      </c>
      <c r="D208" s="0" t="n">
        <v>117</v>
      </c>
      <c r="E208" s="0" t="n">
        <v>117.65</v>
      </c>
      <c r="F208" s="0" t="n">
        <v>23538673</v>
      </c>
    </row>
    <row r="209" customFormat="false" ht="12.75" hidden="false" customHeight="false" outlineLevel="0" collapsed="false">
      <c r="A209" s="129" t="n">
        <v>42664</v>
      </c>
      <c r="B209" s="0" t="n">
        <v>116.81</v>
      </c>
      <c r="C209" s="0" t="n">
        <v>116.91</v>
      </c>
      <c r="D209" s="0" t="n">
        <v>116.28</v>
      </c>
      <c r="E209" s="0" t="n">
        <v>116.6</v>
      </c>
      <c r="F209" s="0" t="n">
        <v>23192665</v>
      </c>
    </row>
    <row r="210" customFormat="false" ht="12.75" hidden="false" customHeight="false" outlineLevel="0" collapsed="false">
      <c r="A210" s="129" t="n">
        <v>42663</v>
      </c>
      <c r="B210" s="0" t="n">
        <v>116.86</v>
      </c>
      <c r="C210" s="0" t="n">
        <v>117.38</v>
      </c>
      <c r="D210" s="0" t="n">
        <v>116.33</v>
      </c>
      <c r="E210" s="0" t="n">
        <v>117.06</v>
      </c>
      <c r="F210" s="0" t="n">
        <v>24125801</v>
      </c>
    </row>
    <row r="211" customFormat="false" ht="12.75" hidden="false" customHeight="false" outlineLevel="0" collapsed="false">
      <c r="A211" s="129" t="n">
        <v>42662</v>
      </c>
      <c r="B211" s="0" t="n">
        <v>117.25</v>
      </c>
      <c r="C211" s="0" t="n">
        <v>117.76</v>
      </c>
      <c r="D211" s="0" t="n">
        <v>113.8</v>
      </c>
      <c r="E211" s="0" t="n">
        <v>117.12</v>
      </c>
      <c r="F211" s="0" t="n">
        <v>20034594</v>
      </c>
    </row>
    <row r="212" customFormat="false" ht="12.75" hidden="false" customHeight="false" outlineLevel="0" collapsed="false">
      <c r="A212" s="129" t="n">
        <v>42661</v>
      </c>
      <c r="B212" s="0" t="n">
        <v>118.18</v>
      </c>
      <c r="C212" s="0" t="n">
        <v>118.21</v>
      </c>
      <c r="D212" s="0" t="n">
        <v>117.45</v>
      </c>
      <c r="E212" s="0" t="n">
        <v>117.47</v>
      </c>
      <c r="F212" s="0" t="n">
        <v>24553478</v>
      </c>
    </row>
    <row r="213" customFormat="false" ht="12.75" hidden="false" customHeight="false" outlineLevel="0" collapsed="false">
      <c r="A213" s="129" t="n">
        <v>42660</v>
      </c>
      <c r="B213" s="0" t="n">
        <v>117.33</v>
      </c>
      <c r="C213" s="0" t="n">
        <v>117.84</v>
      </c>
      <c r="D213" s="0" t="n">
        <v>116.78</v>
      </c>
      <c r="E213" s="0" t="n">
        <v>117.55</v>
      </c>
      <c r="F213" s="0" t="n">
        <v>23624896</v>
      </c>
    </row>
    <row r="214" customFormat="false" ht="12.75" hidden="false" customHeight="false" outlineLevel="0" collapsed="false">
      <c r="A214" s="129" t="n">
        <v>42657</v>
      </c>
      <c r="B214" s="0" t="n">
        <v>117.88</v>
      </c>
      <c r="C214" s="0" t="n">
        <v>118.17</v>
      </c>
      <c r="D214" s="0" t="n">
        <v>117.13</v>
      </c>
      <c r="E214" s="0" t="n">
        <v>117.63</v>
      </c>
      <c r="F214" s="0" t="n">
        <v>35652191</v>
      </c>
    </row>
    <row r="215" customFormat="false" ht="12.75" hidden="false" customHeight="false" outlineLevel="0" collapsed="false">
      <c r="A215" s="129" t="n">
        <v>42656</v>
      </c>
      <c r="B215" s="0" t="n">
        <v>116.79</v>
      </c>
      <c r="C215" s="0" t="n">
        <v>117.44</v>
      </c>
      <c r="D215" s="0" t="n">
        <v>115.72</v>
      </c>
      <c r="E215" s="0" t="n">
        <v>116.98</v>
      </c>
      <c r="F215" s="0" t="n">
        <v>35192406</v>
      </c>
    </row>
    <row r="216" customFormat="false" ht="12.75" hidden="false" customHeight="false" outlineLevel="0" collapsed="false">
      <c r="A216" s="129" t="n">
        <v>42655</v>
      </c>
      <c r="B216" s="0" t="n">
        <v>117.35</v>
      </c>
      <c r="C216" s="0" t="n">
        <v>117.98</v>
      </c>
      <c r="D216" s="0" t="n">
        <v>116.75</v>
      </c>
      <c r="E216" s="0" t="n">
        <v>117.34</v>
      </c>
      <c r="F216" s="0" t="n">
        <v>37586787</v>
      </c>
    </row>
    <row r="217" customFormat="false" ht="12.75" hidden="false" customHeight="false" outlineLevel="0" collapsed="false">
      <c r="A217" s="129" t="n">
        <v>42654</v>
      </c>
      <c r="B217" s="0" t="n">
        <v>117.7</v>
      </c>
      <c r="C217" s="0" t="n">
        <v>118.69</v>
      </c>
      <c r="D217" s="0" t="n">
        <v>116.2</v>
      </c>
      <c r="E217" s="0" t="n">
        <v>116.3</v>
      </c>
      <c r="F217" s="0" t="n">
        <v>64041043</v>
      </c>
    </row>
    <row r="218" customFormat="false" ht="12.75" hidden="false" customHeight="false" outlineLevel="0" collapsed="false">
      <c r="A218" s="129" t="n">
        <v>42653</v>
      </c>
      <c r="B218" s="0" t="n">
        <v>115.02</v>
      </c>
      <c r="C218" s="0" t="n">
        <v>116.75</v>
      </c>
      <c r="D218" s="0" t="n">
        <v>114.72</v>
      </c>
      <c r="E218" s="0" t="n">
        <v>116.05</v>
      </c>
      <c r="F218" s="0" t="n">
        <v>36235956</v>
      </c>
    </row>
    <row r="219" customFormat="false" ht="12.75" hidden="false" customHeight="false" outlineLevel="0" collapsed="false">
      <c r="A219" s="129" t="n">
        <v>42650</v>
      </c>
      <c r="B219" s="0" t="n">
        <v>114.31</v>
      </c>
      <c r="C219" s="0" t="n">
        <v>114.56</v>
      </c>
      <c r="D219" s="0" t="n">
        <v>113.51</v>
      </c>
      <c r="E219" s="0" t="n">
        <v>114.06</v>
      </c>
      <c r="F219" s="0" t="n">
        <v>24358443</v>
      </c>
    </row>
    <row r="220" customFormat="false" ht="12.75" hidden="false" customHeight="false" outlineLevel="0" collapsed="false">
      <c r="A220" s="129" t="n">
        <v>42649</v>
      </c>
      <c r="B220" s="0" t="n">
        <v>113.7</v>
      </c>
      <c r="C220" s="0" t="n">
        <v>114.34</v>
      </c>
      <c r="D220" s="0" t="n">
        <v>113.13</v>
      </c>
      <c r="E220" s="0" t="n">
        <v>113.89</v>
      </c>
      <c r="F220" s="0" t="n">
        <v>28779313</v>
      </c>
    </row>
    <row r="221" customFormat="false" ht="12.75" hidden="false" customHeight="false" outlineLevel="0" collapsed="false">
      <c r="A221" s="129" t="n">
        <v>42648</v>
      </c>
      <c r="B221" s="0" t="n">
        <v>113.4</v>
      </c>
      <c r="C221" s="0" t="n">
        <v>113.66</v>
      </c>
      <c r="D221" s="0" t="n">
        <v>112.69</v>
      </c>
      <c r="E221" s="0" t="n">
        <v>113.05</v>
      </c>
      <c r="F221" s="0" t="n">
        <v>21453089</v>
      </c>
    </row>
    <row r="222" customFormat="false" ht="12.75" hidden="false" customHeight="false" outlineLevel="0" collapsed="false">
      <c r="A222" s="129" t="n">
        <v>42647</v>
      </c>
      <c r="B222" s="0" t="n">
        <v>113.06</v>
      </c>
      <c r="C222" s="0" t="n">
        <v>114.31</v>
      </c>
      <c r="D222" s="0" t="n">
        <v>112.63</v>
      </c>
      <c r="E222" s="0" t="n">
        <v>113</v>
      </c>
      <c r="F222" s="0" t="n">
        <v>29736835</v>
      </c>
    </row>
    <row r="223" customFormat="false" ht="12.75" hidden="false" customHeight="false" outlineLevel="0" collapsed="false">
      <c r="A223" s="129" t="n">
        <v>42646</v>
      </c>
      <c r="B223" s="0" t="n">
        <v>112.71</v>
      </c>
      <c r="C223" s="0" t="n">
        <v>113.05</v>
      </c>
      <c r="D223" s="0" t="n">
        <v>112.28</v>
      </c>
      <c r="E223" s="0" t="n">
        <v>112.52</v>
      </c>
      <c r="F223" s="0" t="n">
        <v>21701760</v>
      </c>
    </row>
    <row r="224" customFormat="false" ht="12.75" hidden="false" customHeight="false" outlineLevel="0" collapsed="false">
      <c r="A224" s="129" t="n">
        <v>42643</v>
      </c>
      <c r="B224" s="0" t="n">
        <v>112.46</v>
      </c>
      <c r="C224" s="0" t="n">
        <v>113.37</v>
      </c>
      <c r="D224" s="0" t="n">
        <v>111.8</v>
      </c>
      <c r="E224" s="0" t="n">
        <v>113.05</v>
      </c>
      <c r="F224" s="0" t="n">
        <v>36379106</v>
      </c>
    </row>
    <row r="225" customFormat="false" ht="12.75" hidden="false" customHeight="false" outlineLevel="0" collapsed="false">
      <c r="A225" s="129" t="n">
        <v>42642</v>
      </c>
      <c r="B225" s="0" t="n">
        <v>113.16</v>
      </c>
      <c r="C225" s="0" t="n">
        <v>113.8</v>
      </c>
      <c r="D225" s="0" t="n">
        <v>111.8</v>
      </c>
      <c r="E225" s="0" t="n">
        <v>112.18</v>
      </c>
      <c r="F225" s="0" t="n">
        <v>35886990</v>
      </c>
    </row>
    <row r="226" customFormat="false" ht="12.75" hidden="false" customHeight="false" outlineLevel="0" collapsed="false">
      <c r="A226" s="129" t="n">
        <v>42641</v>
      </c>
      <c r="B226" s="0" t="n">
        <v>113.69</v>
      </c>
      <c r="C226" s="0" t="n">
        <v>114.64</v>
      </c>
      <c r="D226" s="0" t="n">
        <v>113.43</v>
      </c>
      <c r="E226" s="0" t="n">
        <v>113.95</v>
      </c>
      <c r="F226" s="0" t="n">
        <v>29641085</v>
      </c>
    </row>
    <row r="227" customFormat="false" ht="12.75" hidden="false" customHeight="false" outlineLevel="0" collapsed="false">
      <c r="A227" s="129" t="n">
        <v>42640</v>
      </c>
      <c r="B227" s="0" t="n">
        <v>113</v>
      </c>
      <c r="C227" s="0" t="n">
        <v>113.18</v>
      </c>
      <c r="D227" s="0" t="n">
        <v>112.34</v>
      </c>
      <c r="E227" s="0" t="n">
        <v>113.09</v>
      </c>
      <c r="F227" s="0" t="n">
        <v>24607412</v>
      </c>
    </row>
    <row r="228" customFormat="false" ht="12.75" hidden="false" customHeight="false" outlineLevel="0" collapsed="false">
      <c r="A228" s="129" t="n">
        <v>42639</v>
      </c>
      <c r="B228" s="0" t="n">
        <v>111.64</v>
      </c>
      <c r="C228" s="0" t="n">
        <v>113.39</v>
      </c>
      <c r="D228" s="0" t="n">
        <v>111.55</v>
      </c>
      <c r="E228" s="0" t="n">
        <v>112.88</v>
      </c>
      <c r="F228" s="0" t="n">
        <v>29869442</v>
      </c>
    </row>
    <row r="229" customFormat="false" ht="12.75" hidden="false" customHeight="false" outlineLevel="0" collapsed="false">
      <c r="A229" s="129" t="n">
        <v>42636</v>
      </c>
      <c r="B229" s="0" t="n">
        <v>114.42</v>
      </c>
      <c r="C229" s="0" t="n">
        <v>114.79</v>
      </c>
      <c r="D229" s="0" t="n">
        <v>111.55</v>
      </c>
      <c r="E229" s="0" t="n">
        <v>112.71</v>
      </c>
      <c r="F229" s="0" t="n">
        <v>52481151</v>
      </c>
    </row>
    <row r="230" customFormat="false" ht="12.75" hidden="false" customHeight="false" outlineLevel="0" collapsed="false">
      <c r="A230" s="129" t="n">
        <v>42635</v>
      </c>
      <c r="B230" s="0" t="n">
        <v>114.35</v>
      </c>
      <c r="C230" s="0" t="n">
        <v>114.94</v>
      </c>
      <c r="D230" s="0" t="n">
        <v>114</v>
      </c>
      <c r="E230" s="0" t="n">
        <v>114.62</v>
      </c>
      <c r="F230" s="0" t="n">
        <v>31073984</v>
      </c>
    </row>
    <row r="231" customFormat="false" ht="12.75" hidden="false" customHeight="false" outlineLevel="0" collapsed="false">
      <c r="A231" s="129" t="n">
        <v>42634</v>
      </c>
      <c r="B231" s="0" t="n">
        <v>113.85</v>
      </c>
      <c r="C231" s="0" t="n">
        <v>113.99</v>
      </c>
      <c r="D231" s="0" t="n">
        <v>112.44</v>
      </c>
      <c r="E231" s="0" t="n">
        <v>113.55</v>
      </c>
      <c r="F231" s="0" t="n">
        <v>36003185</v>
      </c>
    </row>
    <row r="232" customFormat="false" ht="12.75" hidden="false" customHeight="false" outlineLevel="0" collapsed="false">
      <c r="A232" s="129" t="n">
        <v>42633</v>
      </c>
      <c r="B232" s="0" t="n">
        <v>113.05</v>
      </c>
      <c r="C232" s="0" t="n">
        <v>114.12</v>
      </c>
      <c r="D232" s="0" t="n">
        <v>112.51</v>
      </c>
      <c r="E232" s="0" t="n">
        <v>113.57</v>
      </c>
      <c r="F232" s="0" t="n">
        <v>34514269</v>
      </c>
    </row>
    <row r="233" customFormat="false" ht="12.75" hidden="false" customHeight="false" outlineLevel="0" collapsed="false">
      <c r="A233" s="129" t="n">
        <v>42632</v>
      </c>
      <c r="B233" s="0" t="n">
        <v>115.19</v>
      </c>
      <c r="C233" s="0" t="n">
        <v>116.18</v>
      </c>
      <c r="D233" s="0" t="n">
        <v>113.25</v>
      </c>
      <c r="E233" s="0" t="n">
        <v>113.58</v>
      </c>
      <c r="F233" s="0" t="n">
        <v>47023046</v>
      </c>
    </row>
    <row r="234" customFormat="false" ht="12.75" hidden="false" customHeight="false" outlineLevel="0" collapsed="false">
      <c r="A234" s="129" t="n">
        <v>42629</v>
      </c>
      <c r="B234" s="0" t="n">
        <v>115.12</v>
      </c>
      <c r="C234" s="0" t="n">
        <v>116.13</v>
      </c>
      <c r="D234" s="0" t="n">
        <v>114.04</v>
      </c>
      <c r="E234" s="0" t="n">
        <v>114.92</v>
      </c>
      <c r="F234" s="0" t="n">
        <v>79886911</v>
      </c>
    </row>
    <row r="235" customFormat="false" ht="12.75" hidden="false" customHeight="false" outlineLevel="0" collapsed="false">
      <c r="A235" s="129" t="n">
        <v>42628</v>
      </c>
      <c r="B235" s="0" t="n">
        <v>113.86</v>
      </c>
      <c r="C235" s="0" t="n">
        <v>115.73</v>
      </c>
      <c r="D235" s="0" t="n">
        <v>113.49</v>
      </c>
      <c r="E235" s="0" t="n">
        <v>115.57</v>
      </c>
      <c r="F235" s="0" t="n">
        <v>90613177</v>
      </c>
    </row>
    <row r="236" customFormat="false" ht="12.75" hidden="false" customHeight="false" outlineLevel="0" collapsed="false">
      <c r="A236" s="129" t="n">
        <v>42627</v>
      </c>
      <c r="B236" s="0" t="n">
        <v>108.73</v>
      </c>
      <c r="C236" s="0" t="n">
        <v>113.03</v>
      </c>
      <c r="D236" s="0" t="n">
        <v>108.6</v>
      </c>
      <c r="E236" s="0" t="n">
        <v>111.77</v>
      </c>
      <c r="F236" s="0" t="n">
        <v>112340318</v>
      </c>
    </row>
    <row r="237" customFormat="false" ht="12.75" hidden="false" customHeight="false" outlineLevel="0" collapsed="false">
      <c r="A237" s="129" t="n">
        <v>42626</v>
      </c>
      <c r="B237" s="0" t="n">
        <v>107.51</v>
      </c>
      <c r="C237" s="0" t="n">
        <v>108.79</v>
      </c>
      <c r="D237" s="0" t="n">
        <v>107.24</v>
      </c>
      <c r="E237" s="0" t="n">
        <v>107.95</v>
      </c>
      <c r="F237" s="0" t="n">
        <v>62176190</v>
      </c>
    </row>
    <row r="238" customFormat="false" ht="12.75" hidden="false" customHeight="false" outlineLevel="0" collapsed="false">
      <c r="A238" s="129" t="n">
        <v>42625</v>
      </c>
      <c r="B238" s="0" t="n">
        <v>102.65</v>
      </c>
      <c r="C238" s="0" t="n">
        <v>105.72</v>
      </c>
      <c r="D238" s="0" t="n">
        <v>102.53</v>
      </c>
      <c r="E238" s="0" t="n">
        <v>105.44</v>
      </c>
      <c r="F238" s="0" t="n">
        <v>45292770</v>
      </c>
    </row>
    <row r="239" customFormat="false" ht="12.75" hidden="false" customHeight="false" outlineLevel="0" collapsed="false">
      <c r="A239" s="129" t="n">
        <v>42622</v>
      </c>
      <c r="B239" s="0" t="n">
        <v>104.64</v>
      </c>
      <c r="C239" s="0" t="n">
        <v>105.72</v>
      </c>
      <c r="D239" s="0" t="n">
        <v>103.13</v>
      </c>
      <c r="E239" s="0" t="n">
        <v>103.13</v>
      </c>
      <c r="F239" s="0" t="n">
        <v>46556984</v>
      </c>
    </row>
    <row r="240" customFormat="false" ht="12.75" hidden="false" customHeight="false" outlineLevel="0" collapsed="false">
      <c r="A240" s="129" t="n">
        <v>42621</v>
      </c>
      <c r="B240" s="0" t="n">
        <v>107.25</v>
      </c>
      <c r="C240" s="0" t="n">
        <v>107.27</v>
      </c>
      <c r="D240" s="0" t="n">
        <v>105.24</v>
      </c>
      <c r="E240" s="0" t="n">
        <v>105.52</v>
      </c>
      <c r="F240" s="0" t="n">
        <v>53002026</v>
      </c>
    </row>
    <row r="241" customFormat="false" ht="12.75" hidden="false" customHeight="false" outlineLevel="0" collapsed="false">
      <c r="A241" s="129" t="n">
        <v>42620</v>
      </c>
      <c r="B241" s="0" t="n">
        <v>107.83</v>
      </c>
      <c r="C241" s="0" t="n">
        <v>108.76</v>
      </c>
      <c r="D241" s="0" t="n">
        <v>107.07</v>
      </c>
      <c r="E241" s="0" t="n">
        <v>108.36</v>
      </c>
      <c r="F241" s="0" t="n">
        <v>42364328</v>
      </c>
    </row>
    <row r="242" customFormat="false" ht="12.75" hidden="false" customHeight="false" outlineLevel="0" collapsed="false">
      <c r="A242" s="129" t="n">
        <v>42619</v>
      </c>
      <c r="B242" s="0" t="n">
        <v>107.9</v>
      </c>
      <c r="C242" s="0" t="n">
        <v>108.3</v>
      </c>
      <c r="D242" s="0" t="n">
        <v>107.51</v>
      </c>
      <c r="E242" s="0" t="n">
        <v>107.7</v>
      </c>
      <c r="F242" s="0" t="n">
        <v>26880391</v>
      </c>
    </row>
    <row r="243" customFormat="false" ht="12.75" hidden="false" customHeight="false" outlineLevel="0" collapsed="false">
      <c r="A243" s="129" t="n">
        <v>42615</v>
      </c>
      <c r="B243" s="0" t="n">
        <v>107.7</v>
      </c>
      <c r="C243" s="0" t="n">
        <v>108</v>
      </c>
      <c r="D243" s="0" t="n">
        <v>106.82</v>
      </c>
      <c r="E243" s="0" t="n">
        <v>107.73</v>
      </c>
      <c r="F243" s="0" t="n">
        <v>26334858</v>
      </c>
    </row>
    <row r="244" customFormat="false" ht="12.75" hidden="false" customHeight="false" outlineLevel="0" collapsed="false">
      <c r="A244" s="129" t="n">
        <v>42614</v>
      </c>
      <c r="B244" s="0" t="n">
        <v>106.14</v>
      </c>
      <c r="C244" s="0" t="n">
        <v>106.8</v>
      </c>
      <c r="D244" s="0" t="n">
        <v>105.62</v>
      </c>
      <c r="E244" s="0" t="n">
        <v>106.73</v>
      </c>
      <c r="F244" s="0" t="n">
        <v>26701523</v>
      </c>
    </row>
    <row r="245" customFormat="false" ht="12.75" hidden="false" customHeight="false" outlineLevel="0" collapsed="false">
      <c r="A245" s="129" t="n">
        <v>42613</v>
      </c>
      <c r="B245" s="0" t="n">
        <v>105.66</v>
      </c>
      <c r="C245" s="0" t="n">
        <v>106.57</v>
      </c>
      <c r="D245" s="0" t="n">
        <v>105.64</v>
      </c>
      <c r="E245" s="0" t="n">
        <v>106.1</v>
      </c>
      <c r="F245" s="0" t="n">
        <v>29662406</v>
      </c>
    </row>
    <row r="246" customFormat="false" ht="12.75" hidden="false" customHeight="false" outlineLevel="0" collapsed="false">
      <c r="A246" s="129" t="n">
        <v>42612</v>
      </c>
      <c r="B246" s="0" t="n">
        <v>105.8</v>
      </c>
      <c r="C246" s="0" t="n">
        <v>106.5</v>
      </c>
      <c r="D246" s="0" t="n">
        <v>105.5</v>
      </c>
      <c r="E246" s="0" t="n">
        <v>106</v>
      </c>
      <c r="F246" s="0" t="n">
        <v>24863945</v>
      </c>
    </row>
    <row r="247" customFormat="false" ht="12.75" hidden="false" customHeight="false" outlineLevel="0" collapsed="false">
      <c r="A247" s="129" t="n">
        <v>42611</v>
      </c>
      <c r="B247" s="0" t="n">
        <v>106.62</v>
      </c>
      <c r="C247" s="0" t="n">
        <v>107.44</v>
      </c>
      <c r="D247" s="0" t="n">
        <v>106.29</v>
      </c>
      <c r="E247" s="0" t="n">
        <v>106.82</v>
      </c>
      <c r="F247" s="0" t="n">
        <v>24970300</v>
      </c>
    </row>
    <row r="248" customFormat="false" ht="12.75" hidden="false" customHeight="false" outlineLevel="0" collapsed="false">
      <c r="A248" s="129" t="n">
        <v>42608</v>
      </c>
      <c r="B248" s="0" t="n">
        <v>107.41</v>
      </c>
      <c r="C248" s="0" t="n">
        <v>107.95</v>
      </c>
      <c r="D248" s="0" t="n">
        <v>106.31</v>
      </c>
      <c r="E248" s="0" t="n">
        <v>106.94</v>
      </c>
      <c r="F248" s="0" t="n">
        <v>27766291</v>
      </c>
    </row>
    <row r="249" customFormat="false" ht="12.75" hidden="false" customHeight="false" outlineLevel="0" collapsed="false">
      <c r="A249" s="129" t="n">
        <v>42607</v>
      </c>
      <c r="B249" s="0" t="n">
        <v>107.39</v>
      </c>
      <c r="C249" s="0" t="n">
        <v>107.88</v>
      </c>
      <c r="D249" s="0" t="n">
        <v>106.68</v>
      </c>
      <c r="E249" s="0" t="n">
        <v>107.57</v>
      </c>
      <c r="F249" s="0" t="n">
        <v>25086248</v>
      </c>
    </row>
    <row r="250" customFormat="false" ht="12.75" hidden="false" customHeight="false" outlineLevel="0" collapsed="false">
      <c r="A250" s="129" t="n">
        <v>42606</v>
      </c>
      <c r="B250" s="0" t="n">
        <v>108.56</v>
      </c>
      <c r="C250" s="0" t="n">
        <v>108.75</v>
      </c>
      <c r="D250" s="0" t="n">
        <v>107.68</v>
      </c>
      <c r="E250" s="0" t="n">
        <v>108.03</v>
      </c>
      <c r="F250" s="0" t="n">
        <v>23675081</v>
      </c>
    </row>
    <row r="251" customFormat="false" ht="12.75" hidden="false" customHeight="false" outlineLevel="0" collapsed="false">
      <c r="A251" s="129" t="n">
        <v>42605</v>
      </c>
      <c r="B251" s="0" t="n">
        <v>108.59</v>
      </c>
      <c r="C251" s="0" t="n">
        <v>109.32</v>
      </c>
      <c r="D251" s="0" t="n">
        <v>108.53</v>
      </c>
      <c r="E251" s="0" t="n">
        <v>108.85</v>
      </c>
      <c r="F251" s="0" t="n">
        <v>21257669</v>
      </c>
    </row>
    <row r="252" customFormat="false" ht="12.75" hidden="false" customHeight="false" outlineLevel="0" collapsed="false">
      <c r="A252" s="129" t="n">
        <v>42604</v>
      </c>
      <c r="B252" s="0" t="n">
        <v>108.86</v>
      </c>
      <c r="C252" s="0" t="n">
        <v>109.1</v>
      </c>
      <c r="D252" s="0" t="n">
        <v>107.85</v>
      </c>
      <c r="E252" s="0" t="n">
        <v>108.51</v>
      </c>
      <c r="F252" s="0" t="n">
        <v>25820230</v>
      </c>
    </row>
    <row r="253" customFormat="false" ht="12.75" hidden="false" customHeight="false" outlineLevel="0" collapsed="false">
      <c r="A253" s="129" t="n">
        <v>42601</v>
      </c>
      <c r="B253" s="0" t="n">
        <v>108.77</v>
      </c>
      <c r="C253" s="0" t="n">
        <v>109.69</v>
      </c>
      <c r="D253" s="0" t="n">
        <v>108.36</v>
      </c>
      <c r="E253" s="0" t="n">
        <v>109.36</v>
      </c>
      <c r="F253" s="0" t="n">
        <v>25368072</v>
      </c>
    </row>
    <row r="254" customFormat="false" ht="12.75" hidden="false" customHeight="false" outlineLevel="0" collapsed="false">
      <c r="A254" s="129" t="n">
        <v>42600</v>
      </c>
      <c r="B254" s="0" t="n">
        <v>109.23</v>
      </c>
      <c r="C254" s="0" t="n">
        <v>109.6</v>
      </c>
      <c r="D254" s="0" t="n">
        <v>109.02</v>
      </c>
      <c r="E254" s="0" t="n">
        <v>109.08</v>
      </c>
      <c r="F254" s="0" t="n">
        <v>21984703</v>
      </c>
    </row>
    <row r="255" customFormat="false" ht="12.75" hidden="false" customHeight="false" outlineLevel="0" collapsed="false">
      <c r="A255" s="129" t="n">
        <v>42599</v>
      </c>
      <c r="B255" s="0" t="n">
        <v>109.1</v>
      </c>
      <c r="C255" s="0" t="n">
        <v>109.37</v>
      </c>
      <c r="D255" s="0" t="n">
        <v>108.34</v>
      </c>
      <c r="E255" s="0" t="n">
        <v>109.22</v>
      </c>
      <c r="F255" s="0" t="n">
        <v>25355976</v>
      </c>
    </row>
    <row r="256" customFormat="false" ht="12.75" hidden="false" customHeight="false" outlineLevel="0" collapsed="false">
      <c r="A256" s="129" t="n">
        <v>42598</v>
      </c>
      <c r="B256" s="0" t="n">
        <v>109.63</v>
      </c>
      <c r="C256" s="0" t="n">
        <v>110.23</v>
      </c>
      <c r="D256" s="0" t="n">
        <v>109.21</v>
      </c>
      <c r="E256" s="0" t="n">
        <v>109.38</v>
      </c>
      <c r="F256" s="0" t="n">
        <v>33794448</v>
      </c>
    </row>
    <row r="257" customFormat="false" ht="12.75" hidden="false" customHeight="false" outlineLevel="0" collapsed="false">
      <c r="A257" s="129" t="n">
        <v>42597</v>
      </c>
      <c r="B257" s="0" t="n">
        <v>108.14</v>
      </c>
      <c r="C257" s="0" t="n">
        <v>109.54</v>
      </c>
      <c r="D257" s="0" t="n">
        <v>108.08</v>
      </c>
      <c r="E257" s="0" t="n">
        <v>109.48</v>
      </c>
      <c r="F257" s="0" t="n">
        <v>25868209</v>
      </c>
    </row>
    <row r="258" customFormat="false" ht="12.75" hidden="false" customHeight="false" outlineLevel="0" collapsed="false">
      <c r="A258" s="129" t="n">
        <v>42594</v>
      </c>
      <c r="B258" s="0" t="n">
        <v>107.78</v>
      </c>
      <c r="C258" s="0" t="n">
        <v>108.44</v>
      </c>
      <c r="D258" s="0" t="n">
        <v>107.78</v>
      </c>
      <c r="E258" s="0" t="n">
        <v>108.18</v>
      </c>
      <c r="F258" s="0" t="n">
        <v>18660434</v>
      </c>
    </row>
    <row r="259" customFormat="false" ht="12.75" hidden="false" customHeight="false" outlineLevel="0" collapsed="false">
      <c r="A259" s="129" t="n">
        <v>42593</v>
      </c>
      <c r="B259" s="0" t="n">
        <v>108.52</v>
      </c>
      <c r="C259" s="0" t="n">
        <v>108.93</v>
      </c>
      <c r="D259" s="0" t="n">
        <v>107.85</v>
      </c>
      <c r="E259" s="0" t="n">
        <v>107.93</v>
      </c>
      <c r="F259" s="0" t="n">
        <v>27484506</v>
      </c>
    </row>
    <row r="260" customFormat="false" ht="12.75" hidden="false" customHeight="false" outlineLevel="0" collapsed="false">
      <c r="A260" s="129" t="n">
        <v>42592</v>
      </c>
      <c r="B260" s="0" t="n">
        <v>108.71</v>
      </c>
      <c r="C260" s="0" t="n">
        <v>108.9</v>
      </c>
      <c r="D260" s="0" t="n">
        <v>107.76</v>
      </c>
      <c r="E260" s="0" t="n">
        <v>108</v>
      </c>
      <c r="F260" s="0" t="n">
        <v>24008505</v>
      </c>
    </row>
    <row r="261" customFormat="false" ht="12.75" hidden="false" customHeight="false" outlineLevel="0" collapsed="false">
      <c r="A261" s="129" t="n">
        <v>42591</v>
      </c>
      <c r="B261" s="0" t="n">
        <v>108.23</v>
      </c>
      <c r="C261" s="0" t="n">
        <v>108.94</v>
      </c>
      <c r="D261" s="0" t="n">
        <v>108.01</v>
      </c>
      <c r="E261" s="0" t="n">
        <v>108.81</v>
      </c>
      <c r="F261" s="0" t="n">
        <v>26315204</v>
      </c>
    </row>
    <row r="262" customFormat="false" ht="12.75" hidden="false" customHeight="false" outlineLevel="0" collapsed="false">
      <c r="A262" s="129" t="n">
        <v>42590</v>
      </c>
      <c r="B262" s="0" t="n">
        <v>107.52</v>
      </c>
      <c r="C262" s="0" t="n">
        <v>108.37</v>
      </c>
      <c r="D262" s="0" t="n">
        <v>107.16</v>
      </c>
      <c r="E262" s="0" t="n">
        <v>108.37</v>
      </c>
      <c r="F262" s="0" t="n">
        <v>28037220</v>
      </c>
    </row>
    <row r="263" customFormat="false" ht="12.75" hidden="false" customHeight="false" outlineLevel="0" collapsed="false">
      <c r="A263" s="129" t="n">
        <v>42587</v>
      </c>
      <c r="B263" s="0" t="n">
        <v>106.27</v>
      </c>
      <c r="C263" s="0" t="n">
        <v>107.65</v>
      </c>
      <c r="D263" s="0" t="n">
        <v>106.18</v>
      </c>
      <c r="E263" s="0" t="n">
        <v>107.48</v>
      </c>
      <c r="F263" s="0" t="n">
        <v>40553402</v>
      </c>
    </row>
    <row r="264" customFormat="false" ht="12.75" hidden="false" customHeight="false" outlineLevel="0" collapsed="false">
      <c r="A264" s="129" t="n">
        <v>42586</v>
      </c>
      <c r="B264" s="0" t="n">
        <v>105.58</v>
      </c>
      <c r="C264" s="0" t="n">
        <v>106</v>
      </c>
      <c r="D264" s="0" t="n">
        <v>105.28</v>
      </c>
      <c r="E264" s="0" t="n">
        <v>105.87</v>
      </c>
      <c r="F264" s="0" t="n">
        <v>27408650</v>
      </c>
    </row>
    <row r="265" customFormat="false" ht="12.75" hidden="false" customHeight="false" outlineLevel="0" collapsed="false">
      <c r="A265" s="129" t="n">
        <v>42585</v>
      </c>
      <c r="B265" s="0" t="n">
        <v>104.81</v>
      </c>
      <c r="C265" s="0" t="n">
        <v>105.84</v>
      </c>
      <c r="D265" s="0" t="n">
        <v>104.77</v>
      </c>
      <c r="E265" s="0" t="n">
        <v>105.79</v>
      </c>
      <c r="F265" s="0" t="n">
        <v>30202641</v>
      </c>
    </row>
    <row r="266" customFormat="false" ht="12.75" hidden="false" customHeight="false" outlineLevel="0" collapsed="false">
      <c r="A266" s="129" t="n">
        <v>42584</v>
      </c>
      <c r="B266" s="0" t="n">
        <v>106.05</v>
      </c>
      <c r="C266" s="0" t="n">
        <v>106.07</v>
      </c>
      <c r="D266" s="0" t="n">
        <v>104</v>
      </c>
      <c r="E266" s="0" t="n">
        <v>104.48</v>
      </c>
      <c r="F266" s="0" t="n">
        <v>33816556</v>
      </c>
    </row>
    <row r="267" customFormat="false" ht="12.75" hidden="false" customHeight="false" outlineLevel="0" collapsed="false">
      <c r="A267" s="129" t="n">
        <v>42583</v>
      </c>
      <c r="B267" s="0" t="n">
        <v>104.41</v>
      </c>
      <c r="C267" s="0" t="n">
        <v>106.15</v>
      </c>
      <c r="D267" s="0" t="n">
        <v>104.41</v>
      </c>
      <c r="E267" s="0" t="n">
        <v>106.05</v>
      </c>
      <c r="F267" s="0" t="n">
        <v>38167871</v>
      </c>
    </row>
    <row r="268" customFormat="false" ht="12.75" hidden="false" customHeight="false" outlineLevel="0" collapsed="false">
      <c r="A268" s="129" t="n">
        <v>42580</v>
      </c>
      <c r="B268" s="0" t="n">
        <v>104.19</v>
      </c>
      <c r="C268" s="0" t="n">
        <v>104.55</v>
      </c>
      <c r="D268" s="0" t="n">
        <v>103.68</v>
      </c>
      <c r="E268" s="0" t="n">
        <v>104.21</v>
      </c>
      <c r="F268" s="0" t="n">
        <v>27733688</v>
      </c>
    </row>
    <row r="269" customFormat="false" ht="12.75" hidden="false" customHeight="false" outlineLevel="0" collapsed="false">
      <c r="A269" s="129" t="n">
        <v>42579</v>
      </c>
      <c r="B269" s="0" t="n">
        <v>102.83</v>
      </c>
      <c r="C269" s="0" t="n">
        <v>104.45</v>
      </c>
      <c r="D269" s="0" t="n">
        <v>102.82</v>
      </c>
      <c r="E269" s="0" t="n">
        <v>104.34</v>
      </c>
      <c r="F269" s="0" t="n">
        <v>39869839</v>
      </c>
    </row>
    <row r="270" customFormat="false" ht="12.75" hidden="false" customHeight="false" outlineLevel="0" collapsed="false">
      <c r="A270" s="129" t="n">
        <v>42578</v>
      </c>
      <c r="B270" s="0" t="n">
        <v>104.26</v>
      </c>
      <c r="C270" s="0" t="n">
        <v>104.35</v>
      </c>
      <c r="D270" s="0" t="n">
        <v>102.75</v>
      </c>
      <c r="E270" s="0" t="n">
        <v>102.95</v>
      </c>
      <c r="F270" s="0" t="n">
        <v>92344820</v>
      </c>
    </row>
    <row r="271" customFormat="false" ht="12.75" hidden="false" customHeight="false" outlineLevel="0" collapsed="false">
      <c r="A271" s="129" t="n">
        <v>42577</v>
      </c>
      <c r="B271" s="0" t="n">
        <v>96.82</v>
      </c>
      <c r="C271" s="0" t="n">
        <v>97.97</v>
      </c>
      <c r="D271" s="0" t="n">
        <v>96.42</v>
      </c>
      <c r="E271" s="0" t="n">
        <v>96.67</v>
      </c>
      <c r="F271" s="0" t="n">
        <v>56239822</v>
      </c>
    </row>
    <row r="272" customFormat="false" ht="12.75" hidden="false" customHeight="false" outlineLevel="0" collapsed="false">
      <c r="A272" s="129" t="n">
        <v>42576</v>
      </c>
      <c r="B272" s="0" t="n">
        <v>98.25</v>
      </c>
      <c r="C272" s="0" t="n">
        <v>98.84</v>
      </c>
      <c r="D272" s="0" t="n">
        <v>96.92</v>
      </c>
      <c r="E272" s="0" t="n">
        <v>97.34</v>
      </c>
      <c r="F272" s="0" t="n">
        <v>40382921</v>
      </c>
    </row>
    <row r="273" customFormat="false" ht="12.75" hidden="false" customHeight="false" outlineLevel="0" collapsed="false">
      <c r="A273" s="129" t="n">
        <v>42573</v>
      </c>
      <c r="B273" s="0" t="n">
        <v>99.26</v>
      </c>
      <c r="C273" s="0" t="n">
        <v>99.3</v>
      </c>
      <c r="D273" s="0" t="n">
        <v>98.31</v>
      </c>
      <c r="E273" s="0" t="n">
        <v>98.66</v>
      </c>
      <c r="F273" s="0" t="n">
        <v>28313669</v>
      </c>
    </row>
    <row r="274" customFormat="false" ht="12.75" hidden="false" customHeight="false" outlineLevel="0" collapsed="false">
      <c r="A274" s="129" t="n">
        <v>42572</v>
      </c>
      <c r="B274" s="0" t="n">
        <v>99.83</v>
      </c>
      <c r="C274" s="0" t="n">
        <v>101</v>
      </c>
      <c r="D274" s="0" t="n">
        <v>99.13</v>
      </c>
      <c r="E274" s="0" t="n">
        <v>99.43</v>
      </c>
      <c r="F274" s="0" t="n">
        <v>32702028</v>
      </c>
    </row>
    <row r="275" customFormat="false" ht="12.75" hidden="false" customHeight="false" outlineLevel="0" collapsed="false">
      <c r="A275" s="129" t="n">
        <v>42571</v>
      </c>
      <c r="B275" s="0" t="n">
        <v>100</v>
      </c>
      <c r="C275" s="0" t="n">
        <v>100.46</v>
      </c>
      <c r="D275" s="0" t="n">
        <v>99.74</v>
      </c>
      <c r="E275" s="0" t="n">
        <v>99.96</v>
      </c>
      <c r="F275" s="0" t="n">
        <v>26275968</v>
      </c>
    </row>
    <row r="276" customFormat="false" ht="12.75" hidden="false" customHeight="false" outlineLevel="0" collapsed="false">
      <c r="A276" s="129" t="n">
        <v>42570</v>
      </c>
      <c r="B276" s="0" t="n">
        <v>99.56</v>
      </c>
      <c r="C276" s="0" t="n">
        <v>100</v>
      </c>
      <c r="D276" s="0" t="n">
        <v>99.34</v>
      </c>
      <c r="E276" s="0" t="n">
        <v>99.87</v>
      </c>
      <c r="F276" s="0" t="n">
        <v>23779924</v>
      </c>
    </row>
    <row r="277" customFormat="false" ht="12.75" hidden="false" customHeight="false" outlineLevel="0" collapsed="false">
      <c r="A277" s="129" t="n">
        <v>42569</v>
      </c>
      <c r="B277" s="0" t="n">
        <v>98.7</v>
      </c>
      <c r="C277" s="0" t="n">
        <v>100.13</v>
      </c>
      <c r="D277" s="0" t="n">
        <v>98.6</v>
      </c>
      <c r="E277" s="0" t="n">
        <v>99.83</v>
      </c>
      <c r="F277" s="0" t="n">
        <v>36493867</v>
      </c>
    </row>
    <row r="278" customFormat="false" ht="12.75" hidden="false" customHeight="false" outlineLevel="0" collapsed="false">
      <c r="A278" s="129" t="n">
        <v>42566</v>
      </c>
      <c r="B278" s="0" t="n">
        <v>98.92</v>
      </c>
      <c r="C278" s="0" t="n">
        <v>99.3</v>
      </c>
      <c r="D278" s="0" t="n">
        <v>98.5</v>
      </c>
      <c r="E278" s="0" t="n">
        <v>98.78</v>
      </c>
      <c r="F278" s="0" t="n">
        <v>30136990</v>
      </c>
    </row>
    <row r="279" customFormat="false" ht="12.75" hidden="false" customHeight="false" outlineLevel="0" collapsed="false">
      <c r="A279" s="129" t="n">
        <v>42565</v>
      </c>
      <c r="B279" s="0" t="n">
        <v>97.39</v>
      </c>
      <c r="C279" s="0" t="n">
        <v>98.99</v>
      </c>
      <c r="D279" s="0" t="n">
        <v>97.32</v>
      </c>
      <c r="E279" s="0" t="n">
        <v>98.79</v>
      </c>
      <c r="F279" s="0" t="n">
        <v>38918997</v>
      </c>
    </row>
    <row r="280" customFormat="false" ht="12.75" hidden="false" customHeight="false" outlineLevel="0" collapsed="false">
      <c r="A280" s="129" t="n">
        <v>42564</v>
      </c>
      <c r="B280" s="0" t="n">
        <v>97.41</v>
      </c>
      <c r="C280" s="0" t="n">
        <v>97.67</v>
      </c>
      <c r="D280" s="0" t="n">
        <v>96.84</v>
      </c>
      <c r="E280" s="0" t="n">
        <v>96.87</v>
      </c>
      <c r="F280" s="0" t="n">
        <v>25892171</v>
      </c>
    </row>
    <row r="281" customFormat="false" ht="12.75" hidden="false" customHeight="false" outlineLevel="0" collapsed="false">
      <c r="A281" s="129" t="n">
        <v>42563</v>
      </c>
      <c r="B281" s="0" t="n">
        <v>97.17</v>
      </c>
      <c r="C281" s="0" t="n">
        <v>97.7</v>
      </c>
      <c r="D281" s="0" t="n">
        <v>97.12</v>
      </c>
      <c r="E281" s="0" t="n">
        <v>97.42</v>
      </c>
      <c r="F281" s="0" t="n">
        <v>24167463</v>
      </c>
    </row>
    <row r="282" customFormat="false" ht="12.75" hidden="false" customHeight="false" outlineLevel="0" collapsed="false">
      <c r="A282" s="129" t="n">
        <v>42562</v>
      </c>
      <c r="B282" s="0" t="n">
        <v>96.75</v>
      </c>
      <c r="C282" s="0" t="n">
        <v>97.65</v>
      </c>
      <c r="D282" s="0" t="n">
        <v>96.73</v>
      </c>
      <c r="E282" s="0" t="n">
        <v>96.98</v>
      </c>
      <c r="F282" s="0" t="n">
        <v>23794945</v>
      </c>
    </row>
    <row r="283" customFormat="false" ht="12.75" hidden="false" customHeight="false" outlineLevel="0" collapsed="false">
      <c r="A283" s="129" t="n">
        <v>42559</v>
      </c>
      <c r="B283" s="0" t="n">
        <v>96.49</v>
      </c>
      <c r="C283" s="0" t="n">
        <v>96.89</v>
      </c>
      <c r="D283" s="0" t="n">
        <v>96.05</v>
      </c>
      <c r="E283" s="0" t="n">
        <v>96.68</v>
      </c>
      <c r="F283" s="0" t="n">
        <v>28912103</v>
      </c>
    </row>
    <row r="284" customFormat="false" ht="12.75" hidden="false" customHeight="false" outlineLevel="0" collapsed="false">
      <c r="A284" s="129" t="n">
        <v>42558</v>
      </c>
      <c r="B284" s="0" t="n">
        <v>95.7</v>
      </c>
      <c r="C284" s="0" t="n">
        <v>96.5</v>
      </c>
      <c r="D284" s="0" t="n">
        <v>95.62</v>
      </c>
      <c r="E284" s="0" t="n">
        <v>95.94</v>
      </c>
      <c r="F284" s="0" t="n">
        <v>25139558</v>
      </c>
    </row>
    <row r="285" customFormat="false" ht="12.75" hidden="false" customHeight="false" outlineLevel="0" collapsed="false">
      <c r="A285" s="129" t="n">
        <v>42557</v>
      </c>
      <c r="B285" s="0" t="n">
        <v>94.6</v>
      </c>
      <c r="C285" s="0" t="n">
        <v>95.66</v>
      </c>
      <c r="D285" s="0" t="n">
        <v>94.37</v>
      </c>
      <c r="E285" s="0" t="n">
        <v>95.53</v>
      </c>
      <c r="F285" s="0" t="n">
        <v>30949090</v>
      </c>
    </row>
    <row r="286" customFormat="false" ht="12.75" hidden="false" customHeight="false" outlineLevel="0" collapsed="false">
      <c r="A286" s="129" t="n">
        <v>42556</v>
      </c>
      <c r="B286" s="0" t="n">
        <v>95.39</v>
      </c>
      <c r="C286" s="0" t="n">
        <v>95.4</v>
      </c>
      <c r="D286" s="0" t="n">
        <v>94.46</v>
      </c>
      <c r="E286" s="0" t="n">
        <v>94.99</v>
      </c>
      <c r="F286" s="0" t="n">
        <v>27705210</v>
      </c>
    </row>
    <row r="287" customFormat="false" ht="12.75" hidden="false" customHeight="false" outlineLevel="0" collapsed="false">
      <c r="A287" s="129" t="n">
        <v>42552</v>
      </c>
      <c r="B287" s="0" t="n">
        <v>95.49</v>
      </c>
      <c r="C287" s="0" t="n">
        <v>96.46</v>
      </c>
      <c r="D287" s="0" t="n">
        <v>95.33</v>
      </c>
      <c r="E287" s="0" t="n">
        <v>95.89</v>
      </c>
      <c r="F287" s="0" t="n">
        <v>26026540</v>
      </c>
    </row>
    <row r="288" customFormat="false" ht="12.75" hidden="false" customHeight="false" outlineLevel="0" collapsed="false">
      <c r="A288" s="129" t="n">
        <v>42551</v>
      </c>
      <c r="B288" s="0" t="n">
        <v>94.44</v>
      </c>
      <c r="C288" s="0" t="n">
        <v>95.77</v>
      </c>
      <c r="D288" s="0" t="n">
        <v>94.3</v>
      </c>
      <c r="E288" s="0" t="n">
        <v>95.6</v>
      </c>
      <c r="F288" s="0" t="n">
        <v>35836356</v>
      </c>
    </row>
    <row r="289" customFormat="false" ht="12.75" hidden="false" customHeight="false" outlineLevel="0" collapsed="false">
      <c r="A289" s="129" t="n">
        <v>42550</v>
      </c>
      <c r="B289" s="0" t="n">
        <v>93.97</v>
      </c>
      <c r="C289" s="0" t="n">
        <v>94.55</v>
      </c>
      <c r="D289" s="0" t="n">
        <v>93.63</v>
      </c>
      <c r="E289" s="0" t="n">
        <v>94.4</v>
      </c>
      <c r="F289" s="0" t="n">
        <v>36531006</v>
      </c>
    </row>
    <row r="290" customFormat="false" ht="12.75" hidden="false" customHeight="false" outlineLevel="0" collapsed="false">
      <c r="A290" s="129" t="n">
        <v>42549</v>
      </c>
      <c r="B290" s="0" t="n">
        <v>92.9</v>
      </c>
      <c r="C290" s="0" t="n">
        <v>93.66</v>
      </c>
      <c r="D290" s="0" t="n">
        <v>92.14</v>
      </c>
      <c r="E290" s="0" t="n">
        <v>93.59</v>
      </c>
      <c r="F290" s="0" t="n">
        <v>40444914</v>
      </c>
    </row>
    <row r="291" customFormat="false" ht="12.75" hidden="false" customHeight="false" outlineLevel="0" collapsed="false">
      <c r="A291" s="129" t="n">
        <v>42548</v>
      </c>
      <c r="B291" s="0" t="n">
        <v>93</v>
      </c>
      <c r="C291" s="0" t="n">
        <v>93.05</v>
      </c>
      <c r="D291" s="0" t="n">
        <v>91.5</v>
      </c>
      <c r="E291" s="0" t="n">
        <v>92.04</v>
      </c>
      <c r="F291" s="0" t="n">
        <v>46622188</v>
      </c>
    </row>
    <row r="292" customFormat="false" ht="12.75" hidden="false" customHeight="false" outlineLevel="0" collapsed="false">
      <c r="A292" s="129" t="n">
        <v>42545</v>
      </c>
      <c r="B292" s="0" t="n">
        <v>92.91</v>
      </c>
      <c r="C292" s="0" t="n">
        <v>94.66</v>
      </c>
      <c r="D292" s="0" t="n">
        <v>92.65</v>
      </c>
      <c r="E292" s="0" t="n">
        <v>93.4</v>
      </c>
      <c r="F292" s="0" t="n">
        <v>75311356</v>
      </c>
    </row>
    <row r="293" customFormat="false" ht="12.75" hidden="false" customHeight="false" outlineLevel="0" collapsed="false">
      <c r="A293" s="129" t="n">
        <v>42544</v>
      </c>
      <c r="B293" s="0" t="n">
        <v>95.94</v>
      </c>
      <c r="C293" s="0" t="n">
        <v>96.29</v>
      </c>
      <c r="D293" s="0" t="n">
        <v>95.25</v>
      </c>
      <c r="E293" s="0" t="n">
        <v>96.1</v>
      </c>
      <c r="F293" s="0" t="n">
        <v>32240187</v>
      </c>
    </row>
    <row r="294" customFormat="false" ht="12.75" hidden="false" customHeight="false" outlineLevel="0" collapsed="false">
      <c r="A294" s="129" t="n">
        <v>42543</v>
      </c>
      <c r="B294" s="0" t="n">
        <v>96.25</v>
      </c>
      <c r="C294" s="0" t="n">
        <v>96.89</v>
      </c>
      <c r="D294" s="0" t="n">
        <v>95.35</v>
      </c>
      <c r="E294" s="0" t="n">
        <v>95.55</v>
      </c>
      <c r="F294" s="0" t="n">
        <v>29219122</v>
      </c>
    </row>
    <row r="295" customFormat="false" ht="12.75" hidden="false" customHeight="false" outlineLevel="0" collapsed="false">
      <c r="A295" s="129" t="n">
        <v>42542</v>
      </c>
      <c r="B295" s="0" t="n">
        <v>94.94</v>
      </c>
      <c r="C295" s="0" t="n">
        <v>96.35</v>
      </c>
      <c r="D295" s="0" t="n">
        <v>94.68</v>
      </c>
      <c r="E295" s="0" t="n">
        <v>95.91</v>
      </c>
      <c r="F295" s="0" t="n">
        <v>35546358</v>
      </c>
    </row>
    <row r="296" customFormat="false" ht="12.75" hidden="false" customHeight="false" outlineLevel="0" collapsed="false">
      <c r="A296" s="129" t="n">
        <v>42541</v>
      </c>
      <c r="B296" s="0" t="n">
        <v>96</v>
      </c>
      <c r="C296" s="0" t="n">
        <v>96.57</v>
      </c>
      <c r="D296" s="0" t="n">
        <v>95.03</v>
      </c>
      <c r="E296" s="0" t="n">
        <v>95.1</v>
      </c>
      <c r="F296" s="0" t="n">
        <v>34411901</v>
      </c>
    </row>
    <row r="297" customFormat="false" ht="12.75" hidden="false" customHeight="false" outlineLevel="0" collapsed="false">
      <c r="A297" s="129" t="n">
        <v>42538</v>
      </c>
      <c r="B297" s="0" t="n">
        <v>96.62</v>
      </c>
      <c r="C297" s="0" t="n">
        <v>96.65</v>
      </c>
      <c r="D297" s="0" t="n">
        <v>95.3</v>
      </c>
      <c r="E297" s="0" t="n">
        <v>95.33</v>
      </c>
      <c r="F297" s="0" t="n">
        <v>61008219</v>
      </c>
    </row>
    <row r="298" customFormat="false" ht="12.75" hidden="false" customHeight="false" outlineLevel="0" collapsed="false">
      <c r="A298" s="129" t="n">
        <v>42537</v>
      </c>
      <c r="B298" s="0" t="n">
        <v>96.45</v>
      </c>
      <c r="C298" s="0" t="n">
        <v>97.75</v>
      </c>
      <c r="D298" s="0" t="n">
        <v>96.07</v>
      </c>
      <c r="E298" s="0" t="n">
        <v>97.55</v>
      </c>
      <c r="F298" s="0" t="n">
        <v>31326815</v>
      </c>
    </row>
    <row r="299" customFormat="false" ht="12.75" hidden="false" customHeight="false" outlineLevel="0" collapsed="false">
      <c r="A299" s="129" t="n">
        <v>42536</v>
      </c>
      <c r="B299" s="0" t="n">
        <v>97.82</v>
      </c>
      <c r="C299" s="0" t="n">
        <v>98.41</v>
      </c>
      <c r="D299" s="0" t="n">
        <v>97.03</v>
      </c>
      <c r="E299" s="0" t="n">
        <v>97.14</v>
      </c>
      <c r="F299" s="0" t="n">
        <v>29445227</v>
      </c>
    </row>
    <row r="300" customFormat="false" ht="12.75" hidden="false" customHeight="false" outlineLevel="0" collapsed="false">
      <c r="A300" s="129" t="n">
        <v>42535</v>
      </c>
      <c r="B300" s="0" t="n">
        <v>97.32</v>
      </c>
      <c r="C300" s="0" t="n">
        <v>98.48</v>
      </c>
      <c r="D300" s="0" t="n">
        <v>96.75</v>
      </c>
      <c r="E300" s="0" t="n">
        <v>97.46</v>
      </c>
      <c r="F300" s="0" t="n">
        <v>31931944</v>
      </c>
    </row>
    <row r="301" customFormat="false" ht="12.75" hidden="false" customHeight="false" outlineLevel="0" collapsed="false">
      <c r="A301" s="129" t="n">
        <v>42534</v>
      </c>
      <c r="B301" s="0" t="n">
        <v>98.69</v>
      </c>
      <c r="C301" s="0" t="n">
        <v>99.12</v>
      </c>
      <c r="D301" s="0" t="n">
        <v>97.1</v>
      </c>
      <c r="E301" s="0" t="n">
        <v>97.34</v>
      </c>
      <c r="F301" s="0" t="n">
        <v>38020494</v>
      </c>
    </row>
    <row r="302" customFormat="false" ht="12.75" hidden="false" customHeight="false" outlineLevel="0" collapsed="false">
      <c r="A302" s="129" t="n">
        <v>42531</v>
      </c>
      <c r="B302" s="0" t="n">
        <v>98.53</v>
      </c>
      <c r="C302" s="0" t="n">
        <v>99.35</v>
      </c>
      <c r="D302" s="0" t="n">
        <v>98.48</v>
      </c>
      <c r="E302" s="0" t="n">
        <v>98.83</v>
      </c>
      <c r="F302" s="0" t="n">
        <v>31712936</v>
      </c>
    </row>
    <row r="303" customFormat="false" ht="12.75" hidden="false" customHeight="false" outlineLevel="0" collapsed="false">
      <c r="A303" s="129" t="n">
        <v>42530</v>
      </c>
      <c r="B303" s="0" t="n">
        <v>98.5</v>
      </c>
      <c r="C303" s="0" t="n">
        <v>99.99</v>
      </c>
      <c r="D303" s="0" t="n">
        <v>98.46</v>
      </c>
      <c r="E303" s="0" t="n">
        <v>99.65</v>
      </c>
      <c r="F303" s="0" t="n">
        <v>26601354</v>
      </c>
    </row>
    <row r="304" customFormat="false" ht="12.75" hidden="false" customHeight="false" outlineLevel="0" collapsed="false">
      <c r="A304" s="129" t="n">
        <v>42529</v>
      </c>
      <c r="B304" s="0" t="n">
        <v>99.02</v>
      </c>
      <c r="C304" s="0" t="n">
        <v>99.56</v>
      </c>
      <c r="D304" s="0" t="n">
        <v>98.68</v>
      </c>
      <c r="E304" s="0" t="n">
        <v>98.94</v>
      </c>
      <c r="F304" s="0" t="n">
        <v>20848131</v>
      </c>
    </row>
    <row r="305" customFormat="false" ht="12.75" hidden="false" customHeight="false" outlineLevel="0" collapsed="false">
      <c r="A305" s="129" t="n">
        <v>42528</v>
      </c>
      <c r="B305" s="0" t="n">
        <v>99.25</v>
      </c>
      <c r="C305" s="0" t="n">
        <v>99.87</v>
      </c>
      <c r="D305" s="0" t="n">
        <v>98.96</v>
      </c>
      <c r="E305" s="0" t="n">
        <v>99.03</v>
      </c>
      <c r="F305" s="0" t="n">
        <v>22409450</v>
      </c>
    </row>
    <row r="306" customFormat="false" ht="12.75" hidden="false" customHeight="false" outlineLevel="0" collapsed="false">
      <c r="A306" s="129" t="n">
        <v>42527</v>
      </c>
      <c r="B306" s="0" t="n">
        <v>97.99</v>
      </c>
      <c r="C306" s="0" t="n">
        <v>101.89</v>
      </c>
      <c r="D306" s="0" t="n">
        <v>97.55</v>
      </c>
      <c r="E306" s="0" t="n">
        <v>98.63</v>
      </c>
      <c r="F306" s="0" t="n">
        <v>23292504</v>
      </c>
    </row>
    <row r="307" customFormat="false" ht="12.75" hidden="false" customHeight="false" outlineLevel="0" collapsed="false">
      <c r="A307" s="129" t="n">
        <v>42524</v>
      </c>
      <c r="B307" s="0" t="n">
        <v>97.79</v>
      </c>
      <c r="C307" s="0" t="n">
        <v>98.27</v>
      </c>
      <c r="D307" s="0" t="n">
        <v>97.45</v>
      </c>
      <c r="E307" s="0" t="n">
        <v>97.92</v>
      </c>
      <c r="F307" s="0" t="n">
        <v>28504888</v>
      </c>
    </row>
    <row r="308" customFormat="false" ht="12.75" hidden="false" customHeight="false" outlineLevel="0" collapsed="false">
      <c r="A308" s="129" t="n">
        <v>42523</v>
      </c>
      <c r="B308" s="0" t="n">
        <v>97.6</v>
      </c>
      <c r="C308" s="0" t="n">
        <v>97.84</v>
      </c>
      <c r="D308" s="0" t="n">
        <v>96.63</v>
      </c>
      <c r="E308" s="0" t="n">
        <v>97.72</v>
      </c>
      <c r="F308" s="0" t="n">
        <v>40191600</v>
      </c>
    </row>
    <row r="309" customFormat="false" ht="12.75" hidden="false" customHeight="false" outlineLevel="0" collapsed="false">
      <c r="A309" s="129" t="n">
        <v>42522</v>
      </c>
      <c r="B309" s="0" t="n">
        <v>99.02</v>
      </c>
      <c r="C309" s="0" t="n">
        <v>99.54</v>
      </c>
      <c r="D309" s="0" t="n">
        <v>98.33</v>
      </c>
      <c r="E309" s="0" t="n">
        <v>98.46</v>
      </c>
      <c r="F309" s="0" t="n">
        <v>29173285</v>
      </c>
    </row>
    <row r="310" customFormat="false" ht="12.75" hidden="false" customHeight="false" outlineLevel="0" collapsed="false">
      <c r="A310" s="129" t="n">
        <v>42521</v>
      </c>
      <c r="B310" s="0" t="n">
        <v>99.6</v>
      </c>
      <c r="C310" s="0" t="n">
        <v>100.4</v>
      </c>
      <c r="D310" s="0" t="n">
        <v>98.82</v>
      </c>
      <c r="E310" s="0" t="n">
        <v>99.86</v>
      </c>
      <c r="F310" s="0" t="n">
        <v>42307212</v>
      </c>
    </row>
    <row r="311" customFormat="false" ht="12.75" hidden="false" customHeight="false" outlineLevel="0" collapsed="false">
      <c r="A311" s="129" t="n">
        <v>42517</v>
      </c>
      <c r="B311" s="0" t="n">
        <v>99.44</v>
      </c>
      <c r="C311" s="0" t="n">
        <v>100.47</v>
      </c>
      <c r="D311" s="0" t="n">
        <v>99.24</v>
      </c>
      <c r="E311" s="0" t="n">
        <v>100.35</v>
      </c>
      <c r="F311" s="0" t="n">
        <v>36229530</v>
      </c>
    </row>
    <row r="312" customFormat="false" ht="12.75" hidden="false" customHeight="false" outlineLevel="0" collapsed="false">
      <c r="A312" s="129" t="n">
        <v>42516</v>
      </c>
      <c r="B312" s="0" t="n">
        <v>99.68</v>
      </c>
      <c r="C312" s="0" t="n">
        <v>100.73</v>
      </c>
      <c r="D312" s="0" t="n">
        <v>98.64</v>
      </c>
      <c r="E312" s="0" t="n">
        <v>100.41</v>
      </c>
      <c r="F312" s="0" t="n">
        <v>56093437</v>
      </c>
    </row>
    <row r="313" customFormat="false" ht="12.75" hidden="false" customHeight="false" outlineLevel="0" collapsed="false">
      <c r="A313" s="129" t="n">
        <v>42515</v>
      </c>
      <c r="B313" s="0" t="n">
        <v>98.67</v>
      </c>
      <c r="C313" s="0" t="n">
        <v>99.74</v>
      </c>
      <c r="D313" s="0" t="n">
        <v>98.11</v>
      </c>
      <c r="E313" s="0" t="n">
        <v>99.62</v>
      </c>
      <c r="F313" s="0" t="n">
        <v>38168760</v>
      </c>
    </row>
    <row r="314" customFormat="false" ht="12.75" hidden="false" customHeight="false" outlineLevel="0" collapsed="false">
      <c r="A314" s="129" t="n">
        <v>42514</v>
      </c>
      <c r="B314" s="0" t="n">
        <v>97.22</v>
      </c>
      <c r="C314" s="0" t="n">
        <v>98.09</v>
      </c>
      <c r="D314" s="0" t="n">
        <v>96.84</v>
      </c>
      <c r="E314" s="0" t="n">
        <v>97.9</v>
      </c>
      <c r="F314" s="0" t="n">
        <v>35036561</v>
      </c>
    </row>
    <row r="315" customFormat="false" ht="12.75" hidden="false" customHeight="false" outlineLevel="0" collapsed="false">
      <c r="A315" s="129" t="n">
        <v>42513</v>
      </c>
      <c r="B315" s="0" t="n">
        <v>95.87</v>
      </c>
      <c r="C315" s="0" t="n">
        <v>97.19</v>
      </c>
      <c r="D315" s="0" t="n">
        <v>95.67</v>
      </c>
      <c r="E315" s="0" t="n">
        <v>96.43</v>
      </c>
      <c r="F315" s="0" t="n">
        <v>37860535</v>
      </c>
    </row>
    <row r="316" customFormat="false" ht="12.75" hidden="false" customHeight="false" outlineLevel="0" collapsed="false">
      <c r="A316" s="129" t="n">
        <v>42510</v>
      </c>
      <c r="B316" s="0" t="n">
        <v>94.64</v>
      </c>
      <c r="C316" s="0" t="n">
        <v>95.43</v>
      </c>
      <c r="D316" s="0" t="n">
        <v>94.52</v>
      </c>
      <c r="E316" s="0" t="n">
        <v>95.22</v>
      </c>
      <c r="F316" s="0" t="n">
        <v>31804564</v>
      </c>
    </row>
    <row r="317" customFormat="false" ht="12.75" hidden="false" customHeight="false" outlineLevel="0" collapsed="false">
      <c r="A317" s="129" t="n">
        <v>42509</v>
      </c>
      <c r="B317" s="0" t="n">
        <v>94.64</v>
      </c>
      <c r="C317" s="0" t="n">
        <v>94.64</v>
      </c>
      <c r="D317" s="0" t="n">
        <v>93.57</v>
      </c>
      <c r="E317" s="0" t="n">
        <v>94.2</v>
      </c>
      <c r="F317" s="0" t="n">
        <v>29693945</v>
      </c>
    </row>
    <row r="318" customFormat="false" ht="12.75" hidden="false" customHeight="false" outlineLevel="0" collapsed="false">
      <c r="A318" s="129" t="n">
        <v>42508</v>
      </c>
      <c r="B318" s="0" t="n">
        <v>94.16</v>
      </c>
      <c r="C318" s="0" t="n">
        <v>95.21</v>
      </c>
      <c r="D318" s="0" t="n">
        <v>93.89</v>
      </c>
      <c r="E318" s="0" t="n">
        <v>94.56</v>
      </c>
      <c r="F318" s="0" t="n">
        <v>41923114</v>
      </c>
    </row>
    <row r="319" customFormat="false" ht="12.75" hidden="false" customHeight="false" outlineLevel="0" collapsed="false">
      <c r="A319" s="129" t="n">
        <v>42507</v>
      </c>
      <c r="B319" s="0" t="n">
        <v>94.55</v>
      </c>
      <c r="C319" s="0" t="n">
        <v>94.7</v>
      </c>
      <c r="D319" s="0" t="n">
        <v>93.01</v>
      </c>
      <c r="E319" s="0" t="n">
        <v>93.49</v>
      </c>
      <c r="F319" s="0" t="n">
        <v>46507449</v>
      </c>
    </row>
    <row r="320" customFormat="false" ht="12.75" hidden="false" customHeight="false" outlineLevel="0" collapsed="false">
      <c r="A320" s="129" t="n">
        <v>42506</v>
      </c>
      <c r="B320" s="0" t="n">
        <v>92.39</v>
      </c>
      <c r="C320" s="0" t="n">
        <v>94.39</v>
      </c>
      <c r="D320" s="0" t="n">
        <v>91.65</v>
      </c>
      <c r="E320" s="0" t="n">
        <v>93.88</v>
      </c>
      <c r="F320" s="0" t="n">
        <v>61140610</v>
      </c>
    </row>
    <row r="321" customFormat="false" ht="12.75" hidden="false" customHeight="false" outlineLevel="0" collapsed="false">
      <c r="A321" s="129" t="n">
        <v>42503</v>
      </c>
      <c r="B321" s="0" t="n">
        <v>90</v>
      </c>
      <c r="C321" s="0" t="n">
        <v>91.67</v>
      </c>
      <c r="D321" s="0" t="n">
        <v>90</v>
      </c>
      <c r="E321" s="0" t="n">
        <v>90.52</v>
      </c>
      <c r="F321" s="0" t="n">
        <v>44188153</v>
      </c>
    </row>
    <row r="322" customFormat="false" ht="12.75" hidden="false" customHeight="false" outlineLevel="0" collapsed="false">
      <c r="A322" s="129" t="n">
        <v>42502</v>
      </c>
      <c r="B322" s="0" t="n">
        <v>92.72</v>
      </c>
      <c r="C322" s="0" t="n">
        <v>92.78</v>
      </c>
      <c r="D322" s="0" t="n">
        <v>89.47</v>
      </c>
      <c r="E322" s="0" t="n">
        <v>90.34</v>
      </c>
      <c r="F322" s="0" t="n">
        <v>76109795</v>
      </c>
    </row>
    <row r="323" customFormat="false" ht="12.75" hidden="false" customHeight="false" outlineLevel="0" collapsed="false">
      <c r="A323" s="129" t="n">
        <v>42501</v>
      </c>
      <c r="B323" s="0" t="n">
        <v>93.48</v>
      </c>
      <c r="C323" s="0" t="n">
        <v>93.57</v>
      </c>
      <c r="D323" s="0" t="n">
        <v>92.46</v>
      </c>
      <c r="E323" s="0" t="n">
        <v>92.51</v>
      </c>
      <c r="F323" s="0" t="n">
        <v>28539912</v>
      </c>
    </row>
    <row r="324" customFormat="false" ht="12.75" hidden="false" customHeight="false" outlineLevel="0" collapsed="false">
      <c r="A324" s="129" t="n">
        <v>42500</v>
      </c>
      <c r="B324" s="0" t="n">
        <v>93.33</v>
      </c>
      <c r="C324" s="0" t="n">
        <v>93.57</v>
      </c>
      <c r="D324" s="0" t="n">
        <v>92.11</v>
      </c>
      <c r="E324" s="0" t="n">
        <v>93.42</v>
      </c>
      <c r="F324" s="0" t="n">
        <v>33592465</v>
      </c>
    </row>
    <row r="325" customFormat="false" ht="12.75" hidden="false" customHeight="false" outlineLevel="0" collapsed="false">
      <c r="A325" s="129" t="n">
        <v>42499</v>
      </c>
      <c r="B325" s="0" t="n">
        <v>93</v>
      </c>
      <c r="C325" s="0" t="n">
        <v>93.77</v>
      </c>
      <c r="D325" s="0" t="n">
        <v>92.59</v>
      </c>
      <c r="E325" s="0" t="n">
        <v>92.79</v>
      </c>
      <c r="F325" s="0" t="n">
        <v>32855251</v>
      </c>
    </row>
    <row r="326" customFormat="false" ht="12.75" hidden="false" customHeight="false" outlineLevel="0" collapsed="false">
      <c r="A326" s="129" t="n">
        <v>42496</v>
      </c>
      <c r="B326" s="0" t="n">
        <v>93.37</v>
      </c>
      <c r="C326" s="0" t="n">
        <v>93.45</v>
      </c>
      <c r="D326" s="0" t="n">
        <v>91.85</v>
      </c>
      <c r="E326" s="0" t="n">
        <v>92.72</v>
      </c>
      <c r="F326" s="0" t="n">
        <v>43458189</v>
      </c>
    </row>
    <row r="327" customFormat="false" ht="12.75" hidden="false" customHeight="false" outlineLevel="0" collapsed="false">
      <c r="A327" s="129" t="n">
        <v>42495</v>
      </c>
      <c r="B327" s="0" t="n">
        <v>94</v>
      </c>
      <c r="C327" s="0" t="n">
        <v>94.07</v>
      </c>
      <c r="D327" s="0" t="n">
        <v>92.68</v>
      </c>
      <c r="E327" s="0" t="n">
        <v>93.24</v>
      </c>
      <c r="F327" s="0" t="n">
        <v>35763138</v>
      </c>
    </row>
    <row r="328" customFormat="false" ht="12.75" hidden="false" customHeight="false" outlineLevel="0" collapsed="false">
      <c r="A328" s="129" t="n">
        <v>42494</v>
      </c>
      <c r="B328" s="0" t="n">
        <v>95.2</v>
      </c>
      <c r="C328" s="0" t="n">
        <v>95.9</v>
      </c>
      <c r="D328" s="0" t="n">
        <v>93.82</v>
      </c>
      <c r="E328" s="0" t="n">
        <v>94.19</v>
      </c>
      <c r="F328" s="0" t="n">
        <v>40824776</v>
      </c>
    </row>
    <row r="329" customFormat="false" ht="12.75" hidden="false" customHeight="false" outlineLevel="0" collapsed="false">
      <c r="A329" s="129" t="n">
        <v>42493</v>
      </c>
      <c r="B329" s="0" t="n">
        <v>94.2</v>
      </c>
      <c r="C329" s="0" t="n">
        <v>95.74</v>
      </c>
      <c r="D329" s="0" t="n">
        <v>93.68</v>
      </c>
      <c r="E329" s="0" t="n">
        <v>95.18</v>
      </c>
      <c r="F329" s="0" t="n">
        <v>56533960</v>
      </c>
    </row>
    <row r="330" customFormat="false" ht="12.75" hidden="false" customHeight="false" outlineLevel="0" collapsed="false">
      <c r="A330" s="129" t="n">
        <v>42492</v>
      </c>
      <c r="B330" s="0" t="n">
        <v>93.96</v>
      </c>
      <c r="C330" s="0" t="n">
        <v>94.08</v>
      </c>
      <c r="D330" s="0" t="n">
        <v>92.4</v>
      </c>
      <c r="E330" s="0" t="n">
        <v>93.64</v>
      </c>
      <c r="F330" s="0" t="n">
        <v>47736879</v>
      </c>
    </row>
    <row r="331" customFormat="false" ht="12.75" hidden="false" customHeight="false" outlineLevel="0" collapsed="false">
      <c r="A331" s="129" t="n">
        <v>42489</v>
      </c>
      <c r="B331" s="0" t="n">
        <v>93.99</v>
      </c>
      <c r="C331" s="0" t="n">
        <v>94.72</v>
      </c>
      <c r="D331" s="0" t="n">
        <v>92.51</v>
      </c>
      <c r="E331" s="0" t="n">
        <v>93.74</v>
      </c>
      <c r="F331" s="0" t="n">
        <v>68334434</v>
      </c>
    </row>
    <row r="332" customFormat="false" ht="12.75" hidden="false" customHeight="false" outlineLevel="0" collapsed="false">
      <c r="A332" s="129" t="n">
        <v>42488</v>
      </c>
      <c r="B332" s="0" t="n">
        <v>97.61</v>
      </c>
      <c r="C332" s="0" t="n">
        <v>97.88</v>
      </c>
      <c r="D332" s="0" t="n">
        <v>94.25</v>
      </c>
      <c r="E332" s="0" t="n">
        <v>94.83</v>
      </c>
      <c r="F332" s="0" t="n">
        <v>81990674</v>
      </c>
    </row>
    <row r="333" customFormat="false" ht="12.75" hidden="false" customHeight="false" outlineLevel="0" collapsed="false">
      <c r="A333" s="129" t="n">
        <v>42487</v>
      </c>
      <c r="B333" s="0" t="n">
        <v>96</v>
      </c>
      <c r="C333" s="0" t="n">
        <v>98.71</v>
      </c>
      <c r="D333" s="0" t="n">
        <v>95.68</v>
      </c>
      <c r="E333" s="0" t="n">
        <v>97.82</v>
      </c>
      <c r="F333" s="0" t="n">
        <v>113538389</v>
      </c>
    </row>
    <row r="334" customFormat="false" ht="12.75" hidden="false" customHeight="false" outlineLevel="0" collapsed="false">
      <c r="A334" s="129" t="n">
        <v>42486</v>
      </c>
      <c r="B334" s="0" t="n">
        <v>103.91</v>
      </c>
      <c r="C334" s="0" t="n">
        <v>105.3</v>
      </c>
      <c r="D334" s="0" t="n">
        <v>103.91</v>
      </c>
      <c r="E334" s="0" t="n">
        <v>104.35</v>
      </c>
      <c r="F334" s="0" t="n">
        <v>40338403</v>
      </c>
    </row>
    <row r="335" customFormat="false" ht="12.75" hidden="false" customHeight="false" outlineLevel="0" collapsed="false">
      <c r="A335" s="129" t="n">
        <v>42485</v>
      </c>
      <c r="B335" s="0" t="n">
        <v>105</v>
      </c>
      <c r="C335" s="0" t="n">
        <v>105.65</v>
      </c>
      <c r="D335" s="0" t="n">
        <v>104.51</v>
      </c>
      <c r="E335" s="0" t="n">
        <v>105.08</v>
      </c>
      <c r="F335" s="0" t="n">
        <v>27950966</v>
      </c>
    </row>
    <row r="336" customFormat="false" ht="12.75" hidden="false" customHeight="false" outlineLevel="0" collapsed="false">
      <c r="A336" s="129" t="n">
        <v>42482</v>
      </c>
      <c r="B336" s="0" t="n">
        <v>105.01</v>
      </c>
      <c r="C336" s="0" t="n">
        <v>106.48</v>
      </c>
      <c r="D336" s="0" t="n">
        <v>104.62</v>
      </c>
      <c r="E336" s="0" t="n">
        <v>105.68</v>
      </c>
      <c r="F336" s="0" t="n">
        <v>33477142</v>
      </c>
    </row>
    <row r="337" customFormat="false" ht="12.75" hidden="false" customHeight="false" outlineLevel="0" collapsed="false">
      <c r="A337" s="129" t="n">
        <v>42481</v>
      </c>
      <c r="B337" s="0" t="n">
        <v>106.93</v>
      </c>
      <c r="C337" s="0" t="n">
        <v>106.93</v>
      </c>
      <c r="D337" s="0" t="n">
        <v>105.52</v>
      </c>
      <c r="E337" s="0" t="n">
        <v>105.97</v>
      </c>
      <c r="F337" s="0" t="n">
        <v>31356434</v>
      </c>
    </row>
    <row r="338" customFormat="false" ht="12.75" hidden="false" customHeight="false" outlineLevel="0" collapsed="false">
      <c r="A338" s="129" t="n">
        <v>42480</v>
      </c>
      <c r="B338" s="0" t="n">
        <v>106.64</v>
      </c>
      <c r="C338" s="0" t="n">
        <v>108.09</v>
      </c>
      <c r="D338" s="0" t="n">
        <v>106.06</v>
      </c>
      <c r="E338" s="0" t="n">
        <v>107.13</v>
      </c>
      <c r="F338" s="0" t="n">
        <v>28666865</v>
      </c>
    </row>
    <row r="339" customFormat="false" ht="12.75" hidden="false" customHeight="false" outlineLevel="0" collapsed="false">
      <c r="A339" s="129" t="n">
        <v>42479</v>
      </c>
      <c r="B339" s="0" t="n">
        <v>107.88</v>
      </c>
      <c r="C339" s="0" t="n">
        <v>108</v>
      </c>
      <c r="D339" s="0" t="n">
        <v>106.23</v>
      </c>
      <c r="E339" s="0" t="n">
        <v>106.91</v>
      </c>
      <c r="F339" s="0" t="n">
        <v>32292344</v>
      </c>
    </row>
    <row r="340" customFormat="false" ht="12.75" hidden="false" customHeight="false" outlineLevel="0" collapsed="false">
      <c r="A340" s="129" t="n">
        <v>42478</v>
      </c>
      <c r="B340" s="0" t="n">
        <v>108.89</v>
      </c>
      <c r="C340" s="0" t="n">
        <v>108.95</v>
      </c>
      <c r="D340" s="0" t="n">
        <v>106.94</v>
      </c>
      <c r="E340" s="0" t="n">
        <v>107.48</v>
      </c>
      <c r="F340" s="0" t="n">
        <v>60834027</v>
      </c>
    </row>
    <row r="341" customFormat="false" ht="12.75" hidden="false" customHeight="false" outlineLevel="0" collapsed="false">
      <c r="A341" s="129" t="n">
        <v>42475</v>
      </c>
      <c r="B341" s="0" t="n">
        <v>112.11</v>
      </c>
      <c r="C341" s="0" t="n">
        <v>112.3</v>
      </c>
      <c r="D341" s="0" t="n">
        <v>109.73</v>
      </c>
      <c r="E341" s="0" t="n">
        <v>109.85</v>
      </c>
      <c r="F341" s="0" t="n">
        <v>46418482</v>
      </c>
    </row>
    <row r="342" customFormat="false" ht="12.75" hidden="false" customHeight="false" outlineLevel="0" collapsed="false">
      <c r="A342" s="129" t="n">
        <v>42474</v>
      </c>
      <c r="B342" s="0" t="n">
        <v>111.62</v>
      </c>
      <c r="C342" s="0" t="n">
        <v>112.39</v>
      </c>
      <c r="D342" s="0" t="n">
        <v>111.33</v>
      </c>
      <c r="E342" s="0" t="n">
        <v>112.1</v>
      </c>
      <c r="F342" s="0" t="n">
        <v>25337435</v>
      </c>
    </row>
    <row r="343" customFormat="false" ht="12.75" hidden="false" customHeight="false" outlineLevel="0" collapsed="false">
      <c r="A343" s="129" t="n">
        <v>42473</v>
      </c>
      <c r="B343" s="0" t="n">
        <v>110.8</v>
      </c>
      <c r="C343" s="0" t="n">
        <v>112.34</v>
      </c>
      <c r="D343" s="0" t="n">
        <v>110.8</v>
      </c>
      <c r="E343" s="0" t="n">
        <v>112.04</v>
      </c>
      <c r="F343" s="0" t="n">
        <v>32691799</v>
      </c>
    </row>
    <row r="344" customFormat="false" ht="12.75" hidden="false" customHeight="false" outlineLevel="0" collapsed="false">
      <c r="A344" s="129" t="n">
        <v>42472</v>
      </c>
      <c r="B344" s="0" t="n">
        <v>109.34</v>
      </c>
      <c r="C344" s="0" t="n">
        <v>110.5</v>
      </c>
      <c r="D344" s="0" t="n">
        <v>108.66</v>
      </c>
      <c r="E344" s="0" t="n">
        <v>110.44</v>
      </c>
      <c r="F344" s="0" t="n">
        <v>26812000</v>
      </c>
    </row>
    <row r="345" customFormat="false" ht="12.75" hidden="false" customHeight="false" outlineLevel="0" collapsed="false">
      <c r="A345" s="129" t="n">
        <v>42471</v>
      </c>
      <c r="B345" s="0" t="n">
        <v>108.97</v>
      </c>
      <c r="C345" s="0" t="n">
        <v>110.61</v>
      </c>
      <c r="D345" s="0" t="n">
        <v>108.83</v>
      </c>
      <c r="E345" s="0" t="n">
        <v>109.02</v>
      </c>
      <c r="F345" s="0" t="n">
        <v>28313525</v>
      </c>
    </row>
    <row r="346" customFormat="false" ht="12.75" hidden="false" customHeight="false" outlineLevel="0" collapsed="false">
      <c r="A346" s="129" t="n">
        <v>42468</v>
      </c>
      <c r="B346" s="0" t="n">
        <v>108.91</v>
      </c>
      <c r="C346" s="0" t="n">
        <v>109.77</v>
      </c>
      <c r="D346" s="0" t="n">
        <v>108.17</v>
      </c>
      <c r="E346" s="0" t="n">
        <v>108.66</v>
      </c>
      <c r="F346" s="0" t="n">
        <v>23514462</v>
      </c>
    </row>
    <row r="347" customFormat="false" ht="12.75" hidden="false" customHeight="false" outlineLevel="0" collapsed="false">
      <c r="A347" s="129" t="n">
        <v>42467</v>
      </c>
      <c r="B347" s="0" t="n">
        <v>109.95</v>
      </c>
      <c r="C347" s="0" t="n">
        <v>110.42</v>
      </c>
      <c r="D347" s="0" t="n">
        <v>108.12</v>
      </c>
      <c r="E347" s="0" t="n">
        <v>108.54</v>
      </c>
      <c r="F347" s="0" t="n">
        <v>30881022</v>
      </c>
    </row>
    <row r="348" customFormat="false" ht="12.75" hidden="false" customHeight="false" outlineLevel="0" collapsed="false">
      <c r="A348" s="129" t="n">
        <v>42466</v>
      </c>
      <c r="B348" s="0" t="n">
        <v>110.23</v>
      </c>
      <c r="C348" s="0" t="n">
        <v>110.98</v>
      </c>
      <c r="D348" s="0" t="n">
        <v>109.2</v>
      </c>
      <c r="E348" s="0" t="n">
        <v>110.96</v>
      </c>
      <c r="F348" s="0" t="n">
        <v>26047772</v>
      </c>
    </row>
    <row r="349" customFormat="false" ht="12.75" hidden="false" customHeight="false" outlineLevel="0" collapsed="false">
      <c r="A349" s="129" t="n">
        <v>42465</v>
      </c>
      <c r="B349" s="0" t="n">
        <v>109.51</v>
      </c>
      <c r="C349" s="0" t="n">
        <v>110.73</v>
      </c>
      <c r="D349" s="0" t="n">
        <v>109.42</v>
      </c>
      <c r="E349" s="0" t="n">
        <v>109.81</v>
      </c>
      <c r="F349" s="0" t="n">
        <v>26495312</v>
      </c>
    </row>
    <row r="350" customFormat="false" ht="12.75" hidden="false" customHeight="false" outlineLevel="0" collapsed="false">
      <c r="A350" s="129" t="n">
        <v>42464</v>
      </c>
      <c r="B350" s="0" t="n">
        <v>110.42</v>
      </c>
      <c r="C350" s="0" t="n">
        <v>112.19</v>
      </c>
      <c r="D350" s="0" t="n">
        <v>110.27</v>
      </c>
      <c r="E350" s="0" t="n">
        <v>111.12</v>
      </c>
      <c r="F350" s="0" t="n">
        <v>37243224</v>
      </c>
    </row>
    <row r="351" customFormat="false" ht="12.75" hidden="false" customHeight="false" outlineLevel="0" collapsed="false">
      <c r="A351" s="129" t="n">
        <v>42461</v>
      </c>
      <c r="B351" s="0" t="n">
        <v>108.78</v>
      </c>
      <c r="C351" s="0" t="n">
        <v>110</v>
      </c>
      <c r="D351" s="0" t="n">
        <v>108.2</v>
      </c>
      <c r="E351" s="0" t="n">
        <v>109.99</v>
      </c>
      <c r="F351" s="0" t="n">
        <v>25626163</v>
      </c>
    </row>
    <row r="352" customFormat="false" ht="12.75" hidden="false" customHeight="false" outlineLevel="0" collapsed="false">
      <c r="A352" s="129" t="n">
        <v>42460</v>
      </c>
      <c r="B352" s="0" t="n">
        <v>109.72</v>
      </c>
      <c r="C352" s="0" t="n">
        <v>109.9</v>
      </c>
      <c r="D352" s="0" t="n">
        <v>108.88</v>
      </c>
      <c r="E352" s="0" t="n">
        <v>108.99</v>
      </c>
      <c r="F352" s="0" t="n">
        <v>25685672</v>
      </c>
    </row>
    <row r="353" customFormat="false" ht="12.75" hidden="false" customHeight="false" outlineLevel="0" collapsed="false">
      <c r="A353" s="129" t="n">
        <v>42459</v>
      </c>
      <c r="B353" s="0" t="n">
        <v>108.65</v>
      </c>
      <c r="C353" s="0" t="n">
        <v>110.42</v>
      </c>
      <c r="D353" s="0" t="n">
        <v>108.6</v>
      </c>
      <c r="E353" s="0" t="n">
        <v>109.56</v>
      </c>
      <c r="F353" s="0" t="n">
        <v>45159861</v>
      </c>
    </row>
    <row r="354" customFormat="false" ht="12.75" hidden="false" customHeight="false" outlineLevel="0" collapsed="false">
      <c r="A354" s="129" t="n">
        <v>42458</v>
      </c>
      <c r="B354" s="0" t="n">
        <v>104.89</v>
      </c>
      <c r="C354" s="0" t="n">
        <v>107.79</v>
      </c>
      <c r="D354" s="0" t="n">
        <v>104.88</v>
      </c>
      <c r="E354" s="0" t="n">
        <v>107.68</v>
      </c>
      <c r="F354" s="0" t="n">
        <v>30774115</v>
      </c>
    </row>
    <row r="355" customFormat="false" ht="12.75" hidden="false" customHeight="false" outlineLevel="0" collapsed="false">
      <c r="A355" s="129" t="n">
        <v>42457</v>
      </c>
      <c r="B355" s="0" t="n">
        <v>106</v>
      </c>
      <c r="C355" s="0" t="n">
        <v>106.19</v>
      </c>
      <c r="D355" s="0" t="n">
        <v>105.06</v>
      </c>
      <c r="E355" s="0" t="n">
        <v>105.19</v>
      </c>
      <c r="F355" s="0" t="n">
        <v>19303557</v>
      </c>
    </row>
    <row r="356" customFormat="false" ht="12.75" hidden="false" customHeight="false" outlineLevel="0" collapsed="false">
      <c r="A356" s="129" t="n">
        <v>42453</v>
      </c>
      <c r="B356" s="0" t="n">
        <v>105.47</v>
      </c>
      <c r="C356" s="0" t="n">
        <v>106.25</v>
      </c>
      <c r="D356" s="0" t="n">
        <v>104.89</v>
      </c>
      <c r="E356" s="0" t="n">
        <v>105.67</v>
      </c>
      <c r="F356" s="0" t="n">
        <v>25480914</v>
      </c>
    </row>
    <row r="357" customFormat="false" ht="12.75" hidden="false" customHeight="false" outlineLevel="0" collapsed="false">
      <c r="A357" s="129" t="n">
        <v>42452</v>
      </c>
      <c r="B357" s="0" t="n">
        <v>106.48</v>
      </c>
      <c r="C357" s="0" t="n">
        <v>107.07</v>
      </c>
      <c r="D357" s="0" t="n">
        <v>105.9</v>
      </c>
      <c r="E357" s="0" t="n">
        <v>106.13</v>
      </c>
      <c r="F357" s="0" t="n">
        <v>25452612</v>
      </c>
    </row>
    <row r="358" customFormat="false" ht="12.75" hidden="false" customHeight="false" outlineLevel="0" collapsed="false">
      <c r="A358" s="129" t="n">
        <v>42451</v>
      </c>
      <c r="B358" s="0" t="n">
        <v>105.25</v>
      </c>
      <c r="C358" s="0" t="n">
        <v>107.29</v>
      </c>
      <c r="D358" s="0" t="n">
        <v>105.21</v>
      </c>
      <c r="E358" s="0" t="n">
        <v>106.72</v>
      </c>
      <c r="F358" s="0" t="n">
        <v>32232567</v>
      </c>
    </row>
    <row r="359" customFormat="false" ht="12.75" hidden="false" customHeight="false" outlineLevel="0" collapsed="false">
      <c r="A359" s="129" t="n">
        <v>42450</v>
      </c>
      <c r="B359" s="0" t="n">
        <v>105.93</v>
      </c>
      <c r="C359" s="0" t="n">
        <v>107.65</v>
      </c>
      <c r="D359" s="0" t="n">
        <v>105.14</v>
      </c>
      <c r="E359" s="0" t="n">
        <v>105.91</v>
      </c>
      <c r="F359" s="0" t="n">
        <v>35180796</v>
      </c>
    </row>
    <row r="360" customFormat="false" ht="12.75" hidden="false" customHeight="false" outlineLevel="0" collapsed="false">
      <c r="A360" s="129" t="n">
        <v>42447</v>
      </c>
      <c r="B360" s="0" t="n">
        <v>106.34</v>
      </c>
      <c r="C360" s="0" t="n">
        <v>106.5</v>
      </c>
      <c r="D360" s="0" t="n">
        <v>105.19</v>
      </c>
      <c r="E360" s="0" t="n">
        <v>105.92</v>
      </c>
      <c r="F360" s="0" t="n">
        <v>43402289</v>
      </c>
    </row>
    <row r="361" customFormat="false" ht="12.75" hidden="false" customHeight="false" outlineLevel="0" collapsed="false">
      <c r="A361" s="129" t="n">
        <v>42446</v>
      </c>
      <c r="B361" s="0" t="n">
        <v>105.52</v>
      </c>
      <c r="C361" s="0" t="n">
        <v>106.47</v>
      </c>
      <c r="D361" s="0" t="n">
        <v>104.96</v>
      </c>
      <c r="E361" s="0" t="n">
        <v>105.8</v>
      </c>
      <c r="F361" s="0" t="n">
        <v>34244593</v>
      </c>
    </row>
    <row r="362" customFormat="false" ht="12.75" hidden="false" customHeight="false" outlineLevel="0" collapsed="false">
      <c r="A362" s="129" t="n">
        <v>42445</v>
      </c>
      <c r="B362" s="0" t="n">
        <v>104.61</v>
      </c>
      <c r="C362" s="0" t="n">
        <v>106.31</v>
      </c>
      <c r="D362" s="0" t="n">
        <v>104.59</v>
      </c>
      <c r="E362" s="0" t="n">
        <v>105.97</v>
      </c>
      <c r="F362" s="0" t="n">
        <v>37893758</v>
      </c>
    </row>
    <row r="363" customFormat="false" ht="12.75" hidden="false" customHeight="false" outlineLevel="0" collapsed="false">
      <c r="A363" s="129" t="n">
        <v>42444</v>
      </c>
      <c r="B363" s="0" t="n">
        <v>103.96</v>
      </c>
      <c r="C363" s="0" t="n">
        <v>105.18</v>
      </c>
      <c r="D363" s="0" t="n">
        <v>103.85</v>
      </c>
      <c r="E363" s="0" t="n">
        <v>104.58</v>
      </c>
      <c r="F363" s="0" t="n">
        <v>40067734</v>
      </c>
    </row>
    <row r="364" customFormat="false" ht="12.75" hidden="false" customHeight="false" outlineLevel="0" collapsed="false">
      <c r="A364" s="129" t="n">
        <v>42443</v>
      </c>
      <c r="B364" s="0" t="n">
        <v>101.91</v>
      </c>
      <c r="C364" s="0" t="n">
        <v>102.91</v>
      </c>
      <c r="D364" s="0" t="n">
        <v>101.78</v>
      </c>
      <c r="E364" s="0" t="n">
        <v>102.52</v>
      </c>
      <c r="F364" s="0" t="n">
        <v>25027426</v>
      </c>
    </row>
    <row r="365" customFormat="false" ht="12.75" hidden="false" customHeight="false" outlineLevel="0" collapsed="false">
      <c r="A365" s="129" t="n">
        <v>42440</v>
      </c>
      <c r="B365" s="0" t="n">
        <v>102.24</v>
      </c>
      <c r="C365" s="0" t="n">
        <v>102.28</v>
      </c>
      <c r="D365" s="0" t="n">
        <v>101.5</v>
      </c>
      <c r="E365" s="0" t="n">
        <v>102.26</v>
      </c>
      <c r="F365" s="0" t="n">
        <v>27200833</v>
      </c>
    </row>
    <row r="366" customFormat="false" ht="12.75" hidden="false" customHeight="false" outlineLevel="0" collapsed="false">
      <c r="A366" s="129" t="n">
        <v>42439</v>
      </c>
      <c r="B366" s="0" t="n">
        <v>101.41</v>
      </c>
      <c r="C366" s="0" t="n">
        <v>102.24</v>
      </c>
      <c r="D366" s="0" t="n">
        <v>100.15</v>
      </c>
      <c r="E366" s="0" t="n">
        <v>101.17</v>
      </c>
      <c r="F366" s="0" t="n">
        <v>33513577</v>
      </c>
    </row>
    <row r="367" customFormat="false" ht="12.75" hidden="false" customHeight="false" outlineLevel="0" collapsed="false">
      <c r="A367" s="129" t="n">
        <v>42438</v>
      </c>
      <c r="B367" s="0" t="n">
        <v>101.31</v>
      </c>
      <c r="C367" s="0" t="n">
        <v>101.58</v>
      </c>
      <c r="D367" s="0" t="n">
        <v>100.27</v>
      </c>
      <c r="E367" s="0" t="n">
        <v>101.12</v>
      </c>
      <c r="F367" s="0" t="n">
        <v>27130729</v>
      </c>
    </row>
    <row r="368" customFormat="false" ht="12.75" hidden="false" customHeight="false" outlineLevel="0" collapsed="false">
      <c r="A368" s="129" t="n">
        <v>42437</v>
      </c>
      <c r="B368" s="0" t="n">
        <v>100.78</v>
      </c>
      <c r="C368" s="0" t="n">
        <v>101.76</v>
      </c>
      <c r="D368" s="0" t="n">
        <v>100.4</v>
      </c>
      <c r="E368" s="0" t="n">
        <v>101.03</v>
      </c>
      <c r="F368" s="0" t="n">
        <v>31274161</v>
      </c>
    </row>
    <row r="369" customFormat="false" ht="12.75" hidden="false" customHeight="false" outlineLevel="0" collapsed="false">
      <c r="A369" s="129" t="n">
        <v>42436</v>
      </c>
      <c r="B369" s="0" t="n">
        <v>102.39</v>
      </c>
      <c r="C369" s="0" t="n">
        <v>102.83</v>
      </c>
      <c r="D369" s="0" t="n">
        <v>100.96</v>
      </c>
      <c r="E369" s="0" t="n">
        <v>101.87</v>
      </c>
      <c r="F369" s="0" t="n">
        <v>35828909</v>
      </c>
    </row>
    <row r="370" customFormat="false" ht="12.75" hidden="false" customHeight="false" outlineLevel="0" collapsed="false">
      <c r="A370" s="129" t="n">
        <v>42433</v>
      </c>
      <c r="B370" s="0" t="n">
        <v>102.37</v>
      </c>
      <c r="C370" s="0" t="n">
        <v>103.75</v>
      </c>
      <c r="D370" s="0" t="n">
        <v>101.37</v>
      </c>
      <c r="E370" s="0" t="n">
        <v>103.01</v>
      </c>
      <c r="F370" s="0" t="n">
        <v>45936485</v>
      </c>
    </row>
    <row r="371" customFormat="false" ht="12.75" hidden="false" customHeight="false" outlineLevel="0" collapsed="false">
      <c r="A371" s="129" t="n">
        <v>42432</v>
      </c>
      <c r="B371" s="0" t="n">
        <v>100.58</v>
      </c>
      <c r="C371" s="0" t="n">
        <v>101.71</v>
      </c>
      <c r="D371" s="0" t="n">
        <v>100.45</v>
      </c>
      <c r="E371" s="0" t="n">
        <v>101.5</v>
      </c>
      <c r="F371" s="0" t="n">
        <v>36792245</v>
      </c>
    </row>
    <row r="372" customFormat="false" ht="12.75" hidden="false" customHeight="false" outlineLevel="0" collapsed="false">
      <c r="A372" s="129" t="n">
        <v>42431</v>
      </c>
      <c r="B372" s="0" t="n">
        <v>100.51</v>
      </c>
      <c r="C372" s="0" t="n">
        <v>100.89</v>
      </c>
      <c r="D372" s="0" t="n">
        <v>99.64</v>
      </c>
      <c r="E372" s="0" t="n">
        <v>100.75</v>
      </c>
      <c r="F372" s="0" t="n">
        <v>33084941</v>
      </c>
    </row>
    <row r="373" customFormat="false" ht="12.75" hidden="false" customHeight="false" outlineLevel="0" collapsed="false">
      <c r="A373" s="129" t="n">
        <v>42430</v>
      </c>
      <c r="B373" s="0" t="n">
        <v>97.65</v>
      </c>
      <c r="C373" s="0" t="n">
        <v>100.77</v>
      </c>
      <c r="D373" s="0" t="n">
        <v>97.42</v>
      </c>
      <c r="E373" s="0" t="n">
        <v>100.53</v>
      </c>
      <c r="F373" s="0" t="n">
        <v>50153943</v>
      </c>
    </row>
    <row r="374" customFormat="false" ht="12.75" hidden="false" customHeight="false" outlineLevel="0" collapsed="false">
      <c r="A374" s="129" t="n">
        <v>42429</v>
      </c>
      <c r="B374" s="0" t="n">
        <v>96.86</v>
      </c>
      <c r="C374" s="0" t="n">
        <v>98.23</v>
      </c>
      <c r="D374" s="0" t="n">
        <v>96.65</v>
      </c>
      <c r="E374" s="0" t="n">
        <v>96.69</v>
      </c>
      <c r="F374" s="0" t="n">
        <v>34876558</v>
      </c>
    </row>
    <row r="375" customFormat="false" ht="12.75" hidden="false" customHeight="false" outlineLevel="0" collapsed="false">
      <c r="A375" s="129" t="n">
        <v>42426</v>
      </c>
      <c r="B375" s="0" t="n">
        <v>97.2</v>
      </c>
      <c r="C375" s="0" t="n">
        <v>98.02</v>
      </c>
      <c r="D375" s="0" t="n">
        <v>96.58</v>
      </c>
      <c r="E375" s="0" t="n">
        <v>96.91</v>
      </c>
      <c r="F375" s="0" t="n">
        <v>28913208</v>
      </c>
    </row>
    <row r="376" customFormat="false" ht="12.75" hidden="false" customHeight="false" outlineLevel="0" collapsed="false">
      <c r="A376" s="129" t="n">
        <v>42425</v>
      </c>
      <c r="B376" s="0" t="n">
        <v>96.05</v>
      </c>
      <c r="C376" s="0" t="n">
        <v>96.76</v>
      </c>
      <c r="D376" s="0" t="n">
        <v>95.25</v>
      </c>
      <c r="E376" s="0" t="n">
        <v>96.76</v>
      </c>
      <c r="F376" s="0" t="n">
        <v>27393905</v>
      </c>
    </row>
    <row r="377" customFormat="false" ht="12.75" hidden="false" customHeight="false" outlineLevel="0" collapsed="false">
      <c r="A377" s="129" t="n">
        <v>42424</v>
      </c>
      <c r="B377" s="0" t="n">
        <v>93.98</v>
      </c>
      <c r="C377" s="0" t="n">
        <v>96.38</v>
      </c>
      <c r="D377" s="0" t="n">
        <v>93.32</v>
      </c>
      <c r="E377" s="0" t="n">
        <v>96.1</v>
      </c>
      <c r="F377" s="0" t="n">
        <v>36155642</v>
      </c>
    </row>
    <row r="378" customFormat="false" ht="12.75" hidden="false" customHeight="false" outlineLevel="0" collapsed="false">
      <c r="A378" s="129" t="n">
        <v>42423</v>
      </c>
      <c r="B378" s="0" t="n">
        <v>96.4</v>
      </c>
      <c r="C378" s="0" t="n">
        <v>96.5</v>
      </c>
      <c r="D378" s="0" t="n">
        <v>94.55</v>
      </c>
      <c r="E378" s="0" t="n">
        <v>94.69</v>
      </c>
      <c r="F378" s="0" t="n">
        <v>31686699</v>
      </c>
    </row>
    <row r="379" customFormat="false" ht="12.75" hidden="false" customHeight="false" outlineLevel="0" collapsed="false">
      <c r="A379" s="129" t="n">
        <v>42422</v>
      </c>
      <c r="B379" s="0" t="n">
        <v>96.31</v>
      </c>
      <c r="C379" s="0" t="n">
        <v>96.9</v>
      </c>
      <c r="D379" s="0" t="n">
        <v>95.92</v>
      </c>
      <c r="E379" s="0" t="n">
        <v>96.88</v>
      </c>
      <c r="F379" s="0" t="n">
        <v>34048195</v>
      </c>
    </row>
    <row r="380" customFormat="false" ht="12.75" hidden="false" customHeight="false" outlineLevel="0" collapsed="false">
      <c r="A380" s="129" t="n">
        <v>42419</v>
      </c>
      <c r="B380" s="0" t="n">
        <v>96</v>
      </c>
      <c r="C380" s="0" t="n">
        <v>96.76</v>
      </c>
      <c r="D380" s="0" t="n">
        <v>95.8</v>
      </c>
      <c r="E380" s="0" t="n">
        <v>96.04</v>
      </c>
      <c r="F380" s="0" t="n">
        <v>34485576</v>
      </c>
    </row>
    <row r="381" customFormat="false" ht="12.75" hidden="false" customHeight="false" outlineLevel="0" collapsed="false">
      <c r="A381" s="129" t="n">
        <v>42418</v>
      </c>
      <c r="B381" s="0" t="n">
        <v>98.84</v>
      </c>
      <c r="C381" s="0" t="n">
        <v>98.89</v>
      </c>
      <c r="D381" s="0" t="n">
        <v>96.09</v>
      </c>
      <c r="E381" s="0" t="n">
        <v>96.26</v>
      </c>
      <c r="F381" s="0" t="n">
        <v>38494442</v>
      </c>
    </row>
    <row r="382" customFormat="false" ht="12.75" hidden="false" customHeight="false" outlineLevel="0" collapsed="false">
      <c r="A382" s="129" t="n">
        <v>42417</v>
      </c>
      <c r="B382" s="0" t="n">
        <v>96.67</v>
      </c>
      <c r="C382" s="0" t="n">
        <v>98.21</v>
      </c>
      <c r="D382" s="0" t="n">
        <v>96.15</v>
      </c>
      <c r="E382" s="0" t="n">
        <v>98.12</v>
      </c>
      <c r="F382" s="0" t="n">
        <v>44390173</v>
      </c>
    </row>
    <row r="383" customFormat="false" ht="12.75" hidden="false" customHeight="false" outlineLevel="0" collapsed="false">
      <c r="A383" s="129" t="n">
        <v>42416</v>
      </c>
      <c r="B383" s="0" t="n">
        <v>95.02</v>
      </c>
      <c r="C383" s="0" t="n">
        <v>96.85</v>
      </c>
      <c r="D383" s="0" t="n">
        <v>94.61</v>
      </c>
      <c r="E383" s="0" t="n">
        <v>96.64</v>
      </c>
      <c r="F383" s="0" t="n">
        <v>47490678</v>
      </c>
    </row>
    <row r="384" customFormat="false" ht="12.75" hidden="false" customHeight="false" outlineLevel="0" collapsed="false">
      <c r="A384" s="129" t="n">
        <v>42412</v>
      </c>
      <c r="B384" s="0" t="n">
        <v>94.19</v>
      </c>
      <c r="C384" s="0" t="n">
        <v>94.5</v>
      </c>
      <c r="D384" s="0" t="n">
        <v>93.01</v>
      </c>
      <c r="E384" s="0" t="n">
        <v>93.99</v>
      </c>
      <c r="F384" s="0" t="n">
        <v>40121670</v>
      </c>
    </row>
    <row r="385" customFormat="false" ht="12.75" hidden="false" customHeight="false" outlineLevel="0" collapsed="false">
      <c r="A385" s="129" t="n">
        <v>42411</v>
      </c>
      <c r="B385" s="0" t="n">
        <v>93.79</v>
      </c>
      <c r="C385" s="0" t="n">
        <v>94.72</v>
      </c>
      <c r="D385" s="0" t="n">
        <v>92.59</v>
      </c>
      <c r="E385" s="0" t="n">
        <v>93.7</v>
      </c>
      <c r="F385" s="0" t="n">
        <v>49686210</v>
      </c>
    </row>
    <row r="386" customFormat="false" ht="12.75" hidden="false" customHeight="false" outlineLevel="0" collapsed="false">
      <c r="A386" s="129" t="n">
        <v>42410</v>
      </c>
      <c r="B386" s="0" t="n">
        <v>95.92</v>
      </c>
      <c r="C386" s="0" t="n">
        <v>96.35</v>
      </c>
      <c r="D386" s="0" t="n">
        <v>94.1</v>
      </c>
      <c r="E386" s="0" t="n">
        <v>94.27</v>
      </c>
      <c r="F386" s="0" t="n">
        <v>42244975</v>
      </c>
    </row>
    <row r="387" customFormat="false" ht="12.75" hidden="false" customHeight="false" outlineLevel="0" collapsed="false">
      <c r="A387" s="129" t="n">
        <v>42409</v>
      </c>
      <c r="B387" s="0" t="n">
        <v>94.29</v>
      </c>
      <c r="C387" s="0" t="n">
        <v>95.94</v>
      </c>
      <c r="D387" s="0" t="n">
        <v>93.93</v>
      </c>
      <c r="E387" s="0" t="n">
        <v>94.99</v>
      </c>
      <c r="F387" s="0" t="n">
        <v>44262912</v>
      </c>
    </row>
    <row r="388" customFormat="false" ht="12.75" hidden="false" customHeight="false" outlineLevel="0" collapsed="false">
      <c r="A388" s="129" t="n">
        <v>42408</v>
      </c>
      <c r="B388" s="0" t="n">
        <v>93.13</v>
      </c>
      <c r="C388" s="0" t="n">
        <v>95.7</v>
      </c>
      <c r="D388" s="0" t="n">
        <v>93.04</v>
      </c>
      <c r="E388" s="0" t="n">
        <v>95.01</v>
      </c>
      <c r="F388" s="0" t="n">
        <v>53852284</v>
      </c>
    </row>
    <row r="389" customFormat="false" ht="12.75" hidden="false" customHeight="false" outlineLevel="0" collapsed="false">
      <c r="A389" s="129" t="n">
        <v>42405</v>
      </c>
      <c r="B389" s="0" t="n">
        <v>96.52</v>
      </c>
      <c r="C389" s="0" t="n">
        <v>96.92</v>
      </c>
      <c r="D389" s="0" t="n">
        <v>93.69</v>
      </c>
      <c r="E389" s="0" t="n">
        <v>94.02</v>
      </c>
      <c r="F389" s="0" t="n">
        <v>45853883</v>
      </c>
    </row>
    <row r="390" customFormat="false" ht="12.75" hidden="false" customHeight="false" outlineLevel="0" collapsed="false">
      <c r="A390" s="129" t="n">
        <v>42404</v>
      </c>
      <c r="B390" s="0" t="n">
        <v>95.86</v>
      </c>
      <c r="C390" s="0" t="n">
        <v>97.33</v>
      </c>
      <c r="D390" s="0" t="n">
        <v>95.19</v>
      </c>
      <c r="E390" s="0" t="n">
        <v>96.6</v>
      </c>
      <c r="F390" s="0" t="n">
        <v>46263907</v>
      </c>
    </row>
    <row r="391" customFormat="false" ht="12.75" hidden="false" customHeight="false" outlineLevel="0" collapsed="false">
      <c r="A391" s="129" t="n">
        <v>42403</v>
      </c>
      <c r="B391" s="0" t="n">
        <v>95</v>
      </c>
      <c r="C391" s="0" t="n">
        <v>96.84</v>
      </c>
      <c r="D391" s="0" t="n">
        <v>94.08</v>
      </c>
      <c r="E391" s="0" t="n">
        <v>96.35</v>
      </c>
      <c r="F391" s="0" t="n">
        <v>45366710</v>
      </c>
    </row>
    <row r="392" customFormat="false" ht="12.75" hidden="false" customHeight="false" outlineLevel="0" collapsed="false">
      <c r="A392" s="129" t="n">
        <v>42402</v>
      </c>
      <c r="B392" s="0" t="n">
        <v>95.42</v>
      </c>
      <c r="C392" s="0" t="n">
        <v>96.04</v>
      </c>
      <c r="D392" s="0" t="n">
        <v>94.28</v>
      </c>
      <c r="E392" s="0" t="n">
        <v>94.48</v>
      </c>
      <c r="F392" s="0" t="n">
        <v>37081206</v>
      </c>
    </row>
    <row r="393" customFormat="false" ht="12.75" hidden="false" customHeight="false" outlineLevel="0" collapsed="false">
      <c r="A393" s="129" t="n">
        <v>42401</v>
      </c>
      <c r="B393" s="0" t="n">
        <v>96.47</v>
      </c>
      <c r="C393" s="0" t="n">
        <v>96.71</v>
      </c>
      <c r="D393" s="0" t="n">
        <v>95.4</v>
      </c>
      <c r="E393" s="0" t="n">
        <v>96.43</v>
      </c>
      <c r="F393" s="0" t="n">
        <v>40571593</v>
      </c>
    </row>
    <row r="394" customFormat="false" ht="12.75" hidden="false" customHeight="false" outlineLevel="0" collapsed="false">
      <c r="A394" s="129" t="n">
        <v>42398</v>
      </c>
      <c r="B394" s="0" t="n">
        <v>94.79</v>
      </c>
      <c r="C394" s="0" t="n">
        <v>97.34</v>
      </c>
      <c r="D394" s="0" t="n">
        <v>94.35</v>
      </c>
      <c r="E394" s="0" t="n">
        <v>97.34</v>
      </c>
      <c r="F394" s="0" t="n">
        <v>64010141</v>
      </c>
    </row>
    <row r="395" customFormat="false" ht="12.75" hidden="false" customHeight="false" outlineLevel="0" collapsed="false">
      <c r="A395" s="129" t="n">
        <v>42397</v>
      </c>
      <c r="B395" s="0" t="n">
        <v>93.79</v>
      </c>
      <c r="C395" s="0" t="n">
        <v>94.52</v>
      </c>
      <c r="D395" s="0" t="n">
        <v>92.39</v>
      </c>
      <c r="E395" s="0" t="n">
        <v>94.09</v>
      </c>
      <c r="F395" s="0" t="n">
        <v>55557109</v>
      </c>
    </row>
    <row r="396" customFormat="false" ht="12.75" hidden="false" customHeight="false" outlineLevel="0" collapsed="false">
      <c r="A396" s="129" t="n">
        <v>42396</v>
      </c>
      <c r="B396" s="0" t="n">
        <v>96.04</v>
      </c>
      <c r="C396" s="0" t="n">
        <v>96.63</v>
      </c>
      <c r="D396" s="0" t="n">
        <v>93.34</v>
      </c>
      <c r="E396" s="0" t="n">
        <v>93.42</v>
      </c>
      <c r="F396" s="0" t="n">
        <v>132224500</v>
      </c>
    </row>
    <row r="397" customFormat="false" ht="12.75" hidden="false" customHeight="false" outlineLevel="0" collapsed="false">
      <c r="A397" s="129" t="n">
        <v>42395</v>
      </c>
      <c r="B397" s="0" t="n">
        <v>99.93</v>
      </c>
      <c r="C397" s="0" t="n">
        <v>100.88</v>
      </c>
      <c r="D397" s="0" t="n">
        <v>98.07</v>
      </c>
      <c r="E397" s="0" t="n">
        <v>99.99</v>
      </c>
      <c r="F397" s="0" t="n">
        <v>63538305</v>
      </c>
    </row>
    <row r="398" customFormat="false" ht="12.75" hidden="false" customHeight="false" outlineLevel="0" collapsed="false">
      <c r="A398" s="129" t="n">
        <v>42394</v>
      </c>
      <c r="B398" s="0" t="n">
        <v>101.52</v>
      </c>
      <c r="C398" s="0" t="n">
        <v>101.53</v>
      </c>
      <c r="D398" s="0" t="n">
        <v>99.21</v>
      </c>
      <c r="E398" s="0" t="n">
        <v>99.44</v>
      </c>
      <c r="F398" s="0" t="n">
        <v>51196375</v>
      </c>
    </row>
    <row r="399" customFormat="false" ht="12.75" hidden="false" customHeight="false" outlineLevel="0" collapsed="false">
      <c r="A399" s="129" t="n">
        <v>42391</v>
      </c>
      <c r="B399" s="0" t="n">
        <v>98.63</v>
      </c>
      <c r="C399" s="0" t="n">
        <v>101.46</v>
      </c>
      <c r="D399" s="0" t="n">
        <v>98.37</v>
      </c>
      <c r="E399" s="0" t="n">
        <v>101.42</v>
      </c>
      <c r="F399" s="0" t="n">
        <v>65562769</v>
      </c>
    </row>
    <row r="400" customFormat="false" ht="12.75" hidden="false" customHeight="false" outlineLevel="0" collapsed="false">
      <c r="A400" s="129" t="n">
        <v>42390</v>
      </c>
      <c r="B400" s="0" t="n">
        <v>97.06</v>
      </c>
      <c r="C400" s="0" t="n">
        <v>97.88</v>
      </c>
      <c r="D400" s="0" t="n">
        <v>94.94</v>
      </c>
      <c r="E400" s="0" t="n">
        <v>96.3</v>
      </c>
      <c r="F400" s="0" t="n">
        <v>52054521</v>
      </c>
    </row>
    <row r="401" customFormat="false" ht="12.75" hidden="false" customHeight="false" outlineLevel="0" collapsed="false">
      <c r="A401" s="129" t="n">
        <v>42389</v>
      </c>
      <c r="B401" s="0" t="n">
        <v>95.1</v>
      </c>
      <c r="C401" s="0" t="n">
        <v>98.19</v>
      </c>
      <c r="D401" s="0" t="n">
        <v>93.42</v>
      </c>
      <c r="E401" s="0" t="n">
        <v>96.79</v>
      </c>
      <c r="F401" s="0" t="n">
        <v>72008265</v>
      </c>
    </row>
    <row r="402" customFormat="false" ht="12.75" hidden="false" customHeight="false" outlineLevel="0" collapsed="false">
      <c r="A402" s="129" t="n">
        <v>42388</v>
      </c>
      <c r="B402" s="0" t="n">
        <v>98.41</v>
      </c>
      <c r="C402" s="0" t="n">
        <v>98.65</v>
      </c>
      <c r="D402" s="0" t="n">
        <v>95.5</v>
      </c>
      <c r="E402" s="0" t="n">
        <v>96.66</v>
      </c>
      <c r="F402" s="0" t="n">
        <v>52841349</v>
      </c>
    </row>
    <row r="403" customFormat="false" ht="12.75" hidden="false" customHeight="false" outlineLevel="0" collapsed="false">
      <c r="A403" s="129" t="n">
        <v>42384</v>
      </c>
      <c r="B403" s="0" t="n">
        <v>96.2</v>
      </c>
      <c r="C403" s="0" t="n">
        <v>97.71</v>
      </c>
      <c r="D403" s="0" t="n">
        <v>95.36</v>
      </c>
      <c r="E403" s="0" t="n">
        <v>97.13</v>
      </c>
      <c r="F403" s="0" t="n">
        <v>79010008</v>
      </c>
    </row>
    <row r="404" customFormat="false" ht="12.75" hidden="false" customHeight="false" outlineLevel="0" collapsed="false">
      <c r="A404" s="129" t="n">
        <v>42383</v>
      </c>
      <c r="B404" s="0" t="n">
        <v>97.96</v>
      </c>
      <c r="C404" s="0" t="n">
        <v>100.48</v>
      </c>
      <c r="D404" s="0" t="n">
        <v>95.74</v>
      </c>
      <c r="E404" s="0" t="n">
        <v>99.52</v>
      </c>
      <c r="F404" s="0" t="n">
        <v>62424154</v>
      </c>
    </row>
    <row r="405" customFormat="false" ht="12.75" hidden="false" customHeight="false" outlineLevel="0" collapsed="false">
      <c r="A405" s="129" t="n">
        <v>42382</v>
      </c>
      <c r="B405" s="0" t="n">
        <v>100.32</v>
      </c>
      <c r="C405" s="0" t="n">
        <v>101.19</v>
      </c>
      <c r="D405" s="0" t="n">
        <v>97.3</v>
      </c>
      <c r="E405" s="0" t="n">
        <v>97.39</v>
      </c>
      <c r="F405" s="0" t="n">
        <v>61745031</v>
      </c>
    </row>
    <row r="406" customFormat="false" ht="12.75" hidden="false" customHeight="false" outlineLevel="0" collapsed="false">
      <c r="A406" s="129" t="n">
        <v>42381</v>
      </c>
      <c r="B406" s="0" t="n">
        <v>100.55</v>
      </c>
      <c r="C406" s="0" t="n">
        <v>100.69</v>
      </c>
      <c r="D406" s="0" t="n">
        <v>98.84</v>
      </c>
      <c r="E406" s="0" t="n">
        <v>99.96</v>
      </c>
      <c r="F406" s="0" t="n">
        <v>49154227</v>
      </c>
    </row>
    <row r="407" customFormat="false" ht="12.75" hidden="false" customHeight="false" outlineLevel="0" collapsed="false">
      <c r="A407" s="129" t="n">
        <v>42380</v>
      </c>
      <c r="B407" s="0" t="n">
        <v>98.97</v>
      </c>
      <c r="C407" s="0" t="n">
        <v>99.06</v>
      </c>
      <c r="D407" s="0" t="n">
        <v>97.34</v>
      </c>
      <c r="E407" s="0" t="n">
        <v>98.53</v>
      </c>
      <c r="F407" s="0" t="n">
        <v>49739377</v>
      </c>
    </row>
    <row r="408" customFormat="false" ht="12.75" hidden="false" customHeight="false" outlineLevel="0" collapsed="false">
      <c r="A408" s="129" t="n">
        <v>42377</v>
      </c>
      <c r="B408" s="0" t="n">
        <v>98.55</v>
      </c>
      <c r="C408" s="0" t="n">
        <v>99.11</v>
      </c>
      <c r="D408" s="0" t="n">
        <v>96.76</v>
      </c>
      <c r="E408" s="0" t="n">
        <v>96.96</v>
      </c>
      <c r="F408" s="0" t="n">
        <v>70798016</v>
      </c>
    </row>
    <row r="409" customFormat="false" ht="12.75" hidden="false" customHeight="false" outlineLevel="0" collapsed="false">
      <c r="A409" s="129" t="n">
        <v>42376</v>
      </c>
      <c r="B409" s="0" t="n">
        <v>98.68</v>
      </c>
      <c r="C409" s="0" t="n">
        <v>100.13</v>
      </c>
      <c r="D409" s="0" t="n">
        <v>96.43</v>
      </c>
      <c r="E409" s="0" t="n">
        <v>96.45</v>
      </c>
      <c r="F409" s="0" t="n">
        <v>81094428</v>
      </c>
    </row>
    <row r="410" customFormat="false" ht="12.75" hidden="false" customHeight="false" outlineLevel="0" collapsed="false">
      <c r="A410" s="129" t="n">
        <v>42375</v>
      </c>
      <c r="B410" s="0" t="n">
        <v>100.56</v>
      </c>
      <c r="C410" s="0" t="n">
        <v>102.37</v>
      </c>
      <c r="D410" s="0" t="n">
        <v>99.87</v>
      </c>
      <c r="E410" s="0" t="n">
        <v>100.7</v>
      </c>
      <c r="F410" s="0" t="n">
        <v>68457388</v>
      </c>
    </row>
    <row r="411" customFormat="false" ht="12.75" hidden="false" customHeight="false" outlineLevel="0" collapsed="false">
      <c r="A411" s="129" t="n">
        <v>42374</v>
      </c>
      <c r="B411" s="0" t="n">
        <v>105.75</v>
      </c>
      <c r="C411" s="0" t="n">
        <v>105.85</v>
      </c>
      <c r="D411" s="0" t="n">
        <v>102.41</v>
      </c>
      <c r="E411" s="0" t="n">
        <v>102.71</v>
      </c>
      <c r="F411" s="0" t="n">
        <v>55790992</v>
      </c>
    </row>
    <row r="412" customFormat="false" ht="12.75" hidden="false" customHeight="false" outlineLevel="0" collapsed="false">
      <c r="A412" s="129" t="n">
        <v>42373</v>
      </c>
      <c r="B412" s="0" t="n">
        <v>102.61</v>
      </c>
      <c r="C412" s="0" t="n">
        <v>105.37</v>
      </c>
      <c r="D412" s="0" t="n">
        <v>102</v>
      </c>
      <c r="E412" s="0" t="n">
        <v>105.35</v>
      </c>
      <c r="F412" s="0" t="n">
        <v>67281190</v>
      </c>
    </row>
    <row r="413" customFormat="false" ht="12.75" hidden="false" customHeight="false" outlineLevel="0" collapsed="false">
      <c r="A413" s="129" t="n">
        <v>42369</v>
      </c>
      <c r="B413" s="0" t="n">
        <v>107.01</v>
      </c>
      <c r="C413" s="0" t="n">
        <v>107.03</v>
      </c>
      <c r="D413" s="0" t="n">
        <v>104.82</v>
      </c>
      <c r="E413" s="0" t="n">
        <v>105.26</v>
      </c>
      <c r="F413" s="0" t="n">
        <v>40912316</v>
      </c>
    </row>
    <row r="414" customFormat="false" ht="12.75" hidden="false" customHeight="false" outlineLevel="0" collapsed="false">
      <c r="A414" s="129" t="n">
        <v>42368</v>
      </c>
      <c r="B414" s="0" t="n">
        <v>108.58</v>
      </c>
      <c r="C414" s="0" t="n">
        <v>108.7</v>
      </c>
      <c r="D414" s="0" t="n">
        <v>107.18</v>
      </c>
      <c r="E414" s="0" t="n">
        <v>107.32</v>
      </c>
      <c r="F414" s="0" t="n">
        <v>25213777</v>
      </c>
    </row>
    <row r="415" customFormat="false" ht="12.75" hidden="false" customHeight="false" outlineLevel="0" collapsed="false">
      <c r="A415" s="129" t="n">
        <v>42367</v>
      </c>
      <c r="B415" s="0" t="n">
        <v>106.96</v>
      </c>
      <c r="C415" s="0" t="n">
        <v>109.43</v>
      </c>
      <c r="D415" s="0" t="n">
        <v>106.86</v>
      </c>
      <c r="E415" s="0" t="n">
        <v>108.74</v>
      </c>
      <c r="F415" s="0" t="n">
        <v>30931243</v>
      </c>
    </row>
    <row r="416" customFormat="false" ht="12.75" hidden="false" customHeight="false" outlineLevel="0" collapsed="false">
      <c r="A416" s="129" t="n">
        <v>42366</v>
      </c>
      <c r="B416" s="0" t="n">
        <v>107.59</v>
      </c>
      <c r="C416" s="0" t="n">
        <v>107.69</v>
      </c>
      <c r="D416" s="0" t="n">
        <v>106.18</v>
      </c>
      <c r="E416" s="0" t="n">
        <v>106.82</v>
      </c>
      <c r="F416" s="0" t="n">
        <v>26704210</v>
      </c>
    </row>
    <row r="417" customFormat="false" ht="12.75" hidden="false" customHeight="false" outlineLevel="0" collapsed="false">
      <c r="A417" s="129" t="n">
        <v>42362</v>
      </c>
      <c r="B417" s="0" t="n">
        <v>109</v>
      </c>
      <c r="C417" s="0" t="n">
        <v>109</v>
      </c>
      <c r="D417" s="0" t="n">
        <v>107.95</v>
      </c>
      <c r="E417" s="0" t="n">
        <v>108.03</v>
      </c>
      <c r="F417" s="0" t="n">
        <v>13596680</v>
      </c>
    </row>
    <row r="418" customFormat="false" ht="12.75" hidden="false" customHeight="false" outlineLevel="0" collapsed="false">
      <c r="A418" s="129" t="n">
        <v>42361</v>
      </c>
      <c r="B418" s="0" t="n">
        <v>107.27</v>
      </c>
      <c r="C418" s="0" t="n">
        <v>108.85</v>
      </c>
      <c r="D418" s="0" t="n">
        <v>107.2</v>
      </c>
      <c r="E418" s="0" t="n">
        <v>108.61</v>
      </c>
      <c r="F418" s="0" t="n">
        <v>32657354</v>
      </c>
    </row>
    <row r="419" customFormat="false" ht="12.75" hidden="false" customHeight="false" outlineLevel="0" collapsed="false">
      <c r="A419" s="129" t="n">
        <v>42360</v>
      </c>
      <c r="B419" s="0" t="n">
        <v>107.4</v>
      </c>
      <c r="C419" s="0" t="n">
        <v>107.72</v>
      </c>
      <c r="D419" s="0" t="n">
        <v>106.45</v>
      </c>
      <c r="E419" s="0" t="n">
        <v>107.23</v>
      </c>
      <c r="F419" s="0" t="n">
        <v>32789367</v>
      </c>
    </row>
    <row r="420" customFormat="false" ht="12.75" hidden="false" customHeight="false" outlineLevel="0" collapsed="false">
      <c r="A420" s="129" t="n">
        <v>42359</v>
      </c>
      <c r="B420" s="0" t="n">
        <v>107.28</v>
      </c>
      <c r="C420" s="0" t="n">
        <v>107.37</v>
      </c>
      <c r="D420" s="0" t="n">
        <v>105.57</v>
      </c>
      <c r="E420" s="0" t="n">
        <v>107.33</v>
      </c>
      <c r="F420" s="0" t="n">
        <v>47590610</v>
      </c>
    </row>
    <row r="421" customFormat="false" ht="12.75" hidden="false" customHeight="false" outlineLevel="0" collapsed="false">
      <c r="A421" s="129" t="n">
        <v>42356</v>
      </c>
      <c r="B421" s="0" t="n">
        <v>108.91</v>
      </c>
      <c r="C421" s="0" t="n">
        <v>109.52</v>
      </c>
      <c r="D421" s="0" t="n">
        <v>105.81</v>
      </c>
      <c r="E421" s="0" t="n">
        <v>106.03</v>
      </c>
      <c r="F421" s="0" t="n">
        <v>96453327</v>
      </c>
    </row>
    <row r="422" customFormat="false" ht="12.75" hidden="false" customHeight="false" outlineLevel="0" collapsed="false">
      <c r="A422" s="129" t="n">
        <v>42355</v>
      </c>
      <c r="B422" s="0" t="n">
        <v>112.02</v>
      </c>
      <c r="C422" s="0" t="n">
        <v>112.25</v>
      </c>
      <c r="D422" s="0" t="n">
        <v>108.98</v>
      </c>
      <c r="E422" s="0" t="n">
        <v>108.98</v>
      </c>
      <c r="F422" s="0" t="n">
        <v>44772827</v>
      </c>
    </row>
    <row r="423" customFormat="false" ht="12.75" hidden="false" customHeight="false" outlineLevel="0" collapsed="false">
      <c r="A423" s="129" t="n">
        <v>42354</v>
      </c>
      <c r="B423" s="0" t="n">
        <v>111.07</v>
      </c>
      <c r="C423" s="0" t="n">
        <v>111.99</v>
      </c>
      <c r="D423" s="0" t="n">
        <v>108.8</v>
      </c>
      <c r="E423" s="0" t="n">
        <v>111.34</v>
      </c>
      <c r="F423" s="0" t="n">
        <v>56238467</v>
      </c>
    </row>
    <row r="424" customFormat="false" ht="12.75" hidden="false" customHeight="false" outlineLevel="0" collapsed="false">
      <c r="A424" s="129" t="n">
        <v>42353</v>
      </c>
      <c r="B424" s="0" t="n">
        <v>111.94</v>
      </c>
      <c r="C424" s="0" t="n">
        <v>112.8</v>
      </c>
      <c r="D424" s="0" t="n">
        <v>110.35</v>
      </c>
      <c r="E424" s="0" t="n">
        <v>110.49</v>
      </c>
      <c r="F424" s="0" t="n">
        <v>53323105</v>
      </c>
    </row>
    <row r="425" customFormat="false" ht="12.75" hidden="false" customHeight="false" outlineLevel="0" collapsed="false">
      <c r="A425" s="129" t="n">
        <v>42352</v>
      </c>
      <c r="B425" s="0" t="n">
        <v>112.18</v>
      </c>
      <c r="C425" s="0" t="n">
        <v>112.68</v>
      </c>
      <c r="D425" s="0" t="n">
        <v>109.79</v>
      </c>
      <c r="E425" s="0" t="n">
        <v>112.48</v>
      </c>
      <c r="F425" s="0" t="n">
        <v>64318732</v>
      </c>
    </row>
    <row r="426" customFormat="false" ht="12.75" hidden="false" customHeight="false" outlineLevel="0" collapsed="false">
      <c r="A426" s="129" t="n">
        <v>42349</v>
      </c>
      <c r="B426" s="0" t="n">
        <v>115.19</v>
      </c>
      <c r="C426" s="0" t="n">
        <v>115.39</v>
      </c>
      <c r="D426" s="0" t="n">
        <v>112.85</v>
      </c>
      <c r="E426" s="0" t="n">
        <v>113.18</v>
      </c>
      <c r="F426" s="0" t="n">
        <v>46886161</v>
      </c>
    </row>
    <row r="427" customFormat="false" ht="12.75" hidden="false" customHeight="false" outlineLevel="0" collapsed="false">
      <c r="A427" s="129" t="n">
        <v>42348</v>
      </c>
      <c r="B427" s="0" t="n">
        <v>116.04</v>
      </c>
      <c r="C427" s="0" t="n">
        <v>116.94</v>
      </c>
      <c r="D427" s="0" t="n">
        <v>115.51</v>
      </c>
      <c r="E427" s="0" t="n">
        <v>116.17</v>
      </c>
      <c r="F427" s="0" t="n">
        <v>29212727</v>
      </c>
    </row>
    <row r="428" customFormat="false" ht="12.75" hidden="false" customHeight="false" outlineLevel="0" collapsed="false">
      <c r="A428" s="129" t="n">
        <v>42347</v>
      </c>
      <c r="B428" s="0" t="n">
        <v>115.3</v>
      </c>
      <c r="C428" s="0" t="n">
        <v>117.69</v>
      </c>
      <c r="D428" s="0" t="n">
        <v>115.08</v>
      </c>
      <c r="E428" s="0" t="n">
        <v>115.62</v>
      </c>
      <c r="F428" s="0" t="n">
        <v>46361357</v>
      </c>
    </row>
    <row r="429" customFormat="false" ht="12.75" hidden="false" customHeight="false" outlineLevel="0" collapsed="false">
      <c r="A429" s="129" t="n">
        <v>42346</v>
      </c>
      <c r="B429" s="0" t="n">
        <v>117.52</v>
      </c>
      <c r="C429" s="0" t="n">
        <v>118.6</v>
      </c>
      <c r="D429" s="0" t="n">
        <v>116.86</v>
      </c>
      <c r="E429" s="0" t="n">
        <v>118.23</v>
      </c>
      <c r="F429" s="0" t="n">
        <v>34309450</v>
      </c>
    </row>
    <row r="430" customFormat="false" ht="12.75" hidden="false" customHeight="false" outlineLevel="0" collapsed="false">
      <c r="A430" s="129" t="n">
        <v>42345</v>
      </c>
      <c r="B430" s="0" t="n">
        <v>118.32</v>
      </c>
      <c r="C430" s="0" t="n">
        <v>119.86</v>
      </c>
      <c r="D430" s="0" t="n">
        <v>117.81</v>
      </c>
      <c r="E430" s="0" t="n">
        <v>118.28</v>
      </c>
      <c r="F430" s="0" t="n">
        <v>32084249</v>
      </c>
    </row>
    <row r="431" customFormat="false" ht="12.75" hidden="false" customHeight="false" outlineLevel="0" collapsed="false">
      <c r="A431" s="129" t="n">
        <v>42342</v>
      </c>
      <c r="B431" s="0" t="n">
        <v>115.29</v>
      </c>
      <c r="C431" s="0" t="n">
        <v>119.25</v>
      </c>
      <c r="D431" s="0" t="n">
        <v>115.11</v>
      </c>
      <c r="E431" s="0" t="n">
        <v>119.03</v>
      </c>
      <c r="F431" s="0" t="n">
        <v>57776977</v>
      </c>
    </row>
    <row r="432" customFormat="false" ht="12.75" hidden="false" customHeight="false" outlineLevel="0" collapsed="false">
      <c r="A432" s="129" t="n">
        <v>42341</v>
      </c>
      <c r="B432" s="0" t="n">
        <v>115.24</v>
      </c>
      <c r="C432" s="0" t="n">
        <v>116.79</v>
      </c>
      <c r="D432" s="0" t="n">
        <v>114.22</v>
      </c>
      <c r="E432" s="0" t="n">
        <v>115.2</v>
      </c>
      <c r="F432" s="0" t="n">
        <v>41569509</v>
      </c>
    </row>
    <row r="433" customFormat="false" ht="12.75" hidden="false" customHeight="false" outlineLevel="0" collapsed="false">
      <c r="A433" s="129" t="n">
        <v>42340</v>
      </c>
      <c r="B433" s="0" t="n">
        <v>117.34</v>
      </c>
      <c r="C433" s="0" t="n">
        <v>118.11</v>
      </c>
      <c r="D433" s="0" t="n">
        <v>116.08</v>
      </c>
      <c r="E433" s="0" t="n">
        <v>116.28</v>
      </c>
      <c r="F433" s="0" t="n">
        <v>33198964</v>
      </c>
    </row>
    <row r="434" customFormat="false" ht="12.75" hidden="false" customHeight="false" outlineLevel="0" collapsed="false">
      <c r="A434" s="129" t="n">
        <v>42339</v>
      </c>
      <c r="B434" s="0" t="n">
        <v>118.75</v>
      </c>
      <c r="C434" s="0" t="n">
        <v>118.81</v>
      </c>
      <c r="D434" s="0" t="n">
        <v>116.86</v>
      </c>
      <c r="E434" s="0" t="n">
        <v>117.34</v>
      </c>
      <c r="F434" s="0" t="n">
        <v>34700991</v>
      </c>
    </row>
    <row r="435" customFormat="false" ht="12.75" hidden="false" customHeight="false" outlineLevel="0" collapsed="false">
      <c r="A435" s="129" t="n">
        <v>42338</v>
      </c>
      <c r="B435" s="0" t="n">
        <v>117.99</v>
      </c>
      <c r="C435" s="0" t="n">
        <v>119.41</v>
      </c>
      <c r="D435" s="0" t="n">
        <v>117.75</v>
      </c>
      <c r="E435" s="0" t="n">
        <v>118.3</v>
      </c>
      <c r="F435" s="0" t="n">
        <v>37658671</v>
      </c>
    </row>
    <row r="436" customFormat="false" ht="12.75" hidden="false" customHeight="false" outlineLevel="0" collapsed="false">
      <c r="A436" s="129" t="n">
        <v>42335</v>
      </c>
      <c r="B436" s="0" t="n">
        <v>118.29</v>
      </c>
      <c r="C436" s="0" t="n">
        <v>118.41</v>
      </c>
      <c r="D436" s="0" t="n">
        <v>117.6</v>
      </c>
      <c r="E436" s="0" t="n">
        <v>117.81</v>
      </c>
      <c r="F436" s="0" t="n">
        <v>13043720</v>
      </c>
    </row>
    <row r="437" customFormat="false" ht="12.75" hidden="false" customHeight="false" outlineLevel="0" collapsed="false">
      <c r="A437" s="129" t="n">
        <v>42333</v>
      </c>
      <c r="B437" s="0" t="n">
        <v>119.21</v>
      </c>
      <c r="C437" s="0" t="n">
        <v>119.23</v>
      </c>
      <c r="D437" s="0" t="n">
        <v>117.92</v>
      </c>
      <c r="E437" s="0" t="n">
        <v>118.03</v>
      </c>
      <c r="F437" s="0" t="n">
        <v>21388308</v>
      </c>
    </row>
    <row r="438" customFormat="false" ht="12.75" hidden="false" customHeight="false" outlineLevel="0" collapsed="false">
      <c r="A438" s="129" t="n">
        <v>42332</v>
      </c>
      <c r="B438" s="0" t="n">
        <v>117.33</v>
      </c>
      <c r="C438" s="0" t="n">
        <v>119.35</v>
      </c>
      <c r="D438" s="0" t="n">
        <v>117.12</v>
      </c>
      <c r="E438" s="0" t="n">
        <v>118.88</v>
      </c>
      <c r="F438" s="0" t="n">
        <v>42426855</v>
      </c>
    </row>
    <row r="439" customFormat="false" ht="12.75" hidden="false" customHeight="false" outlineLevel="0" collapsed="false">
      <c r="A439" s="129" t="n">
        <v>42331</v>
      </c>
      <c r="B439" s="0" t="n">
        <v>119.27</v>
      </c>
      <c r="C439" s="0" t="n">
        <v>119.73</v>
      </c>
      <c r="D439" s="0" t="n">
        <v>117.34</v>
      </c>
      <c r="E439" s="0" t="n">
        <v>117.75</v>
      </c>
      <c r="F439" s="0" t="n">
        <v>32266736</v>
      </c>
    </row>
    <row r="440" customFormat="false" ht="12.75" hidden="false" customHeight="false" outlineLevel="0" collapsed="false">
      <c r="A440" s="129" t="n">
        <v>42328</v>
      </c>
      <c r="B440" s="0" t="n">
        <v>119.2</v>
      </c>
      <c r="C440" s="0" t="n">
        <v>119.92</v>
      </c>
      <c r="D440" s="0" t="n">
        <v>118.85</v>
      </c>
      <c r="E440" s="0" t="n">
        <v>119.3</v>
      </c>
      <c r="F440" s="0" t="n">
        <v>34103529</v>
      </c>
    </row>
    <row r="441" customFormat="false" ht="12.75" hidden="false" customHeight="false" outlineLevel="0" collapsed="false">
      <c r="A441" s="129" t="n">
        <v>42327</v>
      </c>
      <c r="B441" s="0" t="n">
        <v>117.64</v>
      </c>
      <c r="C441" s="0" t="n">
        <v>119.75</v>
      </c>
      <c r="D441" s="0" t="n">
        <v>116.76</v>
      </c>
      <c r="E441" s="0" t="n">
        <v>118.78</v>
      </c>
      <c r="F441" s="0" t="n">
        <v>42908179</v>
      </c>
    </row>
    <row r="442" customFormat="false" ht="12.75" hidden="false" customHeight="false" outlineLevel="0" collapsed="false">
      <c r="A442" s="129" t="n">
        <v>42326</v>
      </c>
      <c r="B442" s="0" t="n">
        <v>115.76</v>
      </c>
      <c r="C442" s="0" t="n">
        <v>117.49</v>
      </c>
      <c r="D442" s="0" t="n">
        <v>115.5</v>
      </c>
      <c r="E442" s="0" t="n">
        <v>117.29</v>
      </c>
      <c r="F442" s="0" t="n">
        <v>46163404</v>
      </c>
    </row>
    <row r="443" customFormat="false" ht="12.75" hidden="false" customHeight="false" outlineLevel="0" collapsed="false">
      <c r="A443" s="129" t="n">
        <v>42325</v>
      </c>
      <c r="B443" s="0" t="n">
        <v>114.92</v>
      </c>
      <c r="C443" s="0" t="n">
        <v>115.05</v>
      </c>
      <c r="D443" s="0" t="n">
        <v>113.32</v>
      </c>
      <c r="E443" s="0" t="n">
        <v>113.69</v>
      </c>
      <c r="F443" s="0" t="n">
        <v>27253964</v>
      </c>
    </row>
    <row r="444" customFormat="false" ht="12.75" hidden="false" customHeight="false" outlineLevel="0" collapsed="false">
      <c r="A444" s="129" t="n">
        <v>42324</v>
      </c>
      <c r="B444" s="0" t="n">
        <v>111.38</v>
      </c>
      <c r="C444" s="0" t="n">
        <v>114.24</v>
      </c>
      <c r="D444" s="0" t="n">
        <v>111</v>
      </c>
      <c r="E444" s="0" t="n">
        <v>114.18</v>
      </c>
      <c r="F444" s="0" t="n">
        <v>37651022</v>
      </c>
    </row>
    <row r="445" customFormat="false" ht="12.75" hidden="false" customHeight="false" outlineLevel="0" collapsed="false">
      <c r="A445" s="129" t="n">
        <v>42321</v>
      </c>
      <c r="B445" s="0" t="n">
        <v>115.2</v>
      </c>
      <c r="C445" s="0" t="n">
        <v>115.57</v>
      </c>
      <c r="D445" s="0" t="n">
        <v>112.27</v>
      </c>
      <c r="E445" s="0" t="n">
        <v>112.34</v>
      </c>
      <c r="F445" s="0" t="n">
        <v>45164053</v>
      </c>
    </row>
    <row r="446" customFormat="false" ht="12.75" hidden="false" customHeight="false" outlineLevel="0" collapsed="false">
      <c r="A446" s="129" t="n">
        <v>42320</v>
      </c>
      <c r="B446" s="0" t="n">
        <v>116.26</v>
      </c>
      <c r="C446" s="0" t="n">
        <v>116.82</v>
      </c>
      <c r="D446" s="0" t="n">
        <v>115.65</v>
      </c>
      <c r="E446" s="0" t="n">
        <v>115.72</v>
      </c>
      <c r="F446" s="0" t="n">
        <v>32262598</v>
      </c>
    </row>
    <row r="447" customFormat="false" ht="12.75" hidden="false" customHeight="false" outlineLevel="0" collapsed="false">
      <c r="A447" s="129" t="n">
        <v>42319</v>
      </c>
      <c r="B447" s="0" t="n">
        <v>116.37</v>
      </c>
      <c r="C447" s="0" t="n">
        <v>117.42</v>
      </c>
      <c r="D447" s="0" t="n">
        <v>115.21</v>
      </c>
      <c r="E447" s="0" t="n">
        <v>116.11</v>
      </c>
      <c r="F447" s="0" t="n">
        <v>45104903</v>
      </c>
    </row>
    <row r="448" customFormat="false" ht="12.75" hidden="false" customHeight="false" outlineLevel="0" collapsed="false">
      <c r="A448" s="129" t="n">
        <v>42318</v>
      </c>
      <c r="B448" s="0" t="n">
        <v>116.9</v>
      </c>
      <c r="C448" s="0" t="n">
        <v>118.07</v>
      </c>
      <c r="D448" s="0" t="n">
        <v>116.06</v>
      </c>
      <c r="E448" s="0" t="n">
        <v>116.77</v>
      </c>
      <c r="F448" s="0" t="n">
        <v>58635125</v>
      </c>
    </row>
    <row r="449" customFormat="false" ht="12.75" hidden="false" customHeight="false" outlineLevel="0" collapsed="false">
      <c r="A449" s="129" t="n">
        <v>42317</v>
      </c>
      <c r="B449" s="0" t="n">
        <v>120.96</v>
      </c>
      <c r="C449" s="0" t="n">
        <v>121.81</v>
      </c>
      <c r="D449" s="0" t="n">
        <v>120.05</v>
      </c>
      <c r="E449" s="0" t="n">
        <v>120.57</v>
      </c>
      <c r="F449" s="0" t="n">
        <v>33657546</v>
      </c>
    </row>
    <row r="450" customFormat="false" ht="12.75" hidden="false" customHeight="false" outlineLevel="0" collapsed="false">
      <c r="A450" s="129" t="n">
        <v>42314</v>
      </c>
      <c r="B450" s="0" t="n">
        <v>121.08</v>
      </c>
      <c r="C450" s="0" t="n">
        <v>121.81</v>
      </c>
      <c r="D450" s="0" t="n">
        <v>120.62</v>
      </c>
      <c r="E450" s="0" t="n">
        <v>121.06</v>
      </c>
      <c r="F450" s="0" t="n">
        <v>32931447</v>
      </c>
    </row>
    <row r="451" customFormat="false" ht="12.75" hidden="false" customHeight="false" outlineLevel="0" collapsed="false">
      <c r="A451" s="129" t="n">
        <v>42313</v>
      </c>
      <c r="B451" s="0" t="n">
        <v>121.85</v>
      </c>
      <c r="C451" s="0" t="n">
        <v>122.69</v>
      </c>
      <c r="D451" s="0" t="n">
        <v>120.18</v>
      </c>
      <c r="E451" s="0" t="n">
        <v>120.92</v>
      </c>
      <c r="F451" s="0" t="n">
        <v>39258480</v>
      </c>
    </row>
    <row r="452" customFormat="false" ht="12.75" hidden="false" customHeight="false" outlineLevel="0" collapsed="false">
      <c r="A452" s="129" t="n">
        <v>42312</v>
      </c>
      <c r="B452" s="0" t="n">
        <v>122.56</v>
      </c>
      <c r="C452" s="0" t="n">
        <v>123.82</v>
      </c>
      <c r="D452" s="0" t="n">
        <v>121.62</v>
      </c>
      <c r="E452" s="0" t="n">
        <v>122</v>
      </c>
      <c r="F452" s="0" t="n">
        <v>44343498</v>
      </c>
    </row>
    <row r="453" customFormat="false" ht="12.75" hidden="false" customHeight="false" outlineLevel="0" collapsed="false">
      <c r="A453" s="129" t="n">
        <v>42311</v>
      </c>
      <c r="B453" s="0" t="n">
        <v>120.79</v>
      </c>
      <c r="C453" s="0" t="n">
        <v>123.49</v>
      </c>
      <c r="D453" s="0" t="n">
        <v>120.7</v>
      </c>
      <c r="E453" s="0" t="n">
        <v>122.57</v>
      </c>
      <c r="F453" s="0" t="n">
        <v>45331025</v>
      </c>
    </row>
    <row r="454" customFormat="false" ht="12.75" hidden="false" customHeight="false" outlineLevel="0" collapsed="false">
      <c r="A454" s="129" t="n">
        <v>42310</v>
      </c>
      <c r="B454" s="0" t="n">
        <v>120.8</v>
      </c>
      <c r="C454" s="0" t="n">
        <v>121.36</v>
      </c>
      <c r="D454" s="0" t="n">
        <v>119.61</v>
      </c>
      <c r="E454" s="0" t="n">
        <v>121.18</v>
      </c>
      <c r="F454" s="0" t="n">
        <v>31761309</v>
      </c>
    </row>
    <row r="455" customFormat="false" ht="12.75" hidden="false" customHeight="false" outlineLevel="0" collapsed="false">
      <c r="A455" s="129" t="n">
        <v>42307</v>
      </c>
      <c r="B455" s="0" t="n">
        <v>120.99</v>
      </c>
      <c r="C455" s="0" t="n">
        <v>121.22</v>
      </c>
      <c r="D455" s="0" t="n">
        <v>119.45</v>
      </c>
      <c r="E455" s="0" t="n">
        <v>119.5</v>
      </c>
      <c r="F455" s="0" t="n">
        <v>48811991</v>
      </c>
    </row>
    <row r="456" customFormat="false" ht="12.75" hidden="false" customHeight="false" outlineLevel="0" collapsed="false">
      <c r="A456" s="129" t="n">
        <v>42306</v>
      </c>
      <c r="B456" s="0" t="n">
        <v>118.7</v>
      </c>
      <c r="C456" s="0" t="n">
        <v>120.69</v>
      </c>
      <c r="D456" s="0" t="n">
        <v>118.27</v>
      </c>
      <c r="E456" s="0" t="n">
        <v>120.53</v>
      </c>
      <c r="F456" s="0" t="n">
        <v>50240803</v>
      </c>
    </row>
    <row r="457" customFormat="false" ht="12.75" hidden="false" customHeight="false" outlineLevel="0" collapsed="false">
      <c r="A457" s="129" t="n">
        <v>42305</v>
      </c>
      <c r="B457" s="0" t="n">
        <v>117.58</v>
      </c>
      <c r="C457" s="0" t="n">
        <v>119.3</v>
      </c>
      <c r="D457" s="0" t="n">
        <v>116.06</v>
      </c>
      <c r="E457" s="0" t="n">
        <v>119.27</v>
      </c>
      <c r="F457" s="0" t="n">
        <v>85023324</v>
      </c>
    </row>
    <row r="458" customFormat="false" ht="12.75" hidden="false" customHeight="false" outlineLevel="0" collapsed="false">
      <c r="A458" s="129" t="n">
        <v>42304</v>
      </c>
      <c r="B458" s="0" t="n">
        <v>115.4</v>
      </c>
      <c r="C458" s="0" t="n">
        <v>116.54</v>
      </c>
      <c r="D458" s="0" t="n">
        <v>113.99</v>
      </c>
      <c r="E458" s="0" t="n">
        <v>114.55</v>
      </c>
      <c r="F458" s="0" t="n">
        <v>57953589</v>
      </c>
    </row>
    <row r="459" customFormat="false" ht="12.75" hidden="false" customHeight="false" outlineLevel="0" collapsed="false">
      <c r="A459" s="129" t="n">
        <v>42303</v>
      </c>
      <c r="B459" s="0" t="n">
        <v>118.08</v>
      </c>
      <c r="C459" s="0" t="n">
        <v>118.13</v>
      </c>
      <c r="D459" s="0" t="n">
        <v>114.92</v>
      </c>
      <c r="E459" s="0" t="n">
        <v>115.28</v>
      </c>
      <c r="F459" s="0" t="n">
        <v>66019504</v>
      </c>
    </row>
    <row r="460" customFormat="false" ht="12.75" hidden="false" customHeight="false" outlineLevel="0" collapsed="false">
      <c r="A460" s="129" t="n">
        <v>42300</v>
      </c>
      <c r="B460" s="0" t="n">
        <v>118.77</v>
      </c>
      <c r="C460" s="0" t="n">
        <v>119.23</v>
      </c>
      <c r="D460" s="0" t="n">
        <v>116.33</v>
      </c>
      <c r="E460" s="0" t="n">
        <v>119.08</v>
      </c>
      <c r="F460" s="0" t="n">
        <v>59139552</v>
      </c>
    </row>
    <row r="461" customFormat="false" ht="12.75" hidden="false" customHeight="false" outlineLevel="0" collapsed="false">
      <c r="A461" s="129" t="n">
        <v>42299</v>
      </c>
      <c r="B461" s="0" t="n">
        <v>114.33</v>
      </c>
      <c r="C461" s="0" t="n">
        <v>115.5</v>
      </c>
      <c r="D461" s="0" t="n">
        <v>114.1</v>
      </c>
      <c r="E461" s="0" t="n">
        <v>115.5</v>
      </c>
      <c r="F461" s="0" t="n">
        <v>41272693</v>
      </c>
    </row>
    <row r="462" customFormat="false" ht="12.75" hidden="false" customHeight="false" outlineLevel="0" collapsed="false">
      <c r="A462" s="129" t="n">
        <v>42298</v>
      </c>
      <c r="B462" s="0" t="n">
        <v>114</v>
      </c>
      <c r="C462" s="0" t="n">
        <v>115.58</v>
      </c>
      <c r="D462" s="0" t="n">
        <v>113.7</v>
      </c>
      <c r="E462" s="0" t="n">
        <v>113.76</v>
      </c>
      <c r="F462" s="0" t="n">
        <v>41795238</v>
      </c>
    </row>
    <row r="463" customFormat="false" ht="12.75" hidden="false" customHeight="false" outlineLevel="0" collapsed="false">
      <c r="A463" s="129" t="n">
        <v>42297</v>
      </c>
      <c r="B463" s="0" t="n">
        <v>111.34</v>
      </c>
      <c r="C463" s="0" t="n">
        <v>114.17</v>
      </c>
      <c r="D463" s="0" t="n">
        <v>110.82</v>
      </c>
      <c r="E463" s="0" t="n">
        <v>113.77</v>
      </c>
      <c r="F463" s="0" t="n">
        <v>48778770</v>
      </c>
    </row>
    <row r="464" customFormat="false" ht="12.75" hidden="false" customHeight="false" outlineLevel="0" collapsed="false">
      <c r="A464" s="129" t="n">
        <v>42296</v>
      </c>
      <c r="B464" s="0" t="n">
        <v>110.8</v>
      </c>
      <c r="C464" s="0" t="n">
        <v>111.75</v>
      </c>
      <c r="D464" s="0" t="n">
        <v>110.11</v>
      </c>
      <c r="E464" s="0" t="n">
        <v>111.73</v>
      </c>
      <c r="F464" s="0" t="n">
        <v>29606075</v>
      </c>
    </row>
    <row r="465" customFormat="false" ht="12.75" hidden="false" customHeight="false" outlineLevel="0" collapsed="false">
      <c r="A465" s="129" t="n">
        <v>42293</v>
      </c>
      <c r="B465" s="0" t="n">
        <v>111.78</v>
      </c>
      <c r="C465" s="0" t="n">
        <v>112</v>
      </c>
      <c r="D465" s="0" t="n">
        <v>110.53</v>
      </c>
      <c r="E465" s="0" t="n">
        <v>111.04</v>
      </c>
      <c r="F465" s="0" t="n">
        <v>38236278</v>
      </c>
    </row>
    <row r="466" customFormat="false" ht="12.75" hidden="false" customHeight="false" outlineLevel="0" collapsed="false">
      <c r="A466" s="129" t="n">
        <v>42292</v>
      </c>
      <c r="B466" s="0" t="n">
        <v>110.93</v>
      </c>
      <c r="C466" s="0" t="n">
        <v>112.1</v>
      </c>
      <c r="D466" s="0" t="n">
        <v>110.49</v>
      </c>
      <c r="E466" s="0" t="n">
        <v>111.86</v>
      </c>
      <c r="F466" s="0" t="n">
        <v>37340996</v>
      </c>
    </row>
    <row r="467" customFormat="false" ht="12.75" hidden="false" customHeight="false" outlineLevel="0" collapsed="false">
      <c r="A467" s="129" t="n">
        <v>42291</v>
      </c>
      <c r="B467" s="0" t="n">
        <v>111.29</v>
      </c>
      <c r="C467" s="0" t="n">
        <v>111.52</v>
      </c>
      <c r="D467" s="0" t="n">
        <v>109.56</v>
      </c>
      <c r="E467" s="0" t="n">
        <v>110.21</v>
      </c>
      <c r="F467" s="0" t="n">
        <v>44325611</v>
      </c>
    </row>
    <row r="468" customFormat="false" ht="12.75" hidden="false" customHeight="false" outlineLevel="0" collapsed="false">
      <c r="A468" s="129" t="n">
        <v>42290</v>
      </c>
      <c r="B468" s="0" t="n">
        <v>110.82</v>
      </c>
      <c r="C468" s="0" t="n">
        <v>112.45</v>
      </c>
      <c r="D468" s="0" t="n">
        <v>110.68</v>
      </c>
      <c r="E468" s="0" t="n">
        <v>111.79</v>
      </c>
      <c r="F468" s="0" t="n">
        <v>32424018</v>
      </c>
    </row>
    <row r="469" customFormat="false" ht="12.75" hidden="false" customHeight="false" outlineLevel="0" collapsed="false">
      <c r="A469" s="129" t="n">
        <v>42289</v>
      </c>
      <c r="B469" s="0" t="n">
        <v>112.73</v>
      </c>
      <c r="C469" s="0" t="n">
        <v>112.75</v>
      </c>
      <c r="D469" s="0" t="n">
        <v>111.44</v>
      </c>
      <c r="E469" s="0" t="n">
        <v>111.6</v>
      </c>
      <c r="F469" s="0" t="n">
        <v>30114425</v>
      </c>
    </row>
    <row r="470" customFormat="false" ht="12.75" hidden="false" customHeight="false" outlineLevel="0" collapsed="false">
      <c r="A470" s="129" t="n">
        <v>42286</v>
      </c>
      <c r="B470" s="0" t="n">
        <v>111.64</v>
      </c>
      <c r="C470" s="0" t="n">
        <v>112.28</v>
      </c>
      <c r="D470" s="0" t="n">
        <v>109.49</v>
      </c>
      <c r="E470" s="0" t="n">
        <v>112.12</v>
      </c>
      <c r="F470" s="0" t="n">
        <v>52533783</v>
      </c>
    </row>
    <row r="471" customFormat="false" ht="12.75" hidden="false" customHeight="false" outlineLevel="0" collapsed="false">
      <c r="A471" s="129" t="n">
        <v>42285</v>
      </c>
      <c r="B471" s="0" t="n">
        <v>110.06</v>
      </c>
      <c r="C471" s="0" t="n">
        <v>110.19</v>
      </c>
      <c r="D471" s="0" t="n">
        <v>108.21</v>
      </c>
      <c r="E471" s="0" t="n">
        <v>109.5</v>
      </c>
      <c r="F471" s="0" t="n">
        <v>61698450</v>
      </c>
    </row>
    <row r="472" customFormat="false" ht="12.75" hidden="false" customHeight="false" outlineLevel="0" collapsed="false">
      <c r="A472" s="129" t="n">
        <v>42284</v>
      </c>
      <c r="B472" s="0" t="n">
        <v>110.47</v>
      </c>
      <c r="C472" s="0" t="n">
        <v>111.77</v>
      </c>
      <c r="D472" s="0" t="n">
        <v>109.41</v>
      </c>
      <c r="E472" s="0" t="n">
        <v>110.78</v>
      </c>
      <c r="F472" s="0" t="n">
        <v>46602587</v>
      </c>
    </row>
    <row r="473" customFormat="false" ht="12.75" hidden="false" customHeight="false" outlineLevel="0" collapsed="false">
      <c r="A473" s="129" t="n">
        <v>42283</v>
      </c>
      <c r="B473" s="0" t="n">
        <v>110.63</v>
      </c>
      <c r="C473" s="0" t="n">
        <v>111.74</v>
      </c>
      <c r="D473" s="0" t="n">
        <v>109.76</v>
      </c>
      <c r="E473" s="0" t="n">
        <v>111.31</v>
      </c>
      <c r="F473" s="0" t="n">
        <v>48196751</v>
      </c>
    </row>
    <row r="474" customFormat="false" ht="12.75" hidden="false" customHeight="false" outlineLevel="0" collapsed="false">
      <c r="A474" s="129" t="n">
        <v>42282</v>
      </c>
      <c r="B474" s="0" t="n">
        <v>110.08</v>
      </c>
      <c r="C474" s="0" t="n">
        <v>111.37</v>
      </c>
      <c r="D474" s="0" t="n">
        <v>109.07</v>
      </c>
      <c r="E474" s="0" t="n">
        <v>110.78</v>
      </c>
      <c r="F474" s="0" t="n">
        <v>51723110</v>
      </c>
    </row>
    <row r="475" customFormat="false" ht="12.75" hidden="false" customHeight="false" outlineLevel="0" collapsed="false">
      <c r="A475" s="129" t="n">
        <v>42279</v>
      </c>
      <c r="B475" s="0" t="n">
        <v>108.01</v>
      </c>
      <c r="C475" s="0" t="n">
        <v>111.01</v>
      </c>
      <c r="D475" s="0" t="n">
        <v>107.55</v>
      </c>
      <c r="E475" s="0" t="n">
        <v>110.38</v>
      </c>
      <c r="F475" s="0" t="n">
        <v>57560431</v>
      </c>
    </row>
    <row r="476" customFormat="false" ht="12.75" hidden="false" customHeight="false" outlineLevel="0" collapsed="false">
      <c r="A476" s="129" t="n">
        <v>42278</v>
      </c>
      <c r="B476" s="0" t="n">
        <v>109.07</v>
      </c>
      <c r="C476" s="0" t="n">
        <v>109.62</v>
      </c>
      <c r="D476" s="0" t="n">
        <v>107.31</v>
      </c>
      <c r="E476" s="0" t="n">
        <v>109.58</v>
      </c>
      <c r="F476" s="0" t="n">
        <v>63747954</v>
      </c>
    </row>
    <row r="477" customFormat="false" ht="12.75" hidden="false" customHeight="false" outlineLevel="0" collapsed="false">
      <c r="A477" s="129" t="n">
        <v>42277</v>
      </c>
      <c r="B477" s="0" t="n">
        <v>110.17</v>
      </c>
      <c r="C477" s="0" t="n">
        <v>111.54</v>
      </c>
      <c r="D477" s="0" t="n">
        <v>108.73</v>
      </c>
      <c r="E477" s="0" t="n">
        <v>110.3</v>
      </c>
      <c r="F477" s="0" t="n">
        <v>66105030</v>
      </c>
    </row>
    <row r="478" customFormat="false" ht="12.75" hidden="false" customHeight="false" outlineLevel="0" collapsed="false">
      <c r="A478" s="129" t="n">
        <v>42276</v>
      </c>
      <c r="B478" s="0" t="n">
        <v>112.83</v>
      </c>
      <c r="C478" s="0" t="n">
        <v>113.51</v>
      </c>
      <c r="D478" s="0" t="n">
        <v>107.86</v>
      </c>
      <c r="E478" s="0" t="n">
        <v>109.06</v>
      </c>
      <c r="F478" s="0" t="n">
        <v>73135853</v>
      </c>
    </row>
    <row r="479" customFormat="false" ht="12.75" hidden="false" customHeight="false" outlineLevel="0" collapsed="false">
      <c r="A479" s="129" t="n">
        <v>42275</v>
      </c>
      <c r="B479" s="0" t="n">
        <v>113.85</v>
      </c>
      <c r="C479" s="0" t="n">
        <v>114.57</v>
      </c>
      <c r="D479" s="0" t="n">
        <v>112.44</v>
      </c>
      <c r="E479" s="0" t="n">
        <v>112.44</v>
      </c>
      <c r="F479" s="0" t="n">
        <v>51723929</v>
      </c>
    </row>
    <row r="480" customFormat="false" ht="12.75" hidden="false" customHeight="false" outlineLevel="0" collapsed="false">
      <c r="A480" s="129" t="n">
        <v>42272</v>
      </c>
      <c r="B480" s="0" t="n">
        <v>116.44</v>
      </c>
      <c r="C480" s="0" t="n">
        <v>116.69</v>
      </c>
      <c r="D480" s="0" t="n">
        <v>114.02</v>
      </c>
      <c r="E480" s="0" t="n">
        <v>114.71</v>
      </c>
      <c r="F480" s="0" t="n">
        <v>55842210</v>
      </c>
    </row>
    <row r="481" customFormat="false" ht="12.75" hidden="false" customHeight="false" outlineLevel="0" collapsed="false">
      <c r="A481" s="129" t="n">
        <v>42271</v>
      </c>
      <c r="B481" s="0" t="n">
        <v>113.25</v>
      </c>
      <c r="C481" s="0" t="n">
        <v>115.5</v>
      </c>
      <c r="D481" s="0" t="n">
        <v>112.37</v>
      </c>
      <c r="E481" s="0" t="n">
        <v>115</v>
      </c>
      <c r="F481" s="0" t="n">
        <v>49810647</v>
      </c>
    </row>
    <row r="482" customFormat="false" ht="12.75" hidden="false" customHeight="false" outlineLevel="0" collapsed="false">
      <c r="A482" s="129" t="n">
        <v>42270</v>
      </c>
      <c r="B482" s="0" t="n">
        <v>113.63</v>
      </c>
      <c r="C482" s="0" t="n">
        <v>114.72</v>
      </c>
      <c r="D482" s="0" t="n">
        <v>113.3</v>
      </c>
      <c r="E482" s="0" t="n">
        <v>114.32</v>
      </c>
      <c r="F482" s="0" t="n">
        <v>35645658</v>
      </c>
    </row>
    <row r="483" customFormat="false" ht="12.75" hidden="false" customHeight="false" outlineLevel="0" collapsed="false">
      <c r="A483" s="129" t="n">
        <v>42269</v>
      </c>
      <c r="B483" s="0" t="n">
        <v>113.38</v>
      </c>
      <c r="C483" s="0" t="n">
        <v>114.18</v>
      </c>
      <c r="D483" s="0" t="n">
        <v>112.52</v>
      </c>
      <c r="E483" s="0" t="n">
        <v>113.4</v>
      </c>
      <c r="F483" s="0" t="n">
        <v>49809010</v>
      </c>
    </row>
    <row r="484" customFormat="false" ht="12.75" hidden="false" customHeight="false" outlineLevel="0" collapsed="false">
      <c r="A484" s="129" t="n">
        <v>42268</v>
      </c>
      <c r="B484" s="0" t="n">
        <v>113.67</v>
      </c>
      <c r="C484" s="0" t="n">
        <v>115.37</v>
      </c>
      <c r="D484" s="0" t="n">
        <v>113.66</v>
      </c>
      <c r="E484" s="0" t="n">
        <v>115.21</v>
      </c>
      <c r="F484" s="0" t="n">
        <v>46554289</v>
      </c>
    </row>
    <row r="485" customFormat="false" ht="12.75" hidden="false" customHeight="false" outlineLevel="0" collapsed="false">
      <c r="A485" s="129" t="n">
        <v>42265</v>
      </c>
      <c r="B485" s="0" t="n">
        <v>112.21</v>
      </c>
      <c r="C485" s="0" t="n">
        <v>114.3</v>
      </c>
      <c r="D485" s="0" t="n">
        <v>111.87</v>
      </c>
      <c r="E485" s="0" t="n">
        <v>113.45</v>
      </c>
      <c r="F485" s="0" t="n">
        <v>73418992</v>
      </c>
    </row>
    <row r="486" customFormat="false" ht="12.75" hidden="false" customHeight="false" outlineLevel="0" collapsed="false">
      <c r="A486" s="129" t="n">
        <v>42264</v>
      </c>
      <c r="B486" s="0" t="n">
        <v>115.66</v>
      </c>
      <c r="C486" s="0" t="n">
        <v>116.49</v>
      </c>
      <c r="D486" s="0" t="n">
        <v>113.72</v>
      </c>
      <c r="E486" s="0" t="n">
        <v>113.92</v>
      </c>
      <c r="F486" s="0" t="n">
        <v>63462713</v>
      </c>
    </row>
    <row r="487" customFormat="false" ht="12.75" hidden="false" customHeight="false" outlineLevel="0" collapsed="false">
      <c r="A487" s="129" t="n">
        <v>42263</v>
      </c>
      <c r="B487" s="0" t="n">
        <v>116.25</v>
      </c>
      <c r="C487" s="0" t="n">
        <v>116.54</v>
      </c>
      <c r="D487" s="0" t="n">
        <v>115.44</v>
      </c>
      <c r="E487" s="0" t="n">
        <v>116.41</v>
      </c>
      <c r="F487" s="0" t="n">
        <v>36909956</v>
      </c>
    </row>
    <row r="488" customFormat="false" ht="12.75" hidden="false" customHeight="false" outlineLevel="0" collapsed="false">
      <c r="A488" s="129" t="n">
        <v>42262</v>
      </c>
      <c r="B488" s="0" t="n">
        <v>115.93</v>
      </c>
      <c r="C488" s="0" t="n">
        <v>116.53</v>
      </c>
      <c r="D488" s="0" t="n">
        <v>114.42</v>
      </c>
      <c r="E488" s="0" t="n">
        <v>116.28</v>
      </c>
      <c r="F488" s="0" t="n">
        <v>43004052</v>
      </c>
    </row>
    <row r="489" customFormat="false" ht="12.75" hidden="false" customHeight="false" outlineLevel="0" collapsed="false">
      <c r="A489" s="129" t="n">
        <v>42261</v>
      </c>
      <c r="B489" s="0" t="n">
        <v>116.58</v>
      </c>
      <c r="C489" s="0" t="n">
        <v>116.89</v>
      </c>
      <c r="D489" s="0" t="n">
        <v>114.86</v>
      </c>
      <c r="E489" s="0" t="n">
        <v>115.31</v>
      </c>
      <c r="F489" s="0" t="n">
        <v>58201862</v>
      </c>
    </row>
    <row r="490" customFormat="false" ht="12.75" hidden="false" customHeight="false" outlineLevel="0" collapsed="false">
      <c r="A490" s="129" t="n">
        <v>42258</v>
      </c>
      <c r="B490" s="0" t="n">
        <v>111.79</v>
      </c>
      <c r="C490" s="0" t="n">
        <v>114.21</v>
      </c>
      <c r="D490" s="0" t="n">
        <v>111.76</v>
      </c>
      <c r="E490" s="0" t="n">
        <v>114.21</v>
      </c>
      <c r="F490" s="0" t="n">
        <v>49441846</v>
      </c>
    </row>
    <row r="491" customFormat="false" ht="12.75" hidden="false" customHeight="false" outlineLevel="0" collapsed="false">
      <c r="A491" s="129" t="n">
        <v>42257</v>
      </c>
      <c r="B491" s="0" t="n">
        <v>110.27</v>
      </c>
      <c r="C491" s="0" t="n">
        <v>113.28</v>
      </c>
      <c r="D491" s="0" t="n">
        <v>109.9</v>
      </c>
      <c r="E491" s="0" t="n">
        <v>112.57</v>
      </c>
      <c r="F491" s="0" t="n">
        <v>62675234</v>
      </c>
    </row>
    <row r="492" customFormat="false" ht="12.75" hidden="false" customHeight="false" outlineLevel="0" collapsed="false">
      <c r="A492" s="129" t="n">
        <v>42256</v>
      </c>
      <c r="B492" s="0" t="n">
        <v>113.76</v>
      </c>
      <c r="C492" s="0" t="n">
        <v>114.02</v>
      </c>
      <c r="D492" s="0" t="n">
        <v>109.77</v>
      </c>
      <c r="E492" s="0" t="n">
        <v>110.15</v>
      </c>
      <c r="F492" s="0" t="n">
        <v>84344438</v>
      </c>
    </row>
    <row r="493" customFormat="false" ht="12.75" hidden="false" customHeight="false" outlineLevel="0" collapsed="false">
      <c r="A493" s="129" t="n">
        <v>42255</v>
      </c>
      <c r="B493" s="0" t="n">
        <v>111.75</v>
      </c>
      <c r="C493" s="0" t="n">
        <v>112.56</v>
      </c>
      <c r="D493" s="0" t="n">
        <v>110.32</v>
      </c>
      <c r="E493" s="0" t="n">
        <v>112.31</v>
      </c>
      <c r="F493" s="0" t="n">
        <v>54114204</v>
      </c>
    </row>
    <row r="494" customFormat="false" ht="12.75" hidden="false" customHeight="false" outlineLevel="0" collapsed="false">
      <c r="A494" s="129" t="n">
        <v>42251</v>
      </c>
      <c r="B494" s="0" t="n">
        <v>108.97</v>
      </c>
      <c r="C494" s="0" t="n">
        <v>110.45</v>
      </c>
      <c r="D494" s="0" t="n">
        <v>108.51</v>
      </c>
      <c r="E494" s="0" t="n">
        <v>109.27</v>
      </c>
      <c r="F494" s="0" t="n">
        <v>49628615</v>
      </c>
    </row>
    <row r="495" customFormat="false" ht="12.75" hidden="false" customHeight="false" outlineLevel="0" collapsed="false">
      <c r="A495" s="129" t="n">
        <v>42250</v>
      </c>
      <c r="B495" s="0" t="n">
        <v>112.49</v>
      </c>
      <c r="C495" s="0" t="n">
        <v>112.78</v>
      </c>
      <c r="D495" s="0" t="n">
        <v>110.04</v>
      </c>
      <c r="E495" s="0" t="n">
        <v>110.37</v>
      </c>
      <c r="F495" s="0" t="n">
        <v>52906410</v>
      </c>
    </row>
    <row r="496" customFormat="false" ht="12.75" hidden="false" customHeight="false" outlineLevel="0" collapsed="false">
      <c r="A496" s="129" t="n">
        <v>42249</v>
      </c>
      <c r="B496" s="0" t="n">
        <v>110.23</v>
      </c>
      <c r="C496" s="0" t="n">
        <v>112.34</v>
      </c>
      <c r="D496" s="0" t="n">
        <v>109.13</v>
      </c>
      <c r="E496" s="0" t="n">
        <v>112.34</v>
      </c>
      <c r="F496" s="0" t="n">
        <v>61520170</v>
      </c>
    </row>
    <row r="497" customFormat="false" ht="12.75" hidden="false" customHeight="false" outlineLevel="0" collapsed="false">
      <c r="A497" s="129" t="n">
        <v>42248</v>
      </c>
      <c r="B497" s="0" t="n">
        <v>110.15</v>
      </c>
      <c r="C497" s="0" t="n">
        <v>111.88</v>
      </c>
      <c r="D497" s="0" t="n">
        <v>107.36</v>
      </c>
      <c r="E497" s="0" t="n">
        <v>107.72</v>
      </c>
      <c r="F497" s="0" t="n">
        <v>75988194</v>
      </c>
    </row>
    <row r="498" customFormat="false" ht="12.75" hidden="false" customHeight="false" outlineLevel="0" collapsed="false">
      <c r="A498" s="129" t="n">
        <v>42247</v>
      </c>
      <c r="B498" s="0" t="n">
        <v>112.03</v>
      </c>
      <c r="C498" s="0" t="n">
        <v>114.53</v>
      </c>
      <c r="D498" s="0" t="n">
        <v>112</v>
      </c>
      <c r="E498" s="0" t="n">
        <v>112.76</v>
      </c>
      <c r="F498" s="0" t="n">
        <v>55962842</v>
      </c>
    </row>
    <row r="499" customFormat="false" ht="12.75" hidden="false" customHeight="false" outlineLevel="0" collapsed="false">
      <c r="A499" s="129" t="n">
        <v>42244</v>
      </c>
      <c r="B499" s="0" t="n">
        <v>112.17</v>
      </c>
      <c r="C499" s="0" t="n">
        <v>113.31</v>
      </c>
      <c r="D499" s="0" t="n">
        <v>111.54</v>
      </c>
      <c r="E499" s="0" t="n">
        <v>113.29</v>
      </c>
      <c r="F499" s="0" t="n">
        <v>52896384</v>
      </c>
    </row>
    <row r="500" customFormat="false" ht="12.75" hidden="false" customHeight="false" outlineLevel="0" collapsed="false">
      <c r="A500" s="129" t="n">
        <v>42243</v>
      </c>
      <c r="B500" s="0" t="n">
        <v>112.23</v>
      </c>
      <c r="C500" s="0" t="n">
        <v>113.24</v>
      </c>
      <c r="D500" s="0" t="n">
        <v>110.02</v>
      </c>
      <c r="E500" s="0" t="n">
        <v>112.92</v>
      </c>
      <c r="F500" s="0" t="n">
        <v>83265146</v>
      </c>
    </row>
    <row r="501" customFormat="false" ht="12.75" hidden="false" customHeight="false" outlineLevel="0" collapsed="false">
      <c r="A501" s="129" t="n">
        <v>42242</v>
      </c>
      <c r="B501" s="0" t="n">
        <v>107.08</v>
      </c>
      <c r="C501" s="0" t="n">
        <v>109.89</v>
      </c>
      <c r="D501" s="0" t="n">
        <v>105.05</v>
      </c>
      <c r="E501" s="0" t="n">
        <v>109.69</v>
      </c>
      <c r="F501" s="0" t="n">
        <v>96226269</v>
      </c>
    </row>
    <row r="502" customFormat="false" ht="12.75" hidden="false" customHeight="false" outlineLevel="0" collapsed="false">
      <c r="A502" s="129" t="n">
        <v>42241</v>
      </c>
      <c r="B502" s="0" t="n">
        <v>111.11</v>
      </c>
      <c r="C502" s="0" t="n">
        <v>111.11</v>
      </c>
      <c r="D502" s="0" t="n">
        <v>103.5</v>
      </c>
      <c r="E502" s="0" t="n">
        <v>103.74</v>
      </c>
      <c r="F502" s="0" t="n">
        <v>102240208</v>
      </c>
    </row>
    <row r="503" customFormat="false" ht="12.75" hidden="false" customHeight="false" outlineLevel="0" collapsed="false">
      <c r="A503" s="129" t="n">
        <v>42240</v>
      </c>
      <c r="B503" s="0" t="n">
        <v>94.87</v>
      </c>
      <c r="C503" s="0" t="n">
        <v>108.8</v>
      </c>
      <c r="D503" s="0" t="n">
        <v>92</v>
      </c>
      <c r="E503" s="0" t="n">
        <v>103.12</v>
      </c>
      <c r="F503" s="0" t="n">
        <v>161454199</v>
      </c>
    </row>
    <row r="504" customFormat="false" ht="12.75" hidden="false" customHeight="false" outlineLevel="0" collapsed="false">
      <c r="A504" s="129" t="n">
        <v>42237</v>
      </c>
      <c r="B504" s="0" t="n">
        <v>110.43</v>
      </c>
      <c r="C504" s="0" t="n">
        <v>111.9</v>
      </c>
      <c r="D504" s="0" t="n">
        <v>105.64</v>
      </c>
      <c r="E504" s="0" t="n">
        <v>105.76</v>
      </c>
      <c r="F504" s="0" t="n">
        <v>126289223</v>
      </c>
    </row>
    <row r="505" customFormat="false" ht="12.75" hidden="false" customHeight="false" outlineLevel="0" collapsed="false">
      <c r="A505" s="129" t="n">
        <v>42236</v>
      </c>
      <c r="B505" s="0" t="n">
        <v>114.08</v>
      </c>
      <c r="C505" s="0" t="n">
        <v>114.35</v>
      </c>
      <c r="D505" s="0" t="n">
        <v>111.63</v>
      </c>
      <c r="E505" s="0" t="n">
        <v>112.65</v>
      </c>
      <c r="F505" s="0" t="n">
        <v>67765523</v>
      </c>
    </row>
    <row r="506" customFormat="false" ht="12.75" hidden="false" customHeight="false" outlineLevel="0" collapsed="false">
      <c r="A506" s="129" t="n">
        <v>42235</v>
      </c>
      <c r="B506" s="0" t="n">
        <v>116.1</v>
      </c>
      <c r="C506" s="0" t="n">
        <v>116.52</v>
      </c>
      <c r="D506" s="0" t="n">
        <v>114.68</v>
      </c>
      <c r="E506" s="0" t="n">
        <v>115.01</v>
      </c>
      <c r="F506" s="0" t="n">
        <v>48286510</v>
      </c>
    </row>
    <row r="507" customFormat="false" ht="12.75" hidden="false" customHeight="false" outlineLevel="0" collapsed="false">
      <c r="A507" s="129" t="n">
        <v>42234</v>
      </c>
      <c r="B507" s="0" t="n">
        <v>116.43</v>
      </c>
      <c r="C507" s="0" t="n">
        <v>117.44</v>
      </c>
      <c r="D507" s="0" t="n">
        <v>116.01</v>
      </c>
      <c r="E507" s="0" t="n">
        <v>116.5</v>
      </c>
      <c r="F507" s="0" t="n">
        <v>34560708</v>
      </c>
    </row>
    <row r="508" customFormat="false" ht="12.75" hidden="false" customHeight="false" outlineLevel="0" collapsed="false">
      <c r="A508" s="129" t="n">
        <v>42233</v>
      </c>
      <c r="B508" s="0" t="n">
        <v>116.04</v>
      </c>
      <c r="C508" s="0" t="n">
        <v>117.65</v>
      </c>
      <c r="D508" s="0" t="n">
        <v>115.5</v>
      </c>
      <c r="E508" s="0" t="n">
        <v>117.16</v>
      </c>
      <c r="F508" s="0" t="n">
        <v>40884745</v>
      </c>
    </row>
    <row r="509" customFormat="false" ht="12.75" hidden="false" customHeight="false" outlineLevel="0" collapsed="false">
      <c r="A509" s="129" t="n">
        <v>42230</v>
      </c>
      <c r="B509" s="0" t="n">
        <v>114.32</v>
      </c>
      <c r="C509" s="0" t="n">
        <v>116.31</v>
      </c>
      <c r="D509" s="0" t="n">
        <v>114.01</v>
      </c>
      <c r="E509" s="0" t="n">
        <v>115.96</v>
      </c>
      <c r="F509" s="0" t="n">
        <v>42929516</v>
      </c>
    </row>
    <row r="510" customFormat="false" ht="12.75" hidden="false" customHeight="false" outlineLevel="0" collapsed="false">
      <c r="A510" s="129" t="n">
        <v>42229</v>
      </c>
      <c r="B510" s="0" t="n">
        <v>116.04</v>
      </c>
      <c r="C510" s="0" t="n">
        <v>116.4</v>
      </c>
      <c r="D510" s="0" t="n">
        <v>114.54</v>
      </c>
      <c r="E510" s="0" t="n">
        <v>115.15</v>
      </c>
      <c r="F510" s="0" t="n">
        <v>48535789</v>
      </c>
    </row>
    <row r="511" customFormat="false" ht="12.75" hidden="false" customHeight="false" outlineLevel="0" collapsed="false">
      <c r="A511" s="129" t="n">
        <v>42228</v>
      </c>
      <c r="B511" s="0" t="n">
        <v>112.53</v>
      </c>
      <c r="C511" s="0" t="n">
        <v>115.42</v>
      </c>
      <c r="D511" s="0" t="n">
        <v>109.63</v>
      </c>
      <c r="E511" s="0" t="n">
        <v>115.24</v>
      </c>
      <c r="F511" s="0" t="n">
        <v>101685610</v>
      </c>
    </row>
    <row r="512" customFormat="false" ht="12.75" hidden="false" customHeight="false" outlineLevel="0" collapsed="false">
      <c r="A512" s="129" t="n">
        <v>42227</v>
      </c>
      <c r="B512" s="0" t="n">
        <v>117.81</v>
      </c>
      <c r="C512" s="0" t="n">
        <v>118.18</v>
      </c>
      <c r="D512" s="0" t="n">
        <v>113.33</v>
      </c>
      <c r="E512" s="0" t="n">
        <v>113.49</v>
      </c>
      <c r="F512" s="0" t="n">
        <v>97082814</v>
      </c>
    </row>
    <row r="513" customFormat="false" ht="12.75" hidden="false" customHeight="false" outlineLevel="0" collapsed="false">
      <c r="A513" s="129" t="n">
        <v>42226</v>
      </c>
      <c r="B513" s="0" t="n">
        <v>116.53</v>
      </c>
      <c r="C513" s="0" t="n">
        <v>119.99</v>
      </c>
      <c r="D513" s="0" t="n">
        <v>116.53</v>
      </c>
      <c r="E513" s="0" t="n">
        <v>119.72</v>
      </c>
      <c r="F513" s="0" t="n">
        <v>54951597</v>
      </c>
    </row>
    <row r="514" customFormat="false" ht="12.75" hidden="false" customHeight="false" outlineLevel="0" collapsed="false">
      <c r="A514" s="129" t="n">
        <v>42223</v>
      </c>
      <c r="B514" s="0" t="n">
        <v>114.58</v>
      </c>
      <c r="C514" s="0" t="n">
        <v>116.25</v>
      </c>
      <c r="D514" s="0" t="n">
        <v>114.5</v>
      </c>
      <c r="E514" s="0" t="n">
        <v>115.52</v>
      </c>
      <c r="F514" s="0" t="n">
        <v>38670405</v>
      </c>
    </row>
    <row r="515" customFormat="false" ht="12.75" hidden="false" customHeight="false" outlineLevel="0" collapsed="false">
      <c r="A515" s="129" t="n">
        <v>42222</v>
      </c>
      <c r="B515" s="0" t="n">
        <v>115.97</v>
      </c>
      <c r="C515" s="0" t="n">
        <v>116.5</v>
      </c>
      <c r="D515" s="0" t="n">
        <v>114.12</v>
      </c>
      <c r="E515" s="0" t="n">
        <v>115.13</v>
      </c>
      <c r="F515" s="0" t="n">
        <v>52903040</v>
      </c>
    </row>
    <row r="516" customFormat="false" ht="12.75" hidden="false" customHeight="false" outlineLevel="0" collapsed="false">
      <c r="A516" s="129" t="n">
        <v>42221</v>
      </c>
      <c r="B516" s="0" t="n">
        <v>112.95</v>
      </c>
      <c r="C516" s="0" t="n">
        <v>117.44</v>
      </c>
      <c r="D516" s="0" t="n">
        <v>112.1</v>
      </c>
      <c r="E516" s="0" t="n">
        <v>115.4</v>
      </c>
      <c r="F516" s="0" t="n">
        <v>99312613</v>
      </c>
    </row>
    <row r="517" customFormat="false" ht="12.75" hidden="false" customHeight="false" outlineLevel="0" collapsed="false">
      <c r="A517" s="129" t="n">
        <v>42220</v>
      </c>
      <c r="B517" s="0" t="n">
        <v>117.42</v>
      </c>
      <c r="C517" s="0" t="n">
        <v>117.7</v>
      </c>
      <c r="D517" s="0" t="n">
        <v>113.25</v>
      </c>
      <c r="E517" s="0" t="n">
        <v>114.64</v>
      </c>
      <c r="F517" s="0" t="n">
        <v>124138623</v>
      </c>
    </row>
    <row r="518" customFormat="false" ht="12.75" hidden="false" customHeight="false" outlineLevel="0" collapsed="false">
      <c r="A518" s="129" t="n">
        <v>42219</v>
      </c>
      <c r="B518" s="0" t="n">
        <v>121.5</v>
      </c>
      <c r="C518" s="0" t="n">
        <v>122.57</v>
      </c>
      <c r="D518" s="0" t="n">
        <v>117.52</v>
      </c>
      <c r="E518" s="0" t="n">
        <v>118.44</v>
      </c>
      <c r="F518" s="0" t="n">
        <v>69975968</v>
      </c>
    </row>
    <row r="519" customFormat="false" ht="12.75" hidden="false" customHeight="false" outlineLevel="0" collapsed="false">
      <c r="A519" s="129" t="n">
        <v>42216</v>
      </c>
      <c r="B519" s="0" t="n">
        <v>122.6</v>
      </c>
      <c r="C519" s="0" t="n">
        <v>122.64</v>
      </c>
      <c r="D519" s="0" t="n">
        <v>120.91</v>
      </c>
      <c r="E519" s="0" t="n">
        <v>121.3</v>
      </c>
      <c r="F519" s="0" t="n">
        <v>42884953</v>
      </c>
    </row>
    <row r="520" customFormat="false" ht="12.75" hidden="false" customHeight="false" outlineLevel="0" collapsed="false">
      <c r="A520" s="129" t="n">
        <v>42215</v>
      </c>
      <c r="B520" s="0" t="n">
        <v>122.32</v>
      </c>
      <c r="C520" s="0" t="n">
        <v>122.57</v>
      </c>
      <c r="D520" s="0" t="n">
        <v>121.71</v>
      </c>
      <c r="E520" s="0" t="n">
        <v>122.37</v>
      </c>
      <c r="F520" s="0" t="n">
        <v>33628268</v>
      </c>
    </row>
    <row r="521" customFormat="false" ht="12.75" hidden="false" customHeight="false" outlineLevel="0" collapsed="false">
      <c r="A521" s="129" t="n">
        <v>42214</v>
      </c>
      <c r="B521" s="0" t="n">
        <v>123.15</v>
      </c>
      <c r="C521" s="0" t="n">
        <v>123.5</v>
      </c>
      <c r="D521" s="0" t="n">
        <v>122.27</v>
      </c>
      <c r="E521" s="0" t="n">
        <v>122.99</v>
      </c>
      <c r="F521" s="0" t="n">
        <v>37011653</v>
      </c>
    </row>
    <row r="522" customFormat="false" ht="12.75" hidden="false" customHeight="false" outlineLevel="0" collapsed="false">
      <c r="A522" s="129" t="n">
        <v>42213</v>
      </c>
      <c r="B522" s="0" t="n">
        <v>123.38</v>
      </c>
      <c r="C522" s="0" t="n">
        <v>123.91</v>
      </c>
      <c r="D522" s="0" t="n">
        <v>122.55</v>
      </c>
      <c r="E522" s="0" t="n">
        <v>123.38</v>
      </c>
      <c r="F522" s="0" t="n">
        <v>33618097</v>
      </c>
    </row>
    <row r="523" customFormat="false" ht="12.75" hidden="false" customHeight="false" outlineLevel="0" collapsed="false">
      <c r="A523" s="129" t="n">
        <v>42212</v>
      </c>
      <c r="B523" s="0" t="n">
        <v>123.09</v>
      </c>
      <c r="C523" s="0" t="n">
        <v>123.61</v>
      </c>
      <c r="D523" s="0" t="n">
        <v>122.12</v>
      </c>
      <c r="E523" s="0" t="n">
        <v>122.77</v>
      </c>
      <c r="F523" s="0" t="n">
        <v>44455540</v>
      </c>
    </row>
    <row r="524" customFormat="false" ht="12.75" hidden="false" customHeight="false" outlineLevel="0" collapsed="false">
      <c r="A524" s="129" t="n">
        <v>42209</v>
      </c>
      <c r="B524" s="0" t="n">
        <v>125.32</v>
      </c>
      <c r="C524" s="0" t="n">
        <v>125.74</v>
      </c>
      <c r="D524" s="0" t="n">
        <v>123.9</v>
      </c>
      <c r="E524" s="0" t="n">
        <v>124.5</v>
      </c>
      <c r="F524" s="0" t="n">
        <v>42162332</v>
      </c>
    </row>
    <row r="525" customFormat="false" ht="12.75" hidden="false" customHeight="false" outlineLevel="0" collapsed="false">
      <c r="A525" s="129" t="n">
        <v>42208</v>
      </c>
      <c r="B525" s="0" t="n">
        <v>126.2</v>
      </c>
      <c r="C525" s="0" t="n">
        <v>127.09</v>
      </c>
      <c r="D525" s="0" t="n">
        <v>125.06</v>
      </c>
      <c r="E525" s="0" t="n">
        <v>125.16</v>
      </c>
      <c r="F525" s="0" t="n">
        <v>50999452</v>
      </c>
    </row>
    <row r="526" customFormat="false" ht="12.75" hidden="false" customHeight="false" outlineLevel="0" collapsed="false">
      <c r="A526" s="129" t="n">
        <v>42207</v>
      </c>
      <c r="B526" s="0" t="n">
        <v>121.99</v>
      </c>
      <c r="C526" s="0" t="n">
        <v>125.5</v>
      </c>
      <c r="D526" s="0" t="n">
        <v>121.99</v>
      </c>
      <c r="E526" s="0" t="n">
        <v>125.22</v>
      </c>
      <c r="F526" s="0" t="n">
        <v>115450607</v>
      </c>
    </row>
    <row r="527" customFormat="false" ht="12.75" hidden="false" customHeight="false" outlineLevel="0" collapsed="false">
      <c r="A527" s="129" t="n">
        <v>42206</v>
      </c>
      <c r="B527" s="0" t="n">
        <v>132.85</v>
      </c>
      <c r="C527" s="0" t="n">
        <v>132.92</v>
      </c>
      <c r="D527" s="0" t="n">
        <v>130.32</v>
      </c>
      <c r="E527" s="0" t="n">
        <v>130.75</v>
      </c>
      <c r="F527" s="0" t="n">
        <v>76756427</v>
      </c>
    </row>
    <row r="528" customFormat="false" ht="12.75" hidden="false" customHeight="false" outlineLevel="0" collapsed="false">
      <c r="A528" s="129" t="n">
        <v>42205</v>
      </c>
      <c r="B528" s="0" t="n">
        <v>130.97</v>
      </c>
      <c r="C528" s="0" t="n">
        <v>132.97</v>
      </c>
      <c r="D528" s="0" t="n">
        <v>130.7</v>
      </c>
      <c r="E528" s="0" t="n">
        <v>132.07</v>
      </c>
      <c r="F528" s="0" t="n">
        <v>58900203</v>
      </c>
    </row>
    <row r="529" customFormat="false" ht="12.75" hidden="false" customHeight="false" outlineLevel="0" collapsed="false">
      <c r="A529" s="129" t="n">
        <v>42202</v>
      </c>
      <c r="B529" s="0" t="n">
        <v>129.08</v>
      </c>
      <c r="C529" s="0" t="n">
        <v>129.62</v>
      </c>
      <c r="D529" s="0" t="n">
        <v>128.31</v>
      </c>
      <c r="E529" s="0" t="n">
        <v>129.62</v>
      </c>
      <c r="F529" s="0" t="n">
        <v>46164710</v>
      </c>
    </row>
    <row r="530" customFormat="false" ht="12.75" hidden="false" customHeight="false" outlineLevel="0" collapsed="false">
      <c r="A530" s="129" t="n">
        <v>42201</v>
      </c>
      <c r="B530" s="0" t="n">
        <v>127.74</v>
      </c>
      <c r="C530" s="0" t="n">
        <v>128.57</v>
      </c>
      <c r="D530" s="0" t="n">
        <v>127.35</v>
      </c>
      <c r="E530" s="0" t="n">
        <v>128.51</v>
      </c>
      <c r="F530" s="0" t="n">
        <v>36222447</v>
      </c>
    </row>
    <row r="531" customFormat="false" ht="12.75" hidden="false" customHeight="false" outlineLevel="0" collapsed="false">
      <c r="A531" s="129" t="n">
        <v>42200</v>
      </c>
      <c r="B531" s="0" t="n">
        <v>125.72</v>
      </c>
      <c r="C531" s="0" t="n">
        <v>127.15</v>
      </c>
      <c r="D531" s="0" t="n">
        <v>125.58</v>
      </c>
      <c r="E531" s="0" t="n">
        <v>126.82</v>
      </c>
      <c r="F531" s="0" t="n">
        <v>33649200</v>
      </c>
    </row>
    <row r="532" customFormat="false" ht="12.75" hidden="false" customHeight="false" outlineLevel="0" collapsed="false">
      <c r="A532" s="129" t="n">
        <v>42199</v>
      </c>
      <c r="B532" s="0" t="n">
        <v>126.04</v>
      </c>
      <c r="C532" s="0" t="n">
        <v>126.37</v>
      </c>
      <c r="D532" s="0" t="n">
        <v>125.04</v>
      </c>
      <c r="E532" s="0" t="n">
        <v>125.61</v>
      </c>
      <c r="F532" s="0" t="n">
        <v>31768139</v>
      </c>
    </row>
    <row r="533" customFormat="false" ht="12.75" hidden="false" customHeight="false" outlineLevel="0" collapsed="false">
      <c r="A533" s="129" t="n">
        <v>42198</v>
      </c>
      <c r="B533" s="0" t="n">
        <v>125.03</v>
      </c>
      <c r="C533" s="0" t="n">
        <v>125.76</v>
      </c>
      <c r="D533" s="0" t="n">
        <v>124.32</v>
      </c>
      <c r="E533" s="0" t="n">
        <v>125.66</v>
      </c>
      <c r="F533" s="0" t="n">
        <v>41440538</v>
      </c>
    </row>
    <row r="534" customFormat="false" ht="12.75" hidden="false" customHeight="false" outlineLevel="0" collapsed="false">
      <c r="A534" s="129" t="n">
        <v>42195</v>
      </c>
      <c r="B534" s="0" t="n">
        <v>121.94</v>
      </c>
      <c r="C534" s="0" t="n">
        <v>123.85</v>
      </c>
      <c r="D534" s="0" t="n">
        <v>121.21</v>
      </c>
      <c r="E534" s="0" t="n">
        <v>123.28</v>
      </c>
      <c r="F534" s="0" t="n">
        <v>61354474</v>
      </c>
    </row>
    <row r="535" customFormat="false" ht="12.75" hidden="false" customHeight="false" outlineLevel="0" collapsed="false">
      <c r="A535" s="129" t="n">
        <v>42194</v>
      </c>
      <c r="B535" s="0" t="n">
        <v>123.85</v>
      </c>
      <c r="C535" s="0" t="n">
        <v>124.06</v>
      </c>
      <c r="D535" s="0" t="n">
        <v>119.22</v>
      </c>
      <c r="E535" s="0" t="n">
        <v>120.07</v>
      </c>
      <c r="F535" s="0" t="n">
        <v>78595038</v>
      </c>
    </row>
    <row r="536" customFormat="false" ht="12.75" hidden="false" customHeight="false" outlineLevel="0" collapsed="false">
      <c r="A536" s="129" t="n">
        <v>42193</v>
      </c>
      <c r="B536" s="0" t="n">
        <v>124.48</v>
      </c>
      <c r="C536" s="0" t="n">
        <v>124.64</v>
      </c>
      <c r="D536" s="0" t="n">
        <v>122.54</v>
      </c>
      <c r="E536" s="0" t="n">
        <v>122.57</v>
      </c>
      <c r="F536" s="0" t="n">
        <v>60761614</v>
      </c>
    </row>
    <row r="537" customFormat="false" ht="12.75" hidden="false" customHeight="false" outlineLevel="0" collapsed="false">
      <c r="A537" s="129" t="n">
        <v>42192</v>
      </c>
      <c r="B537" s="0" t="n">
        <v>125.89</v>
      </c>
      <c r="C537" s="0" t="n">
        <v>126.15</v>
      </c>
      <c r="D537" s="0" t="n">
        <v>123.77</v>
      </c>
      <c r="E537" s="0" t="n">
        <v>125.69</v>
      </c>
      <c r="F537" s="0" t="n">
        <v>46946811</v>
      </c>
    </row>
    <row r="538" customFormat="false" ht="12.75" hidden="false" customHeight="false" outlineLevel="0" collapsed="false">
      <c r="A538" s="129" t="n">
        <v>42191</v>
      </c>
      <c r="B538" s="0" t="n">
        <v>124.94</v>
      </c>
      <c r="C538" s="0" t="n">
        <v>126.23</v>
      </c>
      <c r="D538" s="0" t="n">
        <v>124.85</v>
      </c>
      <c r="E538" s="0" t="n">
        <v>126</v>
      </c>
      <c r="F538" s="0" t="n">
        <v>28060431</v>
      </c>
    </row>
    <row r="539" customFormat="false" ht="12.75" hidden="false" customHeight="false" outlineLevel="0" collapsed="false">
      <c r="A539" s="129" t="n">
        <v>42187</v>
      </c>
      <c r="B539" s="0" t="n">
        <v>126.43</v>
      </c>
      <c r="C539" s="0" t="n">
        <v>126.69</v>
      </c>
      <c r="D539" s="0" t="n">
        <v>125.77</v>
      </c>
      <c r="E539" s="0" t="n">
        <v>126.44</v>
      </c>
      <c r="F539" s="0" t="n">
        <v>27210952</v>
      </c>
    </row>
    <row r="540" customFormat="false" ht="12.75" hidden="false" customHeight="false" outlineLevel="0" collapsed="false">
      <c r="A540" s="129" t="n">
        <v>42186</v>
      </c>
      <c r="B540" s="0" t="n">
        <v>126.9</v>
      </c>
      <c r="C540" s="0" t="n">
        <v>126.94</v>
      </c>
      <c r="D540" s="0" t="n">
        <v>125.99</v>
      </c>
      <c r="E540" s="0" t="n">
        <v>126.6</v>
      </c>
      <c r="F540" s="0" t="n">
        <v>30238811</v>
      </c>
    </row>
    <row r="541" customFormat="false" ht="12.75" hidden="false" customHeight="false" outlineLevel="0" collapsed="false">
      <c r="A541" s="129" t="n">
        <v>42185</v>
      </c>
      <c r="B541" s="0" t="n">
        <v>125.57</v>
      </c>
      <c r="C541" s="0" t="n">
        <v>126.12</v>
      </c>
      <c r="D541" s="0" t="n">
        <v>124.86</v>
      </c>
      <c r="E541" s="0" t="n">
        <v>125.42</v>
      </c>
      <c r="F541" s="0" t="n">
        <v>44370682</v>
      </c>
    </row>
    <row r="542" customFormat="false" ht="12.75" hidden="false" customHeight="false" outlineLevel="0" collapsed="false">
      <c r="A542" s="129" t="n">
        <v>42184</v>
      </c>
      <c r="B542" s="0" t="n">
        <v>125.46</v>
      </c>
      <c r="C542" s="0" t="n">
        <v>126.47</v>
      </c>
      <c r="D542" s="0" t="n">
        <v>124.48</v>
      </c>
      <c r="E542" s="0" t="n">
        <v>124.53</v>
      </c>
      <c r="F542" s="0" t="n">
        <v>49161427</v>
      </c>
    </row>
    <row r="543" customFormat="false" ht="12.75" hidden="false" customHeight="false" outlineLevel="0" collapsed="false">
      <c r="A543" s="129" t="n">
        <v>42181</v>
      </c>
      <c r="B543" s="0" t="n">
        <v>127.67</v>
      </c>
      <c r="C543" s="0" t="n">
        <v>127.99</v>
      </c>
      <c r="D543" s="0" t="n">
        <v>126.51</v>
      </c>
      <c r="E543" s="0" t="n">
        <v>126.75</v>
      </c>
      <c r="F543" s="0" t="n">
        <v>44066841</v>
      </c>
    </row>
    <row r="544" customFormat="false" ht="12.75" hidden="false" customHeight="false" outlineLevel="0" collapsed="false">
      <c r="A544" s="129" t="n">
        <v>42180</v>
      </c>
      <c r="B544" s="0" t="n">
        <v>128.86</v>
      </c>
      <c r="C544" s="0" t="n">
        <v>129.2</v>
      </c>
      <c r="D544" s="0" t="n">
        <v>127.5</v>
      </c>
      <c r="E544" s="0" t="n">
        <v>127.5</v>
      </c>
      <c r="F544" s="0" t="n">
        <v>31938100</v>
      </c>
    </row>
    <row r="545" customFormat="false" ht="12.75" hidden="false" customHeight="false" outlineLevel="0" collapsed="false">
      <c r="A545" s="129" t="n">
        <v>42179</v>
      </c>
      <c r="B545" s="0" t="n">
        <v>127.21</v>
      </c>
      <c r="C545" s="0" t="n">
        <v>129.8</v>
      </c>
      <c r="D545" s="0" t="n">
        <v>127.12</v>
      </c>
      <c r="E545" s="0" t="n">
        <v>128.11</v>
      </c>
      <c r="F545" s="0" t="n">
        <v>55280855</v>
      </c>
    </row>
    <row r="546" customFormat="false" ht="12.75" hidden="false" customHeight="false" outlineLevel="0" collapsed="false">
      <c r="A546" s="129" t="n">
        <v>42178</v>
      </c>
      <c r="B546" s="0" t="n">
        <v>127.48</v>
      </c>
      <c r="C546" s="0" t="n">
        <v>127.61</v>
      </c>
      <c r="D546" s="0" t="n">
        <v>126.88</v>
      </c>
      <c r="E546" s="0" t="n">
        <v>127.03</v>
      </c>
      <c r="F546" s="0" t="n">
        <v>30268863</v>
      </c>
    </row>
    <row r="547" customFormat="false" ht="12.75" hidden="false" customHeight="false" outlineLevel="0" collapsed="false">
      <c r="A547" s="129" t="n">
        <v>42177</v>
      </c>
      <c r="B547" s="0" t="n">
        <v>127.49</v>
      </c>
      <c r="C547" s="0" t="n">
        <v>128.06</v>
      </c>
      <c r="D547" s="0" t="n">
        <v>127.08</v>
      </c>
      <c r="E547" s="0" t="n">
        <v>127.61</v>
      </c>
      <c r="F547" s="0" t="n">
        <v>34039345</v>
      </c>
    </row>
    <row r="548" customFormat="false" ht="12.75" hidden="false" customHeight="false" outlineLevel="0" collapsed="false">
      <c r="A548" s="129" t="n">
        <v>42174</v>
      </c>
      <c r="B548" s="0" t="n">
        <v>127.71</v>
      </c>
      <c r="C548" s="0" t="n">
        <v>127.82</v>
      </c>
      <c r="D548" s="0" t="n">
        <v>126.4</v>
      </c>
      <c r="E548" s="0" t="n">
        <v>126.6</v>
      </c>
      <c r="F548" s="0" t="n">
        <v>54716887</v>
      </c>
    </row>
    <row r="549" customFormat="false" ht="12.75" hidden="false" customHeight="false" outlineLevel="0" collapsed="false">
      <c r="A549" s="129" t="n">
        <v>42173</v>
      </c>
      <c r="B549" s="0" t="n">
        <v>127.23</v>
      </c>
      <c r="C549" s="0" t="n">
        <v>128.31</v>
      </c>
      <c r="D549" s="0" t="n">
        <v>127.22</v>
      </c>
      <c r="E549" s="0" t="n">
        <v>127.88</v>
      </c>
      <c r="F549" s="0" t="n">
        <v>35407220</v>
      </c>
    </row>
    <row r="550" customFormat="false" ht="12.75" hidden="false" customHeight="false" outlineLevel="0" collapsed="false">
      <c r="A550" s="129" t="n">
        <v>42172</v>
      </c>
      <c r="B550" s="0" t="n">
        <v>127.72</v>
      </c>
      <c r="C550" s="0" t="n">
        <v>127.88</v>
      </c>
      <c r="D550" s="0" t="n">
        <v>126.74</v>
      </c>
      <c r="E550" s="0" t="n">
        <v>127.3</v>
      </c>
      <c r="F550" s="0" t="n">
        <v>32918071</v>
      </c>
    </row>
    <row r="551" customFormat="false" ht="12.75" hidden="false" customHeight="false" outlineLevel="0" collapsed="false">
      <c r="A551" s="129" t="n">
        <v>42171</v>
      </c>
      <c r="B551" s="0" t="n">
        <v>127.03</v>
      </c>
      <c r="C551" s="0" t="n">
        <v>127.85</v>
      </c>
      <c r="D551" s="0" t="n">
        <v>126.37</v>
      </c>
      <c r="E551" s="0" t="n">
        <v>127.6</v>
      </c>
      <c r="F551" s="0" t="n">
        <v>31494131</v>
      </c>
    </row>
    <row r="552" customFormat="false" ht="12.75" hidden="false" customHeight="false" outlineLevel="0" collapsed="false">
      <c r="A552" s="129" t="n">
        <v>42170</v>
      </c>
      <c r="B552" s="0" t="n">
        <v>126.1</v>
      </c>
      <c r="C552" s="0" t="n">
        <v>127.24</v>
      </c>
      <c r="D552" s="0" t="n">
        <v>125.71</v>
      </c>
      <c r="E552" s="0" t="n">
        <v>126.92</v>
      </c>
      <c r="F552" s="0" t="n">
        <v>43988946</v>
      </c>
    </row>
    <row r="553" customFormat="false" ht="12.75" hidden="false" customHeight="false" outlineLevel="0" collapsed="false">
      <c r="A553" s="129" t="n">
        <v>42167</v>
      </c>
      <c r="B553" s="0" t="n">
        <v>128.18</v>
      </c>
      <c r="C553" s="0" t="n">
        <v>128.33</v>
      </c>
      <c r="D553" s="0" t="n">
        <v>127.11</v>
      </c>
      <c r="E553" s="0" t="n">
        <v>127.17</v>
      </c>
      <c r="F553" s="0" t="n">
        <v>36886246</v>
      </c>
    </row>
    <row r="554" customFormat="false" ht="12.75" hidden="false" customHeight="false" outlineLevel="0" collapsed="false">
      <c r="A554" s="129" t="n">
        <v>42166</v>
      </c>
      <c r="B554" s="0" t="n">
        <v>129.18</v>
      </c>
      <c r="C554" s="0" t="n">
        <v>130.18</v>
      </c>
      <c r="D554" s="0" t="n">
        <v>128.48</v>
      </c>
      <c r="E554" s="0" t="n">
        <v>128.59</v>
      </c>
      <c r="F554" s="0" t="n">
        <v>35390887</v>
      </c>
    </row>
    <row r="555" customFormat="false" ht="12.75" hidden="false" customHeight="false" outlineLevel="0" collapsed="false">
      <c r="A555" s="129" t="n">
        <v>42165</v>
      </c>
      <c r="B555" s="0" t="n">
        <v>127.92</v>
      </c>
      <c r="C555" s="0" t="n">
        <v>129.34</v>
      </c>
      <c r="D555" s="0" t="n">
        <v>127.85</v>
      </c>
      <c r="E555" s="0" t="n">
        <v>128.88</v>
      </c>
      <c r="F555" s="0" t="n">
        <v>39087250</v>
      </c>
    </row>
    <row r="556" customFormat="false" ht="12.75" hidden="false" customHeight="false" outlineLevel="0" collapsed="false">
      <c r="A556" s="129" t="n">
        <v>42164</v>
      </c>
      <c r="B556" s="0" t="n">
        <v>126.7</v>
      </c>
      <c r="C556" s="0" t="n">
        <v>128.08</v>
      </c>
      <c r="D556" s="0" t="n">
        <v>125.62</v>
      </c>
      <c r="E556" s="0" t="n">
        <v>127.42</v>
      </c>
      <c r="F556" s="0" t="n">
        <v>56075420</v>
      </c>
    </row>
    <row r="557" customFormat="false" ht="12.75" hidden="false" customHeight="false" outlineLevel="0" collapsed="false">
      <c r="A557" s="129" t="n">
        <v>42163</v>
      </c>
      <c r="B557" s="0" t="n">
        <v>128.9</v>
      </c>
      <c r="C557" s="0" t="n">
        <v>129.21</v>
      </c>
      <c r="D557" s="0" t="n">
        <v>126.83</v>
      </c>
      <c r="E557" s="0" t="n">
        <v>127.8</v>
      </c>
      <c r="F557" s="0" t="n">
        <v>52674786</v>
      </c>
    </row>
    <row r="558" customFormat="false" ht="12.75" hidden="false" customHeight="false" outlineLevel="0" collapsed="false">
      <c r="A558" s="129" t="n">
        <v>42160</v>
      </c>
      <c r="B558" s="0" t="n">
        <v>129.5</v>
      </c>
      <c r="C558" s="0" t="n">
        <v>129.69</v>
      </c>
      <c r="D558" s="0" t="n">
        <v>128.36</v>
      </c>
      <c r="E558" s="0" t="n">
        <v>128.65</v>
      </c>
      <c r="F558" s="0" t="n">
        <v>35626800</v>
      </c>
    </row>
    <row r="559" customFormat="false" ht="12.75" hidden="false" customHeight="false" outlineLevel="0" collapsed="false">
      <c r="A559" s="129" t="n">
        <v>42159</v>
      </c>
      <c r="B559" s="0" t="n">
        <v>129.58</v>
      </c>
      <c r="C559" s="0" t="n">
        <v>130.58</v>
      </c>
      <c r="D559" s="0" t="n">
        <v>128.91</v>
      </c>
      <c r="E559" s="0" t="n">
        <v>129.36</v>
      </c>
      <c r="F559" s="0" t="n">
        <v>38450118</v>
      </c>
    </row>
    <row r="560" customFormat="false" ht="12.75" hidden="false" customHeight="false" outlineLevel="0" collapsed="false">
      <c r="A560" s="129" t="n">
        <v>42158</v>
      </c>
      <c r="B560" s="0" t="n">
        <v>130.66</v>
      </c>
      <c r="C560" s="0" t="n">
        <v>130.94</v>
      </c>
      <c r="D560" s="0" t="n">
        <v>129.9</v>
      </c>
      <c r="E560" s="0" t="n">
        <v>130.12</v>
      </c>
      <c r="F560" s="0" t="n">
        <v>30983542</v>
      </c>
    </row>
    <row r="561" customFormat="false" ht="12.75" hidden="false" customHeight="false" outlineLevel="0" collapsed="false">
      <c r="A561" s="129" t="n">
        <v>42157</v>
      </c>
      <c r="B561" s="0" t="n">
        <v>129.86</v>
      </c>
      <c r="C561" s="0" t="n">
        <v>130.66</v>
      </c>
      <c r="D561" s="0" t="n">
        <v>129.32</v>
      </c>
      <c r="E561" s="0" t="n">
        <v>129.96</v>
      </c>
      <c r="F561" s="0" t="n">
        <v>33667627</v>
      </c>
    </row>
    <row r="562" customFormat="false" ht="12.75" hidden="false" customHeight="false" outlineLevel="0" collapsed="false">
      <c r="A562" s="129" t="n">
        <v>42156</v>
      </c>
      <c r="B562" s="0" t="n">
        <v>130.28</v>
      </c>
      <c r="C562" s="0" t="n">
        <v>131.39</v>
      </c>
      <c r="D562" s="0" t="n">
        <v>130.05</v>
      </c>
      <c r="E562" s="0" t="n">
        <v>130.54</v>
      </c>
      <c r="F562" s="0" t="n">
        <v>32112797</v>
      </c>
    </row>
    <row r="563" customFormat="false" ht="12.75" hidden="false" customHeight="false" outlineLevel="0" collapsed="false">
      <c r="A563" s="129" t="n">
        <v>42153</v>
      </c>
      <c r="B563" s="0" t="n">
        <v>131.23</v>
      </c>
      <c r="C563" s="0" t="n">
        <v>131.45</v>
      </c>
      <c r="D563" s="0" t="n">
        <v>129.9</v>
      </c>
      <c r="E563" s="0" t="n">
        <v>130.28</v>
      </c>
      <c r="F563" s="0" t="n">
        <v>50884452</v>
      </c>
    </row>
    <row r="564" customFormat="false" ht="12.75" hidden="false" customHeight="false" outlineLevel="0" collapsed="false">
      <c r="A564" s="129" t="n">
        <v>42152</v>
      </c>
      <c r="B564" s="0" t="n">
        <v>131.86</v>
      </c>
      <c r="C564" s="0" t="n">
        <v>131.95</v>
      </c>
      <c r="D564" s="0" t="n">
        <v>131.1</v>
      </c>
      <c r="E564" s="0" t="n">
        <v>131.78</v>
      </c>
      <c r="F564" s="0" t="n">
        <v>30733309</v>
      </c>
    </row>
    <row r="565" customFormat="false" ht="12.75" hidden="false" customHeight="false" outlineLevel="0" collapsed="false">
      <c r="A565" s="129" t="n">
        <v>42151</v>
      </c>
      <c r="B565" s="0" t="n">
        <v>130.34</v>
      </c>
      <c r="C565" s="0" t="n">
        <v>132.26</v>
      </c>
      <c r="D565" s="0" t="n">
        <v>130.05</v>
      </c>
      <c r="E565" s="0" t="n">
        <v>132.04</v>
      </c>
      <c r="F565" s="0" t="n">
        <v>45833246</v>
      </c>
    </row>
    <row r="566" customFormat="false" ht="12.75" hidden="false" customHeight="false" outlineLevel="0" collapsed="false">
      <c r="A566" s="129" t="n">
        <v>42150</v>
      </c>
      <c r="B566" s="0" t="n">
        <v>132.6</v>
      </c>
      <c r="C566" s="0" t="n">
        <v>132.91</v>
      </c>
      <c r="D566" s="0" t="n">
        <v>129.12</v>
      </c>
      <c r="E566" s="0" t="n">
        <v>129.62</v>
      </c>
      <c r="F566" s="0" t="n">
        <v>70697560</v>
      </c>
    </row>
    <row r="567" customFormat="false" ht="12.75" hidden="false" customHeight="false" outlineLevel="0" collapsed="false">
      <c r="A567" s="129" t="n">
        <v>42146</v>
      </c>
      <c r="B567" s="0" t="n">
        <v>131.6</v>
      </c>
      <c r="C567" s="0" t="n">
        <v>132.97</v>
      </c>
      <c r="D567" s="0" t="n">
        <v>131.4</v>
      </c>
      <c r="E567" s="0" t="n">
        <v>132.54</v>
      </c>
      <c r="F567" s="0" t="n">
        <v>45595972</v>
      </c>
    </row>
    <row r="568" customFormat="false" ht="12.75" hidden="false" customHeight="false" outlineLevel="0" collapsed="false">
      <c r="A568" s="129" t="n">
        <v>42145</v>
      </c>
      <c r="B568" s="0" t="n">
        <v>130.07</v>
      </c>
      <c r="C568" s="0" t="n">
        <v>131.63</v>
      </c>
      <c r="D568" s="0" t="n">
        <v>129.83</v>
      </c>
      <c r="E568" s="0" t="n">
        <v>131.39</v>
      </c>
      <c r="F568" s="0" t="n">
        <v>39730364</v>
      </c>
    </row>
    <row r="569" customFormat="false" ht="12.75" hidden="false" customHeight="false" outlineLevel="0" collapsed="false">
      <c r="A569" s="129" t="n">
        <v>42144</v>
      </c>
      <c r="B569" s="0" t="n">
        <v>130</v>
      </c>
      <c r="C569" s="0" t="n">
        <v>130.98</v>
      </c>
      <c r="D569" s="0" t="n">
        <v>129.34</v>
      </c>
      <c r="E569" s="0" t="n">
        <v>130.06</v>
      </c>
      <c r="F569" s="0" t="n">
        <v>36454932</v>
      </c>
    </row>
    <row r="570" customFormat="false" ht="12.75" hidden="false" customHeight="false" outlineLevel="0" collapsed="false">
      <c r="A570" s="129" t="n">
        <v>42143</v>
      </c>
      <c r="B570" s="0" t="n">
        <v>130.69</v>
      </c>
      <c r="C570" s="0" t="n">
        <v>130.88</v>
      </c>
      <c r="D570" s="0" t="n">
        <v>129.64</v>
      </c>
      <c r="E570" s="0" t="n">
        <v>130.07</v>
      </c>
      <c r="F570" s="0" t="n">
        <v>44633240</v>
      </c>
    </row>
    <row r="571" customFormat="false" ht="12.75" hidden="false" customHeight="false" outlineLevel="0" collapsed="false">
      <c r="A571" s="129" t="n">
        <v>42142</v>
      </c>
      <c r="B571" s="0" t="n">
        <v>128.38</v>
      </c>
      <c r="C571" s="0" t="n">
        <v>130.72</v>
      </c>
      <c r="D571" s="0" t="n">
        <v>128.36</v>
      </c>
      <c r="E571" s="0" t="n">
        <v>130.19</v>
      </c>
      <c r="F571" s="0" t="n">
        <v>50882918</v>
      </c>
    </row>
    <row r="572" customFormat="false" ht="12.75" hidden="false" customHeight="false" outlineLevel="0" collapsed="false">
      <c r="A572" s="129" t="n">
        <v>42139</v>
      </c>
      <c r="B572" s="0" t="n">
        <v>129.07</v>
      </c>
      <c r="C572" s="0" t="n">
        <v>129.49</v>
      </c>
      <c r="D572" s="0" t="n">
        <v>128.21</v>
      </c>
      <c r="E572" s="0" t="n">
        <v>128.77</v>
      </c>
      <c r="F572" s="0" t="n">
        <v>38208034</v>
      </c>
    </row>
    <row r="573" customFormat="false" ht="12.75" hidden="false" customHeight="false" outlineLevel="0" collapsed="false">
      <c r="A573" s="129" t="n">
        <v>42138</v>
      </c>
      <c r="B573" s="0" t="n">
        <v>127.41</v>
      </c>
      <c r="C573" s="0" t="n">
        <v>128.95</v>
      </c>
      <c r="D573" s="0" t="n">
        <v>127.16</v>
      </c>
      <c r="E573" s="0" t="n">
        <v>128.95</v>
      </c>
      <c r="F573" s="0" t="n">
        <v>45203456</v>
      </c>
    </row>
    <row r="574" customFormat="false" ht="12.75" hidden="false" customHeight="false" outlineLevel="0" collapsed="false">
      <c r="A574" s="129" t="n">
        <v>42137</v>
      </c>
      <c r="B574" s="0" t="n">
        <v>126.15</v>
      </c>
      <c r="C574" s="0" t="n">
        <v>127.19</v>
      </c>
      <c r="D574" s="0" t="n">
        <v>125.87</v>
      </c>
      <c r="E574" s="0" t="n">
        <v>126.01</v>
      </c>
      <c r="F574" s="0" t="n">
        <v>34694235</v>
      </c>
    </row>
    <row r="575" customFormat="false" ht="12.75" hidden="false" customHeight="false" outlineLevel="0" collapsed="false">
      <c r="A575" s="129" t="n">
        <v>42136</v>
      </c>
      <c r="B575" s="0" t="n">
        <v>125.6</v>
      </c>
      <c r="C575" s="0" t="n">
        <v>126.88</v>
      </c>
      <c r="D575" s="0" t="n">
        <v>124.82</v>
      </c>
      <c r="E575" s="0" t="n">
        <v>125.86</v>
      </c>
      <c r="F575" s="0" t="n">
        <v>48160032</v>
      </c>
    </row>
    <row r="576" customFormat="false" ht="12.75" hidden="false" customHeight="false" outlineLevel="0" collapsed="false">
      <c r="A576" s="129" t="n">
        <v>42135</v>
      </c>
      <c r="B576" s="0" t="n">
        <v>127.39</v>
      </c>
      <c r="C576" s="0" t="n">
        <v>127.56</v>
      </c>
      <c r="D576" s="0" t="n">
        <v>125.62</v>
      </c>
      <c r="E576" s="0" t="n">
        <v>126.32</v>
      </c>
      <c r="F576" s="0" t="n">
        <v>42035757</v>
      </c>
    </row>
    <row r="577" customFormat="false" ht="12.75" hidden="false" customHeight="false" outlineLevel="0" collapsed="false">
      <c r="A577" s="129" t="n">
        <v>42132</v>
      </c>
      <c r="B577" s="0" t="n">
        <v>126.68</v>
      </c>
      <c r="C577" s="0" t="n">
        <v>127.62</v>
      </c>
      <c r="D577" s="0" t="n">
        <v>126.11</v>
      </c>
      <c r="E577" s="0" t="n">
        <v>127.62</v>
      </c>
      <c r="F577" s="0" t="n">
        <v>55550382</v>
      </c>
    </row>
    <row r="578" customFormat="false" ht="12.75" hidden="false" customHeight="false" outlineLevel="0" collapsed="false">
      <c r="A578" s="129" t="n">
        <v>42131</v>
      </c>
      <c r="B578" s="0" t="n">
        <v>124.77</v>
      </c>
      <c r="C578" s="0" t="n">
        <v>126.08</v>
      </c>
      <c r="D578" s="0" t="n">
        <v>124.02</v>
      </c>
      <c r="E578" s="0" t="n">
        <v>125.26</v>
      </c>
      <c r="F578" s="0" t="n">
        <v>43940895</v>
      </c>
    </row>
    <row r="579" customFormat="false" ht="12.75" hidden="false" customHeight="false" outlineLevel="0" collapsed="false">
      <c r="A579" s="129" t="n">
        <v>42130</v>
      </c>
      <c r="B579" s="0" t="n">
        <v>126.56</v>
      </c>
      <c r="C579" s="0" t="n">
        <v>126.75</v>
      </c>
      <c r="D579" s="0" t="n">
        <v>123.36</v>
      </c>
      <c r="E579" s="0" t="n">
        <v>125.01</v>
      </c>
      <c r="F579" s="0" t="n">
        <v>72141010</v>
      </c>
    </row>
    <row r="580" customFormat="false" ht="12.75" hidden="false" customHeight="false" outlineLevel="0" collapsed="false">
      <c r="A580" s="129" t="n">
        <v>42129</v>
      </c>
      <c r="B580" s="0" t="n">
        <v>128.15</v>
      </c>
      <c r="C580" s="0" t="n">
        <v>128.45</v>
      </c>
      <c r="D580" s="0" t="n">
        <v>125.78</v>
      </c>
      <c r="E580" s="0" t="n">
        <v>125.8</v>
      </c>
      <c r="F580" s="0" t="n">
        <v>49271416</v>
      </c>
    </row>
    <row r="581" customFormat="false" ht="12.75" hidden="false" customHeight="false" outlineLevel="0" collapsed="false">
      <c r="A581" s="129" t="n">
        <v>42128</v>
      </c>
      <c r="B581" s="0" t="n">
        <v>129.5</v>
      </c>
      <c r="C581" s="0" t="n">
        <v>130.57</v>
      </c>
      <c r="D581" s="0" t="n">
        <v>128.26</v>
      </c>
      <c r="E581" s="0" t="n">
        <v>128.7</v>
      </c>
      <c r="F581" s="0" t="n">
        <v>50988278</v>
      </c>
    </row>
    <row r="582" customFormat="false" ht="12.75" hidden="false" customHeight="false" outlineLevel="0" collapsed="false">
      <c r="A582" s="129" t="n">
        <v>42125</v>
      </c>
      <c r="B582" s="0" t="n">
        <v>126.1</v>
      </c>
      <c r="C582" s="0" t="n">
        <v>130.13</v>
      </c>
      <c r="D582" s="0" t="n">
        <v>125.3</v>
      </c>
      <c r="E582" s="0" t="n">
        <v>128.95</v>
      </c>
      <c r="F582" s="0" t="n">
        <v>58512638</v>
      </c>
    </row>
    <row r="583" customFormat="false" ht="12.75" hidden="false" customHeight="false" outlineLevel="0" collapsed="false">
      <c r="A583" s="129" t="n">
        <v>42124</v>
      </c>
      <c r="B583" s="0" t="n">
        <v>128.64</v>
      </c>
      <c r="C583" s="0" t="n">
        <v>127.88</v>
      </c>
      <c r="D583" s="0" t="n">
        <v>124.58</v>
      </c>
      <c r="E583" s="0" t="n">
        <v>125.15</v>
      </c>
      <c r="F583" s="0" t="n">
        <v>83195423</v>
      </c>
    </row>
    <row r="584" customFormat="false" ht="12.75" hidden="false" customHeight="false" outlineLevel="0" collapsed="false">
      <c r="A584" s="129" t="n">
        <v>42123</v>
      </c>
      <c r="B584" s="0" t="n">
        <v>130.16</v>
      </c>
      <c r="C584" s="0" t="n">
        <v>131.59</v>
      </c>
      <c r="D584" s="0" t="n">
        <v>128.3</v>
      </c>
      <c r="E584" s="0" t="n">
        <v>128.64</v>
      </c>
      <c r="F584" s="0" t="n">
        <v>63386083</v>
      </c>
    </row>
    <row r="585" customFormat="false" ht="12.75" hidden="false" customHeight="false" outlineLevel="0" collapsed="false">
      <c r="A585" s="129" t="n">
        <v>42122</v>
      </c>
      <c r="B585" s="0" t="n">
        <v>134.46</v>
      </c>
      <c r="C585" s="0" t="n">
        <v>134.54</v>
      </c>
      <c r="D585" s="0" t="n">
        <v>129.57</v>
      </c>
      <c r="E585" s="0" t="n">
        <v>130.56</v>
      </c>
      <c r="F585" s="0" t="n">
        <v>118923970</v>
      </c>
    </row>
    <row r="586" customFormat="false" ht="12.75" hidden="false" customHeight="false" outlineLevel="0" collapsed="false">
      <c r="A586" s="129" t="n">
        <v>42121</v>
      </c>
      <c r="B586" s="0" t="n">
        <v>132.31</v>
      </c>
      <c r="C586" s="0" t="n">
        <v>133.13</v>
      </c>
      <c r="D586" s="0" t="n">
        <v>131.15</v>
      </c>
      <c r="E586" s="0" t="n">
        <v>132.65</v>
      </c>
      <c r="F586" s="0" t="n">
        <v>96954207</v>
      </c>
    </row>
    <row r="587" customFormat="false" ht="12.75" hidden="false" customHeight="false" outlineLevel="0" collapsed="false">
      <c r="A587" s="129" t="n">
        <v>42118</v>
      </c>
      <c r="B587" s="0" t="n">
        <v>130.49</v>
      </c>
      <c r="C587" s="0" t="n">
        <v>130.63</v>
      </c>
      <c r="D587" s="0" t="n">
        <v>129.23</v>
      </c>
      <c r="E587" s="0" t="n">
        <v>130.28</v>
      </c>
      <c r="F587" s="0" t="n">
        <v>44525905</v>
      </c>
    </row>
    <row r="588" customFormat="false" ht="12.75" hidden="false" customHeight="false" outlineLevel="0" collapsed="false">
      <c r="A588" s="129" t="n">
        <v>42117</v>
      </c>
      <c r="B588" s="0" t="n">
        <v>128.3</v>
      </c>
      <c r="C588" s="0" t="n">
        <v>130.42</v>
      </c>
      <c r="D588" s="0" t="n">
        <v>128.14</v>
      </c>
      <c r="E588" s="0" t="n">
        <v>129.67</v>
      </c>
      <c r="F588" s="0" t="n">
        <v>45770902</v>
      </c>
    </row>
    <row r="589" customFormat="false" ht="12.75" hidden="false" customHeight="false" outlineLevel="0" collapsed="false">
      <c r="A589" s="129" t="n">
        <v>42116</v>
      </c>
      <c r="B589" s="0" t="n">
        <v>126.99</v>
      </c>
      <c r="C589" s="0" t="n">
        <v>128.87</v>
      </c>
      <c r="D589" s="0" t="n">
        <v>126.32</v>
      </c>
      <c r="E589" s="0" t="n">
        <v>128.62</v>
      </c>
      <c r="F589" s="0" t="n">
        <v>37654505</v>
      </c>
    </row>
    <row r="590" customFormat="false" ht="12.75" hidden="false" customHeight="false" outlineLevel="0" collapsed="false">
      <c r="A590" s="129" t="n">
        <v>42115</v>
      </c>
      <c r="B590" s="0" t="n">
        <v>128.1</v>
      </c>
      <c r="C590" s="0" t="n">
        <v>128.2</v>
      </c>
      <c r="D590" s="0" t="n">
        <v>126.67</v>
      </c>
      <c r="E590" s="0" t="n">
        <v>126.91</v>
      </c>
      <c r="F590" s="0" t="n">
        <v>32435057</v>
      </c>
    </row>
    <row r="591" customFormat="false" ht="12.75" hidden="false" customHeight="false" outlineLevel="0" collapsed="false">
      <c r="A591" s="129" t="n">
        <v>42114</v>
      </c>
      <c r="B591" s="0" t="n">
        <v>125.57</v>
      </c>
      <c r="C591" s="0" t="n">
        <v>128.12</v>
      </c>
      <c r="D591" s="0" t="n">
        <v>125.17</v>
      </c>
      <c r="E591" s="0" t="n">
        <v>127.6</v>
      </c>
      <c r="F591" s="0" t="n">
        <v>47054310</v>
      </c>
    </row>
    <row r="592" customFormat="false" ht="12.75" hidden="false" customHeight="false" outlineLevel="0" collapsed="false">
      <c r="A592" s="129" t="n">
        <v>42111</v>
      </c>
      <c r="B592" s="0" t="n">
        <v>125.55</v>
      </c>
      <c r="C592" s="0" t="n">
        <v>126.14</v>
      </c>
      <c r="D592" s="0" t="n">
        <v>124.46</v>
      </c>
      <c r="E592" s="0" t="n">
        <v>124.75</v>
      </c>
      <c r="F592" s="0" t="n">
        <v>51957046</v>
      </c>
    </row>
    <row r="593" customFormat="false" ht="12.75" hidden="false" customHeight="false" outlineLevel="0" collapsed="false">
      <c r="A593" s="129" t="n">
        <v>42110</v>
      </c>
      <c r="B593" s="0" t="n">
        <v>126.28</v>
      </c>
      <c r="C593" s="0" t="n">
        <v>127.1</v>
      </c>
      <c r="D593" s="0" t="n">
        <v>126.11</v>
      </c>
      <c r="E593" s="0" t="n">
        <v>126.17</v>
      </c>
      <c r="F593" s="0" t="n">
        <v>28368987</v>
      </c>
    </row>
    <row r="594" customFormat="false" ht="12.75" hidden="false" customHeight="false" outlineLevel="0" collapsed="false">
      <c r="A594" s="129" t="n">
        <v>42109</v>
      </c>
      <c r="B594" s="0" t="n">
        <v>126.41</v>
      </c>
      <c r="C594" s="0" t="n">
        <v>127.13</v>
      </c>
      <c r="D594" s="0" t="n">
        <v>126.01</v>
      </c>
      <c r="E594" s="0" t="n">
        <v>126.78</v>
      </c>
      <c r="F594" s="0" t="n">
        <v>28970419</v>
      </c>
    </row>
    <row r="595" customFormat="false" ht="12.75" hidden="false" customHeight="false" outlineLevel="0" collapsed="false">
      <c r="A595" s="129" t="n">
        <v>42108</v>
      </c>
      <c r="B595" s="0" t="n">
        <v>127</v>
      </c>
      <c r="C595" s="0" t="n">
        <v>127.29</v>
      </c>
      <c r="D595" s="0" t="n">
        <v>125.91</v>
      </c>
      <c r="E595" s="0" t="n">
        <v>126.3</v>
      </c>
      <c r="F595" s="0" t="n">
        <v>25524593</v>
      </c>
    </row>
    <row r="596" customFormat="false" ht="12.75" hidden="false" customHeight="false" outlineLevel="0" collapsed="false">
      <c r="A596" s="129" t="n">
        <v>42107</v>
      </c>
      <c r="B596" s="0" t="n">
        <v>128.37</v>
      </c>
      <c r="C596" s="0" t="n">
        <v>128.57</v>
      </c>
      <c r="D596" s="0" t="n">
        <v>126.61</v>
      </c>
      <c r="E596" s="0" t="n">
        <v>126.85</v>
      </c>
      <c r="F596" s="0" t="n">
        <v>36365123</v>
      </c>
    </row>
    <row r="597" customFormat="false" ht="12.75" hidden="false" customHeight="false" outlineLevel="0" collapsed="false">
      <c r="A597" s="129" t="n">
        <v>42104</v>
      </c>
      <c r="B597" s="0" t="n">
        <v>125.95</v>
      </c>
      <c r="C597" s="0" t="n">
        <v>127.21</v>
      </c>
      <c r="D597" s="0" t="n">
        <v>125.26</v>
      </c>
      <c r="E597" s="0" t="n">
        <v>127.1</v>
      </c>
      <c r="F597" s="0" t="n">
        <v>40187953</v>
      </c>
    </row>
    <row r="598" customFormat="false" ht="12.75" hidden="false" customHeight="false" outlineLevel="0" collapsed="false">
      <c r="A598" s="129" t="n">
        <v>42103</v>
      </c>
      <c r="B598" s="0" t="n">
        <v>125.85</v>
      </c>
      <c r="C598" s="0" t="n">
        <v>126.58</v>
      </c>
      <c r="D598" s="0" t="n">
        <v>124.66</v>
      </c>
      <c r="E598" s="0" t="n">
        <v>126.56</v>
      </c>
      <c r="F598" s="0" t="n">
        <v>32483974</v>
      </c>
    </row>
    <row r="599" customFormat="false" ht="12.75" hidden="false" customHeight="false" outlineLevel="0" collapsed="false">
      <c r="A599" s="129" t="n">
        <v>42102</v>
      </c>
      <c r="B599" s="0" t="n">
        <v>125.85</v>
      </c>
      <c r="C599" s="0" t="n">
        <v>126.4</v>
      </c>
      <c r="D599" s="0" t="n">
        <v>124.97</v>
      </c>
      <c r="E599" s="0" t="n">
        <v>125.6</v>
      </c>
      <c r="F599" s="0" t="n">
        <v>37329243</v>
      </c>
    </row>
    <row r="600" customFormat="false" ht="12.75" hidden="false" customHeight="false" outlineLevel="0" collapsed="false">
      <c r="A600" s="129" t="n">
        <v>42101</v>
      </c>
      <c r="B600" s="0" t="n">
        <v>127.64</v>
      </c>
      <c r="C600" s="0" t="n">
        <v>128.12</v>
      </c>
      <c r="D600" s="0" t="n">
        <v>125.98</v>
      </c>
      <c r="E600" s="0" t="n">
        <v>126.01</v>
      </c>
      <c r="F600" s="0" t="n">
        <v>35012268</v>
      </c>
    </row>
    <row r="601" customFormat="false" ht="12.75" hidden="false" customHeight="false" outlineLevel="0" collapsed="false">
      <c r="A601" s="129" t="n">
        <v>42100</v>
      </c>
      <c r="B601" s="0" t="n">
        <v>124.47</v>
      </c>
      <c r="C601" s="0" t="n">
        <v>127.51</v>
      </c>
      <c r="D601" s="0" t="n">
        <v>124.33</v>
      </c>
      <c r="E601" s="0" t="n">
        <v>127.35</v>
      </c>
      <c r="F601" s="0" t="n">
        <v>37193975</v>
      </c>
    </row>
    <row r="602" customFormat="false" ht="12.75" hidden="false" customHeight="false" outlineLevel="0" collapsed="false">
      <c r="A602" s="129" t="n">
        <v>42096</v>
      </c>
      <c r="B602" s="0" t="n">
        <v>125.03</v>
      </c>
      <c r="C602" s="0" t="n">
        <v>125.56</v>
      </c>
      <c r="D602" s="0" t="n">
        <v>124.19</v>
      </c>
      <c r="E602" s="0" t="n">
        <v>125.32</v>
      </c>
      <c r="F602" s="0" t="n">
        <v>32220131</v>
      </c>
    </row>
    <row r="603" customFormat="false" ht="12.75" hidden="false" customHeight="false" outlineLevel="0" collapsed="false">
      <c r="A603" s="129" t="n">
        <v>42095</v>
      </c>
      <c r="B603" s="0" t="n">
        <v>124.82</v>
      </c>
      <c r="C603" s="0" t="n">
        <v>125.12</v>
      </c>
      <c r="D603" s="0" t="n">
        <v>123.1</v>
      </c>
      <c r="E603" s="0" t="n">
        <v>124.25</v>
      </c>
      <c r="F603" s="0" t="n">
        <v>40621437</v>
      </c>
    </row>
    <row r="604" customFormat="false" ht="12.75" hidden="false" customHeight="false" outlineLevel="0" collapsed="false">
      <c r="A604" s="129" t="n">
        <v>42094</v>
      </c>
      <c r="B604" s="0" t="n">
        <v>126.09</v>
      </c>
      <c r="C604" s="0" t="n">
        <v>126.49</v>
      </c>
      <c r="D604" s="0" t="n">
        <v>124.36</v>
      </c>
      <c r="E604" s="0" t="n">
        <v>124.43</v>
      </c>
      <c r="F604" s="0" t="n">
        <v>42090553</v>
      </c>
    </row>
    <row r="605" customFormat="false" ht="12.75" hidden="false" customHeight="false" outlineLevel="0" collapsed="false">
      <c r="A605" s="129" t="n">
        <v>42093</v>
      </c>
      <c r="B605" s="0" t="n">
        <v>124.05</v>
      </c>
      <c r="C605" s="0" t="n">
        <v>126.4</v>
      </c>
      <c r="D605" s="0" t="n">
        <v>124</v>
      </c>
      <c r="E605" s="0" t="n">
        <v>126.37</v>
      </c>
      <c r="F605" s="0" t="n">
        <v>47099670</v>
      </c>
    </row>
    <row r="606" customFormat="false" ht="12.75" hidden="false" customHeight="false" outlineLevel="0" collapsed="false">
      <c r="A606" s="129" t="n">
        <v>42090</v>
      </c>
      <c r="B606" s="0" t="n">
        <v>124.57</v>
      </c>
      <c r="C606" s="0" t="n">
        <v>124.7</v>
      </c>
      <c r="D606" s="0" t="n">
        <v>122.91</v>
      </c>
      <c r="E606" s="0" t="n">
        <v>123.25</v>
      </c>
      <c r="F606" s="0" t="n">
        <v>39546151</v>
      </c>
    </row>
    <row r="607" customFormat="false" ht="12.75" hidden="false" customHeight="false" outlineLevel="0" collapsed="false">
      <c r="A607" s="129" t="n">
        <v>42089</v>
      </c>
      <c r="B607" s="0" t="n">
        <v>122.76</v>
      </c>
      <c r="C607" s="0" t="n">
        <v>124.88</v>
      </c>
      <c r="D607" s="0" t="n">
        <v>122.6</v>
      </c>
      <c r="E607" s="0" t="n">
        <v>124.24</v>
      </c>
      <c r="F607" s="0" t="n">
        <v>47572869</v>
      </c>
    </row>
    <row r="608" customFormat="false" ht="12.75" hidden="false" customHeight="false" outlineLevel="0" collapsed="false">
      <c r="A608" s="129" t="n">
        <v>42088</v>
      </c>
      <c r="B608" s="0" t="n">
        <v>126.54</v>
      </c>
      <c r="C608" s="0" t="n">
        <v>126.82</v>
      </c>
      <c r="D608" s="0" t="n">
        <v>123.38</v>
      </c>
      <c r="E608" s="0" t="n">
        <v>123.38</v>
      </c>
      <c r="F608" s="0" t="n">
        <v>51655177</v>
      </c>
    </row>
    <row r="609" customFormat="false" ht="12.75" hidden="false" customHeight="false" outlineLevel="0" collapsed="false">
      <c r="A609" s="129" t="n">
        <v>42087</v>
      </c>
      <c r="B609" s="0" t="n">
        <v>127.23</v>
      </c>
      <c r="C609" s="0" t="n">
        <v>128.04</v>
      </c>
      <c r="D609" s="0" t="n">
        <v>126.56</v>
      </c>
      <c r="E609" s="0" t="n">
        <v>126.69</v>
      </c>
      <c r="F609" s="0" t="n">
        <v>32842304</v>
      </c>
    </row>
    <row r="610" customFormat="false" ht="12.75" hidden="false" customHeight="false" outlineLevel="0" collapsed="false">
      <c r="A610" s="129" t="n">
        <v>42086</v>
      </c>
      <c r="B610" s="0" t="n">
        <v>127.12</v>
      </c>
      <c r="C610" s="0" t="n">
        <v>127.85</v>
      </c>
      <c r="D610" s="0" t="n">
        <v>126.52</v>
      </c>
      <c r="E610" s="0" t="n">
        <v>127.21</v>
      </c>
      <c r="F610" s="0" t="n">
        <v>37709674</v>
      </c>
    </row>
    <row r="611" customFormat="false" ht="12.75" hidden="false" customHeight="false" outlineLevel="0" collapsed="false">
      <c r="A611" s="129" t="n">
        <v>42083</v>
      </c>
      <c r="B611" s="0" t="n">
        <v>128.25</v>
      </c>
      <c r="C611" s="0" t="n">
        <v>128.4</v>
      </c>
      <c r="D611" s="0" t="n">
        <v>125.16</v>
      </c>
      <c r="E611" s="0" t="n">
        <v>125.9</v>
      </c>
      <c r="F611" s="0" t="n">
        <v>68695136</v>
      </c>
    </row>
    <row r="612" customFormat="false" ht="12.75" hidden="false" customHeight="false" outlineLevel="0" collapsed="false">
      <c r="A612" s="129" t="n">
        <v>42082</v>
      </c>
      <c r="B612" s="0" t="n">
        <v>128.75</v>
      </c>
      <c r="C612" s="0" t="n">
        <v>129.25</v>
      </c>
      <c r="D612" s="0" t="n">
        <v>127.4</v>
      </c>
      <c r="E612" s="0" t="n">
        <v>127.5</v>
      </c>
      <c r="F612" s="0" t="n">
        <v>45809490</v>
      </c>
    </row>
    <row r="613" customFormat="false" ht="12.75" hidden="false" customHeight="false" outlineLevel="0" collapsed="false">
      <c r="A613" s="129" t="n">
        <v>42081</v>
      </c>
      <c r="B613" s="0" t="n">
        <v>127</v>
      </c>
      <c r="C613" s="0" t="n">
        <v>129.16</v>
      </c>
      <c r="D613" s="0" t="n">
        <v>126.37</v>
      </c>
      <c r="E613" s="0" t="n">
        <v>128.47</v>
      </c>
      <c r="F613" s="0" t="n">
        <v>65270945</v>
      </c>
    </row>
    <row r="614" customFormat="false" ht="12.75" hidden="false" customHeight="false" outlineLevel="0" collapsed="false">
      <c r="A614" s="129" t="n">
        <v>42080</v>
      </c>
      <c r="B614" s="0" t="n">
        <v>125.9</v>
      </c>
      <c r="C614" s="0" t="n">
        <v>127.32</v>
      </c>
      <c r="D614" s="0" t="n">
        <v>125.65</v>
      </c>
      <c r="E614" s="0" t="n">
        <v>127.04</v>
      </c>
      <c r="F614" s="0" t="n">
        <v>51023104</v>
      </c>
    </row>
    <row r="615" customFormat="false" ht="12.75" hidden="false" customHeight="false" outlineLevel="0" collapsed="false">
      <c r="A615" s="129" t="n">
        <v>42079</v>
      </c>
      <c r="B615" s="0" t="n">
        <v>123.88</v>
      </c>
      <c r="C615" s="0" t="n">
        <v>124.95</v>
      </c>
      <c r="D615" s="0" t="n">
        <v>122.87</v>
      </c>
      <c r="E615" s="0" t="n">
        <v>124.95</v>
      </c>
      <c r="F615" s="0" t="n">
        <v>35874300</v>
      </c>
    </row>
    <row r="616" customFormat="false" ht="12.75" hidden="false" customHeight="false" outlineLevel="0" collapsed="false">
      <c r="A616" s="129" t="n">
        <v>42076</v>
      </c>
      <c r="B616" s="0" t="n">
        <v>124.4</v>
      </c>
      <c r="C616" s="0" t="n">
        <v>125.4</v>
      </c>
      <c r="D616" s="0" t="n">
        <v>122.58</v>
      </c>
      <c r="E616" s="0" t="n">
        <v>123.59</v>
      </c>
      <c r="F616" s="0" t="n">
        <v>51827283</v>
      </c>
    </row>
    <row r="617" customFormat="false" ht="12.75" hidden="false" customHeight="false" outlineLevel="0" collapsed="false">
      <c r="A617" s="129" t="n">
        <v>42075</v>
      </c>
      <c r="B617" s="0" t="n">
        <v>122.31</v>
      </c>
      <c r="C617" s="0" t="n">
        <v>124.9</v>
      </c>
      <c r="D617" s="0" t="n">
        <v>121.63</v>
      </c>
      <c r="E617" s="0" t="n">
        <v>124.45</v>
      </c>
      <c r="F617" s="0" t="n">
        <v>48362719</v>
      </c>
    </row>
    <row r="618" customFormat="false" ht="12.75" hidden="false" customHeight="false" outlineLevel="0" collapsed="false">
      <c r="A618" s="129" t="n">
        <v>42074</v>
      </c>
      <c r="B618" s="0" t="n">
        <v>124.75</v>
      </c>
      <c r="C618" s="0" t="n">
        <v>124.77</v>
      </c>
      <c r="D618" s="0" t="n">
        <v>122.11</v>
      </c>
      <c r="E618" s="0" t="n">
        <v>122.24</v>
      </c>
      <c r="F618" s="0" t="n">
        <v>68938974</v>
      </c>
    </row>
    <row r="619" customFormat="false" ht="12.75" hidden="false" customHeight="false" outlineLevel="0" collapsed="false">
      <c r="A619" s="129" t="n">
        <v>42073</v>
      </c>
      <c r="B619" s="0" t="n">
        <v>126.41</v>
      </c>
      <c r="C619" s="0" t="n">
        <v>127.22</v>
      </c>
      <c r="D619" s="0" t="n">
        <v>123.8</v>
      </c>
      <c r="E619" s="0" t="n">
        <v>124.51</v>
      </c>
      <c r="F619" s="0" t="n">
        <v>68856582</v>
      </c>
    </row>
    <row r="620" customFormat="false" ht="12.75" hidden="false" customHeight="false" outlineLevel="0" collapsed="false">
      <c r="A620" s="129" t="n">
        <v>42072</v>
      </c>
      <c r="B620" s="0" t="n">
        <v>127.96</v>
      </c>
      <c r="C620" s="0" t="n">
        <v>129.57</v>
      </c>
      <c r="D620" s="0" t="n">
        <v>125.06</v>
      </c>
      <c r="E620" s="0" t="n">
        <v>127.14</v>
      </c>
      <c r="F620" s="0" t="n">
        <v>88528487</v>
      </c>
    </row>
    <row r="621" customFormat="false" ht="12.75" hidden="false" customHeight="false" outlineLevel="0" collapsed="false">
      <c r="A621" s="129" t="n">
        <v>42069</v>
      </c>
      <c r="B621" s="0" t="n">
        <v>128.4</v>
      </c>
      <c r="C621" s="0" t="n">
        <v>129.37</v>
      </c>
      <c r="D621" s="0" t="n">
        <v>126.26</v>
      </c>
      <c r="E621" s="0" t="n">
        <v>126.6</v>
      </c>
      <c r="F621" s="0" t="n">
        <v>72842060</v>
      </c>
    </row>
    <row r="622" customFormat="false" ht="12.75" hidden="false" customHeight="false" outlineLevel="0" collapsed="false">
      <c r="A622" s="129" t="n">
        <v>42068</v>
      </c>
      <c r="B622" s="0" t="n">
        <v>128.58</v>
      </c>
      <c r="C622" s="0" t="n">
        <v>128.75</v>
      </c>
      <c r="D622" s="0" t="n">
        <v>125.76</v>
      </c>
      <c r="E622" s="0" t="n">
        <v>126.41</v>
      </c>
      <c r="F622" s="0" t="n">
        <v>56517146</v>
      </c>
    </row>
    <row r="623" customFormat="false" ht="12.75" hidden="false" customHeight="false" outlineLevel="0" collapsed="false">
      <c r="A623" s="129" t="n">
        <v>42067</v>
      </c>
      <c r="B623" s="0" t="n">
        <v>129.1</v>
      </c>
      <c r="C623" s="0" t="n">
        <v>129.56</v>
      </c>
      <c r="D623" s="0" t="n">
        <v>128.32</v>
      </c>
      <c r="E623" s="0" t="n">
        <v>128.54</v>
      </c>
      <c r="F623" s="0" t="n">
        <v>31666340</v>
      </c>
    </row>
    <row r="624" customFormat="false" ht="12.75" hidden="false" customHeight="false" outlineLevel="0" collapsed="false">
      <c r="A624" s="129" t="n">
        <v>42066</v>
      </c>
      <c r="B624" s="0" t="n">
        <v>128.96</v>
      </c>
      <c r="C624" s="0" t="n">
        <v>129.52</v>
      </c>
      <c r="D624" s="0" t="n">
        <v>128.09</v>
      </c>
      <c r="E624" s="0" t="n">
        <v>129.36</v>
      </c>
      <c r="F624" s="0" t="n">
        <v>37816283</v>
      </c>
    </row>
    <row r="625" customFormat="false" ht="12.75" hidden="false" customHeight="false" outlineLevel="0" collapsed="false">
      <c r="A625" s="129" t="n">
        <v>42065</v>
      </c>
      <c r="B625" s="0" t="n">
        <v>129.25</v>
      </c>
      <c r="C625" s="0" t="n">
        <v>130.28</v>
      </c>
      <c r="D625" s="0" t="n">
        <v>128.3</v>
      </c>
      <c r="E625" s="0" t="n">
        <v>129.09</v>
      </c>
      <c r="F625" s="0" t="n">
        <v>48096663</v>
      </c>
    </row>
    <row r="626" customFormat="false" ht="12.75" hidden="false" customHeight="false" outlineLevel="0" collapsed="false">
      <c r="A626" s="129" t="n">
        <v>42062</v>
      </c>
      <c r="B626" s="0" t="n">
        <v>130</v>
      </c>
      <c r="C626" s="0" t="n">
        <v>130.57</v>
      </c>
      <c r="D626" s="0" t="n">
        <v>128.24</v>
      </c>
      <c r="E626" s="0" t="n">
        <v>128.46</v>
      </c>
      <c r="F626" s="0" t="n">
        <v>62014847</v>
      </c>
    </row>
    <row r="627" customFormat="false" ht="12.75" hidden="false" customHeight="false" outlineLevel="0" collapsed="false">
      <c r="A627" s="129" t="n">
        <v>42061</v>
      </c>
      <c r="B627" s="0" t="n">
        <v>128.78</v>
      </c>
      <c r="C627" s="0" t="n">
        <v>130.87</v>
      </c>
      <c r="D627" s="0" t="n">
        <v>126.61</v>
      </c>
      <c r="E627" s="0" t="n">
        <v>130.42</v>
      </c>
      <c r="F627" s="0" t="n">
        <v>91287529</v>
      </c>
    </row>
    <row r="628" customFormat="false" ht="12.75" hidden="false" customHeight="false" outlineLevel="0" collapsed="false">
      <c r="A628" s="129" t="n">
        <v>42060</v>
      </c>
      <c r="B628" s="0" t="n">
        <v>131.56</v>
      </c>
      <c r="C628" s="0" t="n">
        <v>131.6</v>
      </c>
      <c r="D628" s="0" t="n">
        <v>128.15</v>
      </c>
      <c r="E628" s="0" t="n">
        <v>128.79</v>
      </c>
      <c r="F628" s="0" t="n">
        <v>74711746</v>
      </c>
    </row>
    <row r="629" customFormat="false" ht="12.75" hidden="false" customHeight="false" outlineLevel="0" collapsed="false">
      <c r="A629" s="129" t="n">
        <v>42059</v>
      </c>
      <c r="B629" s="0" t="n">
        <v>132.94</v>
      </c>
      <c r="C629" s="0" t="n">
        <v>133.6</v>
      </c>
      <c r="D629" s="0" t="n">
        <v>131.17</v>
      </c>
      <c r="E629" s="0" t="n">
        <v>132.17</v>
      </c>
      <c r="F629" s="0" t="n">
        <v>69228130</v>
      </c>
    </row>
    <row r="630" customFormat="false" ht="12.75" hidden="false" customHeight="false" outlineLevel="0" collapsed="false">
      <c r="A630" s="129" t="n">
        <v>42058</v>
      </c>
      <c r="B630" s="0" t="n">
        <v>130.02</v>
      </c>
      <c r="C630" s="0" t="n">
        <v>133</v>
      </c>
      <c r="D630" s="0" t="n">
        <v>129.66</v>
      </c>
      <c r="E630" s="0" t="n">
        <v>133</v>
      </c>
      <c r="F630" s="0" t="n">
        <v>70974110</v>
      </c>
    </row>
    <row r="631" customFormat="false" ht="12.75" hidden="false" customHeight="false" outlineLevel="0" collapsed="false">
      <c r="A631" s="129" t="n">
        <v>42055</v>
      </c>
      <c r="B631" s="0" t="n">
        <v>128.62</v>
      </c>
      <c r="C631" s="0" t="n">
        <v>129.5</v>
      </c>
      <c r="D631" s="0" t="n">
        <v>128.05</v>
      </c>
      <c r="E631" s="0" t="n">
        <v>129.5</v>
      </c>
      <c r="F631" s="0" t="n">
        <v>48948419</v>
      </c>
    </row>
    <row r="632" customFormat="false" ht="12.75" hidden="false" customHeight="false" outlineLevel="0" collapsed="false">
      <c r="A632" s="129" t="n">
        <v>42054</v>
      </c>
      <c r="B632" s="0" t="n">
        <v>128.48</v>
      </c>
      <c r="C632" s="0" t="n">
        <v>129.03</v>
      </c>
      <c r="D632" s="0" t="n">
        <v>128.33</v>
      </c>
      <c r="E632" s="0" t="n">
        <v>128.45</v>
      </c>
      <c r="F632" s="0" t="n">
        <v>37362381</v>
      </c>
    </row>
    <row r="633" customFormat="false" ht="12.75" hidden="false" customHeight="false" outlineLevel="0" collapsed="false">
      <c r="A633" s="129" t="n">
        <v>42053</v>
      </c>
      <c r="B633" s="0" t="n">
        <v>127.62</v>
      </c>
      <c r="C633" s="0" t="n">
        <v>128.78</v>
      </c>
      <c r="D633" s="0" t="n">
        <v>127.45</v>
      </c>
      <c r="E633" s="0" t="n">
        <v>128.72</v>
      </c>
      <c r="F633" s="0" t="n">
        <v>44891737</v>
      </c>
    </row>
    <row r="634" customFormat="false" ht="12.75" hidden="false" customHeight="false" outlineLevel="0" collapsed="false">
      <c r="A634" s="129" t="n">
        <v>42052</v>
      </c>
      <c r="B634" s="0" t="n">
        <v>127.49</v>
      </c>
      <c r="C634" s="0" t="n">
        <v>128.88</v>
      </c>
      <c r="D634" s="0" t="n">
        <v>126.92</v>
      </c>
      <c r="E634" s="0" t="n">
        <v>127.83</v>
      </c>
      <c r="F634" s="0" t="n">
        <v>63152405</v>
      </c>
    </row>
    <row r="635" customFormat="false" ht="12.75" hidden="false" customHeight="false" outlineLevel="0" collapsed="false">
      <c r="A635" s="129" t="n">
        <v>42048</v>
      </c>
      <c r="B635" s="0" t="n">
        <v>127.28</v>
      </c>
      <c r="C635" s="0" t="n">
        <v>127.28</v>
      </c>
      <c r="D635" s="0" t="n">
        <v>125.65</v>
      </c>
      <c r="E635" s="0" t="n">
        <v>127.08</v>
      </c>
      <c r="F635" s="0" t="n">
        <v>54272219</v>
      </c>
    </row>
    <row r="636" customFormat="false" ht="12.75" hidden="false" customHeight="false" outlineLevel="0" collapsed="false">
      <c r="A636" s="129" t="n">
        <v>42047</v>
      </c>
      <c r="B636" s="0" t="n">
        <v>126.06</v>
      </c>
      <c r="C636" s="0" t="n">
        <v>127.48</v>
      </c>
      <c r="D636" s="0" t="n">
        <v>125.57</v>
      </c>
      <c r="E636" s="0" t="n">
        <v>126.46</v>
      </c>
      <c r="F636" s="0" t="n">
        <v>74474466</v>
      </c>
    </row>
    <row r="637" customFormat="false" ht="12.75" hidden="false" customHeight="false" outlineLevel="0" collapsed="false">
      <c r="A637" s="129" t="n">
        <v>42046</v>
      </c>
      <c r="B637" s="0" t="n">
        <v>122.77</v>
      </c>
      <c r="C637" s="0" t="n">
        <v>124.92</v>
      </c>
      <c r="D637" s="0" t="n">
        <v>122.5</v>
      </c>
      <c r="E637" s="0" t="n">
        <v>124.88</v>
      </c>
      <c r="F637" s="0" t="n">
        <v>73561797</v>
      </c>
    </row>
    <row r="638" customFormat="false" ht="12.75" hidden="false" customHeight="false" outlineLevel="0" collapsed="false">
      <c r="A638" s="129" t="n">
        <v>42045</v>
      </c>
      <c r="B638" s="0" t="n">
        <v>120.17</v>
      </c>
      <c r="C638" s="0" t="n">
        <v>122.15</v>
      </c>
      <c r="D638" s="0" t="n">
        <v>120.16</v>
      </c>
      <c r="E638" s="0" t="n">
        <v>122.02</v>
      </c>
      <c r="F638" s="0" t="n">
        <v>62008506</v>
      </c>
    </row>
    <row r="639" customFormat="false" ht="12.75" hidden="false" customHeight="false" outlineLevel="0" collapsed="false">
      <c r="A639" s="129" t="n">
        <v>42044</v>
      </c>
      <c r="B639" s="0" t="n">
        <v>118.55</v>
      </c>
      <c r="C639" s="0" t="n">
        <v>119.84</v>
      </c>
      <c r="D639" s="0" t="n">
        <v>118.43</v>
      </c>
      <c r="E639" s="0" t="n">
        <v>119.72</v>
      </c>
      <c r="F639" s="0" t="n">
        <v>38889797</v>
      </c>
    </row>
    <row r="640" customFormat="false" ht="12.75" hidden="false" customHeight="false" outlineLevel="0" collapsed="false">
      <c r="A640" s="129" t="n">
        <v>42041</v>
      </c>
      <c r="B640" s="0" t="n">
        <v>120.02</v>
      </c>
      <c r="C640" s="0" t="n">
        <v>120.25</v>
      </c>
      <c r="D640" s="0" t="n">
        <v>118.45</v>
      </c>
      <c r="E640" s="0" t="n">
        <v>118.93</v>
      </c>
      <c r="F640" s="0" t="n">
        <v>43706567</v>
      </c>
    </row>
    <row r="641" customFormat="false" ht="12.75" hidden="false" customHeight="false" outlineLevel="0" collapsed="false">
      <c r="A641" s="129" t="n">
        <v>42040</v>
      </c>
      <c r="B641" s="0" t="n">
        <v>120.02</v>
      </c>
      <c r="C641" s="0" t="n">
        <v>120.23</v>
      </c>
      <c r="D641" s="0" t="n">
        <v>119.25</v>
      </c>
      <c r="E641" s="0" t="n">
        <v>119.94</v>
      </c>
      <c r="F641" s="0" t="n">
        <v>42246245</v>
      </c>
    </row>
    <row r="642" customFormat="false" ht="12.75" hidden="false" customHeight="false" outlineLevel="0" collapsed="false">
      <c r="A642" s="129" t="n">
        <v>42039</v>
      </c>
      <c r="B642" s="0" t="n">
        <v>118.5</v>
      </c>
      <c r="C642" s="0" t="n">
        <v>120.51</v>
      </c>
      <c r="D642" s="0" t="n">
        <v>118.31</v>
      </c>
      <c r="E642" s="0" t="n">
        <v>119.56</v>
      </c>
      <c r="F642" s="0" t="n">
        <v>70149743</v>
      </c>
    </row>
    <row r="643" customFormat="false" ht="12.75" hidden="false" customHeight="false" outlineLevel="0" collapsed="false">
      <c r="A643" s="129" t="n">
        <v>42038</v>
      </c>
      <c r="B643" s="0" t="n">
        <v>118.5</v>
      </c>
      <c r="C643" s="0" t="n">
        <v>119.09</v>
      </c>
      <c r="D643" s="0" t="n">
        <v>117.61</v>
      </c>
      <c r="E643" s="0" t="n">
        <v>118.65</v>
      </c>
      <c r="F643" s="0" t="n">
        <v>51915749</v>
      </c>
    </row>
    <row r="644" customFormat="false" ht="12.75" hidden="false" customHeight="false" outlineLevel="0" collapsed="false">
      <c r="A644" s="129" t="n">
        <v>42037</v>
      </c>
      <c r="B644" s="0" t="n">
        <v>118.05</v>
      </c>
      <c r="C644" s="0" t="n">
        <v>119.17</v>
      </c>
      <c r="D644" s="0" t="n">
        <v>116.08</v>
      </c>
      <c r="E644" s="0" t="n">
        <v>118.63</v>
      </c>
      <c r="F644" s="0" t="n">
        <v>62739100</v>
      </c>
    </row>
    <row r="645" customFormat="false" ht="12.75" hidden="false" customHeight="false" outlineLevel="0" collapsed="false">
      <c r="A645" s="129" t="n">
        <v>42034</v>
      </c>
      <c r="B645" s="0" t="n">
        <v>118.4</v>
      </c>
      <c r="C645" s="0" t="n">
        <v>120</v>
      </c>
      <c r="D645" s="0" t="n">
        <v>116.85</v>
      </c>
      <c r="E645" s="0" t="n">
        <v>117.16</v>
      </c>
      <c r="F645" s="0" t="n">
        <v>83745461</v>
      </c>
    </row>
    <row r="646" customFormat="false" ht="12.75" hidden="false" customHeight="false" outlineLevel="0" collapsed="false">
      <c r="A646" s="129" t="n">
        <v>42033</v>
      </c>
      <c r="B646" s="0" t="n">
        <v>116.32</v>
      </c>
      <c r="C646" s="0" t="n">
        <v>119.19</v>
      </c>
      <c r="D646" s="0" t="n">
        <v>115.56</v>
      </c>
      <c r="E646" s="0" t="n">
        <v>118.9</v>
      </c>
      <c r="F646" s="0" t="n">
        <v>84436432</v>
      </c>
    </row>
    <row r="647" customFormat="false" ht="12.75" hidden="false" customHeight="false" outlineLevel="0" collapsed="false">
      <c r="A647" s="129" t="n">
        <v>42032</v>
      </c>
      <c r="B647" s="0" t="n">
        <v>117.62</v>
      </c>
      <c r="C647" s="0" t="n">
        <v>118.12</v>
      </c>
      <c r="D647" s="0" t="n">
        <v>115.31</v>
      </c>
      <c r="E647" s="0" t="n">
        <v>115.31</v>
      </c>
      <c r="F647" s="0" t="n">
        <v>146477063</v>
      </c>
    </row>
    <row r="648" customFormat="false" ht="12.75" hidden="false" customHeight="false" outlineLevel="0" collapsed="false">
      <c r="A648" s="129" t="n">
        <v>42031</v>
      </c>
      <c r="B648" s="0" t="n">
        <v>112.42</v>
      </c>
      <c r="C648" s="0" t="n">
        <v>112.48</v>
      </c>
      <c r="D648" s="0" t="n">
        <v>109.03</v>
      </c>
      <c r="E648" s="0" t="n">
        <v>109.14</v>
      </c>
      <c r="F648" s="0" t="n">
        <v>95568749</v>
      </c>
    </row>
    <row r="649" customFormat="false" ht="12.75" hidden="false" customHeight="false" outlineLevel="0" collapsed="false">
      <c r="A649" s="129" t="n">
        <v>42030</v>
      </c>
      <c r="B649" s="0" t="n">
        <v>113.74</v>
      </c>
      <c r="C649" s="0" t="n">
        <v>114.36</v>
      </c>
      <c r="D649" s="0" t="n">
        <v>112.8</v>
      </c>
      <c r="E649" s="0" t="n">
        <v>113.1</v>
      </c>
      <c r="F649" s="0" t="n">
        <v>55614979</v>
      </c>
    </row>
    <row r="650" customFormat="false" ht="12.75" hidden="false" customHeight="false" outlineLevel="0" collapsed="false">
      <c r="A650" s="129" t="n">
        <v>42027</v>
      </c>
      <c r="B650" s="0" t="n">
        <v>112.3</v>
      </c>
      <c r="C650" s="0" t="n">
        <v>113.75</v>
      </c>
      <c r="D650" s="0" t="n">
        <v>111.53</v>
      </c>
      <c r="E650" s="0" t="n">
        <v>112.98</v>
      </c>
      <c r="F650" s="0" t="n">
        <v>46464828</v>
      </c>
    </row>
    <row r="651" customFormat="false" ht="12.75" hidden="false" customHeight="false" outlineLevel="0" collapsed="false">
      <c r="A651" s="129" t="n">
        <v>42026</v>
      </c>
      <c r="B651" s="0" t="n">
        <v>110.26</v>
      </c>
      <c r="C651" s="0" t="n">
        <v>112.47</v>
      </c>
      <c r="D651" s="0" t="n">
        <v>109.72</v>
      </c>
      <c r="E651" s="0" t="n">
        <v>112.4</v>
      </c>
      <c r="F651" s="0" t="n">
        <v>53796409</v>
      </c>
    </row>
    <row r="652" customFormat="false" ht="12.75" hidden="false" customHeight="false" outlineLevel="0" collapsed="false">
      <c r="A652" s="129" t="n">
        <v>42025</v>
      </c>
      <c r="B652" s="0" t="n">
        <v>108.95</v>
      </c>
      <c r="C652" s="0" t="n">
        <v>111.06</v>
      </c>
      <c r="D652" s="0" t="n">
        <v>108.27</v>
      </c>
      <c r="E652" s="0" t="n">
        <v>109.55</v>
      </c>
      <c r="F652" s="0" t="n">
        <v>48575897</v>
      </c>
    </row>
    <row r="653" customFormat="false" ht="12.75" hidden="false" customHeight="false" outlineLevel="0" collapsed="false">
      <c r="A653" s="129" t="n">
        <v>42024</v>
      </c>
      <c r="B653" s="0" t="n">
        <v>107.84</v>
      </c>
      <c r="C653" s="0" t="n">
        <v>108.97</v>
      </c>
      <c r="D653" s="0" t="n">
        <v>106.5</v>
      </c>
      <c r="E653" s="0" t="n">
        <v>108.72</v>
      </c>
      <c r="F653" s="0" t="n">
        <v>49899907</v>
      </c>
    </row>
    <row r="654" customFormat="false" ht="12.75" hidden="false" customHeight="false" outlineLevel="0" collapsed="false">
      <c r="A654" s="129" t="n">
        <v>42020</v>
      </c>
      <c r="B654" s="0" t="n">
        <v>107.03</v>
      </c>
      <c r="C654" s="0" t="n">
        <v>107.58</v>
      </c>
      <c r="D654" s="0" t="n">
        <v>105.2</v>
      </c>
      <c r="E654" s="0" t="n">
        <v>105.99</v>
      </c>
      <c r="F654" s="0" t="n">
        <v>78513345</v>
      </c>
    </row>
    <row r="655" customFormat="false" ht="12.75" hidden="false" customHeight="false" outlineLevel="0" collapsed="false">
      <c r="A655" s="129" t="n">
        <v>42019</v>
      </c>
      <c r="B655" s="0" t="n">
        <v>110</v>
      </c>
      <c r="C655" s="0" t="n">
        <v>110.06</v>
      </c>
      <c r="D655" s="0" t="n">
        <v>106.66</v>
      </c>
      <c r="E655" s="0" t="n">
        <v>106.82</v>
      </c>
      <c r="F655" s="0" t="n">
        <v>60013996</v>
      </c>
    </row>
    <row r="656" customFormat="false" ht="12.75" hidden="false" customHeight="false" outlineLevel="0" collapsed="false">
      <c r="A656" s="129" t="n">
        <v>42018</v>
      </c>
      <c r="B656" s="0" t="n">
        <v>109.04</v>
      </c>
      <c r="C656" s="0" t="n">
        <v>110.49</v>
      </c>
      <c r="D656" s="0" t="n">
        <v>108.5</v>
      </c>
      <c r="E656" s="0" t="n">
        <v>109.8</v>
      </c>
      <c r="F656" s="0" t="n">
        <v>48956588</v>
      </c>
    </row>
    <row r="657" customFormat="false" ht="12.75" hidden="false" customHeight="false" outlineLevel="0" collapsed="false">
      <c r="A657" s="129" t="n">
        <v>42017</v>
      </c>
      <c r="B657" s="0" t="n">
        <v>111.43</v>
      </c>
      <c r="C657" s="0" t="n">
        <v>112.8</v>
      </c>
      <c r="D657" s="0" t="n">
        <v>108.91</v>
      </c>
      <c r="E657" s="0" t="n">
        <v>110.22</v>
      </c>
      <c r="F657" s="0" t="n">
        <v>67091928</v>
      </c>
    </row>
    <row r="658" customFormat="false" ht="12.75" hidden="false" customHeight="false" outlineLevel="0" collapsed="false">
      <c r="A658" s="129" t="n">
        <v>42016</v>
      </c>
      <c r="B658" s="0" t="n">
        <v>112.6</v>
      </c>
      <c r="C658" s="0" t="n">
        <v>112.63</v>
      </c>
      <c r="D658" s="0" t="n">
        <v>108.8</v>
      </c>
      <c r="E658" s="0" t="n">
        <v>109.25</v>
      </c>
      <c r="F658" s="0" t="n">
        <v>49650790</v>
      </c>
    </row>
    <row r="659" customFormat="false" ht="12.75" hidden="false" customHeight="false" outlineLevel="0" collapsed="false">
      <c r="A659" s="129" t="n">
        <v>42013</v>
      </c>
      <c r="B659" s="0" t="n">
        <v>112.67</v>
      </c>
      <c r="C659" s="0" t="n">
        <v>113.25</v>
      </c>
      <c r="D659" s="0" t="n">
        <v>110.21</v>
      </c>
      <c r="E659" s="0" t="n">
        <v>112.01</v>
      </c>
      <c r="F659" s="0" t="n">
        <v>53699527</v>
      </c>
    </row>
    <row r="660" customFormat="false" ht="12.75" hidden="false" customHeight="false" outlineLevel="0" collapsed="false">
      <c r="A660" s="129" t="n">
        <v>42012</v>
      </c>
      <c r="B660" s="0" t="n">
        <v>109.23</v>
      </c>
      <c r="C660" s="0" t="n">
        <v>112.15</v>
      </c>
      <c r="D660" s="0" t="n">
        <v>108.7</v>
      </c>
      <c r="E660" s="0" t="n">
        <v>111.89</v>
      </c>
      <c r="F660" s="0" t="n">
        <v>59364547</v>
      </c>
    </row>
    <row r="661" customFormat="false" ht="12.75" hidden="false" customHeight="false" outlineLevel="0" collapsed="false">
      <c r="A661" s="129" t="n">
        <v>42011</v>
      </c>
      <c r="B661" s="0" t="n">
        <v>107.2</v>
      </c>
      <c r="C661" s="0" t="n">
        <v>108.2</v>
      </c>
      <c r="D661" s="0" t="n">
        <v>106.7</v>
      </c>
      <c r="E661" s="0" t="n">
        <v>107.75</v>
      </c>
      <c r="F661" s="0" t="n">
        <v>40105934</v>
      </c>
    </row>
    <row r="662" customFormat="false" ht="12.75" hidden="false" customHeight="false" outlineLevel="0" collapsed="false">
      <c r="A662" s="129" t="n">
        <v>42010</v>
      </c>
      <c r="B662" s="0" t="n">
        <v>106.54</v>
      </c>
      <c r="C662" s="0" t="n">
        <v>107.43</v>
      </c>
      <c r="D662" s="0" t="n">
        <v>104.63</v>
      </c>
      <c r="E662" s="0" t="n">
        <v>106.26</v>
      </c>
      <c r="F662" s="0" t="n">
        <v>65797116</v>
      </c>
    </row>
    <row r="663" customFormat="false" ht="12.75" hidden="false" customHeight="false" outlineLevel="0" collapsed="false">
      <c r="A663" s="129" t="n">
        <v>42009</v>
      </c>
      <c r="B663" s="0" t="n">
        <v>108.29</v>
      </c>
      <c r="C663" s="0" t="n">
        <v>108.65</v>
      </c>
      <c r="D663" s="0" t="n">
        <v>105.41</v>
      </c>
      <c r="E663" s="0" t="n">
        <v>106.25</v>
      </c>
      <c r="F663" s="0" t="n">
        <v>64285491</v>
      </c>
    </row>
    <row r="664" customFormat="false" ht="12.75" hidden="false" customHeight="false" outlineLevel="0" collapsed="false">
      <c r="A664" s="129" t="n">
        <v>42006</v>
      </c>
      <c r="B664" s="0" t="n">
        <v>111.39</v>
      </c>
      <c r="C664" s="0" t="n">
        <v>111.44</v>
      </c>
      <c r="D664" s="0" t="n">
        <v>107.35</v>
      </c>
      <c r="E664" s="0" t="n">
        <v>109.33</v>
      </c>
      <c r="F664" s="0" t="n">
        <v>53204626</v>
      </c>
    </row>
    <row r="665" customFormat="false" ht="12.75" hidden="false" customHeight="false" outlineLevel="0" collapsed="false">
      <c r="A665" s="129" t="n">
        <v>42004</v>
      </c>
      <c r="B665" s="0" t="n">
        <v>112.82</v>
      </c>
      <c r="C665" s="0" t="n">
        <v>113.13</v>
      </c>
      <c r="D665" s="0" t="n">
        <v>110.21</v>
      </c>
      <c r="E665" s="0" t="n">
        <v>110.38</v>
      </c>
      <c r="F665" s="0" t="n">
        <v>41403351</v>
      </c>
    </row>
    <row r="666" customFormat="false" ht="12.75" hidden="false" customHeight="false" outlineLevel="0" collapsed="false">
      <c r="A666" s="129" t="n">
        <v>42003</v>
      </c>
      <c r="B666" s="0" t="n">
        <v>113.64</v>
      </c>
      <c r="C666" s="0" t="n">
        <v>113.92</v>
      </c>
      <c r="D666" s="0" t="n">
        <v>112.11</v>
      </c>
      <c r="E666" s="0" t="n">
        <v>112.52</v>
      </c>
      <c r="F666" s="0" t="n">
        <v>29881477</v>
      </c>
    </row>
    <row r="667" customFormat="false" ht="12.75" hidden="false" customHeight="false" outlineLevel="0" collapsed="false">
      <c r="A667" s="129" t="n">
        <v>42002</v>
      </c>
      <c r="B667" s="0" t="n">
        <v>113.79</v>
      </c>
      <c r="C667" s="0" t="n">
        <v>114.77</v>
      </c>
      <c r="D667" s="0" t="n">
        <v>113.7</v>
      </c>
      <c r="E667" s="0" t="n">
        <v>113.91</v>
      </c>
      <c r="F667" s="0" t="n">
        <v>27598920</v>
      </c>
    </row>
    <row r="668" customFormat="false" ht="12.75" hidden="false" customHeight="false" outlineLevel="0" collapsed="false">
      <c r="A668" s="129" t="n">
        <v>41999</v>
      </c>
      <c r="B668" s="0" t="n">
        <v>112.1</v>
      </c>
      <c r="C668" s="0" t="n">
        <v>114.52</v>
      </c>
      <c r="D668" s="0" t="n">
        <v>112.01</v>
      </c>
      <c r="E668" s="0" t="n">
        <v>113.99</v>
      </c>
      <c r="F668" s="0" t="n">
        <v>33720951</v>
      </c>
    </row>
    <row r="669" customFormat="false" ht="12.75" hidden="false" customHeight="false" outlineLevel="0" collapsed="false">
      <c r="A669" s="129" t="n">
        <v>41997</v>
      </c>
      <c r="B669" s="0" t="n">
        <v>112.58</v>
      </c>
      <c r="C669" s="0" t="n">
        <v>112.71</v>
      </c>
      <c r="D669" s="0" t="n">
        <v>112.01</v>
      </c>
      <c r="E669" s="0" t="n">
        <v>112.01</v>
      </c>
      <c r="F669" s="0" t="n">
        <v>14479611</v>
      </c>
    </row>
    <row r="670" customFormat="false" ht="12.75" hidden="false" customHeight="false" outlineLevel="0" collapsed="false">
      <c r="A670" s="129" t="n">
        <v>41996</v>
      </c>
      <c r="B670" s="0" t="n">
        <v>113.23</v>
      </c>
      <c r="C670" s="0" t="n">
        <v>113.33</v>
      </c>
      <c r="D670" s="0" t="n">
        <v>112.46</v>
      </c>
      <c r="E670" s="0" t="n">
        <v>112.54</v>
      </c>
      <c r="F670" s="0" t="n">
        <v>26028419</v>
      </c>
    </row>
    <row r="671" customFormat="false" ht="12.75" hidden="false" customHeight="false" outlineLevel="0" collapsed="false">
      <c r="A671" s="129" t="n">
        <v>41995</v>
      </c>
      <c r="B671" s="0" t="n">
        <v>112.16</v>
      </c>
      <c r="C671" s="0" t="n">
        <v>113.49</v>
      </c>
      <c r="D671" s="0" t="n">
        <v>111.97</v>
      </c>
      <c r="E671" s="0" t="n">
        <v>112.94</v>
      </c>
      <c r="F671" s="0" t="n">
        <v>45167549</v>
      </c>
    </row>
    <row r="672" customFormat="false" ht="12.75" hidden="false" customHeight="false" outlineLevel="0" collapsed="false">
      <c r="A672" s="129" t="n">
        <v>41992</v>
      </c>
      <c r="B672" s="0" t="n">
        <v>112.26</v>
      </c>
      <c r="C672" s="0" t="n">
        <v>113.24</v>
      </c>
      <c r="D672" s="0" t="n">
        <v>111.66</v>
      </c>
      <c r="E672" s="0" t="n">
        <v>111.78</v>
      </c>
      <c r="F672" s="0" t="n">
        <v>88429770</v>
      </c>
    </row>
    <row r="673" customFormat="false" ht="12.75" hidden="false" customHeight="false" outlineLevel="0" collapsed="false">
      <c r="A673" s="129" t="n">
        <v>41991</v>
      </c>
      <c r="B673" s="0" t="n">
        <v>111.87</v>
      </c>
      <c r="C673" s="0" t="n">
        <v>112.65</v>
      </c>
      <c r="D673" s="0" t="n">
        <v>110.66</v>
      </c>
      <c r="E673" s="0" t="n">
        <v>112.65</v>
      </c>
      <c r="F673" s="0" t="n">
        <v>59006218</v>
      </c>
    </row>
    <row r="674" customFormat="false" ht="12.75" hidden="false" customHeight="false" outlineLevel="0" collapsed="false">
      <c r="A674" s="129" t="n">
        <v>41990</v>
      </c>
      <c r="B674" s="0" t="n">
        <v>107.12</v>
      </c>
      <c r="C674" s="0" t="n">
        <v>109.84</v>
      </c>
      <c r="D674" s="0" t="n">
        <v>106.82</v>
      </c>
      <c r="E674" s="0" t="n">
        <v>109.41</v>
      </c>
      <c r="F674" s="0" t="n">
        <v>53411773</v>
      </c>
    </row>
    <row r="675" customFormat="false" ht="12.75" hidden="false" customHeight="false" outlineLevel="0" collapsed="false">
      <c r="A675" s="129" t="n">
        <v>41989</v>
      </c>
      <c r="B675" s="0" t="n">
        <v>106.37</v>
      </c>
      <c r="C675" s="0" t="n">
        <v>110.16</v>
      </c>
      <c r="D675" s="0" t="n">
        <v>106.26</v>
      </c>
      <c r="E675" s="0" t="n">
        <v>106.74</v>
      </c>
      <c r="F675" s="0" t="n">
        <v>60790733</v>
      </c>
    </row>
    <row r="676" customFormat="false" ht="12.75" hidden="false" customHeight="false" outlineLevel="0" collapsed="false">
      <c r="A676" s="129" t="n">
        <v>41988</v>
      </c>
      <c r="B676" s="0" t="n">
        <v>110.7</v>
      </c>
      <c r="C676" s="0" t="n">
        <v>111.6</v>
      </c>
      <c r="D676" s="0" t="n">
        <v>106.35</v>
      </c>
      <c r="E676" s="0" t="n">
        <v>108.22</v>
      </c>
      <c r="F676" s="0" t="n">
        <v>67218082</v>
      </c>
    </row>
    <row r="677" customFormat="false" ht="12.75" hidden="false" customHeight="false" outlineLevel="0" collapsed="false">
      <c r="A677" s="129" t="n">
        <v>41985</v>
      </c>
      <c r="B677" s="0" t="n">
        <v>110.46</v>
      </c>
      <c r="C677" s="0" t="n">
        <v>111.87</v>
      </c>
      <c r="D677" s="0" t="n">
        <v>109.58</v>
      </c>
      <c r="E677" s="0" t="n">
        <v>109.73</v>
      </c>
      <c r="F677" s="0" t="n">
        <v>56028138</v>
      </c>
    </row>
    <row r="678" customFormat="false" ht="12.75" hidden="false" customHeight="false" outlineLevel="0" collapsed="false">
      <c r="A678" s="129" t="n">
        <v>41984</v>
      </c>
      <c r="B678" s="0" t="n">
        <v>112.26</v>
      </c>
      <c r="C678" s="0" t="n">
        <v>113.8</v>
      </c>
      <c r="D678" s="0" t="n">
        <v>111.34</v>
      </c>
      <c r="E678" s="0" t="n">
        <v>111.62</v>
      </c>
      <c r="F678" s="0" t="n">
        <v>41471578</v>
      </c>
    </row>
    <row r="679" customFormat="false" ht="12.75" hidden="false" customHeight="false" outlineLevel="0" collapsed="false">
      <c r="A679" s="129" t="n">
        <v>41983</v>
      </c>
      <c r="B679" s="0" t="n">
        <v>114.41</v>
      </c>
      <c r="C679" s="0" t="n">
        <v>114.85</v>
      </c>
      <c r="D679" s="0" t="n">
        <v>111.54</v>
      </c>
      <c r="E679" s="0" t="n">
        <v>111.95</v>
      </c>
      <c r="F679" s="0" t="n">
        <v>44565318</v>
      </c>
    </row>
    <row r="680" customFormat="false" ht="12.75" hidden="false" customHeight="false" outlineLevel="0" collapsed="false">
      <c r="A680" s="129" t="n">
        <v>41982</v>
      </c>
      <c r="B680" s="0" t="n">
        <v>110.19</v>
      </c>
      <c r="C680" s="0" t="n">
        <v>114.3</v>
      </c>
      <c r="D680" s="0" t="n">
        <v>109.35</v>
      </c>
      <c r="E680" s="0" t="n">
        <v>114.12</v>
      </c>
      <c r="F680" s="0" t="n">
        <v>60208036</v>
      </c>
    </row>
    <row r="681" customFormat="false" ht="12.75" hidden="false" customHeight="false" outlineLevel="0" collapsed="false">
      <c r="A681" s="129" t="n">
        <v>41981</v>
      </c>
      <c r="B681" s="0" t="n">
        <v>114.1</v>
      </c>
      <c r="C681" s="0" t="n">
        <v>114.65</v>
      </c>
      <c r="D681" s="0" t="n">
        <v>111.62</v>
      </c>
      <c r="E681" s="0" t="n">
        <v>112.4</v>
      </c>
      <c r="F681" s="0" t="n">
        <v>57664850</v>
      </c>
    </row>
    <row r="682" customFormat="false" ht="12.75" hidden="false" customHeight="false" outlineLevel="0" collapsed="false">
      <c r="A682" s="129" t="n">
        <v>41978</v>
      </c>
      <c r="B682" s="0" t="n">
        <v>115.99</v>
      </c>
      <c r="C682" s="0" t="n">
        <v>116.08</v>
      </c>
      <c r="D682" s="0" t="n">
        <v>114.64</v>
      </c>
      <c r="E682" s="0" t="n">
        <v>115</v>
      </c>
      <c r="F682" s="0" t="n">
        <v>38318895</v>
      </c>
    </row>
    <row r="683" customFormat="false" ht="12.75" hidden="false" customHeight="false" outlineLevel="0" collapsed="false">
      <c r="A683" s="129" t="n">
        <v>41977</v>
      </c>
      <c r="B683" s="0" t="n">
        <v>115.77</v>
      </c>
      <c r="C683" s="0" t="n">
        <v>117.2</v>
      </c>
      <c r="D683" s="0" t="n">
        <v>115.29</v>
      </c>
      <c r="E683" s="0" t="n">
        <v>115.49</v>
      </c>
      <c r="F683" s="0" t="n">
        <v>42155776</v>
      </c>
    </row>
    <row r="684" customFormat="false" ht="12.75" hidden="false" customHeight="false" outlineLevel="0" collapsed="false">
      <c r="A684" s="129" t="n">
        <v>41976</v>
      </c>
      <c r="B684" s="0" t="n">
        <v>115.75</v>
      </c>
      <c r="C684" s="0" t="n">
        <v>116.35</v>
      </c>
      <c r="D684" s="0" t="n">
        <v>115.11</v>
      </c>
      <c r="E684" s="0" t="n">
        <v>115.93</v>
      </c>
      <c r="F684" s="0" t="n">
        <v>43063440</v>
      </c>
    </row>
    <row r="685" customFormat="false" ht="12.75" hidden="false" customHeight="false" outlineLevel="0" collapsed="false">
      <c r="A685" s="129" t="n">
        <v>41975</v>
      </c>
      <c r="B685" s="0" t="n">
        <v>113.5</v>
      </c>
      <c r="C685" s="0" t="n">
        <v>115.75</v>
      </c>
      <c r="D685" s="0" t="n">
        <v>112.75</v>
      </c>
      <c r="E685" s="0" t="n">
        <v>114.63</v>
      </c>
      <c r="F685" s="0" t="n">
        <v>59348940</v>
      </c>
    </row>
    <row r="686" customFormat="false" ht="12.75" hidden="false" customHeight="false" outlineLevel="0" collapsed="false">
      <c r="A686" s="129" t="n">
        <v>41974</v>
      </c>
      <c r="B686" s="0" t="n">
        <v>118.81</v>
      </c>
      <c r="C686" s="0" t="n">
        <v>119.25</v>
      </c>
      <c r="D686" s="0" t="n">
        <v>111.27</v>
      </c>
      <c r="E686" s="0" t="n">
        <v>115.07</v>
      </c>
      <c r="F686" s="0" t="n">
        <v>83814037</v>
      </c>
    </row>
    <row r="687" customFormat="false" ht="12.75" hidden="false" customHeight="false" outlineLevel="0" collapsed="false">
      <c r="A687" s="129" t="n">
        <v>41971</v>
      </c>
      <c r="B687" s="0" t="n">
        <v>119.27</v>
      </c>
      <c r="C687" s="0" t="n">
        <v>119.4</v>
      </c>
      <c r="D687" s="0" t="n">
        <v>118.05</v>
      </c>
      <c r="E687" s="0" t="n">
        <v>118.93</v>
      </c>
      <c r="F687" s="0" t="n">
        <v>24814402</v>
      </c>
    </row>
    <row r="688" customFormat="false" ht="12.75" hidden="false" customHeight="false" outlineLevel="0" collapsed="false">
      <c r="A688" s="129" t="n">
        <v>41969</v>
      </c>
      <c r="B688" s="0" t="n">
        <v>117.94</v>
      </c>
      <c r="C688" s="0" t="n">
        <v>119.1</v>
      </c>
      <c r="D688" s="0" t="n">
        <v>117.83</v>
      </c>
      <c r="E688" s="0" t="n">
        <v>119</v>
      </c>
      <c r="F688" s="0" t="n">
        <v>40831886</v>
      </c>
    </row>
    <row r="689" customFormat="false" ht="12.75" hidden="false" customHeight="false" outlineLevel="0" collapsed="false">
      <c r="A689" s="129" t="n">
        <v>41968</v>
      </c>
      <c r="B689" s="0" t="n">
        <v>119.07</v>
      </c>
      <c r="C689" s="0" t="n">
        <v>119.75</v>
      </c>
      <c r="D689" s="0" t="n">
        <v>117.45</v>
      </c>
      <c r="E689" s="0" t="n">
        <v>117.6</v>
      </c>
      <c r="F689" s="0" t="n">
        <v>68840440</v>
      </c>
    </row>
    <row r="690" customFormat="false" ht="12.75" hidden="false" customHeight="false" outlineLevel="0" collapsed="false">
      <c r="A690" s="129" t="n">
        <v>41967</v>
      </c>
      <c r="B690" s="0" t="n">
        <v>116.85</v>
      </c>
      <c r="C690" s="0" t="n">
        <v>118.77</v>
      </c>
      <c r="D690" s="0" t="n">
        <v>116.62</v>
      </c>
      <c r="E690" s="0" t="n">
        <v>118.62</v>
      </c>
      <c r="F690" s="0" t="n">
        <v>47450824</v>
      </c>
    </row>
    <row r="691" customFormat="false" ht="12.75" hidden="false" customHeight="false" outlineLevel="0" collapsed="false">
      <c r="A691" s="129" t="n">
        <v>41964</v>
      </c>
      <c r="B691" s="0" t="n">
        <v>117.51</v>
      </c>
      <c r="C691" s="0" t="n">
        <v>117.57</v>
      </c>
      <c r="D691" s="0" t="n">
        <v>116.03</v>
      </c>
      <c r="E691" s="0" t="n">
        <v>116.47</v>
      </c>
      <c r="F691" s="0" t="n">
        <v>57179298</v>
      </c>
    </row>
    <row r="692" customFormat="false" ht="12.75" hidden="false" customHeight="false" outlineLevel="0" collapsed="false">
      <c r="A692" s="129" t="n">
        <v>41963</v>
      </c>
      <c r="B692" s="0" t="n">
        <v>114.91</v>
      </c>
      <c r="C692" s="0" t="n">
        <v>116.86</v>
      </c>
      <c r="D692" s="0" t="n">
        <v>114.85</v>
      </c>
      <c r="E692" s="0" t="n">
        <v>116.31</v>
      </c>
      <c r="F692" s="0" t="n">
        <v>43395537</v>
      </c>
    </row>
    <row r="693" customFormat="false" ht="12.75" hidden="false" customHeight="false" outlineLevel="0" collapsed="false">
      <c r="A693" s="129" t="n">
        <v>41962</v>
      </c>
      <c r="B693" s="0" t="n">
        <v>115.44</v>
      </c>
      <c r="C693" s="0" t="n">
        <v>115.74</v>
      </c>
      <c r="D693" s="0" t="n">
        <v>113.8</v>
      </c>
      <c r="E693" s="0" t="n">
        <v>114.67</v>
      </c>
      <c r="F693" s="0" t="n">
        <v>41869160</v>
      </c>
    </row>
    <row r="694" customFormat="false" ht="12.75" hidden="false" customHeight="false" outlineLevel="0" collapsed="false">
      <c r="A694" s="129" t="n">
        <v>41961</v>
      </c>
      <c r="B694" s="0" t="n">
        <v>113.94</v>
      </c>
      <c r="C694" s="0" t="n">
        <v>115.69</v>
      </c>
      <c r="D694" s="0" t="n">
        <v>113.89</v>
      </c>
      <c r="E694" s="0" t="n">
        <v>115.47</v>
      </c>
      <c r="F694" s="0" t="n">
        <v>44223978</v>
      </c>
    </row>
    <row r="695" customFormat="false" ht="12.75" hidden="false" customHeight="false" outlineLevel="0" collapsed="false">
      <c r="A695" s="129" t="n">
        <v>41960</v>
      </c>
      <c r="B695" s="0" t="n">
        <v>114.27</v>
      </c>
      <c r="C695" s="0" t="n">
        <v>117.28</v>
      </c>
      <c r="D695" s="0" t="n">
        <v>113.3</v>
      </c>
      <c r="E695" s="0" t="n">
        <v>113.99</v>
      </c>
      <c r="F695" s="0" t="n">
        <v>46746712</v>
      </c>
    </row>
    <row r="696" customFormat="false" ht="12.75" hidden="false" customHeight="false" outlineLevel="0" collapsed="false">
      <c r="A696" s="129" t="n">
        <v>41957</v>
      </c>
      <c r="B696" s="0" t="n">
        <v>113.15</v>
      </c>
      <c r="C696" s="0" t="n">
        <v>114.19</v>
      </c>
      <c r="D696" s="0" t="n">
        <v>113.05</v>
      </c>
      <c r="E696" s="0" t="n">
        <v>114.18</v>
      </c>
      <c r="F696" s="0" t="n">
        <v>44063595</v>
      </c>
    </row>
    <row r="697" customFormat="false" ht="12.75" hidden="false" customHeight="false" outlineLevel="0" collapsed="false">
      <c r="A697" s="129" t="n">
        <v>41956</v>
      </c>
      <c r="B697" s="0" t="n">
        <v>111.8</v>
      </c>
      <c r="C697" s="0" t="n">
        <v>113.45</v>
      </c>
      <c r="D697" s="0" t="n">
        <v>111.6</v>
      </c>
      <c r="E697" s="0" t="n">
        <v>112.82</v>
      </c>
      <c r="F697" s="0" t="n">
        <v>59522855</v>
      </c>
    </row>
    <row r="698" customFormat="false" ht="12.75" hidden="false" customHeight="false" outlineLevel="0" collapsed="false">
      <c r="A698" s="129" t="n">
        <v>41955</v>
      </c>
      <c r="B698" s="0" t="n">
        <v>109.38</v>
      </c>
      <c r="C698" s="0" t="n">
        <v>111.43</v>
      </c>
      <c r="D698" s="0" t="n">
        <v>109.37</v>
      </c>
      <c r="E698" s="0" t="n">
        <v>111.25</v>
      </c>
      <c r="F698" s="0" t="n">
        <v>46942431</v>
      </c>
    </row>
    <row r="699" customFormat="false" ht="12.75" hidden="false" customHeight="false" outlineLevel="0" collapsed="false">
      <c r="A699" s="129" t="n">
        <v>41954</v>
      </c>
      <c r="B699" s="0" t="n">
        <v>108.7</v>
      </c>
      <c r="C699" s="0" t="n">
        <v>109.75</v>
      </c>
      <c r="D699" s="0" t="n">
        <v>108.4</v>
      </c>
      <c r="E699" s="0" t="n">
        <v>109.7</v>
      </c>
      <c r="F699" s="0" t="n">
        <v>27442252</v>
      </c>
    </row>
    <row r="700" customFormat="false" ht="12.75" hidden="false" customHeight="false" outlineLevel="0" collapsed="false">
      <c r="A700" s="129" t="n">
        <v>41953</v>
      </c>
      <c r="B700" s="0" t="n">
        <v>109.02</v>
      </c>
      <c r="C700" s="0" t="n">
        <v>109.33</v>
      </c>
      <c r="D700" s="0" t="n">
        <v>108.67</v>
      </c>
      <c r="E700" s="0" t="n">
        <v>108.83</v>
      </c>
      <c r="F700" s="0" t="n">
        <v>27195547</v>
      </c>
    </row>
    <row r="701" customFormat="false" ht="12.75" hidden="false" customHeight="false" outlineLevel="0" collapsed="false">
      <c r="A701" s="129" t="n">
        <v>41950</v>
      </c>
      <c r="B701" s="0" t="n">
        <v>108.75</v>
      </c>
      <c r="C701" s="0" t="n">
        <v>109.32</v>
      </c>
      <c r="D701" s="0" t="n">
        <v>108.55</v>
      </c>
      <c r="E701" s="0" t="n">
        <v>109.01</v>
      </c>
      <c r="F701" s="0" t="n">
        <v>33691535</v>
      </c>
    </row>
    <row r="702" customFormat="false" ht="12.75" hidden="false" customHeight="false" outlineLevel="0" collapsed="false">
      <c r="A702" s="129" t="n">
        <v>41949</v>
      </c>
      <c r="B702" s="0" t="n">
        <v>108.6</v>
      </c>
      <c r="C702" s="0" t="n">
        <v>108.79</v>
      </c>
      <c r="D702" s="0" t="n">
        <v>107.8</v>
      </c>
      <c r="E702" s="0" t="n">
        <v>108.7</v>
      </c>
      <c r="F702" s="0" t="n">
        <v>34968457</v>
      </c>
    </row>
    <row r="703" customFormat="false" ht="12.75" hidden="false" customHeight="false" outlineLevel="0" collapsed="false">
      <c r="A703" s="129" t="n">
        <v>41948</v>
      </c>
      <c r="B703" s="0" t="n">
        <v>109.1</v>
      </c>
      <c r="C703" s="0" t="n">
        <v>109.3</v>
      </c>
      <c r="D703" s="0" t="n">
        <v>108.12</v>
      </c>
      <c r="E703" s="0" t="n">
        <v>108.86</v>
      </c>
      <c r="F703" s="0" t="n">
        <v>37435905</v>
      </c>
    </row>
    <row r="704" customFormat="false" ht="12.75" hidden="false" customHeight="false" outlineLevel="0" collapsed="false">
      <c r="A704" s="129" t="n">
        <v>41947</v>
      </c>
      <c r="B704" s="0" t="n">
        <v>109.36</v>
      </c>
      <c r="C704" s="0" t="n">
        <v>109.49</v>
      </c>
      <c r="D704" s="0" t="n">
        <v>107.72</v>
      </c>
      <c r="E704" s="0" t="n">
        <v>108.6</v>
      </c>
      <c r="F704" s="0" t="n">
        <v>41574365</v>
      </c>
    </row>
    <row r="705" customFormat="false" ht="12.75" hidden="false" customHeight="false" outlineLevel="0" collapsed="false">
      <c r="A705" s="129" t="n">
        <v>41946</v>
      </c>
      <c r="B705" s="0" t="n">
        <v>108.22</v>
      </c>
      <c r="C705" s="0" t="n">
        <v>110.3</v>
      </c>
      <c r="D705" s="0" t="n">
        <v>108.01</v>
      </c>
      <c r="E705" s="0" t="n">
        <v>109.4</v>
      </c>
      <c r="F705" s="0" t="n">
        <v>52282550</v>
      </c>
    </row>
    <row r="706" customFormat="false" ht="12.75" hidden="false" customHeight="false" outlineLevel="0" collapsed="false">
      <c r="A706" s="129" t="n">
        <v>41943</v>
      </c>
      <c r="B706" s="0" t="n">
        <v>108.01</v>
      </c>
      <c r="C706" s="0" t="n">
        <v>108.04</v>
      </c>
      <c r="D706" s="0" t="n">
        <v>107.21</v>
      </c>
      <c r="E706" s="0" t="n">
        <v>108</v>
      </c>
      <c r="F706" s="0" t="n">
        <v>44639285</v>
      </c>
    </row>
    <row r="707" customFormat="false" ht="12.75" hidden="false" customHeight="false" outlineLevel="0" collapsed="false">
      <c r="A707" s="129" t="n">
        <v>41942</v>
      </c>
      <c r="B707" s="0" t="n">
        <v>106.96</v>
      </c>
      <c r="C707" s="0" t="n">
        <v>107.35</v>
      </c>
      <c r="D707" s="0" t="n">
        <v>105.9</v>
      </c>
      <c r="E707" s="0" t="n">
        <v>106.98</v>
      </c>
      <c r="F707" s="0" t="n">
        <v>40654793</v>
      </c>
    </row>
    <row r="708" customFormat="false" ht="12.75" hidden="false" customHeight="false" outlineLevel="0" collapsed="false">
      <c r="A708" s="129" t="n">
        <v>41941</v>
      </c>
      <c r="B708" s="0" t="n">
        <v>106.65</v>
      </c>
      <c r="C708" s="0" t="n">
        <v>107.37</v>
      </c>
      <c r="D708" s="0" t="n">
        <v>106.36</v>
      </c>
      <c r="E708" s="0" t="n">
        <v>107.34</v>
      </c>
      <c r="F708" s="0" t="n">
        <v>52687879</v>
      </c>
    </row>
    <row r="709" customFormat="false" ht="12.75" hidden="false" customHeight="false" outlineLevel="0" collapsed="false">
      <c r="A709" s="129" t="n">
        <v>41940</v>
      </c>
      <c r="B709" s="0" t="n">
        <v>105.4</v>
      </c>
      <c r="C709" s="0" t="n">
        <v>106.74</v>
      </c>
      <c r="D709" s="0" t="n">
        <v>105.35</v>
      </c>
      <c r="E709" s="0" t="n">
        <v>106.74</v>
      </c>
      <c r="F709" s="0" t="n">
        <v>48060949</v>
      </c>
    </row>
    <row r="710" customFormat="false" ht="12.75" hidden="false" customHeight="false" outlineLevel="0" collapsed="false">
      <c r="A710" s="129" t="n">
        <v>41939</v>
      </c>
      <c r="B710" s="0" t="n">
        <v>104.85</v>
      </c>
      <c r="C710" s="0" t="n">
        <v>105.48</v>
      </c>
      <c r="D710" s="0" t="n">
        <v>104.7</v>
      </c>
      <c r="E710" s="0" t="n">
        <v>105.11</v>
      </c>
      <c r="F710" s="0" t="n">
        <v>34187701</v>
      </c>
    </row>
    <row r="711" customFormat="false" ht="12.75" hidden="false" customHeight="false" outlineLevel="0" collapsed="false">
      <c r="A711" s="129" t="n">
        <v>41936</v>
      </c>
      <c r="B711" s="0" t="n">
        <v>105.18</v>
      </c>
      <c r="C711" s="0" t="n">
        <v>105.49</v>
      </c>
      <c r="D711" s="0" t="n">
        <v>104.53</v>
      </c>
      <c r="E711" s="0" t="n">
        <v>105.22</v>
      </c>
      <c r="F711" s="0" t="n">
        <v>47053916</v>
      </c>
    </row>
    <row r="712" customFormat="false" ht="12.75" hidden="false" customHeight="false" outlineLevel="0" collapsed="false">
      <c r="A712" s="129" t="n">
        <v>41935</v>
      </c>
      <c r="B712" s="0" t="n">
        <v>104.08</v>
      </c>
      <c r="C712" s="0" t="n">
        <v>105.05</v>
      </c>
      <c r="D712" s="0" t="n">
        <v>103.63</v>
      </c>
      <c r="E712" s="0" t="n">
        <v>104.83</v>
      </c>
      <c r="F712" s="0" t="n">
        <v>71074674</v>
      </c>
    </row>
    <row r="713" customFormat="false" ht="12.75" hidden="false" customHeight="false" outlineLevel="0" collapsed="false">
      <c r="A713" s="129" t="n">
        <v>41934</v>
      </c>
      <c r="B713" s="0" t="n">
        <v>102.84</v>
      </c>
      <c r="C713" s="0" t="n">
        <v>104.11</v>
      </c>
      <c r="D713" s="0" t="n">
        <v>102.6</v>
      </c>
      <c r="E713" s="0" t="n">
        <v>102.99</v>
      </c>
      <c r="F713" s="0" t="n">
        <v>68263146</v>
      </c>
    </row>
    <row r="714" customFormat="false" ht="12.75" hidden="false" customHeight="false" outlineLevel="0" collapsed="false">
      <c r="A714" s="129" t="n">
        <v>41933</v>
      </c>
      <c r="B714" s="0" t="n">
        <v>103.02</v>
      </c>
      <c r="C714" s="0" t="n">
        <v>103.02</v>
      </c>
      <c r="D714" s="0" t="n">
        <v>101.27</v>
      </c>
      <c r="E714" s="0" t="n">
        <v>102.47</v>
      </c>
      <c r="F714" s="0" t="n">
        <v>94623904</v>
      </c>
    </row>
    <row r="715" customFormat="false" ht="12.75" hidden="false" customHeight="false" outlineLevel="0" collapsed="false">
      <c r="A715" s="129" t="n">
        <v>41932</v>
      </c>
      <c r="B715" s="0" t="n">
        <v>98.32</v>
      </c>
      <c r="C715" s="0" t="n">
        <v>99.96</v>
      </c>
      <c r="D715" s="0" t="n">
        <v>98.22</v>
      </c>
      <c r="E715" s="0" t="n">
        <v>99.76</v>
      </c>
      <c r="F715" s="0" t="n">
        <v>77517279</v>
      </c>
    </row>
    <row r="716" customFormat="false" ht="12.75" hidden="false" customHeight="false" outlineLevel="0" collapsed="false">
      <c r="A716" s="129" t="n">
        <v>41929</v>
      </c>
      <c r="B716" s="0" t="n">
        <v>97.5</v>
      </c>
      <c r="C716" s="0" t="n">
        <v>99</v>
      </c>
      <c r="D716" s="0" t="n">
        <v>96.81</v>
      </c>
      <c r="E716" s="0" t="n">
        <v>97.67</v>
      </c>
      <c r="F716" s="0" t="n">
        <v>68179688</v>
      </c>
    </row>
    <row r="717" customFormat="false" ht="12.75" hidden="false" customHeight="false" outlineLevel="0" collapsed="false">
      <c r="A717" s="129" t="n">
        <v>41928</v>
      </c>
      <c r="B717" s="0" t="n">
        <v>95.55</v>
      </c>
      <c r="C717" s="0" t="n">
        <v>97.72</v>
      </c>
      <c r="D717" s="0" t="n">
        <v>95.41</v>
      </c>
      <c r="E717" s="0" t="n">
        <v>96.26</v>
      </c>
      <c r="F717" s="0" t="n">
        <v>72154523</v>
      </c>
    </row>
    <row r="718" customFormat="false" ht="12.75" hidden="false" customHeight="false" outlineLevel="0" collapsed="false">
      <c r="A718" s="129" t="n">
        <v>41927</v>
      </c>
      <c r="B718" s="0" t="n">
        <v>97.97</v>
      </c>
      <c r="C718" s="0" t="n">
        <v>99.15</v>
      </c>
      <c r="D718" s="0" t="n">
        <v>95.18</v>
      </c>
      <c r="E718" s="0" t="n">
        <v>97.54</v>
      </c>
      <c r="F718" s="0" t="n">
        <v>100933600</v>
      </c>
    </row>
    <row r="719" customFormat="false" ht="12.75" hidden="false" customHeight="false" outlineLevel="0" collapsed="false">
      <c r="A719" s="129" t="n">
        <v>41926</v>
      </c>
      <c r="B719" s="0" t="n">
        <v>100.39</v>
      </c>
      <c r="C719" s="0" t="n">
        <v>100.52</v>
      </c>
      <c r="D719" s="0" t="n">
        <v>98.57</v>
      </c>
      <c r="E719" s="0" t="n">
        <v>98.75</v>
      </c>
      <c r="F719" s="0" t="n">
        <v>63688562</v>
      </c>
    </row>
    <row r="720" customFormat="false" ht="12.75" hidden="false" customHeight="false" outlineLevel="0" collapsed="false">
      <c r="A720" s="129" t="n">
        <v>41925</v>
      </c>
      <c r="B720" s="0" t="n">
        <v>101.33</v>
      </c>
      <c r="C720" s="0" t="n">
        <v>101.78</v>
      </c>
      <c r="D720" s="0" t="n">
        <v>99.81</v>
      </c>
      <c r="E720" s="0" t="n">
        <v>99.81</v>
      </c>
      <c r="F720" s="0" t="n">
        <v>53583368</v>
      </c>
    </row>
    <row r="721" customFormat="false" ht="12.75" hidden="false" customHeight="false" outlineLevel="0" collapsed="false">
      <c r="A721" s="129" t="n">
        <v>41922</v>
      </c>
      <c r="B721" s="0" t="n">
        <v>100.69</v>
      </c>
      <c r="C721" s="0" t="n">
        <v>102.03</v>
      </c>
      <c r="D721" s="0" t="n">
        <v>100.3</v>
      </c>
      <c r="E721" s="0" t="n">
        <v>100.73</v>
      </c>
      <c r="F721" s="0" t="n">
        <v>66331592</v>
      </c>
    </row>
    <row r="722" customFormat="false" ht="12.75" hidden="false" customHeight="false" outlineLevel="0" collapsed="false">
      <c r="A722" s="129" t="n">
        <v>41921</v>
      </c>
      <c r="B722" s="0" t="n">
        <v>101.54</v>
      </c>
      <c r="C722" s="0" t="n">
        <v>102.38</v>
      </c>
      <c r="D722" s="0" t="n">
        <v>100.61</v>
      </c>
      <c r="E722" s="0" t="n">
        <v>101.02</v>
      </c>
      <c r="F722" s="0" t="n">
        <v>77376525</v>
      </c>
    </row>
    <row r="723" customFormat="false" ht="12.75" hidden="false" customHeight="false" outlineLevel="0" collapsed="false">
      <c r="A723" s="129" t="n">
        <v>41920</v>
      </c>
      <c r="B723" s="0" t="n">
        <v>98.76</v>
      </c>
      <c r="C723" s="0" t="n">
        <v>101.11</v>
      </c>
      <c r="D723" s="0" t="n">
        <v>98.31</v>
      </c>
      <c r="E723" s="0" t="n">
        <v>100.8</v>
      </c>
      <c r="F723" s="0" t="n">
        <v>57404674</v>
      </c>
    </row>
    <row r="724" customFormat="false" ht="12.75" hidden="false" customHeight="false" outlineLevel="0" collapsed="false">
      <c r="A724" s="129" t="n">
        <v>41919</v>
      </c>
      <c r="B724" s="0" t="n">
        <v>99.43</v>
      </c>
      <c r="C724" s="0" t="n">
        <v>100.12</v>
      </c>
      <c r="D724" s="0" t="n">
        <v>98.73</v>
      </c>
      <c r="E724" s="0" t="n">
        <v>98.75</v>
      </c>
      <c r="F724" s="0" t="n">
        <v>42094183</v>
      </c>
    </row>
    <row r="725" customFormat="false" ht="12.75" hidden="false" customHeight="false" outlineLevel="0" collapsed="false">
      <c r="A725" s="129" t="n">
        <v>41918</v>
      </c>
      <c r="B725" s="0" t="n">
        <v>99.95</v>
      </c>
      <c r="C725" s="0" t="n">
        <v>100.65</v>
      </c>
      <c r="D725" s="0" t="n">
        <v>99.42</v>
      </c>
      <c r="E725" s="0" t="n">
        <v>99.62</v>
      </c>
      <c r="F725" s="0" t="n">
        <v>37051182</v>
      </c>
    </row>
    <row r="726" customFormat="false" ht="12.75" hidden="false" customHeight="false" outlineLevel="0" collapsed="false">
      <c r="A726" s="129" t="n">
        <v>41915</v>
      </c>
      <c r="B726" s="0" t="n">
        <v>99.44</v>
      </c>
      <c r="C726" s="0" t="n">
        <v>100.21</v>
      </c>
      <c r="D726" s="0" t="n">
        <v>99.04</v>
      </c>
      <c r="E726" s="0" t="n">
        <v>99.62</v>
      </c>
      <c r="F726" s="0" t="n">
        <v>43469585</v>
      </c>
    </row>
    <row r="727" customFormat="false" ht="12.75" hidden="false" customHeight="false" outlineLevel="0" collapsed="false">
      <c r="A727" s="129" t="n">
        <v>41914</v>
      </c>
      <c r="B727" s="0" t="n">
        <v>99.27</v>
      </c>
      <c r="C727" s="0" t="n">
        <v>100.22</v>
      </c>
      <c r="D727" s="0" t="n">
        <v>98.04</v>
      </c>
      <c r="E727" s="0" t="n">
        <v>99.9</v>
      </c>
      <c r="F727" s="0" t="n">
        <v>47757828</v>
      </c>
    </row>
    <row r="728" customFormat="false" ht="12.75" hidden="false" customHeight="false" outlineLevel="0" collapsed="false">
      <c r="A728" s="129" t="n">
        <v>41913</v>
      </c>
      <c r="B728" s="0" t="n">
        <v>100.59</v>
      </c>
      <c r="C728" s="0" t="n">
        <v>100.69</v>
      </c>
      <c r="D728" s="0" t="n">
        <v>98.7</v>
      </c>
      <c r="E728" s="0" t="n">
        <v>99.18</v>
      </c>
      <c r="F728" s="0" t="n">
        <v>51491286</v>
      </c>
    </row>
    <row r="729" customFormat="false" ht="12.75" hidden="false" customHeight="false" outlineLevel="0" collapsed="false">
      <c r="A729" s="129" t="n">
        <v>41912</v>
      </c>
      <c r="B729" s="0" t="n">
        <v>100.81</v>
      </c>
      <c r="C729" s="0" t="n">
        <v>101.54</v>
      </c>
      <c r="D729" s="0" t="n">
        <v>100.53</v>
      </c>
      <c r="E729" s="0" t="n">
        <v>100.75</v>
      </c>
      <c r="F729" s="0" t="n">
        <v>55264139</v>
      </c>
    </row>
    <row r="730" customFormat="false" ht="12.75" hidden="false" customHeight="false" outlineLevel="0" collapsed="false">
      <c r="A730" s="129" t="n">
        <v>41911</v>
      </c>
      <c r="B730" s="0" t="n">
        <v>98.65</v>
      </c>
      <c r="C730" s="0" t="n">
        <v>100.44</v>
      </c>
      <c r="D730" s="0" t="n">
        <v>98.63</v>
      </c>
      <c r="E730" s="0" t="n">
        <v>100.11</v>
      </c>
      <c r="F730" s="0" t="n">
        <v>49766312</v>
      </c>
    </row>
    <row r="731" customFormat="false" ht="12.75" hidden="false" customHeight="false" outlineLevel="0" collapsed="false">
      <c r="A731" s="129" t="n">
        <v>41908</v>
      </c>
      <c r="B731" s="0" t="n">
        <v>98.53</v>
      </c>
      <c r="C731" s="0" t="n">
        <v>100.75</v>
      </c>
      <c r="D731" s="0" t="n">
        <v>98.4</v>
      </c>
      <c r="E731" s="0" t="n">
        <v>100.75</v>
      </c>
      <c r="F731" s="0" t="n">
        <v>62370501</v>
      </c>
    </row>
    <row r="732" customFormat="false" ht="12.75" hidden="false" customHeight="false" outlineLevel="0" collapsed="false">
      <c r="A732" s="129" t="n">
        <v>41907</v>
      </c>
      <c r="B732" s="0" t="n">
        <v>100.51</v>
      </c>
      <c r="C732" s="0" t="n">
        <v>100.71</v>
      </c>
      <c r="D732" s="0" t="n">
        <v>97.72</v>
      </c>
      <c r="E732" s="0" t="n">
        <v>97.87</v>
      </c>
      <c r="F732" s="0" t="n">
        <v>100091990</v>
      </c>
    </row>
    <row r="733" customFormat="false" ht="12.75" hidden="false" customHeight="false" outlineLevel="0" collapsed="false">
      <c r="A733" s="129" t="n">
        <v>41906</v>
      </c>
      <c r="B733" s="0" t="n">
        <v>102.16</v>
      </c>
      <c r="C733" s="0" t="n">
        <v>102.85</v>
      </c>
      <c r="D733" s="0" t="n">
        <v>101.2</v>
      </c>
      <c r="E733" s="0" t="n">
        <v>101.75</v>
      </c>
      <c r="F733" s="0" t="n">
        <v>60171828</v>
      </c>
    </row>
    <row r="734" customFormat="false" ht="12.75" hidden="false" customHeight="false" outlineLevel="0" collapsed="false">
      <c r="A734" s="129" t="n">
        <v>41905</v>
      </c>
      <c r="B734" s="0" t="n">
        <v>100.6</v>
      </c>
      <c r="C734" s="0" t="n">
        <v>102.94</v>
      </c>
      <c r="D734" s="0" t="n">
        <v>100.54</v>
      </c>
      <c r="E734" s="0" t="n">
        <v>102.64</v>
      </c>
      <c r="F734" s="0" t="n">
        <v>63402196</v>
      </c>
    </row>
    <row r="735" customFormat="false" ht="12.75" hidden="false" customHeight="false" outlineLevel="0" collapsed="false">
      <c r="A735" s="129" t="n">
        <v>41904</v>
      </c>
      <c r="B735" s="0" t="n">
        <v>101.8</v>
      </c>
      <c r="C735" s="0" t="n">
        <v>102.14</v>
      </c>
      <c r="D735" s="0" t="n">
        <v>100.58</v>
      </c>
      <c r="E735" s="0" t="n">
        <v>101.06</v>
      </c>
      <c r="F735" s="0" t="n">
        <v>52788426</v>
      </c>
    </row>
    <row r="736" customFormat="false" ht="12.75" hidden="false" customHeight="false" outlineLevel="0" collapsed="false">
      <c r="A736" s="129" t="n">
        <v>41901</v>
      </c>
      <c r="B736" s="0" t="n">
        <v>102.29</v>
      </c>
      <c r="C736" s="0" t="n">
        <v>102.35</v>
      </c>
      <c r="D736" s="0" t="n">
        <v>100.88</v>
      </c>
      <c r="E736" s="0" t="n">
        <v>100.96</v>
      </c>
      <c r="F736" s="0" t="n">
        <v>70902406</v>
      </c>
    </row>
    <row r="737" customFormat="false" ht="12.75" hidden="false" customHeight="false" outlineLevel="0" collapsed="false">
      <c r="A737" s="129" t="n">
        <v>41900</v>
      </c>
      <c r="B737" s="0" t="n">
        <v>101.93</v>
      </c>
      <c r="C737" s="0" t="n">
        <v>102.35</v>
      </c>
      <c r="D737" s="0" t="n">
        <v>101.56</v>
      </c>
      <c r="E737" s="0" t="n">
        <v>101.79</v>
      </c>
      <c r="F737" s="0" t="n">
        <v>37299435</v>
      </c>
    </row>
    <row r="738" customFormat="false" ht="12.75" hidden="false" customHeight="false" outlineLevel="0" collapsed="false">
      <c r="A738" s="129" t="n">
        <v>41899</v>
      </c>
      <c r="B738" s="0" t="n">
        <v>101.27</v>
      </c>
      <c r="C738" s="0" t="n">
        <v>101.8</v>
      </c>
      <c r="D738" s="0" t="n">
        <v>100.59</v>
      </c>
      <c r="E738" s="0" t="n">
        <v>101.58</v>
      </c>
      <c r="F738" s="0" t="n">
        <v>60926498</v>
      </c>
    </row>
    <row r="739" customFormat="false" ht="12.75" hidden="false" customHeight="false" outlineLevel="0" collapsed="false">
      <c r="A739" s="129" t="n">
        <v>41898</v>
      </c>
      <c r="B739" s="0" t="n">
        <v>99.8</v>
      </c>
      <c r="C739" s="0" t="n">
        <v>101.26</v>
      </c>
      <c r="D739" s="0" t="n">
        <v>98.89</v>
      </c>
      <c r="E739" s="0" t="n">
        <v>100.86</v>
      </c>
      <c r="F739" s="0" t="n">
        <v>66908133</v>
      </c>
    </row>
    <row r="740" customFormat="false" ht="12.75" hidden="false" customHeight="false" outlineLevel="0" collapsed="false">
      <c r="A740" s="129" t="n">
        <v>41897</v>
      </c>
      <c r="B740" s="0" t="n">
        <v>102.81</v>
      </c>
      <c r="C740" s="0" t="n">
        <v>103.05</v>
      </c>
      <c r="D740" s="0" t="n">
        <v>101.44</v>
      </c>
      <c r="E740" s="0" t="n">
        <v>101.63</v>
      </c>
      <c r="F740" s="0" t="n">
        <v>61316516</v>
      </c>
    </row>
    <row r="741" customFormat="false" ht="12.75" hidden="false" customHeight="false" outlineLevel="0" collapsed="false">
      <c r="A741" s="129" t="n">
        <v>41894</v>
      </c>
      <c r="B741" s="0" t="n">
        <v>101.21</v>
      </c>
      <c r="C741" s="0" t="n">
        <v>102.19</v>
      </c>
      <c r="D741" s="0" t="n">
        <v>101.08</v>
      </c>
      <c r="E741" s="0" t="n">
        <v>101.66</v>
      </c>
      <c r="F741" s="0" t="n">
        <v>64096903</v>
      </c>
    </row>
    <row r="742" customFormat="false" ht="12.75" hidden="false" customHeight="false" outlineLevel="0" collapsed="false">
      <c r="A742" s="129" t="n">
        <v>41893</v>
      </c>
      <c r="B742" s="0" t="n">
        <v>100.41</v>
      </c>
      <c r="C742" s="0" t="n">
        <v>101.44</v>
      </c>
      <c r="D742" s="0" t="n">
        <v>99.62</v>
      </c>
      <c r="E742" s="0" t="n">
        <v>101.43</v>
      </c>
      <c r="F742" s="0" t="n">
        <v>62399743</v>
      </c>
    </row>
    <row r="743" customFormat="false" ht="12.75" hidden="false" customHeight="false" outlineLevel="0" collapsed="false">
      <c r="A743" s="129" t="n">
        <v>41892</v>
      </c>
      <c r="B743" s="0" t="n">
        <v>98.01</v>
      </c>
      <c r="C743" s="0" t="n">
        <v>101.11</v>
      </c>
      <c r="D743" s="0" t="n">
        <v>97.76</v>
      </c>
      <c r="E743" s="0" t="n">
        <v>101</v>
      </c>
      <c r="F743" s="0" t="n">
        <v>100869587</v>
      </c>
    </row>
    <row r="744" customFormat="false" ht="12.75" hidden="false" customHeight="false" outlineLevel="0" collapsed="false">
      <c r="A744" s="129" t="n">
        <v>41891</v>
      </c>
      <c r="B744" s="0" t="n">
        <v>99.08</v>
      </c>
      <c r="C744" s="0" t="n">
        <v>103.08</v>
      </c>
      <c r="D744" s="0" t="n">
        <v>96.14</v>
      </c>
      <c r="E744" s="0" t="n">
        <v>97.99</v>
      </c>
      <c r="F744" s="0" t="n">
        <v>189846255</v>
      </c>
    </row>
    <row r="745" customFormat="false" ht="12.75" hidden="false" customHeight="false" outlineLevel="0" collapsed="false">
      <c r="A745" s="129" t="n">
        <v>41890</v>
      </c>
      <c r="B745" s="0" t="n">
        <v>99.3</v>
      </c>
      <c r="C745" s="0" t="n">
        <v>99.31</v>
      </c>
      <c r="D745" s="0" t="n">
        <v>98.05</v>
      </c>
      <c r="E745" s="0" t="n">
        <v>98.36</v>
      </c>
      <c r="F745" s="0" t="n">
        <v>46356742</v>
      </c>
    </row>
    <row r="746" customFormat="false" ht="12.75" hidden="false" customHeight="false" outlineLevel="0" collapsed="false">
      <c r="A746" s="129" t="n">
        <v>41887</v>
      </c>
      <c r="B746" s="0" t="n">
        <v>98.8</v>
      </c>
      <c r="C746" s="0" t="n">
        <v>99.39</v>
      </c>
      <c r="D746" s="0" t="n">
        <v>98.31</v>
      </c>
      <c r="E746" s="0" t="n">
        <v>98.97</v>
      </c>
      <c r="F746" s="0" t="n">
        <v>58457035</v>
      </c>
    </row>
    <row r="747" customFormat="false" ht="12.75" hidden="false" customHeight="false" outlineLevel="0" collapsed="false">
      <c r="A747" s="129" t="n">
        <v>41886</v>
      </c>
      <c r="B747" s="0" t="n">
        <v>98.85</v>
      </c>
      <c r="C747" s="0" t="n">
        <v>100.09</v>
      </c>
      <c r="D747" s="0" t="n">
        <v>97.79</v>
      </c>
      <c r="E747" s="0" t="n">
        <v>98.12</v>
      </c>
      <c r="F747" s="0" t="n">
        <v>85718221</v>
      </c>
    </row>
    <row r="748" customFormat="false" ht="12.75" hidden="false" customHeight="false" outlineLevel="0" collapsed="false">
      <c r="A748" s="129" t="n">
        <v>41885</v>
      </c>
      <c r="B748" s="0" t="n">
        <v>103.1</v>
      </c>
      <c r="C748" s="0" t="n">
        <v>103.2</v>
      </c>
      <c r="D748" s="0" t="n">
        <v>98.58</v>
      </c>
      <c r="E748" s="0" t="n">
        <v>98.94</v>
      </c>
      <c r="F748" s="0" t="n">
        <v>125420521</v>
      </c>
    </row>
    <row r="749" customFormat="false" ht="12.75" hidden="false" customHeight="false" outlineLevel="0" collapsed="false">
      <c r="A749" s="129" t="n">
        <v>41884</v>
      </c>
      <c r="B749" s="0" t="n">
        <v>103.06</v>
      </c>
      <c r="C749" s="0" t="n">
        <v>103.74</v>
      </c>
      <c r="D749" s="0" t="n">
        <v>102.72</v>
      </c>
      <c r="E749" s="0" t="n">
        <v>103.3</v>
      </c>
      <c r="F749" s="0" t="n">
        <v>53564262</v>
      </c>
    </row>
    <row r="750" customFormat="false" ht="12.75" hidden="false" customHeight="false" outlineLevel="0" collapsed="false">
      <c r="A750" s="129" t="n">
        <v>41880</v>
      </c>
      <c r="B750" s="0" t="n">
        <v>102.86</v>
      </c>
      <c r="C750" s="0" t="n">
        <v>102.9</v>
      </c>
      <c r="D750" s="0" t="n">
        <v>102.2</v>
      </c>
      <c r="E750" s="0" t="n">
        <v>102.5</v>
      </c>
      <c r="F750" s="0" t="n">
        <v>44595247</v>
      </c>
    </row>
    <row r="751" customFormat="false" ht="12.75" hidden="false" customHeight="false" outlineLevel="0" collapsed="false">
      <c r="A751" s="129" t="n">
        <v>41879</v>
      </c>
      <c r="B751" s="0" t="n">
        <v>102.13</v>
      </c>
      <c r="C751" s="0" t="n">
        <v>102.78</v>
      </c>
      <c r="D751" s="0" t="n">
        <v>101.56</v>
      </c>
      <c r="E751" s="0" t="n">
        <v>102.25</v>
      </c>
      <c r="F751" s="0" t="n">
        <v>68459801</v>
      </c>
    </row>
    <row r="752" customFormat="false" ht="12.75" hidden="false" customHeight="false" outlineLevel="0" collapsed="false">
      <c r="A752" s="129" t="n">
        <v>41878</v>
      </c>
      <c r="B752" s="0" t="n">
        <v>101.02</v>
      </c>
      <c r="C752" s="0" t="n">
        <v>102.57</v>
      </c>
      <c r="D752" s="0" t="n">
        <v>100.7</v>
      </c>
      <c r="E752" s="0" t="n">
        <v>102.13</v>
      </c>
      <c r="F752" s="0" t="n">
        <v>52369011</v>
      </c>
    </row>
    <row r="753" customFormat="false" ht="12.75" hidden="false" customHeight="false" outlineLevel="0" collapsed="false">
      <c r="A753" s="129" t="n">
        <v>41877</v>
      </c>
      <c r="B753" s="0" t="n">
        <v>101.42</v>
      </c>
      <c r="C753" s="0" t="n">
        <v>101.5</v>
      </c>
      <c r="D753" s="0" t="n">
        <v>100.86</v>
      </c>
      <c r="E753" s="0" t="n">
        <v>100.89</v>
      </c>
      <c r="F753" s="0" t="n">
        <v>33151984</v>
      </c>
    </row>
    <row r="754" customFormat="false" ht="12.75" hidden="false" customHeight="false" outlineLevel="0" collapsed="false">
      <c r="A754" s="129" t="n">
        <v>41876</v>
      </c>
      <c r="B754" s="0" t="n">
        <v>101.79</v>
      </c>
      <c r="C754" s="0" t="n">
        <v>102.17</v>
      </c>
      <c r="D754" s="0" t="n">
        <v>101.28</v>
      </c>
      <c r="E754" s="0" t="n">
        <v>101.54</v>
      </c>
      <c r="F754" s="0" t="n">
        <v>40270173</v>
      </c>
    </row>
    <row r="755" customFormat="false" ht="12.75" hidden="false" customHeight="false" outlineLevel="0" collapsed="false">
      <c r="A755" s="129" t="n">
        <v>41873</v>
      </c>
      <c r="B755" s="0" t="n">
        <v>100.29</v>
      </c>
      <c r="C755" s="0" t="n">
        <v>101.47</v>
      </c>
      <c r="D755" s="0" t="n">
        <v>100.19</v>
      </c>
      <c r="E755" s="0" t="n">
        <v>101.32</v>
      </c>
      <c r="F755" s="0" t="n">
        <v>44183834</v>
      </c>
    </row>
    <row r="756" customFormat="false" ht="12.75" hidden="false" customHeight="false" outlineLevel="0" collapsed="false">
      <c r="A756" s="129" t="n">
        <v>41872</v>
      </c>
      <c r="B756" s="0" t="n">
        <v>100.57</v>
      </c>
      <c r="C756" s="0" t="n">
        <v>100.94</v>
      </c>
      <c r="D756" s="0" t="n">
        <v>100.11</v>
      </c>
      <c r="E756" s="0" t="n">
        <v>100.58</v>
      </c>
      <c r="F756" s="0" t="n">
        <v>33478198</v>
      </c>
    </row>
    <row r="757" customFormat="false" ht="12.75" hidden="false" customHeight="false" outlineLevel="0" collapsed="false">
      <c r="A757" s="129" t="n">
        <v>41871</v>
      </c>
      <c r="B757" s="0" t="n">
        <v>100.44</v>
      </c>
      <c r="C757" s="0" t="n">
        <v>101.09</v>
      </c>
      <c r="D757" s="0" t="n">
        <v>99.95</v>
      </c>
      <c r="E757" s="0" t="n">
        <v>100.57</v>
      </c>
      <c r="F757" s="0" t="n">
        <v>52699192</v>
      </c>
    </row>
    <row r="758" customFormat="false" ht="12.75" hidden="false" customHeight="false" outlineLevel="0" collapsed="false">
      <c r="A758" s="129" t="n">
        <v>41870</v>
      </c>
      <c r="B758" s="0" t="n">
        <v>99.41</v>
      </c>
      <c r="C758" s="0" t="n">
        <v>100.68</v>
      </c>
      <c r="D758" s="0" t="n">
        <v>99.32</v>
      </c>
      <c r="E758" s="0" t="n">
        <v>100.53</v>
      </c>
      <c r="F758" s="0" t="n">
        <v>69399270</v>
      </c>
    </row>
    <row r="759" customFormat="false" ht="12.75" hidden="false" customHeight="false" outlineLevel="0" collapsed="false">
      <c r="A759" s="129" t="n">
        <v>41869</v>
      </c>
      <c r="B759" s="0" t="n">
        <v>98.49</v>
      </c>
      <c r="C759" s="0" t="n">
        <v>99.37</v>
      </c>
      <c r="D759" s="0" t="n">
        <v>97.98</v>
      </c>
      <c r="E759" s="0" t="n">
        <v>99.16</v>
      </c>
      <c r="F759" s="0" t="n">
        <v>47572413</v>
      </c>
    </row>
    <row r="760" customFormat="false" ht="12.75" hidden="false" customHeight="false" outlineLevel="0" collapsed="false">
      <c r="A760" s="129" t="n">
        <v>41866</v>
      </c>
      <c r="B760" s="0" t="n">
        <v>97.9</v>
      </c>
      <c r="C760" s="0" t="n">
        <v>98.19</v>
      </c>
      <c r="D760" s="0" t="n">
        <v>96.86</v>
      </c>
      <c r="E760" s="0" t="n">
        <v>97.98</v>
      </c>
      <c r="F760" s="0" t="n">
        <v>48951331</v>
      </c>
    </row>
    <row r="761" customFormat="false" ht="12.75" hidden="false" customHeight="false" outlineLevel="0" collapsed="false">
      <c r="A761" s="129" t="n">
        <v>41865</v>
      </c>
      <c r="B761" s="0" t="n">
        <v>97.33</v>
      </c>
      <c r="C761" s="0" t="n">
        <v>97.57</v>
      </c>
      <c r="D761" s="0" t="n">
        <v>96.8</v>
      </c>
      <c r="E761" s="0" t="n">
        <v>97.5</v>
      </c>
      <c r="F761" s="0" t="n">
        <v>28115566</v>
      </c>
    </row>
    <row r="762" customFormat="false" ht="12.75" hidden="false" customHeight="false" outlineLevel="0" collapsed="false">
      <c r="A762" s="129" t="n">
        <v>41864</v>
      </c>
      <c r="B762" s="0" t="n">
        <v>96.15</v>
      </c>
      <c r="C762" s="0" t="n">
        <v>97.24</v>
      </c>
      <c r="D762" s="0" t="n">
        <v>96.04</v>
      </c>
      <c r="E762" s="0" t="n">
        <v>97.24</v>
      </c>
      <c r="F762" s="0" t="n">
        <v>31916439</v>
      </c>
    </row>
    <row r="763" customFormat="false" ht="12.75" hidden="false" customHeight="false" outlineLevel="0" collapsed="false">
      <c r="A763" s="129" t="n">
        <v>41863</v>
      </c>
      <c r="B763" s="0" t="n">
        <v>96.04</v>
      </c>
      <c r="C763" s="0" t="n">
        <v>96.88</v>
      </c>
      <c r="D763" s="0" t="n">
        <v>95.61</v>
      </c>
      <c r="E763" s="0" t="n">
        <v>95.97</v>
      </c>
      <c r="F763" s="0" t="n">
        <v>33795352</v>
      </c>
    </row>
    <row r="764" customFormat="false" ht="12.75" hidden="false" customHeight="false" outlineLevel="0" collapsed="false">
      <c r="A764" s="129" t="n">
        <v>41862</v>
      </c>
      <c r="B764" s="0" t="n">
        <v>95.27</v>
      </c>
      <c r="C764" s="0" t="n">
        <v>96.08</v>
      </c>
      <c r="D764" s="0" t="n">
        <v>94.84</v>
      </c>
      <c r="E764" s="0" t="n">
        <v>95.99</v>
      </c>
      <c r="F764" s="0" t="n">
        <v>36584844</v>
      </c>
    </row>
    <row r="765" customFormat="false" ht="12.75" hidden="false" customHeight="false" outlineLevel="0" collapsed="false">
      <c r="A765" s="129" t="n">
        <v>41859</v>
      </c>
      <c r="B765" s="0" t="n">
        <v>94.26</v>
      </c>
      <c r="C765" s="0" t="n">
        <v>94.82</v>
      </c>
      <c r="D765" s="0" t="n">
        <v>93.28</v>
      </c>
      <c r="E765" s="0" t="n">
        <v>94.74</v>
      </c>
      <c r="F765" s="0" t="n">
        <v>41865193</v>
      </c>
    </row>
    <row r="766" customFormat="false" ht="12.75" hidden="false" customHeight="false" outlineLevel="0" collapsed="false">
      <c r="A766" s="129" t="n">
        <v>41858</v>
      </c>
      <c r="B766" s="0" t="n">
        <v>94.93</v>
      </c>
      <c r="C766" s="0" t="n">
        <v>95.95</v>
      </c>
      <c r="D766" s="0" t="n">
        <v>94.1</v>
      </c>
      <c r="E766" s="0" t="n">
        <v>94.48</v>
      </c>
      <c r="F766" s="0" t="n">
        <v>46711179</v>
      </c>
    </row>
    <row r="767" customFormat="false" ht="12.75" hidden="false" customHeight="false" outlineLevel="0" collapsed="false">
      <c r="A767" s="129" t="n">
        <v>41857</v>
      </c>
      <c r="B767" s="0" t="n">
        <v>94.75</v>
      </c>
      <c r="C767" s="0" t="n">
        <v>95.48</v>
      </c>
      <c r="D767" s="0" t="n">
        <v>94.71</v>
      </c>
      <c r="E767" s="0" t="n">
        <v>94.96</v>
      </c>
      <c r="F767" s="0" t="n">
        <v>38558342</v>
      </c>
    </row>
    <row r="768" customFormat="false" ht="12.75" hidden="false" customHeight="false" outlineLevel="0" collapsed="false">
      <c r="A768" s="129" t="n">
        <v>41856</v>
      </c>
      <c r="B768" s="0" t="n">
        <v>95.36</v>
      </c>
      <c r="C768" s="0" t="n">
        <v>95.68</v>
      </c>
      <c r="D768" s="0" t="n">
        <v>94.36</v>
      </c>
      <c r="E768" s="0" t="n">
        <v>95.12</v>
      </c>
      <c r="F768" s="0" t="n">
        <v>55932663</v>
      </c>
    </row>
    <row r="769" customFormat="false" ht="12.75" hidden="false" customHeight="false" outlineLevel="0" collapsed="false">
      <c r="A769" s="129" t="n">
        <v>41855</v>
      </c>
      <c r="B769" s="0" t="n">
        <v>96.37</v>
      </c>
      <c r="C769" s="0" t="n">
        <v>96.58</v>
      </c>
      <c r="D769" s="0" t="n">
        <v>95.17</v>
      </c>
      <c r="E769" s="0" t="n">
        <v>95.59</v>
      </c>
      <c r="F769" s="0" t="n">
        <v>39958144</v>
      </c>
    </row>
    <row r="770" customFormat="false" ht="12.75" hidden="false" customHeight="false" outlineLevel="0" collapsed="false">
      <c r="A770" s="129" t="n">
        <v>41852</v>
      </c>
      <c r="B770" s="0" t="n">
        <v>94.9</v>
      </c>
      <c r="C770" s="0" t="n">
        <v>96.62</v>
      </c>
      <c r="D770" s="0" t="n">
        <v>94.81</v>
      </c>
      <c r="E770" s="0" t="n">
        <v>96.13</v>
      </c>
      <c r="F770" s="0" t="n">
        <v>48511286</v>
      </c>
    </row>
    <row r="771" customFormat="false" ht="12.75" hidden="false" customHeight="false" outlineLevel="0" collapsed="false">
      <c r="A771" s="129" t="n">
        <v>41851</v>
      </c>
      <c r="B771" s="0" t="n">
        <v>97.16</v>
      </c>
      <c r="C771" s="0" t="n">
        <v>97.45</v>
      </c>
      <c r="D771" s="0" t="n">
        <v>95.33</v>
      </c>
      <c r="E771" s="0" t="n">
        <v>95.6</v>
      </c>
      <c r="F771" s="0" t="n">
        <v>56842647</v>
      </c>
    </row>
    <row r="772" customFormat="false" ht="12.75" hidden="false" customHeight="false" outlineLevel="0" collapsed="false">
      <c r="A772" s="129" t="n">
        <v>41850</v>
      </c>
      <c r="B772" s="0" t="n">
        <v>98.44</v>
      </c>
      <c r="C772" s="0" t="n">
        <v>98.7</v>
      </c>
      <c r="D772" s="0" t="n">
        <v>97.67</v>
      </c>
      <c r="E772" s="0" t="n">
        <v>98.15</v>
      </c>
      <c r="F772" s="0" t="n">
        <v>33010001</v>
      </c>
    </row>
    <row r="773" customFormat="false" ht="12.75" hidden="false" customHeight="false" outlineLevel="0" collapsed="false">
      <c r="A773" s="129" t="n">
        <v>41849</v>
      </c>
      <c r="B773" s="0" t="n">
        <v>99.33</v>
      </c>
      <c r="C773" s="0" t="n">
        <v>99.44</v>
      </c>
      <c r="D773" s="0" t="n">
        <v>98.25</v>
      </c>
      <c r="E773" s="0" t="n">
        <v>98.38</v>
      </c>
      <c r="F773" s="0" t="n">
        <v>43143095</v>
      </c>
    </row>
    <row r="774" customFormat="false" ht="12.75" hidden="false" customHeight="false" outlineLevel="0" collapsed="false">
      <c r="A774" s="129" t="n">
        <v>41848</v>
      </c>
      <c r="B774" s="0" t="n">
        <v>97.82</v>
      </c>
      <c r="C774" s="0" t="n">
        <v>99.24</v>
      </c>
      <c r="D774" s="0" t="n">
        <v>97.55</v>
      </c>
      <c r="E774" s="0" t="n">
        <v>99.02</v>
      </c>
      <c r="F774" s="0" t="n">
        <v>55317689</v>
      </c>
    </row>
    <row r="775" customFormat="false" ht="12.75" hidden="false" customHeight="false" outlineLevel="0" collapsed="false">
      <c r="A775" s="129" t="n">
        <v>41845</v>
      </c>
      <c r="B775" s="0" t="n">
        <v>96.85</v>
      </c>
      <c r="C775" s="0" t="n">
        <v>97.84</v>
      </c>
      <c r="D775" s="0" t="n">
        <v>96.64</v>
      </c>
      <c r="E775" s="0" t="n">
        <v>97.67</v>
      </c>
      <c r="F775" s="0" t="n">
        <v>43469117</v>
      </c>
    </row>
    <row r="776" customFormat="false" ht="12.75" hidden="false" customHeight="false" outlineLevel="0" collapsed="false">
      <c r="A776" s="129" t="n">
        <v>41844</v>
      </c>
      <c r="B776" s="0" t="n">
        <v>97.04</v>
      </c>
      <c r="C776" s="0" t="n">
        <v>97.32</v>
      </c>
      <c r="D776" s="0" t="n">
        <v>96.42</v>
      </c>
      <c r="E776" s="0" t="n">
        <v>97.03</v>
      </c>
      <c r="F776" s="0" t="n">
        <v>45728843</v>
      </c>
    </row>
    <row r="777" customFormat="false" ht="12.75" hidden="false" customHeight="false" outlineLevel="0" collapsed="false">
      <c r="A777" s="129" t="n">
        <v>41843</v>
      </c>
      <c r="B777" s="0" t="n">
        <v>95.42</v>
      </c>
      <c r="C777" s="0" t="n">
        <v>97.88</v>
      </c>
      <c r="D777" s="0" t="n">
        <v>95.17</v>
      </c>
      <c r="E777" s="0" t="n">
        <v>97.19</v>
      </c>
      <c r="F777" s="0" t="n">
        <v>92917719</v>
      </c>
    </row>
    <row r="778" customFormat="false" ht="12.75" hidden="false" customHeight="false" outlineLevel="0" collapsed="false">
      <c r="A778" s="129" t="n">
        <v>41842</v>
      </c>
      <c r="B778" s="0" t="n">
        <v>94.68</v>
      </c>
      <c r="C778" s="0" t="n">
        <v>94.89</v>
      </c>
      <c r="D778" s="0" t="n">
        <v>94.12</v>
      </c>
      <c r="E778" s="0" t="n">
        <v>94.72</v>
      </c>
      <c r="F778" s="0" t="n">
        <v>55196597</v>
      </c>
    </row>
    <row r="779" customFormat="false" ht="12.75" hidden="false" customHeight="false" outlineLevel="0" collapsed="false">
      <c r="A779" s="129" t="n">
        <v>41841</v>
      </c>
      <c r="B779" s="0" t="n">
        <v>94.99</v>
      </c>
      <c r="C779" s="0" t="n">
        <v>95</v>
      </c>
      <c r="D779" s="0" t="n">
        <v>93.72</v>
      </c>
      <c r="E779" s="0" t="n">
        <v>93.94</v>
      </c>
      <c r="F779" s="0" t="n">
        <v>39079002</v>
      </c>
    </row>
    <row r="780" customFormat="false" ht="12.75" hidden="false" customHeight="false" outlineLevel="0" collapsed="false">
      <c r="A780" s="129" t="n">
        <v>41838</v>
      </c>
      <c r="B780" s="0" t="n">
        <v>93.62</v>
      </c>
      <c r="C780" s="0" t="n">
        <v>94.74</v>
      </c>
      <c r="D780" s="0" t="n">
        <v>93.02</v>
      </c>
      <c r="E780" s="0" t="n">
        <v>94.43</v>
      </c>
      <c r="F780" s="0" t="n">
        <v>49987593</v>
      </c>
    </row>
    <row r="781" customFormat="false" ht="12.75" hidden="false" customHeight="false" outlineLevel="0" collapsed="false">
      <c r="A781" s="129" t="n">
        <v>41837</v>
      </c>
      <c r="B781" s="0" t="n">
        <v>95.03</v>
      </c>
      <c r="C781" s="0" t="n">
        <v>95.28</v>
      </c>
      <c r="D781" s="0" t="n">
        <v>92.57</v>
      </c>
      <c r="E781" s="0" t="n">
        <v>93.09</v>
      </c>
      <c r="F781" s="0" t="n">
        <v>57298243</v>
      </c>
    </row>
    <row r="782" customFormat="false" ht="12.75" hidden="false" customHeight="false" outlineLevel="0" collapsed="false">
      <c r="A782" s="129" t="n">
        <v>41836</v>
      </c>
      <c r="B782" s="0" t="n">
        <v>96.97</v>
      </c>
      <c r="C782" s="0" t="n">
        <v>97.1</v>
      </c>
      <c r="D782" s="0" t="n">
        <v>94.74</v>
      </c>
      <c r="E782" s="0" t="n">
        <v>94.78</v>
      </c>
      <c r="F782" s="0" t="n">
        <v>53502415</v>
      </c>
    </row>
    <row r="783" customFormat="false" ht="12.75" hidden="false" customHeight="false" outlineLevel="0" collapsed="false">
      <c r="A783" s="129" t="n">
        <v>41835</v>
      </c>
      <c r="B783" s="0" t="n">
        <v>96.8</v>
      </c>
      <c r="C783" s="0" t="n">
        <v>96.85</v>
      </c>
      <c r="D783" s="0" t="n">
        <v>95.03</v>
      </c>
      <c r="E783" s="0" t="n">
        <v>95.32</v>
      </c>
      <c r="F783" s="0" t="n">
        <v>45696176</v>
      </c>
    </row>
    <row r="784" customFormat="false" ht="12.75" hidden="false" customHeight="false" outlineLevel="0" collapsed="false">
      <c r="A784" s="129" t="n">
        <v>41834</v>
      </c>
      <c r="B784" s="0" t="n">
        <v>95.86</v>
      </c>
      <c r="C784" s="0" t="n">
        <v>96.89</v>
      </c>
      <c r="D784" s="0" t="n">
        <v>95.65</v>
      </c>
      <c r="E784" s="0" t="n">
        <v>96.45</v>
      </c>
      <c r="F784" s="0" t="n">
        <v>42810155</v>
      </c>
    </row>
    <row r="785" customFormat="false" ht="12.75" hidden="false" customHeight="false" outlineLevel="0" collapsed="false">
      <c r="A785" s="129" t="n">
        <v>41831</v>
      </c>
      <c r="B785" s="0" t="n">
        <v>95.36</v>
      </c>
      <c r="C785" s="0" t="n">
        <v>95.89</v>
      </c>
      <c r="D785" s="0" t="n">
        <v>94.86</v>
      </c>
      <c r="E785" s="0" t="n">
        <v>95.22</v>
      </c>
      <c r="F785" s="0" t="n">
        <v>34018228</v>
      </c>
    </row>
    <row r="786" customFormat="false" ht="12.75" hidden="false" customHeight="false" outlineLevel="0" collapsed="false">
      <c r="A786" s="129" t="n">
        <v>41830</v>
      </c>
      <c r="B786" s="0" t="n">
        <v>93.76</v>
      </c>
      <c r="C786" s="0" t="n">
        <v>95.55</v>
      </c>
      <c r="D786" s="0" t="n">
        <v>93.52</v>
      </c>
      <c r="E786" s="0" t="n">
        <v>95.04</v>
      </c>
      <c r="F786" s="0" t="n">
        <v>39685552</v>
      </c>
    </row>
    <row r="787" customFormat="false" ht="12.75" hidden="false" customHeight="false" outlineLevel="0" collapsed="false">
      <c r="A787" s="129" t="n">
        <v>41829</v>
      </c>
      <c r="B787" s="0" t="n">
        <v>95.44</v>
      </c>
      <c r="C787" s="0" t="n">
        <v>95.95</v>
      </c>
      <c r="D787" s="0" t="n">
        <v>94.76</v>
      </c>
      <c r="E787" s="0" t="n">
        <v>95.39</v>
      </c>
      <c r="F787" s="0" t="n">
        <v>36436440</v>
      </c>
    </row>
    <row r="788" customFormat="false" ht="12.75" hidden="false" customHeight="false" outlineLevel="0" collapsed="false">
      <c r="A788" s="129" t="n">
        <v>41828</v>
      </c>
      <c r="B788" s="0" t="n">
        <v>96.27</v>
      </c>
      <c r="C788" s="0" t="n">
        <v>96.8</v>
      </c>
      <c r="D788" s="0" t="n">
        <v>93.92</v>
      </c>
      <c r="E788" s="0" t="n">
        <v>95.35</v>
      </c>
      <c r="F788" s="0" t="n">
        <v>65221678</v>
      </c>
    </row>
    <row r="789" customFormat="false" ht="12.75" hidden="false" customHeight="false" outlineLevel="0" collapsed="false">
      <c r="A789" s="129" t="n">
        <v>41827</v>
      </c>
      <c r="B789" s="0" t="n">
        <v>94.14</v>
      </c>
      <c r="C789" s="0" t="n">
        <v>95.99</v>
      </c>
      <c r="D789" s="0" t="n">
        <v>94.1</v>
      </c>
      <c r="E789" s="0" t="n">
        <v>95.97</v>
      </c>
      <c r="F789" s="0" t="n">
        <v>56467939</v>
      </c>
    </row>
    <row r="790" customFormat="false" ht="12.75" hidden="false" customHeight="false" outlineLevel="0" collapsed="false">
      <c r="A790" s="129" t="n">
        <v>41823</v>
      </c>
      <c r="B790" s="0" t="n">
        <v>93.67</v>
      </c>
      <c r="C790" s="0" t="n">
        <v>94.1</v>
      </c>
      <c r="D790" s="0" t="n">
        <v>93.2</v>
      </c>
      <c r="E790" s="0" t="n">
        <v>94.03</v>
      </c>
      <c r="F790" s="0" t="n">
        <v>22891753</v>
      </c>
    </row>
    <row r="791" customFormat="false" ht="12.75" hidden="false" customHeight="false" outlineLevel="0" collapsed="false">
      <c r="A791" s="129" t="n">
        <v>41822</v>
      </c>
      <c r="B791" s="0" t="n">
        <v>93.86</v>
      </c>
      <c r="C791" s="0" t="n">
        <v>94.06</v>
      </c>
      <c r="D791" s="0" t="n">
        <v>93.09</v>
      </c>
      <c r="E791" s="0" t="n">
        <v>93.48</v>
      </c>
      <c r="F791" s="0" t="n">
        <v>28465073</v>
      </c>
    </row>
    <row r="792" customFormat="false" ht="12.75" hidden="false" customHeight="false" outlineLevel="0" collapsed="false">
      <c r="A792" s="129" t="n">
        <v>41821</v>
      </c>
      <c r="B792" s="0" t="n">
        <v>93.52</v>
      </c>
      <c r="C792" s="0" t="n">
        <v>94.07</v>
      </c>
      <c r="D792" s="0" t="n">
        <v>93.13</v>
      </c>
      <c r="E792" s="0" t="n">
        <v>93.52</v>
      </c>
      <c r="F792" s="0" t="n">
        <v>38223477</v>
      </c>
    </row>
    <row r="793" customFormat="false" ht="12.75" hidden="false" customHeight="false" outlineLevel="0" collapsed="false">
      <c r="A793" s="129" t="n">
        <v>41820</v>
      </c>
      <c r="B793" s="0" t="n">
        <v>92.1</v>
      </c>
      <c r="C793" s="0" t="n">
        <v>93.72</v>
      </c>
      <c r="D793" s="0" t="n">
        <v>92.09</v>
      </c>
      <c r="E793" s="0" t="n">
        <v>92.93</v>
      </c>
      <c r="F793" s="0" t="n">
        <v>49589028</v>
      </c>
    </row>
    <row r="794" customFormat="false" ht="12.75" hidden="false" customHeight="false" outlineLevel="0" collapsed="false">
      <c r="A794" s="129" t="n">
        <v>41817</v>
      </c>
      <c r="B794" s="0" t="n">
        <v>90.82</v>
      </c>
      <c r="C794" s="0" t="n">
        <v>92</v>
      </c>
      <c r="D794" s="0" t="n">
        <v>90.77</v>
      </c>
      <c r="E794" s="0" t="n">
        <v>91.98</v>
      </c>
      <c r="F794" s="0" t="n">
        <v>64028803</v>
      </c>
    </row>
    <row r="795" customFormat="false" ht="12.75" hidden="false" customHeight="false" outlineLevel="0" collapsed="false">
      <c r="A795" s="129" t="n">
        <v>41816</v>
      </c>
      <c r="B795" s="0" t="n">
        <v>90.37</v>
      </c>
      <c r="C795" s="0" t="n">
        <v>91.05</v>
      </c>
      <c r="D795" s="0" t="n">
        <v>89.8</v>
      </c>
      <c r="E795" s="0" t="n">
        <v>90.9</v>
      </c>
      <c r="F795" s="0" t="n">
        <v>32629359</v>
      </c>
    </row>
    <row r="796" customFormat="false" ht="12.75" hidden="false" customHeight="false" outlineLevel="0" collapsed="false">
      <c r="A796" s="129" t="n">
        <v>41815</v>
      </c>
      <c r="B796" s="0" t="n">
        <v>90.21</v>
      </c>
      <c r="C796" s="0" t="n">
        <v>90.7</v>
      </c>
      <c r="D796" s="0" t="n">
        <v>89.65</v>
      </c>
      <c r="E796" s="0" t="n">
        <v>90.36</v>
      </c>
      <c r="F796" s="0" t="n">
        <v>36868541</v>
      </c>
    </row>
    <row r="797" customFormat="false" ht="12.75" hidden="false" customHeight="false" outlineLevel="0" collapsed="false">
      <c r="A797" s="129" t="n">
        <v>41814</v>
      </c>
      <c r="B797" s="0" t="n">
        <v>90.75</v>
      </c>
      <c r="C797" s="0" t="n">
        <v>91.74</v>
      </c>
      <c r="D797" s="0" t="n">
        <v>90.19</v>
      </c>
      <c r="E797" s="0" t="n">
        <v>90.28</v>
      </c>
      <c r="F797" s="0" t="n">
        <v>39036087</v>
      </c>
    </row>
    <row r="798" customFormat="false" ht="12.75" hidden="false" customHeight="false" outlineLevel="0" collapsed="false">
      <c r="A798" s="129" t="n">
        <v>41813</v>
      </c>
      <c r="B798" s="0" t="n">
        <v>91.32</v>
      </c>
      <c r="C798" s="0" t="n">
        <v>91.62</v>
      </c>
      <c r="D798" s="0" t="n">
        <v>90.6</v>
      </c>
      <c r="E798" s="0" t="n">
        <v>90.83</v>
      </c>
      <c r="F798" s="0" t="n">
        <v>43694391</v>
      </c>
    </row>
    <row r="799" customFormat="false" ht="12.75" hidden="false" customHeight="false" outlineLevel="0" collapsed="false">
      <c r="A799" s="129" t="n">
        <v>41810</v>
      </c>
      <c r="B799" s="0" t="n">
        <v>91.85</v>
      </c>
      <c r="C799" s="0" t="n">
        <v>92.55</v>
      </c>
      <c r="D799" s="0" t="n">
        <v>90.9</v>
      </c>
      <c r="E799" s="0" t="n">
        <v>90.91</v>
      </c>
      <c r="F799" s="0" t="n">
        <v>100898066</v>
      </c>
    </row>
    <row r="800" customFormat="false" ht="12.75" hidden="false" customHeight="false" outlineLevel="0" collapsed="false">
      <c r="A800" s="129" t="n">
        <v>41809</v>
      </c>
      <c r="B800" s="0" t="n">
        <v>92.29</v>
      </c>
      <c r="C800" s="0" t="n">
        <v>92.3</v>
      </c>
      <c r="D800" s="0" t="n">
        <v>91.34</v>
      </c>
      <c r="E800" s="0" t="n">
        <v>91.86</v>
      </c>
      <c r="F800" s="0" t="n">
        <v>35527686</v>
      </c>
    </row>
    <row r="801" customFormat="false" ht="12.75" hidden="false" customHeight="false" outlineLevel="0" collapsed="false">
      <c r="A801" s="129" t="n">
        <v>41808</v>
      </c>
      <c r="B801" s="0" t="n">
        <v>92.27</v>
      </c>
      <c r="C801" s="0" t="n">
        <v>92.29</v>
      </c>
      <c r="D801" s="0" t="n">
        <v>91.35</v>
      </c>
      <c r="E801" s="0" t="n">
        <v>92.18</v>
      </c>
      <c r="F801" s="0" t="n">
        <v>33514108</v>
      </c>
    </row>
    <row r="802" customFormat="false" ht="12.75" hidden="false" customHeight="false" outlineLevel="0" collapsed="false">
      <c r="A802" s="129" t="n">
        <v>41807</v>
      </c>
      <c r="B802" s="0" t="n">
        <v>92.31</v>
      </c>
      <c r="C802" s="0" t="n">
        <v>92.7</v>
      </c>
      <c r="D802" s="0" t="n">
        <v>91.8</v>
      </c>
      <c r="E802" s="0" t="n">
        <v>92.08</v>
      </c>
      <c r="F802" s="0" t="n">
        <v>29726347</v>
      </c>
    </row>
    <row r="803" customFormat="false" ht="12.75" hidden="false" customHeight="false" outlineLevel="0" collapsed="false">
      <c r="A803" s="129" t="n">
        <v>41806</v>
      </c>
      <c r="B803" s="0" t="n">
        <v>91.51</v>
      </c>
      <c r="C803" s="0" t="n">
        <v>92.75</v>
      </c>
      <c r="D803" s="0" t="n">
        <v>91.45</v>
      </c>
      <c r="E803" s="0" t="n">
        <v>92.2</v>
      </c>
      <c r="F803" s="0" t="n">
        <v>35561270</v>
      </c>
    </row>
    <row r="804" customFormat="false" ht="12.75" hidden="false" customHeight="false" outlineLevel="0" collapsed="false">
      <c r="A804" s="129" t="n">
        <v>41803</v>
      </c>
      <c r="B804" s="0" t="n">
        <v>92.2</v>
      </c>
      <c r="C804" s="0" t="n">
        <v>92.44</v>
      </c>
      <c r="D804" s="0" t="n">
        <v>90.88</v>
      </c>
      <c r="E804" s="0" t="n">
        <v>91.28</v>
      </c>
      <c r="F804" s="0" t="n">
        <v>54525280</v>
      </c>
    </row>
    <row r="805" customFormat="false" ht="12.75" hidden="false" customHeight="false" outlineLevel="0" collapsed="false">
      <c r="A805" s="129" t="n">
        <v>41802</v>
      </c>
      <c r="B805" s="0" t="n">
        <v>94.04</v>
      </c>
      <c r="C805" s="0" t="n">
        <v>94.12</v>
      </c>
      <c r="D805" s="0" t="n">
        <v>91.9</v>
      </c>
      <c r="E805" s="0" t="n">
        <v>92.29</v>
      </c>
      <c r="F805" s="0" t="n">
        <v>54748791</v>
      </c>
    </row>
    <row r="806" customFormat="false" ht="12.75" hidden="false" customHeight="false" outlineLevel="0" collapsed="false">
      <c r="A806" s="129" t="n">
        <v>41801</v>
      </c>
      <c r="B806" s="0" t="n">
        <v>94.13</v>
      </c>
      <c r="C806" s="0" t="n">
        <v>94.76</v>
      </c>
      <c r="D806" s="0" t="n">
        <v>93.47</v>
      </c>
      <c r="E806" s="0" t="n">
        <v>93.86</v>
      </c>
      <c r="F806" s="0" t="n">
        <v>45681114</v>
      </c>
    </row>
    <row r="807" customFormat="false" ht="12.75" hidden="false" customHeight="false" outlineLevel="0" collapsed="false">
      <c r="A807" s="129" t="n">
        <v>41800</v>
      </c>
      <c r="B807" s="0" t="n">
        <v>94.73</v>
      </c>
      <c r="C807" s="0" t="n">
        <v>95.05</v>
      </c>
      <c r="D807" s="0" t="n">
        <v>93.57</v>
      </c>
      <c r="E807" s="0" t="n">
        <v>94.25</v>
      </c>
      <c r="F807" s="0" t="n">
        <v>62777042</v>
      </c>
    </row>
    <row r="808" customFormat="false" ht="12.75" hidden="false" customHeight="false" outlineLevel="0" collapsed="false">
      <c r="A808" s="129" t="n">
        <v>41799</v>
      </c>
      <c r="B808" s="0" t="n">
        <v>92.7</v>
      </c>
      <c r="C808" s="0" t="n">
        <v>93.88</v>
      </c>
      <c r="D808" s="0" t="n">
        <v>91.75</v>
      </c>
      <c r="E808" s="0" t="n">
        <v>93.7</v>
      </c>
      <c r="F808" s="0" t="n">
        <v>75414804</v>
      </c>
    </row>
    <row r="809" customFormat="false" ht="12.75" hidden="false" customHeight="false" outlineLevel="0" collapsed="false">
      <c r="A809" s="129" t="n">
        <v>41796</v>
      </c>
      <c r="B809" s="0" t="n">
        <v>92.84</v>
      </c>
      <c r="C809" s="0" t="n">
        <v>93.04</v>
      </c>
      <c r="D809" s="0" t="n">
        <v>92.07</v>
      </c>
      <c r="E809" s="0" t="n">
        <v>92.22</v>
      </c>
      <c r="F809" s="0" t="n">
        <v>87620911</v>
      </c>
    </row>
    <row r="810" customFormat="false" ht="12.75" hidden="false" customHeight="false" outlineLevel="0" collapsed="false">
      <c r="A810" s="129" t="n">
        <v>41795</v>
      </c>
      <c r="B810" s="0" t="n">
        <v>92.31</v>
      </c>
      <c r="C810" s="0" t="n">
        <v>92.77</v>
      </c>
      <c r="D810" s="0" t="n">
        <v>91.8</v>
      </c>
      <c r="E810" s="0" t="n">
        <v>92.48</v>
      </c>
      <c r="F810" s="0" t="n">
        <v>75951141</v>
      </c>
    </row>
    <row r="811" customFormat="false" ht="12.75" hidden="false" customHeight="false" outlineLevel="0" collapsed="false">
      <c r="A811" s="129" t="n">
        <v>41794</v>
      </c>
      <c r="B811" s="0" t="n">
        <v>91.06</v>
      </c>
      <c r="C811" s="0" t="n">
        <v>92.56</v>
      </c>
      <c r="D811" s="0" t="n">
        <v>90.87</v>
      </c>
      <c r="E811" s="0" t="n">
        <v>92.12</v>
      </c>
      <c r="F811" s="0" t="n">
        <v>83870521</v>
      </c>
    </row>
    <row r="812" customFormat="false" ht="12.75" hidden="false" customHeight="false" outlineLevel="0" collapsed="false">
      <c r="A812" s="129" t="n">
        <v>41793</v>
      </c>
      <c r="B812" s="0" t="n">
        <v>89.78</v>
      </c>
      <c r="C812" s="0" t="n">
        <v>91.25</v>
      </c>
      <c r="D812" s="0" t="n">
        <v>89.75</v>
      </c>
      <c r="E812" s="0" t="n">
        <v>91.08</v>
      </c>
      <c r="F812" s="0" t="n">
        <v>73231620</v>
      </c>
    </row>
    <row r="813" customFormat="false" ht="12.75" hidden="false" customHeight="false" outlineLevel="0" collapsed="false">
      <c r="A813" s="129" t="n">
        <v>41792</v>
      </c>
      <c r="B813" s="0" t="n">
        <v>90.57</v>
      </c>
      <c r="C813" s="0" t="n">
        <v>90.69</v>
      </c>
      <c r="D813" s="0" t="n">
        <v>88.93</v>
      </c>
      <c r="E813" s="0" t="n">
        <v>89.81</v>
      </c>
      <c r="F813" s="0" t="n">
        <v>92337903</v>
      </c>
    </row>
    <row r="814" customFormat="false" ht="12.75" hidden="false" customHeight="false" outlineLevel="0" collapsed="false">
      <c r="A814" s="129" t="n">
        <v>41789</v>
      </c>
      <c r="B814" s="0" t="n">
        <v>91.14</v>
      </c>
      <c r="C814" s="0" t="n">
        <v>92.02</v>
      </c>
      <c r="D814" s="0" t="n">
        <v>89.84</v>
      </c>
      <c r="E814" s="0" t="n">
        <v>90.43</v>
      </c>
      <c r="F814" s="0" t="n">
        <v>141005137</v>
      </c>
    </row>
    <row r="815" customFormat="false" ht="12.75" hidden="false" customHeight="false" outlineLevel="0" collapsed="false">
      <c r="A815" s="129" t="n">
        <v>41788</v>
      </c>
      <c r="B815" s="0" t="n">
        <v>89.69</v>
      </c>
      <c r="C815" s="0" t="n">
        <v>90.98</v>
      </c>
      <c r="D815" s="0" t="n">
        <v>89.68</v>
      </c>
      <c r="E815" s="0" t="n">
        <v>90.77</v>
      </c>
      <c r="F815" s="0" t="n">
        <v>94118633</v>
      </c>
    </row>
    <row r="816" customFormat="false" ht="12.75" hidden="false" customHeight="false" outlineLevel="0" collapsed="false">
      <c r="A816" s="129" t="n">
        <v>41787</v>
      </c>
      <c r="B816" s="0" t="n">
        <v>89.43</v>
      </c>
      <c r="C816" s="0" t="n">
        <v>89.98</v>
      </c>
      <c r="D816" s="0" t="n">
        <v>89.11</v>
      </c>
      <c r="E816" s="0" t="n">
        <v>89.14</v>
      </c>
      <c r="F816" s="0" t="n">
        <v>78921885</v>
      </c>
    </row>
    <row r="817" customFormat="false" ht="12.75" hidden="false" customHeight="false" outlineLevel="0" collapsed="false">
      <c r="A817" s="129" t="n">
        <v>41786</v>
      </c>
      <c r="B817" s="0" t="n">
        <v>87.98</v>
      </c>
      <c r="C817" s="0" t="n">
        <v>89.41</v>
      </c>
      <c r="D817" s="0" t="n">
        <v>87.95</v>
      </c>
      <c r="E817" s="0" t="n">
        <v>89.38</v>
      </c>
      <c r="F817" s="0" t="n">
        <v>87216605</v>
      </c>
    </row>
    <row r="818" customFormat="false" ht="12.75" hidden="false" customHeight="false" outlineLevel="0" collapsed="false">
      <c r="A818" s="129" t="n">
        <v>41782</v>
      </c>
      <c r="B818" s="0" t="n">
        <v>86.75</v>
      </c>
      <c r="C818" s="0" t="n">
        <v>87.82</v>
      </c>
      <c r="D818" s="0" t="n">
        <v>86.64</v>
      </c>
      <c r="E818" s="0" t="n">
        <v>87.73</v>
      </c>
      <c r="F818" s="0" t="n">
        <v>58052491</v>
      </c>
    </row>
    <row r="819" customFormat="false" ht="12.75" hidden="false" customHeight="false" outlineLevel="0" collapsed="false">
      <c r="A819" s="129" t="n">
        <v>41781</v>
      </c>
      <c r="B819" s="0" t="n">
        <v>86.66</v>
      </c>
      <c r="C819" s="0" t="n">
        <v>87.12</v>
      </c>
      <c r="D819" s="0" t="n">
        <v>86.3</v>
      </c>
      <c r="E819" s="0" t="n">
        <v>86.75</v>
      </c>
      <c r="F819" s="0" t="n">
        <v>50218945</v>
      </c>
    </row>
    <row r="820" customFormat="false" ht="12.75" hidden="false" customHeight="false" outlineLevel="0" collapsed="false">
      <c r="A820" s="129" t="n">
        <v>41780</v>
      </c>
      <c r="B820" s="0" t="n">
        <v>86.26</v>
      </c>
      <c r="C820" s="0" t="n">
        <v>86.67</v>
      </c>
      <c r="D820" s="0" t="n">
        <v>86.01</v>
      </c>
      <c r="E820" s="0" t="n">
        <v>86.62</v>
      </c>
      <c r="F820" s="0" t="n">
        <v>49249914</v>
      </c>
    </row>
    <row r="821" customFormat="false" ht="12.75" hidden="false" customHeight="false" outlineLevel="0" collapsed="false">
      <c r="A821" s="129" t="n">
        <v>41779</v>
      </c>
      <c r="B821" s="0" t="n">
        <v>86.36</v>
      </c>
      <c r="C821" s="0" t="n">
        <v>86.63</v>
      </c>
      <c r="D821" s="0" t="n">
        <v>85.82</v>
      </c>
      <c r="E821" s="0" t="n">
        <v>86.39</v>
      </c>
      <c r="F821" s="0" t="n">
        <v>58708986</v>
      </c>
    </row>
    <row r="822" customFormat="false" ht="12.75" hidden="false" customHeight="false" outlineLevel="0" collapsed="false">
      <c r="A822" s="129" t="n">
        <v>41778</v>
      </c>
      <c r="B822" s="0" t="n">
        <v>85.41</v>
      </c>
      <c r="C822" s="0" t="n">
        <v>86.76</v>
      </c>
      <c r="D822" s="0" t="n">
        <v>85.33</v>
      </c>
      <c r="E822" s="0" t="n">
        <v>86.37</v>
      </c>
      <c r="F822" s="0" t="n">
        <v>79439024</v>
      </c>
    </row>
    <row r="823" customFormat="false" ht="12.75" hidden="false" customHeight="false" outlineLevel="0" collapsed="false">
      <c r="A823" s="129" t="n">
        <v>41775</v>
      </c>
      <c r="B823" s="0" t="n">
        <v>84.09</v>
      </c>
      <c r="C823" s="0" t="n">
        <v>85.36</v>
      </c>
      <c r="D823" s="0" t="n">
        <v>83.63</v>
      </c>
      <c r="E823" s="0" t="n">
        <v>85.36</v>
      </c>
      <c r="F823" s="0" t="n">
        <v>69091834</v>
      </c>
    </row>
    <row r="824" customFormat="false" ht="12.75" hidden="false" customHeight="false" outlineLevel="0" collapsed="false">
      <c r="A824" s="129" t="n">
        <v>41774</v>
      </c>
      <c r="B824" s="0" t="n">
        <v>84.96</v>
      </c>
      <c r="C824" s="0" t="n">
        <v>85.23</v>
      </c>
      <c r="D824" s="0" t="n">
        <v>84.01</v>
      </c>
      <c r="E824" s="0" t="n">
        <v>84.12</v>
      </c>
      <c r="F824" s="0" t="n">
        <v>57711731</v>
      </c>
    </row>
    <row r="825" customFormat="false" ht="12.75" hidden="false" customHeight="false" outlineLevel="0" collapsed="false">
      <c r="A825" s="129" t="n">
        <v>41773</v>
      </c>
      <c r="B825" s="0" t="n">
        <v>84.63</v>
      </c>
      <c r="C825" s="0" t="n">
        <v>85.34</v>
      </c>
      <c r="D825" s="0" t="n">
        <v>84.53</v>
      </c>
      <c r="E825" s="0" t="n">
        <v>84.84</v>
      </c>
      <c r="F825" s="0" t="n">
        <v>41600846</v>
      </c>
    </row>
    <row r="826" customFormat="false" ht="12.75" hidden="false" customHeight="false" outlineLevel="0" collapsed="false">
      <c r="A826" s="129" t="n">
        <v>41772</v>
      </c>
      <c r="B826" s="0" t="n">
        <v>84.57</v>
      </c>
      <c r="C826" s="0" t="n">
        <v>84.93</v>
      </c>
      <c r="D826" s="0" t="n">
        <v>84.39</v>
      </c>
      <c r="E826" s="0" t="n">
        <v>84.82</v>
      </c>
      <c r="F826" s="0" t="n">
        <v>39934594</v>
      </c>
    </row>
    <row r="827" customFormat="false" ht="12.75" hidden="false" customHeight="false" outlineLevel="0" collapsed="false">
      <c r="A827" s="129" t="n">
        <v>41771</v>
      </c>
      <c r="B827" s="0" t="n">
        <v>83.93</v>
      </c>
      <c r="C827" s="0" t="n">
        <v>84.81</v>
      </c>
      <c r="D827" s="0" t="n">
        <v>83.91</v>
      </c>
      <c r="E827" s="0" t="n">
        <v>84.69</v>
      </c>
      <c r="F827" s="0" t="n">
        <v>53324677</v>
      </c>
    </row>
    <row r="828" customFormat="false" ht="12.75" hidden="false" customHeight="false" outlineLevel="0" collapsed="false">
      <c r="A828" s="129" t="n">
        <v>41768</v>
      </c>
      <c r="B828" s="0" t="n">
        <v>83.51</v>
      </c>
      <c r="C828" s="0" t="n">
        <v>83.75</v>
      </c>
      <c r="D828" s="0" t="n">
        <v>82.9</v>
      </c>
      <c r="E828" s="0" t="n">
        <v>83.65</v>
      </c>
      <c r="F828" s="0" t="n">
        <v>72899498</v>
      </c>
    </row>
    <row r="829" customFormat="false" ht="12.75" hidden="false" customHeight="false" outlineLevel="0" collapsed="false">
      <c r="A829" s="129" t="n">
        <v>41767</v>
      </c>
      <c r="B829" s="0" t="n">
        <v>84.04</v>
      </c>
      <c r="C829" s="0" t="n">
        <v>84.92</v>
      </c>
      <c r="D829" s="0" t="n">
        <v>83.77</v>
      </c>
      <c r="E829" s="0" t="n">
        <v>84</v>
      </c>
      <c r="F829" s="0" t="n">
        <v>57574363</v>
      </c>
    </row>
    <row r="830" customFormat="false" ht="12.75" hidden="false" customHeight="false" outlineLevel="0" collapsed="false">
      <c r="A830" s="129" t="n">
        <v>41766</v>
      </c>
      <c r="B830" s="0" t="n">
        <v>85.04</v>
      </c>
      <c r="C830" s="0" t="n">
        <v>85.33</v>
      </c>
      <c r="D830" s="0" t="n">
        <v>83.96</v>
      </c>
      <c r="E830" s="0" t="n">
        <v>84.62</v>
      </c>
      <c r="F830" s="0" t="n">
        <v>70715988</v>
      </c>
    </row>
    <row r="831" customFormat="false" ht="12.75" hidden="false" customHeight="false" outlineLevel="0" collapsed="false">
      <c r="A831" s="129" t="n">
        <v>41765</v>
      </c>
      <c r="B831" s="0" t="n">
        <v>85.97</v>
      </c>
      <c r="C831" s="0" t="n">
        <v>86.34</v>
      </c>
      <c r="D831" s="0" t="n">
        <v>84.92</v>
      </c>
      <c r="E831" s="0" t="n">
        <v>84.92</v>
      </c>
      <c r="F831" s="0" t="n">
        <v>93641373</v>
      </c>
    </row>
    <row r="832" customFormat="false" ht="12.75" hidden="false" customHeight="false" outlineLevel="0" collapsed="false">
      <c r="A832" s="129" t="n">
        <v>41764</v>
      </c>
      <c r="B832" s="0" t="n">
        <v>84.31</v>
      </c>
      <c r="C832" s="0" t="n">
        <v>85.86</v>
      </c>
      <c r="D832" s="0" t="n">
        <v>84.29</v>
      </c>
      <c r="E832" s="0" t="n">
        <v>85.85</v>
      </c>
      <c r="F832" s="0" t="n">
        <v>71766758</v>
      </c>
    </row>
    <row r="833" customFormat="false" ht="12.75" hidden="false" customHeight="false" outlineLevel="0" collapsed="false">
      <c r="A833" s="129" t="n">
        <v>41761</v>
      </c>
      <c r="B833" s="0" t="n">
        <v>84.62</v>
      </c>
      <c r="C833" s="0" t="n">
        <v>84.89</v>
      </c>
      <c r="D833" s="0" t="n">
        <v>84.24</v>
      </c>
      <c r="E833" s="0" t="n">
        <v>84.65</v>
      </c>
      <c r="F833" s="0" t="n">
        <v>47878572</v>
      </c>
    </row>
    <row r="834" customFormat="false" ht="12.75" hidden="false" customHeight="false" outlineLevel="0" collapsed="false">
      <c r="A834" s="129" t="n">
        <v>41760</v>
      </c>
      <c r="B834" s="0" t="n">
        <v>84.57</v>
      </c>
      <c r="C834" s="0" t="n">
        <v>84.97</v>
      </c>
      <c r="D834" s="0" t="n">
        <v>83.77</v>
      </c>
      <c r="E834" s="0" t="n">
        <v>84.5</v>
      </c>
      <c r="F834" s="0" t="n">
        <v>61052418</v>
      </c>
    </row>
    <row r="835" customFormat="false" ht="12.75" hidden="false" customHeight="false" outlineLevel="0" collapsed="false">
      <c r="A835" s="129" t="n">
        <v>41759</v>
      </c>
      <c r="B835" s="0" t="n">
        <v>84.66</v>
      </c>
      <c r="C835" s="0" t="n">
        <v>85.63</v>
      </c>
      <c r="D835" s="0" t="n">
        <v>84.26</v>
      </c>
      <c r="E835" s="0" t="n">
        <v>84.3</v>
      </c>
      <c r="F835" s="0" t="n">
        <v>114220883</v>
      </c>
    </row>
    <row r="836" customFormat="false" ht="12.75" hidden="false" customHeight="false" outlineLevel="0" collapsed="false">
      <c r="A836" s="129" t="n">
        <v>41758</v>
      </c>
      <c r="B836" s="0" t="n">
        <v>84.82</v>
      </c>
      <c r="C836" s="0" t="n">
        <v>85.14</v>
      </c>
      <c r="D836" s="0" t="n">
        <v>84.22</v>
      </c>
      <c r="E836" s="0" t="n">
        <v>84.62</v>
      </c>
      <c r="F836" s="0" t="n">
        <v>84344673</v>
      </c>
    </row>
    <row r="837" customFormat="false" ht="12.75" hidden="false" customHeight="false" outlineLevel="0" collapsed="false">
      <c r="A837" s="129" t="n">
        <v>41757</v>
      </c>
      <c r="B837" s="0" t="n">
        <v>81.83</v>
      </c>
      <c r="C837" s="0" t="n">
        <v>85.11</v>
      </c>
      <c r="D837" s="0" t="n">
        <v>81.79</v>
      </c>
      <c r="E837" s="0" t="n">
        <v>84.87</v>
      </c>
      <c r="F837" s="0" t="n">
        <v>167371680</v>
      </c>
    </row>
    <row r="838" customFormat="false" ht="12.75" hidden="false" customHeight="false" outlineLevel="0" collapsed="false">
      <c r="A838" s="129" t="n">
        <v>41754</v>
      </c>
      <c r="B838" s="0" t="n">
        <v>80.65</v>
      </c>
      <c r="C838" s="0" t="n">
        <v>81.71</v>
      </c>
      <c r="D838" s="0" t="n">
        <v>80.57</v>
      </c>
      <c r="E838" s="0" t="n">
        <v>81.71</v>
      </c>
      <c r="F838" s="0" t="n">
        <v>97568814</v>
      </c>
    </row>
    <row r="839" customFormat="false" ht="12.75" hidden="false" customHeight="false" outlineLevel="0" collapsed="false">
      <c r="A839" s="129" t="n">
        <v>41753</v>
      </c>
      <c r="B839" s="0" t="n">
        <v>81.17</v>
      </c>
      <c r="C839" s="0" t="n">
        <v>81.43</v>
      </c>
      <c r="D839" s="0" t="n">
        <v>80.1</v>
      </c>
      <c r="E839" s="0" t="n">
        <v>81.11</v>
      </c>
      <c r="F839" s="0" t="n">
        <v>189978082</v>
      </c>
    </row>
    <row r="840" customFormat="false" ht="12.75" hidden="false" customHeight="false" outlineLevel="0" collapsed="false">
      <c r="A840" s="129" t="n">
        <v>41752</v>
      </c>
      <c r="B840" s="0" t="n">
        <v>75.58</v>
      </c>
      <c r="C840" s="0" t="n">
        <v>75.88</v>
      </c>
      <c r="D840" s="0" t="n">
        <v>74.92</v>
      </c>
      <c r="E840" s="0" t="n">
        <v>74.96</v>
      </c>
      <c r="F840" s="0" t="n">
        <v>98735259</v>
      </c>
    </row>
    <row r="841" customFormat="false" ht="12.75" hidden="false" customHeight="false" outlineLevel="0" collapsed="false">
      <c r="A841" s="129" t="n">
        <v>41751</v>
      </c>
      <c r="B841" s="0" t="n">
        <v>75.47</v>
      </c>
      <c r="C841" s="0" t="n">
        <v>75.98</v>
      </c>
      <c r="D841" s="0" t="n">
        <v>75.21</v>
      </c>
      <c r="E841" s="0" t="n">
        <v>75.96</v>
      </c>
      <c r="F841" s="0" t="n">
        <v>50664453</v>
      </c>
    </row>
    <row r="842" customFormat="false" ht="12.75" hidden="false" customHeight="false" outlineLevel="0" collapsed="false">
      <c r="A842" s="129" t="n">
        <v>41750</v>
      </c>
      <c r="B842" s="0" t="n">
        <v>75.05</v>
      </c>
      <c r="C842" s="0" t="n">
        <v>76.02</v>
      </c>
      <c r="D842" s="0" t="n">
        <v>74.85</v>
      </c>
      <c r="E842" s="0" t="n">
        <v>75.88</v>
      </c>
      <c r="F842" s="0" t="n">
        <v>45668931</v>
      </c>
    </row>
    <row r="843" customFormat="false" ht="12.75" hidden="false" customHeight="false" outlineLevel="0" collapsed="false">
      <c r="A843" s="129" t="n">
        <v>41746</v>
      </c>
      <c r="B843" s="0" t="n">
        <v>74.29</v>
      </c>
      <c r="C843" s="0" t="n">
        <v>75.39</v>
      </c>
      <c r="D843" s="0" t="n">
        <v>74.17</v>
      </c>
      <c r="E843" s="0" t="n">
        <v>74.99</v>
      </c>
      <c r="F843" s="0" t="n">
        <v>71106721</v>
      </c>
    </row>
    <row r="844" customFormat="false" ht="12.75" hidden="false" customHeight="false" outlineLevel="0" collapsed="false">
      <c r="A844" s="129" t="n">
        <v>41745</v>
      </c>
      <c r="B844" s="0" t="n">
        <v>74.01</v>
      </c>
      <c r="C844" s="0" t="n">
        <v>74.44</v>
      </c>
      <c r="D844" s="0" t="n">
        <v>73.45</v>
      </c>
      <c r="E844" s="0" t="n">
        <v>74.14</v>
      </c>
      <c r="F844" s="0" t="n">
        <v>53732994</v>
      </c>
    </row>
    <row r="845" customFormat="false" ht="12.75" hidden="false" customHeight="false" outlineLevel="0" collapsed="false">
      <c r="A845" s="129" t="n">
        <v>41744</v>
      </c>
      <c r="B845" s="0" t="n">
        <v>74.32</v>
      </c>
      <c r="C845" s="0" t="n">
        <v>74.52</v>
      </c>
      <c r="D845" s="0" t="n">
        <v>73.05</v>
      </c>
      <c r="E845" s="0" t="n">
        <v>73.99</v>
      </c>
      <c r="F845" s="0" t="n">
        <v>66622577</v>
      </c>
    </row>
    <row r="846" customFormat="false" ht="12.75" hidden="false" customHeight="false" outlineLevel="0" collapsed="false">
      <c r="A846" s="129" t="n">
        <v>41743</v>
      </c>
      <c r="B846" s="0" t="n">
        <v>74.56</v>
      </c>
      <c r="C846" s="0" t="n">
        <v>74.59</v>
      </c>
      <c r="D846" s="0" t="n">
        <v>73.89</v>
      </c>
      <c r="E846" s="0" t="n">
        <v>74.53</v>
      </c>
      <c r="F846" s="0" t="n">
        <v>51445177</v>
      </c>
    </row>
    <row r="847" customFormat="false" ht="12.75" hidden="false" customHeight="false" outlineLevel="0" collapsed="false">
      <c r="A847" s="129" t="n">
        <v>41740</v>
      </c>
      <c r="B847" s="0" t="n">
        <v>74.14</v>
      </c>
      <c r="C847" s="0" t="n">
        <v>74.69</v>
      </c>
      <c r="D847" s="0" t="n">
        <v>73.88</v>
      </c>
      <c r="E847" s="0" t="n">
        <v>74.23</v>
      </c>
      <c r="F847" s="0" t="n">
        <v>67975012</v>
      </c>
    </row>
    <row r="848" customFormat="false" ht="12.75" hidden="false" customHeight="false" outlineLevel="0" collapsed="false">
      <c r="A848" s="129" t="n">
        <v>41739</v>
      </c>
      <c r="B848" s="0" t="n">
        <v>75.81</v>
      </c>
      <c r="C848" s="0" t="n">
        <v>76.03</v>
      </c>
      <c r="D848" s="0" t="n">
        <v>74.74</v>
      </c>
      <c r="E848" s="0" t="n">
        <v>74.78</v>
      </c>
      <c r="F848" s="0" t="n">
        <v>59912818</v>
      </c>
    </row>
    <row r="849" customFormat="false" ht="12.75" hidden="false" customHeight="false" outlineLevel="0" collapsed="false">
      <c r="A849" s="129" t="n">
        <v>41738</v>
      </c>
      <c r="B849" s="0" t="n">
        <v>74.66</v>
      </c>
      <c r="C849" s="0" t="n">
        <v>75.78</v>
      </c>
      <c r="D849" s="0" t="n">
        <v>74.57</v>
      </c>
      <c r="E849" s="0" t="n">
        <v>75.76</v>
      </c>
      <c r="F849" s="0" t="n">
        <v>51542722</v>
      </c>
    </row>
    <row r="850" customFormat="false" ht="12.75" hidden="false" customHeight="false" outlineLevel="0" collapsed="false">
      <c r="A850" s="129" t="n">
        <v>41737</v>
      </c>
      <c r="B850" s="0" t="n">
        <v>75.03</v>
      </c>
      <c r="C850" s="0" t="n">
        <v>75.16</v>
      </c>
      <c r="D850" s="0" t="n">
        <v>74.1</v>
      </c>
      <c r="E850" s="0" t="n">
        <v>74.78</v>
      </c>
      <c r="F850" s="0" t="n">
        <v>60971883</v>
      </c>
    </row>
    <row r="851" customFormat="false" ht="12.75" hidden="false" customHeight="false" outlineLevel="0" collapsed="false">
      <c r="A851" s="129" t="n">
        <v>41736</v>
      </c>
      <c r="B851" s="0" t="n">
        <v>75.43</v>
      </c>
      <c r="C851" s="0" t="n">
        <v>75.84</v>
      </c>
      <c r="D851" s="0" t="n">
        <v>74.56</v>
      </c>
      <c r="E851" s="0" t="n">
        <v>74.78</v>
      </c>
      <c r="F851" s="0" t="n">
        <v>72462530</v>
      </c>
    </row>
    <row r="852" customFormat="false" ht="12.75" hidden="false" customHeight="false" outlineLevel="0" collapsed="false">
      <c r="A852" s="129" t="n">
        <v>41733</v>
      </c>
      <c r="B852" s="0" t="n">
        <v>77.12</v>
      </c>
      <c r="C852" s="0" t="n">
        <v>77.14</v>
      </c>
      <c r="D852" s="0" t="n">
        <v>75.8</v>
      </c>
      <c r="E852" s="0" t="n">
        <v>75.97</v>
      </c>
      <c r="F852" s="0" t="n">
        <v>68812485</v>
      </c>
    </row>
    <row r="853" customFormat="false" ht="12.75" hidden="false" customHeight="false" outlineLevel="0" collapsed="false">
      <c r="A853" s="129" t="n">
        <v>41732</v>
      </c>
      <c r="B853" s="0" t="n">
        <v>77.34</v>
      </c>
      <c r="C853" s="0" t="n">
        <v>77.5</v>
      </c>
      <c r="D853" s="0" t="n">
        <v>76.81</v>
      </c>
      <c r="E853" s="0" t="n">
        <v>76.97</v>
      </c>
      <c r="F853" s="0" t="n">
        <v>40648111</v>
      </c>
    </row>
    <row r="854" customFormat="false" ht="12.75" hidden="false" customHeight="false" outlineLevel="0" collapsed="false">
      <c r="A854" s="129" t="n">
        <v>41731</v>
      </c>
      <c r="B854" s="0" t="n">
        <v>77.48</v>
      </c>
      <c r="C854" s="0" t="n">
        <v>77.64</v>
      </c>
      <c r="D854" s="0" t="n">
        <v>77.18</v>
      </c>
      <c r="E854" s="0" t="n">
        <v>77.51</v>
      </c>
      <c r="F854" s="0" t="n">
        <v>45104871</v>
      </c>
    </row>
    <row r="855" customFormat="false" ht="12.75" hidden="false" customHeight="false" outlineLevel="0" collapsed="false">
      <c r="A855" s="129" t="n">
        <v>41730</v>
      </c>
      <c r="B855" s="0" t="n">
        <v>76.82</v>
      </c>
      <c r="C855" s="0" t="n">
        <v>77.41</v>
      </c>
      <c r="D855" s="0" t="n">
        <v>76.68</v>
      </c>
      <c r="E855" s="0" t="n">
        <v>77.38</v>
      </c>
      <c r="F855" s="0" t="n">
        <v>50189685</v>
      </c>
    </row>
    <row r="856" customFormat="false" ht="12.75" hidden="false" customHeight="false" outlineLevel="0" collapsed="false">
      <c r="A856" s="129" t="n">
        <v>41729</v>
      </c>
      <c r="B856" s="0" t="n">
        <v>77.03</v>
      </c>
      <c r="C856" s="0" t="n">
        <v>77.26</v>
      </c>
      <c r="D856" s="0" t="n">
        <v>76.56</v>
      </c>
      <c r="E856" s="0" t="n">
        <v>76.68</v>
      </c>
      <c r="F856" s="0" t="n">
        <v>42167188</v>
      </c>
    </row>
    <row r="857" customFormat="false" ht="12.75" hidden="false" customHeight="false" outlineLevel="0" collapsed="false">
      <c r="A857" s="129" t="n">
        <v>41726</v>
      </c>
      <c r="B857" s="0" t="n">
        <v>76.9</v>
      </c>
      <c r="C857" s="0" t="n">
        <v>76.99</v>
      </c>
      <c r="D857" s="0" t="n">
        <v>76.32</v>
      </c>
      <c r="E857" s="0" t="n">
        <v>76.69</v>
      </c>
      <c r="F857" s="0" t="n">
        <v>50141063</v>
      </c>
    </row>
    <row r="858" customFormat="false" ht="12.75" hidden="false" customHeight="false" outlineLevel="0" collapsed="false">
      <c r="A858" s="129" t="n">
        <v>41725</v>
      </c>
      <c r="B858" s="0" t="n">
        <v>77.14</v>
      </c>
      <c r="C858" s="0" t="n">
        <v>77.36</v>
      </c>
      <c r="D858" s="0" t="n">
        <v>76.45</v>
      </c>
      <c r="E858" s="0" t="n">
        <v>76.78</v>
      </c>
      <c r="F858" s="0" t="n">
        <v>55507676</v>
      </c>
    </row>
    <row r="859" customFormat="false" ht="12.75" hidden="false" customHeight="false" outlineLevel="0" collapsed="false">
      <c r="A859" s="129" t="n">
        <v>41724</v>
      </c>
      <c r="B859" s="0" t="n">
        <v>78.07</v>
      </c>
      <c r="C859" s="0" t="n">
        <v>78.43</v>
      </c>
      <c r="D859" s="0" t="n">
        <v>76.98</v>
      </c>
      <c r="E859" s="0" t="n">
        <v>77.11</v>
      </c>
      <c r="F859" s="0" t="n">
        <v>74942224</v>
      </c>
    </row>
    <row r="860" customFormat="false" ht="12.75" hidden="false" customHeight="false" outlineLevel="0" collapsed="false">
      <c r="A860" s="129" t="n">
        <v>41723</v>
      </c>
      <c r="B860" s="0" t="n">
        <v>77.36</v>
      </c>
      <c r="C860" s="0" t="n">
        <v>77.96</v>
      </c>
      <c r="D860" s="0" t="n">
        <v>77.08</v>
      </c>
      <c r="E860" s="0" t="n">
        <v>77.86</v>
      </c>
      <c r="F860" s="0" t="n">
        <v>70573356</v>
      </c>
    </row>
    <row r="861" customFormat="false" ht="12.75" hidden="false" customHeight="false" outlineLevel="0" collapsed="false">
      <c r="A861" s="129" t="n">
        <v>41722</v>
      </c>
      <c r="B861" s="0" t="n">
        <v>76.92</v>
      </c>
      <c r="C861" s="0" t="n">
        <v>77.21</v>
      </c>
      <c r="D861" s="0" t="n">
        <v>76.44</v>
      </c>
      <c r="E861" s="0" t="n">
        <v>77.03</v>
      </c>
      <c r="F861" s="0" t="n">
        <v>88924871</v>
      </c>
    </row>
    <row r="862" customFormat="false" ht="12.75" hidden="false" customHeight="false" outlineLevel="0" collapsed="false">
      <c r="A862" s="129" t="n">
        <v>41719</v>
      </c>
      <c r="B862" s="0" t="n">
        <v>75.99</v>
      </c>
      <c r="C862" s="0" t="n">
        <v>76.25</v>
      </c>
      <c r="D862" s="0" t="n">
        <v>75.19</v>
      </c>
      <c r="E862" s="0" t="n">
        <v>76.12</v>
      </c>
      <c r="F862" s="0" t="n">
        <v>93612169</v>
      </c>
    </row>
    <row r="863" customFormat="false" ht="12.75" hidden="false" customHeight="false" outlineLevel="0" collapsed="false">
      <c r="A863" s="129" t="n">
        <v>41718</v>
      </c>
      <c r="B863" s="0" t="n">
        <v>75.7</v>
      </c>
      <c r="C863" s="0" t="n">
        <v>76.1</v>
      </c>
      <c r="D863" s="0" t="n">
        <v>75.34</v>
      </c>
      <c r="E863" s="0" t="n">
        <v>75.53</v>
      </c>
      <c r="F863" s="0" t="n">
        <v>52099537</v>
      </c>
    </row>
    <row r="864" customFormat="false" ht="12.75" hidden="false" customHeight="false" outlineLevel="0" collapsed="false">
      <c r="A864" s="129" t="n">
        <v>41717</v>
      </c>
      <c r="B864" s="0" t="n">
        <v>76.04</v>
      </c>
      <c r="C864" s="0" t="n">
        <v>76.61</v>
      </c>
      <c r="D864" s="0" t="n">
        <v>75.57</v>
      </c>
      <c r="E864" s="0" t="n">
        <v>75.89</v>
      </c>
      <c r="F864" s="0" t="n">
        <v>56188958</v>
      </c>
    </row>
    <row r="865" customFormat="false" ht="12.75" hidden="false" customHeight="false" outlineLevel="0" collapsed="false">
      <c r="A865" s="129" t="n">
        <v>41716</v>
      </c>
      <c r="B865" s="0" t="n">
        <v>75.13</v>
      </c>
      <c r="C865" s="0" t="n">
        <v>76</v>
      </c>
      <c r="D865" s="0" t="n">
        <v>75.03</v>
      </c>
      <c r="E865" s="0" t="n">
        <v>75.91</v>
      </c>
      <c r="F865" s="0" t="n">
        <v>52411863</v>
      </c>
    </row>
    <row r="866" customFormat="false" ht="12.75" hidden="false" customHeight="false" outlineLevel="0" collapsed="false">
      <c r="A866" s="129" t="n">
        <v>41715</v>
      </c>
      <c r="B866" s="0" t="n">
        <v>75.39</v>
      </c>
      <c r="C866" s="0" t="n">
        <v>75.71</v>
      </c>
      <c r="D866" s="0" t="n">
        <v>75.12</v>
      </c>
      <c r="E866" s="0" t="n">
        <v>75.25</v>
      </c>
      <c r="F866" s="0" t="n">
        <v>49886074</v>
      </c>
    </row>
    <row r="867" customFormat="false" ht="12.75" hidden="false" customHeight="false" outlineLevel="0" collapsed="false">
      <c r="A867" s="129" t="n">
        <v>41712</v>
      </c>
      <c r="B867" s="0" t="n">
        <v>75.54</v>
      </c>
      <c r="C867" s="0" t="n">
        <v>75.84</v>
      </c>
      <c r="D867" s="0" t="n">
        <v>74.71</v>
      </c>
      <c r="E867" s="0" t="n">
        <v>74.96</v>
      </c>
      <c r="F867" s="0" t="n">
        <v>59299492</v>
      </c>
    </row>
    <row r="868" customFormat="false" ht="12.75" hidden="false" customHeight="false" outlineLevel="0" collapsed="false">
      <c r="A868" s="129" t="n">
        <v>41711</v>
      </c>
      <c r="B868" s="0" t="n">
        <v>76.78</v>
      </c>
      <c r="C868" s="0" t="n">
        <v>77.09</v>
      </c>
      <c r="D868" s="0" t="n">
        <v>75.59</v>
      </c>
      <c r="E868" s="0" t="n">
        <v>75.81</v>
      </c>
      <c r="F868" s="0" t="n">
        <v>64435609</v>
      </c>
    </row>
    <row r="869" customFormat="false" ht="12.75" hidden="false" customHeight="false" outlineLevel="0" collapsed="false">
      <c r="A869" s="129" t="n">
        <v>41710</v>
      </c>
      <c r="B869" s="0" t="n">
        <v>76.36</v>
      </c>
      <c r="C869" s="0" t="n">
        <v>76.76</v>
      </c>
      <c r="D869" s="0" t="n">
        <v>76</v>
      </c>
      <c r="E869" s="0" t="n">
        <v>76.66</v>
      </c>
      <c r="F869" s="0" t="n">
        <v>50195460</v>
      </c>
    </row>
    <row r="870" customFormat="false" ht="12.75" hidden="false" customHeight="false" outlineLevel="0" collapsed="false">
      <c r="A870" s="129" t="n">
        <v>41709</v>
      </c>
      <c r="B870" s="0" t="n">
        <v>76.49</v>
      </c>
      <c r="C870" s="0" t="n">
        <v>76.96</v>
      </c>
      <c r="D870" s="0" t="n">
        <v>76.08</v>
      </c>
      <c r="E870" s="0" t="n">
        <v>76.58</v>
      </c>
      <c r="F870" s="0" t="n">
        <v>70198849</v>
      </c>
    </row>
    <row r="871" customFormat="false" ht="12.75" hidden="false" customHeight="false" outlineLevel="0" collapsed="false">
      <c r="A871" s="129" t="n">
        <v>41708</v>
      </c>
      <c r="B871" s="0" t="n">
        <v>75.48</v>
      </c>
      <c r="C871" s="0" t="n">
        <v>76.19</v>
      </c>
      <c r="D871" s="0" t="n">
        <v>75.48</v>
      </c>
      <c r="E871" s="0" t="n">
        <v>75.85</v>
      </c>
      <c r="F871" s="0" t="n">
        <v>44691430</v>
      </c>
    </row>
    <row r="872" customFormat="false" ht="12.75" hidden="false" customHeight="false" outlineLevel="0" collapsed="false">
      <c r="A872" s="129" t="n">
        <v>41705</v>
      </c>
      <c r="B872" s="0" t="n">
        <v>75.87</v>
      </c>
      <c r="C872" s="0" t="n">
        <v>76</v>
      </c>
      <c r="D872" s="0" t="n">
        <v>75.15</v>
      </c>
      <c r="E872" s="0" t="n">
        <v>75.78</v>
      </c>
      <c r="F872" s="0" t="n">
        <v>55415241</v>
      </c>
    </row>
    <row r="873" customFormat="false" ht="12.75" hidden="false" customHeight="false" outlineLevel="0" collapsed="false">
      <c r="A873" s="129" t="n">
        <v>41704</v>
      </c>
      <c r="B873" s="0" t="n">
        <v>76.11</v>
      </c>
      <c r="C873" s="0" t="n">
        <v>76.35</v>
      </c>
      <c r="D873" s="0" t="n">
        <v>75.44</v>
      </c>
      <c r="E873" s="0" t="n">
        <v>75.82</v>
      </c>
      <c r="F873" s="0" t="n">
        <v>46423111</v>
      </c>
    </row>
    <row r="874" customFormat="false" ht="12.75" hidden="false" customHeight="false" outlineLevel="0" collapsed="false">
      <c r="A874" s="129" t="n">
        <v>41703</v>
      </c>
      <c r="B874" s="0" t="n">
        <v>75.85</v>
      </c>
      <c r="C874" s="0" t="n">
        <v>76.39</v>
      </c>
      <c r="D874" s="0" t="n">
        <v>75.59</v>
      </c>
      <c r="E874" s="0" t="n">
        <v>76.05</v>
      </c>
      <c r="F874" s="0" t="n">
        <v>50065519</v>
      </c>
    </row>
    <row r="875" customFormat="false" ht="12.75" hidden="false" customHeight="false" outlineLevel="0" collapsed="false">
      <c r="A875" s="129" t="n">
        <v>41702</v>
      </c>
      <c r="B875" s="0" t="n">
        <v>75.86</v>
      </c>
      <c r="C875" s="0" t="n">
        <v>76.09</v>
      </c>
      <c r="D875" s="0" t="n">
        <v>75.4</v>
      </c>
      <c r="E875" s="0" t="n">
        <v>75.89</v>
      </c>
      <c r="F875" s="0" t="n">
        <v>64884834</v>
      </c>
    </row>
    <row r="876" customFormat="false" ht="12.75" hidden="false" customHeight="false" outlineLevel="0" collapsed="false">
      <c r="A876" s="129" t="n">
        <v>41701</v>
      </c>
      <c r="B876" s="0" t="n">
        <v>74.77</v>
      </c>
      <c r="C876" s="0" t="n">
        <v>75.81</v>
      </c>
      <c r="D876" s="0" t="n">
        <v>74.69</v>
      </c>
      <c r="E876" s="0" t="n">
        <v>75.39</v>
      </c>
      <c r="F876" s="0" t="n">
        <v>59784494</v>
      </c>
    </row>
    <row r="877" customFormat="false" ht="12.75" hidden="false" customHeight="false" outlineLevel="0" collapsed="false">
      <c r="A877" s="129" t="n">
        <v>41698</v>
      </c>
      <c r="B877" s="0" t="n">
        <v>75.58</v>
      </c>
      <c r="C877" s="0" t="n">
        <v>76.11</v>
      </c>
      <c r="D877" s="0" t="n">
        <v>74.59</v>
      </c>
      <c r="E877" s="0" t="n">
        <v>75.18</v>
      </c>
      <c r="F877" s="0" t="n">
        <v>93074653</v>
      </c>
    </row>
    <row r="878" customFormat="false" ht="12.75" hidden="false" customHeight="false" outlineLevel="0" collapsed="false">
      <c r="A878" s="129" t="n">
        <v>41697</v>
      </c>
      <c r="B878" s="0" t="n">
        <v>73.88</v>
      </c>
      <c r="C878" s="0" t="n">
        <v>75.54</v>
      </c>
      <c r="D878" s="0" t="n">
        <v>73.72</v>
      </c>
      <c r="E878" s="0" t="n">
        <v>75.38</v>
      </c>
      <c r="F878" s="0" t="n">
        <v>75557321</v>
      </c>
    </row>
    <row r="879" customFormat="false" ht="12.75" hidden="false" customHeight="false" outlineLevel="0" collapsed="false">
      <c r="A879" s="129" t="n">
        <v>41696</v>
      </c>
      <c r="B879" s="0" t="n">
        <v>74.8</v>
      </c>
      <c r="C879" s="0" t="n">
        <v>75</v>
      </c>
      <c r="D879" s="0" t="n">
        <v>73.66</v>
      </c>
      <c r="E879" s="0" t="n">
        <v>73.91</v>
      </c>
      <c r="F879" s="0" t="n">
        <v>69131286</v>
      </c>
    </row>
    <row r="880" customFormat="false" ht="12.75" hidden="false" customHeight="false" outlineLevel="0" collapsed="false">
      <c r="A880" s="129" t="n">
        <v>41695</v>
      </c>
      <c r="B880" s="0" t="n">
        <v>75.63</v>
      </c>
      <c r="C880" s="0" t="n">
        <v>75.65</v>
      </c>
      <c r="D880" s="0" t="n">
        <v>74.43</v>
      </c>
      <c r="E880" s="0" t="n">
        <v>74.58</v>
      </c>
      <c r="F880" s="0" t="n">
        <v>58247350</v>
      </c>
    </row>
    <row r="881" customFormat="false" ht="12.75" hidden="false" customHeight="false" outlineLevel="0" collapsed="false">
      <c r="A881" s="129" t="n">
        <v>41694</v>
      </c>
      <c r="B881" s="0" t="n">
        <v>74.74</v>
      </c>
      <c r="C881" s="0" t="n">
        <v>75.7</v>
      </c>
      <c r="D881" s="0" t="n">
        <v>74.63</v>
      </c>
      <c r="E881" s="0" t="n">
        <v>75.36</v>
      </c>
      <c r="F881" s="0" t="n">
        <v>72364950</v>
      </c>
    </row>
    <row r="882" customFormat="false" ht="12.75" hidden="false" customHeight="false" outlineLevel="0" collapsed="false">
      <c r="A882" s="129" t="n">
        <v>41691</v>
      </c>
      <c r="B882" s="0" t="n">
        <v>76.11</v>
      </c>
      <c r="C882" s="0" t="n">
        <v>76.37</v>
      </c>
      <c r="D882" s="0" t="n">
        <v>74.94</v>
      </c>
      <c r="E882" s="0" t="n">
        <v>75.04</v>
      </c>
      <c r="F882" s="0" t="n">
        <v>69757247</v>
      </c>
    </row>
    <row r="883" customFormat="false" ht="12.75" hidden="false" customHeight="false" outlineLevel="0" collapsed="false">
      <c r="A883" s="129" t="n">
        <v>41690</v>
      </c>
      <c r="B883" s="0" t="n">
        <v>76.14</v>
      </c>
      <c r="C883" s="0" t="n">
        <v>76.71</v>
      </c>
      <c r="D883" s="0" t="n">
        <v>75.57</v>
      </c>
      <c r="E883" s="0" t="n">
        <v>75.88</v>
      </c>
      <c r="F883" s="0" t="n">
        <v>76529103</v>
      </c>
    </row>
    <row r="884" customFormat="false" ht="12.75" hidden="false" customHeight="false" outlineLevel="0" collapsed="false">
      <c r="A884" s="129" t="n">
        <v>41689</v>
      </c>
      <c r="B884" s="0" t="n">
        <v>77.82</v>
      </c>
      <c r="C884" s="0" t="n">
        <v>78.13</v>
      </c>
      <c r="D884" s="0" t="n">
        <v>76.34</v>
      </c>
      <c r="E884" s="0" t="n">
        <v>76.77</v>
      </c>
      <c r="F884" s="0" t="n">
        <v>78554420</v>
      </c>
    </row>
    <row r="885" customFormat="false" ht="12.75" hidden="false" customHeight="false" outlineLevel="0" collapsed="false">
      <c r="A885" s="129" t="n">
        <v>41688</v>
      </c>
      <c r="B885" s="0" t="n">
        <v>78</v>
      </c>
      <c r="C885" s="0" t="n">
        <v>78.74</v>
      </c>
      <c r="D885" s="0" t="n">
        <v>77.94</v>
      </c>
      <c r="E885" s="0" t="n">
        <v>78</v>
      </c>
      <c r="F885" s="0" t="n">
        <v>65306248</v>
      </c>
    </row>
    <row r="886" customFormat="false" ht="12.75" hidden="false" customHeight="false" outlineLevel="0" collapsed="false">
      <c r="A886" s="129" t="n">
        <v>41684</v>
      </c>
      <c r="B886" s="0" t="n">
        <v>77.5</v>
      </c>
      <c r="C886" s="0" t="n">
        <v>78</v>
      </c>
      <c r="D886" s="0" t="n">
        <v>77.32</v>
      </c>
      <c r="E886" s="0" t="n">
        <v>77.71</v>
      </c>
      <c r="F886" s="0" t="n">
        <v>68468036</v>
      </c>
    </row>
    <row r="887" customFormat="false" ht="12.75" hidden="false" customHeight="false" outlineLevel="0" collapsed="false">
      <c r="A887" s="129" t="n">
        <v>41683</v>
      </c>
      <c r="B887" s="0" t="n">
        <v>76.38</v>
      </c>
      <c r="C887" s="0" t="n">
        <v>77.84</v>
      </c>
      <c r="D887" s="0" t="n">
        <v>76.31</v>
      </c>
      <c r="E887" s="0" t="n">
        <v>77.78</v>
      </c>
      <c r="F887" s="0" t="n">
        <v>76960156</v>
      </c>
    </row>
    <row r="888" customFormat="false" ht="12.75" hidden="false" customHeight="false" outlineLevel="0" collapsed="false">
      <c r="A888" s="129" t="n">
        <v>41682</v>
      </c>
      <c r="B888" s="0" t="n">
        <v>76.71</v>
      </c>
      <c r="C888" s="0" t="n">
        <v>77.08</v>
      </c>
      <c r="D888" s="0" t="n">
        <v>76.18</v>
      </c>
      <c r="E888" s="0" t="n">
        <v>76.56</v>
      </c>
      <c r="F888" s="0" t="n">
        <v>77127064</v>
      </c>
    </row>
    <row r="889" customFormat="false" ht="12.75" hidden="false" customHeight="false" outlineLevel="0" collapsed="false">
      <c r="A889" s="129" t="n">
        <v>41681</v>
      </c>
      <c r="B889" s="0" t="n">
        <v>75.8</v>
      </c>
      <c r="C889" s="0" t="n">
        <v>76.82</v>
      </c>
      <c r="D889" s="0" t="n">
        <v>75.64</v>
      </c>
      <c r="E889" s="0" t="n">
        <v>76.57</v>
      </c>
      <c r="F889" s="0" t="n">
        <v>70672252</v>
      </c>
    </row>
    <row r="890" customFormat="false" ht="12.75" hidden="false" customHeight="false" outlineLevel="0" collapsed="false">
      <c r="A890" s="129" t="n">
        <v>41680</v>
      </c>
      <c r="B890" s="0" t="n">
        <v>74.09</v>
      </c>
      <c r="C890" s="0" t="n">
        <v>76</v>
      </c>
      <c r="D890" s="0" t="n">
        <v>74</v>
      </c>
      <c r="E890" s="0" t="n">
        <v>75.57</v>
      </c>
      <c r="F890" s="0" t="n">
        <v>86451022</v>
      </c>
    </row>
    <row r="891" customFormat="false" ht="12.75" hidden="false" customHeight="false" outlineLevel="0" collapsed="false">
      <c r="A891" s="129" t="n">
        <v>41677</v>
      </c>
      <c r="B891" s="0" t="n">
        <v>74.48</v>
      </c>
      <c r="C891" s="0" t="n">
        <v>74.7</v>
      </c>
      <c r="D891" s="0" t="n">
        <v>73.91</v>
      </c>
      <c r="E891" s="0" t="n">
        <v>74.24</v>
      </c>
      <c r="F891" s="0" t="n">
        <v>93638601</v>
      </c>
    </row>
    <row r="892" customFormat="false" ht="12.75" hidden="false" customHeight="false" outlineLevel="0" collapsed="false">
      <c r="A892" s="129" t="n">
        <v>41676</v>
      </c>
      <c r="B892" s="0" t="n">
        <v>72.87</v>
      </c>
      <c r="C892" s="0" t="n">
        <v>73.36</v>
      </c>
      <c r="D892" s="0" t="n">
        <v>72.54</v>
      </c>
      <c r="E892" s="0" t="n">
        <v>73.22</v>
      </c>
      <c r="F892" s="0" t="n">
        <v>64497223</v>
      </c>
    </row>
    <row r="893" customFormat="false" ht="12.75" hidden="false" customHeight="false" outlineLevel="0" collapsed="false">
      <c r="A893" s="129" t="n">
        <v>41675</v>
      </c>
      <c r="B893" s="0" t="n">
        <v>72.37</v>
      </c>
      <c r="C893" s="0" t="n">
        <v>73.61</v>
      </c>
      <c r="D893" s="0" t="n">
        <v>72.32</v>
      </c>
      <c r="E893" s="0" t="n">
        <v>73.23</v>
      </c>
      <c r="F893" s="0" t="n">
        <v>82322156</v>
      </c>
    </row>
    <row r="894" customFormat="false" ht="12.75" hidden="false" customHeight="false" outlineLevel="0" collapsed="false">
      <c r="A894" s="129" t="n">
        <v>41674</v>
      </c>
      <c r="B894" s="0" t="n">
        <v>72.26</v>
      </c>
      <c r="C894" s="0" t="n">
        <v>72.78</v>
      </c>
      <c r="D894" s="0" t="n">
        <v>71.82</v>
      </c>
      <c r="E894" s="0" t="n">
        <v>72.68</v>
      </c>
      <c r="F894" s="0" t="n">
        <v>94273543</v>
      </c>
    </row>
    <row r="895" customFormat="false" ht="12.75" hidden="false" customHeight="false" outlineLevel="0" collapsed="false">
      <c r="A895" s="129" t="n">
        <v>41673</v>
      </c>
      <c r="B895" s="0" t="n">
        <v>71.8</v>
      </c>
      <c r="C895" s="0" t="n">
        <v>72.53</v>
      </c>
      <c r="D895" s="0" t="n">
        <v>71.33</v>
      </c>
      <c r="E895" s="0" t="n">
        <v>71.65</v>
      </c>
      <c r="F895" s="0" t="n">
        <v>100620772</v>
      </c>
    </row>
    <row r="896" customFormat="false" ht="12.75" hidden="false" customHeight="false" outlineLevel="0" collapsed="false">
      <c r="A896" s="129" t="n">
        <v>41670</v>
      </c>
      <c r="B896" s="0" t="n">
        <v>70.74</v>
      </c>
      <c r="C896" s="0" t="n">
        <v>71.65</v>
      </c>
      <c r="D896" s="0" t="n">
        <v>70.51</v>
      </c>
      <c r="E896" s="0" t="n">
        <v>71.51</v>
      </c>
      <c r="F896" s="0" t="n">
        <v>116336444</v>
      </c>
    </row>
    <row r="897" customFormat="false" ht="12.75" hidden="false" customHeight="false" outlineLevel="0" collapsed="false">
      <c r="A897" s="129" t="n">
        <v>41669</v>
      </c>
      <c r="B897" s="0" t="n">
        <v>71.79</v>
      </c>
      <c r="C897" s="0" t="n">
        <v>72.36</v>
      </c>
      <c r="D897" s="0" t="n">
        <v>70.96</v>
      </c>
      <c r="E897" s="0" t="n">
        <v>71.4</v>
      </c>
      <c r="F897" s="0" t="n">
        <v>169762789</v>
      </c>
    </row>
    <row r="898" customFormat="false" ht="12.75" hidden="false" customHeight="false" outlineLevel="0" collapsed="false">
      <c r="A898" s="129" t="n">
        <v>41668</v>
      </c>
      <c r="B898" s="0" t="n">
        <v>71.99</v>
      </c>
      <c r="C898" s="0" t="n">
        <v>72.48</v>
      </c>
      <c r="D898" s="0" t="n">
        <v>71.23</v>
      </c>
      <c r="E898" s="0" t="n">
        <v>71.54</v>
      </c>
      <c r="F898" s="0" t="n">
        <v>125942796</v>
      </c>
    </row>
    <row r="899" customFormat="false" ht="12.75" hidden="false" customHeight="false" outlineLevel="0" collapsed="false">
      <c r="A899" s="129" t="n">
        <v>41667</v>
      </c>
      <c r="B899" s="0" t="n">
        <v>72.68</v>
      </c>
      <c r="C899" s="0" t="n">
        <v>73.57</v>
      </c>
      <c r="D899" s="0" t="n">
        <v>71.72</v>
      </c>
      <c r="E899" s="0" t="n">
        <v>72.36</v>
      </c>
      <c r="F899" s="0" t="n">
        <v>266833581</v>
      </c>
    </row>
    <row r="900" customFormat="false" ht="12.75" hidden="false" customHeight="false" outlineLevel="0" collapsed="false">
      <c r="A900" s="129" t="n">
        <v>41666</v>
      </c>
      <c r="B900" s="0" t="n">
        <v>78.58</v>
      </c>
      <c r="C900" s="0" t="n">
        <v>79.26</v>
      </c>
      <c r="D900" s="0" t="n">
        <v>77.96</v>
      </c>
      <c r="E900" s="0" t="n">
        <v>78.64</v>
      </c>
      <c r="F900" s="0" t="n">
        <v>144219152</v>
      </c>
    </row>
    <row r="901" customFormat="false" ht="12.75" hidden="false" customHeight="false" outlineLevel="0" collapsed="false">
      <c r="A901" s="129" t="n">
        <v>41663</v>
      </c>
      <c r="B901" s="0" t="n">
        <v>79.14</v>
      </c>
      <c r="C901" s="0" t="n">
        <v>79.37</v>
      </c>
      <c r="D901" s="0" t="n">
        <v>77.82</v>
      </c>
      <c r="E901" s="0" t="n">
        <v>78.01</v>
      </c>
      <c r="F901" s="0" t="n">
        <v>108384437</v>
      </c>
    </row>
    <row r="902" customFormat="false" ht="12.75" hidden="false" customHeight="false" outlineLevel="0" collapsed="false">
      <c r="A902" s="129" t="n">
        <v>41662</v>
      </c>
      <c r="B902" s="0" t="n">
        <v>78.56</v>
      </c>
      <c r="C902" s="0" t="n">
        <v>79.5</v>
      </c>
      <c r="D902" s="0" t="n">
        <v>77.83</v>
      </c>
      <c r="E902" s="0" t="n">
        <v>79.45</v>
      </c>
      <c r="F902" s="0" t="n">
        <v>100978346</v>
      </c>
    </row>
    <row r="903" customFormat="false" ht="12.75" hidden="false" customHeight="false" outlineLevel="0" collapsed="false">
      <c r="A903" s="129" t="n">
        <v>41661</v>
      </c>
      <c r="B903" s="0" t="n">
        <v>78.7</v>
      </c>
      <c r="C903" s="0" t="n">
        <v>79.61</v>
      </c>
      <c r="D903" s="0" t="n">
        <v>78.26</v>
      </c>
      <c r="E903" s="0" t="n">
        <v>78.79</v>
      </c>
      <c r="F903" s="0" t="n">
        <v>95219334</v>
      </c>
    </row>
    <row r="904" customFormat="false" ht="12.75" hidden="false" customHeight="false" outlineLevel="0" collapsed="false">
      <c r="A904" s="129" t="n">
        <v>41660</v>
      </c>
      <c r="B904" s="0" t="n">
        <v>77.28</v>
      </c>
      <c r="C904" s="0" t="n">
        <v>78.58</v>
      </c>
      <c r="D904" s="0" t="n">
        <v>77.2</v>
      </c>
      <c r="E904" s="0" t="n">
        <v>78.44</v>
      </c>
      <c r="F904" s="0" t="n">
        <v>82255544</v>
      </c>
    </row>
    <row r="905" customFormat="false" ht="12.75" hidden="false" customHeight="false" outlineLevel="0" collapsed="false">
      <c r="A905" s="129" t="n">
        <v>41656</v>
      </c>
      <c r="B905" s="0" t="n">
        <v>78.78</v>
      </c>
      <c r="C905" s="0" t="n">
        <v>78.87</v>
      </c>
      <c r="D905" s="0" t="n">
        <v>77.13</v>
      </c>
      <c r="E905" s="0" t="n">
        <v>77.24</v>
      </c>
      <c r="F905" s="0" t="n">
        <v>108426689</v>
      </c>
    </row>
    <row r="906" customFormat="false" ht="12.75" hidden="false" customHeight="false" outlineLevel="0" collapsed="false">
      <c r="A906" s="129" t="n">
        <v>41655</v>
      </c>
      <c r="B906" s="0" t="n">
        <v>79.27</v>
      </c>
      <c r="C906" s="0" t="n">
        <v>79.55</v>
      </c>
      <c r="D906" s="0" t="n">
        <v>78.81</v>
      </c>
      <c r="E906" s="0" t="n">
        <v>79.18</v>
      </c>
      <c r="F906" s="0" t="n">
        <v>57471330</v>
      </c>
    </row>
    <row r="907" customFormat="false" ht="12.75" hidden="false" customHeight="false" outlineLevel="0" collapsed="false">
      <c r="A907" s="129" t="n">
        <v>41654</v>
      </c>
      <c r="B907" s="0" t="n">
        <v>79.07</v>
      </c>
      <c r="C907" s="0" t="n">
        <v>80.03</v>
      </c>
      <c r="D907" s="0" t="n">
        <v>78.81</v>
      </c>
      <c r="E907" s="0" t="n">
        <v>79.62</v>
      </c>
      <c r="F907" s="0" t="n">
        <v>98472619</v>
      </c>
    </row>
    <row r="908" customFormat="false" ht="12.75" hidden="false" customHeight="false" outlineLevel="0" collapsed="false">
      <c r="A908" s="129" t="n">
        <v>41653</v>
      </c>
      <c r="B908" s="0" t="n">
        <v>76.89</v>
      </c>
      <c r="C908" s="0" t="n">
        <v>78.1</v>
      </c>
      <c r="D908" s="0" t="n">
        <v>76.81</v>
      </c>
      <c r="E908" s="0" t="n">
        <v>78.06</v>
      </c>
      <c r="F908" s="0" t="n">
        <v>83734371</v>
      </c>
    </row>
    <row r="909" customFormat="false" ht="12.75" hidden="false" customHeight="false" outlineLevel="0" collapsed="false">
      <c r="A909" s="129" t="n">
        <v>41652</v>
      </c>
      <c r="B909" s="0" t="n">
        <v>75.7</v>
      </c>
      <c r="C909" s="0" t="n">
        <v>77.5</v>
      </c>
      <c r="D909" s="0" t="n">
        <v>75.7</v>
      </c>
      <c r="E909" s="0" t="n">
        <v>76.53</v>
      </c>
      <c r="F909" s="0" t="n">
        <v>94860843</v>
      </c>
    </row>
    <row r="910" customFormat="false" ht="12.75" hidden="false" customHeight="false" outlineLevel="0" collapsed="false">
      <c r="A910" s="129" t="n">
        <v>41649</v>
      </c>
      <c r="B910" s="0" t="n">
        <v>77.12</v>
      </c>
      <c r="C910" s="0" t="n">
        <v>77.26</v>
      </c>
      <c r="D910" s="0" t="n">
        <v>75.87</v>
      </c>
      <c r="E910" s="0" t="n">
        <v>76.13</v>
      </c>
      <c r="F910" s="0" t="n">
        <v>76320664</v>
      </c>
    </row>
    <row r="911" customFormat="false" ht="12.75" hidden="false" customHeight="false" outlineLevel="0" collapsed="false">
      <c r="A911" s="129" t="n">
        <v>41648</v>
      </c>
      <c r="B911" s="0" t="n">
        <v>78.11</v>
      </c>
      <c r="C911" s="0" t="n">
        <v>78.12</v>
      </c>
      <c r="D911" s="0" t="n">
        <v>76.48</v>
      </c>
      <c r="E911" s="0" t="n">
        <v>76.65</v>
      </c>
      <c r="F911" s="0" t="n">
        <v>69905199</v>
      </c>
    </row>
    <row r="912" customFormat="false" ht="12.75" hidden="false" customHeight="false" outlineLevel="0" collapsed="false">
      <c r="A912" s="129" t="n">
        <v>41647</v>
      </c>
      <c r="B912" s="0" t="n">
        <v>76.97</v>
      </c>
      <c r="C912" s="0" t="n">
        <v>77.94</v>
      </c>
      <c r="D912" s="0" t="n">
        <v>76.96</v>
      </c>
      <c r="E912" s="0" t="n">
        <v>77.64</v>
      </c>
      <c r="F912" s="0" t="n">
        <v>64686685</v>
      </c>
    </row>
    <row r="913" customFormat="false" ht="12.75" hidden="false" customHeight="false" outlineLevel="0" collapsed="false">
      <c r="A913" s="129" t="n">
        <v>41646</v>
      </c>
      <c r="B913" s="0" t="n">
        <v>77.76</v>
      </c>
      <c r="C913" s="0" t="n">
        <v>77.99</v>
      </c>
      <c r="D913" s="0" t="n">
        <v>76.85</v>
      </c>
      <c r="E913" s="0" t="n">
        <v>77.15</v>
      </c>
      <c r="F913" s="0" t="n">
        <v>79432766</v>
      </c>
    </row>
    <row r="914" customFormat="false" ht="12.75" hidden="false" customHeight="false" outlineLevel="0" collapsed="false">
      <c r="A914" s="129" t="n">
        <v>41645</v>
      </c>
      <c r="B914" s="0" t="n">
        <v>76.78</v>
      </c>
      <c r="C914" s="0" t="n">
        <v>78.11</v>
      </c>
      <c r="D914" s="0" t="n">
        <v>76.23</v>
      </c>
      <c r="E914" s="0" t="n">
        <v>77.7</v>
      </c>
      <c r="F914" s="0" t="n">
        <v>103359151</v>
      </c>
    </row>
    <row r="915" customFormat="false" ht="12.75" hidden="false" customHeight="false" outlineLevel="0" collapsed="false">
      <c r="A915" s="129" t="n">
        <v>41642</v>
      </c>
      <c r="B915" s="0" t="n">
        <v>78.98</v>
      </c>
      <c r="C915" s="0" t="n">
        <v>79.1</v>
      </c>
      <c r="D915" s="0" t="n">
        <v>77.2</v>
      </c>
      <c r="E915" s="0" t="n">
        <v>77.28</v>
      </c>
      <c r="F915" s="0" t="n">
        <v>98303870</v>
      </c>
    </row>
    <row r="916" customFormat="false" ht="12.75" hidden="false" customHeight="false" outlineLevel="0" collapsed="false">
      <c r="A916" s="129" t="n">
        <v>41641</v>
      </c>
      <c r="B916" s="0" t="n">
        <v>79.38</v>
      </c>
      <c r="C916" s="0" t="n">
        <v>79.58</v>
      </c>
      <c r="D916" s="0" t="n">
        <v>78.86</v>
      </c>
      <c r="E916" s="0" t="n">
        <v>79.02</v>
      </c>
      <c r="F916" s="0" t="n">
        <v>58791957</v>
      </c>
    </row>
    <row r="917" customFormat="false" ht="12.75" hidden="false" customHeight="false" outlineLevel="0" collapsed="false">
      <c r="A917" s="129" t="n">
        <v>41639</v>
      </c>
      <c r="B917" s="0" t="n">
        <v>79.17</v>
      </c>
      <c r="C917" s="0" t="n">
        <v>80.18</v>
      </c>
      <c r="D917" s="0" t="n">
        <v>79.14</v>
      </c>
      <c r="E917" s="0" t="n">
        <v>80.15</v>
      </c>
      <c r="F917" s="0" t="n">
        <v>55819372</v>
      </c>
    </row>
    <row r="918" customFormat="false" ht="12.75" hidden="false" customHeight="false" outlineLevel="0" collapsed="false">
      <c r="A918" s="129" t="n">
        <v>41638</v>
      </c>
      <c r="B918" s="0" t="n">
        <v>79.64</v>
      </c>
      <c r="C918" s="0" t="n">
        <v>80.01</v>
      </c>
      <c r="D918" s="0" t="n">
        <v>78.9</v>
      </c>
      <c r="E918" s="0" t="n">
        <v>79.22</v>
      </c>
      <c r="F918" s="0" t="n">
        <v>63407722</v>
      </c>
    </row>
    <row r="919" customFormat="false" ht="12.75" hidden="false" customHeight="false" outlineLevel="0" collapsed="false">
      <c r="A919" s="129" t="n">
        <v>41635</v>
      </c>
      <c r="B919" s="0" t="n">
        <v>80.55</v>
      </c>
      <c r="C919" s="0" t="n">
        <v>80.63</v>
      </c>
      <c r="D919" s="0" t="n">
        <v>79.93</v>
      </c>
      <c r="E919" s="0" t="n">
        <v>80.01</v>
      </c>
      <c r="F919" s="0" t="n">
        <v>56471317</v>
      </c>
    </row>
    <row r="920" customFormat="false" ht="12.75" hidden="false" customHeight="false" outlineLevel="0" collapsed="false">
      <c r="A920" s="129" t="n">
        <v>41634</v>
      </c>
      <c r="B920" s="0" t="n">
        <v>81.16</v>
      </c>
      <c r="C920" s="0" t="n">
        <v>81.36</v>
      </c>
      <c r="D920" s="0" t="n">
        <v>80.48</v>
      </c>
      <c r="E920" s="0" t="n">
        <v>80.56</v>
      </c>
      <c r="F920" s="0" t="n">
        <v>51002035</v>
      </c>
    </row>
    <row r="921" customFormat="false" ht="12.75" hidden="false" customHeight="false" outlineLevel="0" collapsed="false">
      <c r="A921" s="129" t="n">
        <v>41632</v>
      </c>
      <c r="B921" s="0" t="n">
        <v>81.41</v>
      </c>
      <c r="C921" s="0" t="n">
        <v>81.7</v>
      </c>
      <c r="D921" s="0" t="n">
        <v>80.86</v>
      </c>
      <c r="E921" s="0" t="n">
        <v>81.1</v>
      </c>
      <c r="F921" s="0" t="n">
        <v>41888735</v>
      </c>
    </row>
    <row r="922" customFormat="false" ht="12.75" hidden="false" customHeight="false" outlineLevel="0" collapsed="false">
      <c r="A922" s="129" t="n">
        <v>41631</v>
      </c>
      <c r="B922" s="0" t="n">
        <v>81.14</v>
      </c>
      <c r="C922" s="0" t="n">
        <v>81.53</v>
      </c>
      <c r="D922" s="0" t="n">
        <v>80.39</v>
      </c>
      <c r="E922" s="0" t="n">
        <v>81.44</v>
      </c>
      <c r="F922" s="0" t="n">
        <v>125326831</v>
      </c>
    </row>
    <row r="923" customFormat="false" ht="12.75" hidden="false" customHeight="false" outlineLevel="0" collapsed="false">
      <c r="A923" s="129" t="n">
        <v>41628</v>
      </c>
      <c r="B923" s="0" t="n">
        <v>77.91</v>
      </c>
      <c r="C923" s="0" t="n">
        <v>78.8</v>
      </c>
      <c r="D923" s="0" t="n">
        <v>77.83</v>
      </c>
      <c r="E923" s="0" t="n">
        <v>78.43</v>
      </c>
      <c r="F923" s="0" t="n">
        <v>109103435</v>
      </c>
    </row>
    <row r="924" customFormat="false" ht="12.75" hidden="false" customHeight="false" outlineLevel="0" collapsed="false">
      <c r="A924" s="129" t="n">
        <v>41627</v>
      </c>
      <c r="B924" s="0" t="n">
        <v>78.38</v>
      </c>
      <c r="C924" s="0" t="n">
        <v>78.57</v>
      </c>
      <c r="D924" s="0" t="n">
        <v>77.68</v>
      </c>
      <c r="E924" s="0" t="n">
        <v>77.78</v>
      </c>
      <c r="F924" s="0" t="n">
        <v>80239369</v>
      </c>
    </row>
    <row r="925" customFormat="false" ht="12.75" hidden="false" customHeight="false" outlineLevel="0" collapsed="false">
      <c r="A925" s="129" t="n">
        <v>41626</v>
      </c>
      <c r="B925" s="0" t="n">
        <v>78.21</v>
      </c>
      <c r="C925" s="0" t="n">
        <v>78.78</v>
      </c>
      <c r="D925" s="0" t="n">
        <v>76.97</v>
      </c>
      <c r="E925" s="0" t="n">
        <v>78.68</v>
      </c>
      <c r="F925" s="0" t="n">
        <v>141465807</v>
      </c>
    </row>
    <row r="926" customFormat="false" ht="12.75" hidden="false" customHeight="false" outlineLevel="0" collapsed="false">
      <c r="A926" s="129" t="n">
        <v>41625</v>
      </c>
      <c r="B926" s="0" t="n">
        <v>79.39</v>
      </c>
      <c r="C926" s="0" t="n">
        <v>79.92</v>
      </c>
      <c r="D926" s="0" t="n">
        <v>79.05</v>
      </c>
      <c r="E926" s="0" t="n">
        <v>79.28</v>
      </c>
      <c r="F926" s="0" t="n">
        <v>57475649</v>
      </c>
    </row>
    <row r="927" customFormat="false" ht="12.75" hidden="false" customHeight="false" outlineLevel="0" collapsed="false">
      <c r="A927" s="129" t="n">
        <v>41624</v>
      </c>
      <c r="B927" s="0" t="n">
        <v>79.37</v>
      </c>
      <c r="C927" s="0" t="n">
        <v>80.38</v>
      </c>
      <c r="D927" s="0" t="n">
        <v>79.29</v>
      </c>
      <c r="E927" s="0" t="n">
        <v>79.64</v>
      </c>
      <c r="F927" s="0" t="n">
        <v>70648452</v>
      </c>
    </row>
    <row r="928" customFormat="false" ht="12.75" hidden="false" customHeight="false" outlineLevel="0" collapsed="false">
      <c r="A928" s="129" t="n">
        <v>41621</v>
      </c>
      <c r="B928" s="0" t="n">
        <v>80.34</v>
      </c>
      <c r="C928" s="0" t="n">
        <v>80.41</v>
      </c>
      <c r="D928" s="0" t="n">
        <v>79.1</v>
      </c>
      <c r="E928" s="0" t="n">
        <v>79.2</v>
      </c>
      <c r="F928" s="0" t="n">
        <v>83205283</v>
      </c>
    </row>
    <row r="929" customFormat="false" ht="12.75" hidden="false" customHeight="false" outlineLevel="0" collapsed="false">
      <c r="A929" s="129" t="n">
        <v>41620</v>
      </c>
      <c r="B929" s="0" t="n">
        <v>80.38</v>
      </c>
      <c r="C929" s="0" t="n">
        <v>80.76</v>
      </c>
      <c r="D929" s="0" t="n">
        <v>80</v>
      </c>
      <c r="E929" s="0" t="n">
        <v>80.08</v>
      </c>
      <c r="F929" s="0" t="n">
        <v>65572318</v>
      </c>
    </row>
    <row r="930" customFormat="false" ht="12.75" hidden="false" customHeight="false" outlineLevel="0" collapsed="false">
      <c r="A930" s="129" t="n">
        <v>41619</v>
      </c>
      <c r="B930" s="0" t="n">
        <v>81.01</v>
      </c>
      <c r="C930" s="0" t="n">
        <v>81.57</v>
      </c>
      <c r="D930" s="0" t="n">
        <v>79.96</v>
      </c>
      <c r="E930" s="0" t="n">
        <v>80.19</v>
      </c>
      <c r="F930" s="0" t="n">
        <v>89929693</v>
      </c>
    </row>
    <row r="931" customFormat="false" ht="12.75" hidden="false" customHeight="false" outlineLevel="0" collapsed="false">
      <c r="A931" s="129" t="n">
        <v>41618</v>
      </c>
      <c r="B931" s="0" t="n">
        <v>80.52</v>
      </c>
      <c r="C931" s="0" t="n">
        <v>81.13</v>
      </c>
      <c r="D931" s="0" t="n">
        <v>80.17</v>
      </c>
      <c r="E931" s="0" t="n">
        <v>80.79</v>
      </c>
      <c r="F931" s="0" t="n">
        <v>69567610</v>
      </c>
    </row>
    <row r="932" customFormat="false" ht="12.75" hidden="false" customHeight="false" outlineLevel="0" collapsed="false">
      <c r="A932" s="129" t="n">
        <v>41617</v>
      </c>
      <c r="B932" s="0" t="n">
        <v>80.14</v>
      </c>
      <c r="C932" s="0" t="n">
        <v>81.37</v>
      </c>
      <c r="D932" s="0" t="n">
        <v>80.13</v>
      </c>
      <c r="E932" s="0" t="n">
        <v>80.92</v>
      </c>
      <c r="F932" s="0" t="n">
        <v>80123533</v>
      </c>
    </row>
    <row r="933" customFormat="false" ht="12.75" hidden="false" customHeight="false" outlineLevel="0" collapsed="false">
      <c r="A933" s="129" t="n">
        <v>41614</v>
      </c>
      <c r="B933" s="0" t="n">
        <v>80.83</v>
      </c>
      <c r="C933" s="0" t="n">
        <v>80.96</v>
      </c>
      <c r="D933" s="0" t="n">
        <v>79.94</v>
      </c>
      <c r="E933" s="0" t="n">
        <v>80</v>
      </c>
      <c r="F933" s="0" t="n">
        <v>86088352</v>
      </c>
    </row>
    <row r="934" customFormat="false" ht="12.75" hidden="false" customHeight="false" outlineLevel="0" collapsed="false">
      <c r="A934" s="129" t="n">
        <v>41613</v>
      </c>
      <c r="B934" s="0" t="n">
        <v>81.81</v>
      </c>
      <c r="C934" s="0" t="n">
        <v>82.16</v>
      </c>
      <c r="D934" s="0" t="n">
        <v>80.92</v>
      </c>
      <c r="E934" s="0" t="n">
        <v>81.13</v>
      </c>
      <c r="F934" s="0" t="n">
        <v>111895315</v>
      </c>
    </row>
    <row r="935" customFormat="false" ht="12.75" hidden="false" customHeight="false" outlineLevel="0" collapsed="false">
      <c r="A935" s="129" t="n">
        <v>41612</v>
      </c>
      <c r="B935" s="0" t="n">
        <v>80.79</v>
      </c>
      <c r="C935" s="0" t="n">
        <v>81.31</v>
      </c>
      <c r="D935" s="0" t="n">
        <v>80.12</v>
      </c>
      <c r="E935" s="0" t="n">
        <v>80.71</v>
      </c>
      <c r="F935" s="0" t="n">
        <v>94452666</v>
      </c>
    </row>
    <row r="936" customFormat="false" ht="12.75" hidden="false" customHeight="false" outlineLevel="0" collapsed="false">
      <c r="A936" s="129" t="n">
        <v>41611</v>
      </c>
      <c r="B936" s="0" t="n">
        <v>79.76</v>
      </c>
      <c r="C936" s="0" t="n">
        <v>80.91</v>
      </c>
      <c r="D936" s="0" t="n">
        <v>79.67</v>
      </c>
      <c r="E936" s="0" t="n">
        <v>80.9</v>
      </c>
      <c r="F936" s="0" t="n">
        <v>112741734</v>
      </c>
    </row>
    <row r="937" customFormat="false" ht="12.75" hidden="false" customHeight="false" outlineLevel="0" collapsed="false">
      <c r="A937" s="129" t="n">
        <v>41610</v>
      </c>
      <c r="B937" s="0" t="n">
        <v>79.71</v>
      </c>
      <c r="C937" s="0" t="n">
        <v>80.62</v>
      </c>
      <c r="D937" s="0" t="n">
        <v>78.69</v>
      </c>
      <c r="E937" s="0" t="n">
        <v>78.75</v>
      </c>
      <c r="F937" s="0" t="n">
        <v>118135885</v>
      </c>
    </row>
    <row r="938" customFormat="false" ht="12.75" hidden="false" customHeight="false" outlineLevel="0" collapsed="false">
      <c r="A938" s="129" t="n">
        <v>41607</v>
      </c>
      <c r="B938" s="0" t="n">
        <v>78.5</v>
      </c>
      <c r="C938" s="0" t="n">
        <v>79.76</v>
      </c>
      <c r="D938" s="0" t="n">
        <v>78.26</v>
      </c>
      <c r="E938" s="0" t="n">
        <v>79.44</v>
      </c>
      <c r="F938" s="0" t="n">
        <v>79532215</v>
      </c>
    </row>
    <row r="939" customFormat="false" ht="12.75" hidden="false" customHeight="false" outlineLevel="0" collapsed="false">
      <c r="A939" s="129" t="n">
        <v>41605</v>
      </c>
      <c r="B939" s="0" t="n">
        <v>76.62</v>
      </c>
      <c r="C939" s="0" t="n">
        <v>78</v>
      </c>
      <c r="D939" s="0" t="n">
        <v>76.2</v>
      </c>
      <c r="E939" s="0" t="n">
        <v>77.99</v>
      </c>
      <c r="F939" s="0" t="n">
        <v>90861841</v>
      </c>
    </row>
    <row r="940" customFormat="false" ht="12.75" hidden="false" customHeight="false" outlineLevel="0" collapsed="false">
      <c r="A940" s="129" t="n">
        <v>41604</v>
      </c>
      <c r="B940" s="0" t="n">
        <v>74.87</v>
      </c>
      <c r="C940" s="0" t="n">
        <v>76.59</v>
      </c>
      <c r="D940" s="0" t="n">
        <v>74.86</v>
      </c>
      <c r="E940" s="0" t="n">
        <v>76.2</v>
      </c>
      <c r="F940" s="0" t="n">
        <v>100345728</v>
      </c>
    </row>
    <row r="941" customFormat="false" ht="12.75" hidden="false" customHeight="false" outlineLevel="0" collapsed="false">
      <c r="A941" s="129" t="n">
        <v>41603</v>
      </c>
      <c r="B941" s="0" t="n">
        <v>74.43</v>
      </c>
      <c r="C941" s="0" t="n">
        <v>75.12</v>
      </c>
      <c r="D941" s="0" t="n">
        <v>74.43</v>
      </c>
      <c r="E941" s="0" t="n">
        <v>74.82</v>
      </c>
      <c r="F941" s="0" t="n">
        <v>57348403</v>
      </c>
    </row>
    <row r="942" customFormat="false" ht="12.75" hidden="false" customHeight="false" outlineLevel="0" collapsed="false">
      <c r="A942" s="129" t="n">
        <v>41600</v>
      </c>
      <c r="B942" s="0" t="n">
        <v>74.22</v>
      </c>
      <c r="C942" s="0" t="n">
        <v>74.59</v>
      </c>
      <c r="D942" s="0" t="n">
        <v>74.08</v>
      </c>
      <c r="E942" s="0" t="n">
        <v>74.26</v>
      </c>
      <c r="F942" s="0" t="n">
        <v>55931232</v>
      </c>
    </row>
    <row r="943" customFormat="false" ht="12.75" hidden="false" customHeight="false" outlineLevel="0" collapsed="false">
      <c r="A943" s="129" t="n">
        <v>41599</v>
      </c>
      <c r="B943" s="0" t="n">
        <v>73.94</v>
      </c>
      <c r="C943" s="0" t="n">
        <v>74.46</v>
      </c>
      <c r="D943" s="0" t="n">
        <v>73.38</v>
      </c>
      <c r="E943" s="0" t="n">
        <v>74.45</v>
      </c>
      <c r="F943" s="0" t="n">
        <v>65506861</v>
      </c>
    </row>
    <row r="944" customFormat="false" ht="12.75" hidden="false" customHeight="false" outlineLevel="0" collapsed="false">
      <c r="A944" s="129" t="n">
        <v>41598</v>
      </c>
      <c r="B944" s="0" t="n">
        <v>74.18</v>
      </c>
      <c r="C944" s="0" t="n">
        <v>74.35</v>
      </c>
      <c r="D944" s="0" t="n">
        <v>73.48</v>
      </c>
      <c r="E944" s="0" t="n">
        <v>73.57</v>
      </c>
      <c r="F944" s="0" t="n">
        <v>48545798</v>
      </c>
    </row>
    <row r="945" customFormat="false" ht="12.75" hidden="false" customHeight="false" outlineLevel="0" collapsed="false">
      <c r="A945" s="129" t="n">
        <v>41597</v>
      </c>
      <c r="B945" s="0" t="n">
        <v>74.15</v>
      </c>
      <c r="C945" s="0" t="n">
        <v>74.77</v>
      </c>
      <c r="D945" s="0" t="n">
        <v>74</v>
      </c>
      <c r="E945" s="0" t="n">
        <v>74.22</v>
      </c>
      <c r="F945" s="0" t="n">
        <v>52234707</v>
      </c>
    </row>
    <row r="946" customFormat="false" ht="12.75" hidden="false" customHeight="false" outlineLevel="0" collapsed="false">
      <c r="A946" s="129" t="n">
        <v>41596</v>
      </c>
      <c r="B946" s="0" t="n">
        <v>75</v>
      </c>
      <c r="C946" s="0" t="n">
        <v>75.31</v>
      </c>
      <c r="D946" s="0" t="n">
        <v>74.03</v>
      </c>
      <c r="E946" s="0" t="n">
        <v>74.09</v>
      </c>
      <c r="F946" s="0" t="n">
        <v>61236224</v>
      </c>
    </row>
    <row r="947" customFormat="false" ht="12.75" hidden="false" customHeight="false" outlineLevel="0" collapsed="false">
      <c r="A947" s="129" t="n">
        <v>41593</v>
      </c>
      <c r="B947" s="0" t="n">
        <v>75.23</v>
      </c>
      <c r="C947" s="0" t="n">
        <v>75.58</v>
      </c>
      <c r="D947" s="0" t="n">
        <v>74.93</v>
      </c>
      <c r="E947" s="0" t="n">
        <v>75</v>
      </c>
      <c r="F947" s="0" t="n">
        <v>79479764</v>
      </c>
    </row>
    <row r="948" customFormat="false" ht="12.75" hidden="false" customHeight="false" outlineLevel="0" collapsed="false">
      <c r="A948" s="129" t="n">
        <v>41592</v>
      </c>
      <c r="B948" s="0" t="n">
        <v>74.69</v>
      </c>
      <c r="C948" s="0" t="n">
        <v>75.61</v>
      </c>
      <c r="D948" s="0" t="n">
        <v>74.55</v>
      </c>
      <c r="E948" s="0" t="n">
        <v>75.45</v>
      </c>
      <c r="F948" s="0" t="n">
        <v>70605087</v>
      </c>
    </row>
    <row r="949" customFormat="false" ht="12.75" hidden="false" customHeight="false" outlineLevel="0" collapsed="false">
      <c r="A949" s="129" t="n">
        <v>41591</v>
      </c>
      <c r="B949" s="0" t="n">
        <v>74</v>
      </c>
      <c r="C949" s="0" t="n">
        <v>74.61</v>
      </c>
      <c r="D949" s="0" t="n">
        <v>73.85</v>
      </c>
      <c r="E949" s="0" t="n">
        <v>74.38</v>
      </c>
      <c r="F949" s="0" t="n">
        <v>49304927</v>
      </c>
    </row>
    <row r="950" customFormat="false" ht="12.75" hidden="false" customHeight="false" outlineLevel="0" collapsed="false">
      <c r="A950" s="129" t="n">
        <v>41590</v>
      </c>
      <c r="B950" s="0" t="n">
        <v>73.95</v>
      </c>
      <c r="C950" s="0" t="n">
        <v>74.85</v>
      </c>
      <c r="D950" s="0" t="n">
        <v>73.86</v>
      </c>
      <c r="E950" s="0" t="n">
        <v>74.29</v>
      </c>
      <c r="F950" s="0" t="n">
        <v>51114651</v>
      </c>
    </row>
    <row r="951" customFormat="false" ht="12.75" hidden="false" customHeight="false" outlineLevel="0" collapsed="false">
      <c r="A951" s="129" t="n">
        <v>41589</v>
      </c>
      <c r="B951" s="0" t="n">
        <v>74.28</v>
      </c>
      <c r="C951" s="0" t="n">
        <v>74.52</v>
      </c>
      <c r="D951" s="0" t="n">
        <v>73.49</v>
      </c>
      <c r="E951" s="0" t="n">
        <v>74.15</v>
      </c>
      <c r="F951" s="0" t="n">
        <v>56863303</v>
      </c>
    </row>
    <row r="952" customFormat="false" ht="12.75" hidden="false" customHeight="false" outlineLevel="0" collapsed="false">
      <c r="A952" s="129" t="n">
        <v>41586</v>
      </c>
      <c r="B952" s="0" t="n">
        <v>73.51</v>
      </c>
      <c r="C952" s="0" t="n">
        <v>74.45</v>
      </c>
      <c r="D952" s="0" t="n">
        <v>73.23</v>
      </c>
      <c r="E952" s="0" t="n">
        <v>74.37</v>
      </c>
      <c r="F952" s="0" t="n">
        <v>69829543</v>
      </c>
    </row>
    <row r="953" customFormat="false" ht="12.75" hidden="false" customHeight="false" outlineLevel="0" collapsed="false">
      <c r="A953" s="129" t="n">
        <v>41585</v>
      </c>
      <c r="B953" s="0" t="n">
        <v>74.23</v>
      </c>
      <c r="C953" s="0" t="n">
        <v>74.74</v>
      </c>
      <c r="D953" s="0" t="n">
        <v>73.2</v>
      </c>
      <c r="E953" s="0" t="n">
        <v>73.21</v>
      </c>
      <c r="F953" s="0" t="n">
        <v>65655100</v>
      </c>
    </row>
    <row r="954" customFormat="false" ht="12.75" hidden="false" customHeight="false" outlineLevel="0" collapsed="false">
      <c r="A954" s="129" t="n">
        <v>41584</v>
      </c>
      <c r="B954" s="0" t="n">
        <v>74.88</v>
      </c>
      <c r="C954" s="0" t="n">
        <v>74.98</v>
      </c>
      <c r="D954" s="0" t="n">
        <v>74.03</v>
      </c>
      <c r="E954" s="0" t="n">
        <v>74.42</v>
      </c>
      <c r="F954" s="0" t="n">
        <v>55844152</v>
      </c>
    </row>
    <row r="955" customFormat="false" ht="12.75" hidden="false" customHeight="false" outlineLevel="0" collapsed="false">
      <c r="A955" s="129" t="n">
        <v>41583</v>
      </c>
      <c r="B955" s="0" t="n">
        <v>74.94</v>
      </c>
      <c r="C955" s="0" t="n">
        <v>75.56</v>
      </c>
      <c r="D955" s="0" t="n">
        <v>74.71</v>
      </c>
      <c r="E955" s="0" t="n">
        <v>75.06</v>
      </c>
      <c r="F955" s="0" t="n">
        <v>66368071</v>
      </c>
    </row>
    <row r="956" customFormat="false" ht="12.75" hidden="false" customHeight="false" outlineLevel="0" collapsed="false">
      <c r="A956" s="129" t="n">
        <v>41582</v>
      </c>
      <c r="B956" s="0" t="n">
        <v>74.44</v>
      </c>
      <c r="C956" s="0" t="n">
        <v>75.26</v>
      </c>
      <c r="D956" s="0" t="n">
        <v>74.12</v>
      </c>
      <c r="E956" s="0" t="n">
        <v>75.25</v>
      </c>
      <c r="F956" s="0" t="n">
        <v>61157033</v>
      </c>
    </row>
    <row r="957" customFormat="false" ht="12.75" hidden="false" customHeight="false" outlineLevel="0" collapsed="false">
      <c r="A957" s="129" t="n">
        <v>41579</v>
      </c>
      <c r="B957" s="0" t="n">
        <v>74.86</v>
      </c>
      <c r="C957" s="0" t="n">
        <v>74.97</v>
      </c>
      <c r="D957" s="0" t="n">
        <v>73.69</v>
      </c>
      <c r="E957" s="0" t="n">
        <v>74.29</v>
      </c>
      <c r="F957" s="0" t="n">
        <v>68722304</v>
      </c>
    </row>
    <row r="958" customFormat="false" ht="12.75" hidden="false" customHeight="false" outlineLevel="0" collapsed="false">
      <c r="A958" s="129" t="n">
        <v>41578</v>
      </c>
      <c r="B958" s="0" t="n">
        <v>75</v>
      </c>
      <c r="C958" s="0" t="n">
        <v>75.36</v>
      </c>
      <c r="D958" s="0" t="n">
        <v>74.47</v>
      </c>
      <c r="E958" s="0" t="n">
        <v>74.67</v>
      </c>
      <c r="F958" s="0" t="n">
        <v>68923785</v>
      </c>
    </row>
    <row r="959" customFormat="false" ht="12.75" hidden="false" customHeight="false" outlineLevel="0" collapsed="false">
      <c r="A959" s="129" t="n">
        <v>41577</v>
      </c>
      <c r="B959" s="0" t="n">
        <v>74.23</v>
      </c>
      <c r="C959" s="0" t="n">
        <v>75.36</v>
      </c>
      <c r="D959" s="0" t="n">
        <v>73.86</v>
      </c>
      <c r="E959" s="0" t="n">
        <v>74.98</v>
      </c>
      <c r="F959" s="0" t="n">
        <v>88540697</v>
      </c>
    </row>
    <row r="960" customFormat="false" ht="12.75" hidden="false" customHeight="false" outlineLevel="0" collapsed="false">
      <c r="A960" s="129" t="n">
        <v>41576</v>
      </c>
      <c r="B960" s="0" t="n">
        <v>76.61</v>
      </c>
      <c r="C960" s="0" t="n">
        <v>77.04</v>
      </c>
      <c r="D960" s="0" t="n">
        <v>73.51</v>
      </c>
      <c r="E960" s="0" t="n">
        <v>73.81</v>
      </c>
      <c r="F960" s="0" t="n">
        <v>158952115</v>
      </c>
    </row>
    <row r="961" customFormat="false" ht="12.75" hidden="false" customHeight="false" outlineLevel="0" collapsed="false">
      <c r="A961" s="129" t="n">
        <v>41575</v>
      </c>
      <c r="B961" s="0" t="n">
        <v>75.58</v>
      </c>
      <c r="C961" s="0" t="n">
        <v>75.86</v>
      </c>
      <c r="D961" s="0" t="n">
        <v>74.74</v>
      </c>
      <c r="E961" s="0" t="n">
        <v>75.7</v>
      </c>
      <c r="F961" s="0" t="n">
        <v>137610123</v>
      </c>
    </row>
    <row r="962" customFormat="false" ht="12.75" hidden="false" customHeight="false" outlineLevel="0" collapsed="false">
      <c r="A962" s="129" t="n">
        <v>41572</v>
      </c>
      <c r="B962" s="0" t="n">
        <v>75.9</v>
      </c>
      <c r="C962" s="0" t="n">
        <v>76.18</v>
      </c>
      <c r="D962" s="0" t="n">
        <v>75.02</v>
      </c>
      <c r="E962" s="0" t="n">
        <v>75.14</v>
      </c>
      <c r="F962" s="0" t="n">
        <v>84448133</v>
      </c>
    </row>
    <row r="963" customFormat="false" ht="12.75" hidden="false" customHeight="false" outlineLevel="0" collapsed="false">
      <c r="A963" s="129" t="n">
        <v>41571</v>
      </c>
      <c r="B963" s="0" t="n">
        <v>75</v>
      </c>
      <c r="C963" s="0" t="n">
        <v>76.07</v>
      </c>
      <c r="D963" s="0" t="n">
        <v>74.64</v>
      </c>
      <c r="E963" s="0" t="n">
        <v>75.99</v>
      </c>
      <c r="F963" s="0" t="n">
        <v>96191095</v>
      </c>
    </row>
    <row r="964" customFormat="false" ht="12.75" hidden="false" customHeight="false" outlineLevel="0" collapsed="false">
      <c r="A964" s="129" t="n">
        <v>41570</v>
      </c>
      <c r="B964" s="0" t="n">
        <v>74.14</v>
      </c>
      <c r="C964" s="0" t="n">
        <v>75.1</v>
      </c>
      <c r="D964" s="0" t="n">
        <v>74.14</v>
      </c>
      <c r="E964" s="0" t="n">
        <v>74.99</v>
      </c>
      <c r="F964" s="0" t="n">
        <v>78431122</v>
      </c>
    </row>
    <row r="965" customFormat="false" ht="12.75" hidden="false" customHeight="false" outlineLevel="0" collapsed="false">
      <c r="A965" s="129" t="n">
        <v>41569</v>
      </c>
      <c r="B965" s="0" t="n">
        <v>75.2</v>
      </c>
      <c r="C965" s="0" t="n">
        <v>75.49</v>
      </c>
      <c r="D965" s="0" t="n">
        <v>72.58</v>
      </c>
      <c r="E965" s="0" t="n">
        <v>74.27</v>
      </c>
      <c r="F965" s="0" t="n">
        <v>133515753</v>
      </c>
    </row>
    <row r="966" customFormat="false" ht="12.75" hidden="false" customHeight="false" outlineLevel="0" collapsed="false">
      <c r="A966" s="129" t="n">
        <v>41568</v>
      </c>
      <c r="B966" s="0" t="n">
        <v>73.11</v>
      </c>
      <c r="C966" s="0" t="n">
        <v>74.9</v>
      </c>
      <c r="D966" s="0" t="n">
        <v>73.07</v>
      </c>
      <c r="E966" s="0" t="n">
        <v>74.48</v>
      </c>
      <c r="F966" s="0" t="n">
        <v>99526945</v>
      </c>
    </row>
    <row r="967" customFormat="false" ht="12.75" hidden="false" customHeight="false" outlineLevel="0" collapsed="false">
      <c r="A967" s="129" t="n">
        <v>41565</v>
      </c>
      <c r="B967" s="0" t="n">
        <v>72.28</v>
      </c>
      <c r="C967" s="0" t="n">
        <v>72.75</v>
      </c>
      <c r="D967" s="0" t="n">
        <v>72.24</v>
      </c>
      <c r="E967" s="0" t="n">
        <v>72.7</v>
      </c>
      <c r="F967" s="0" t="n">
        <v>72635570</v>
      </c>
    </row>
    <row r="968" customFormat="false" ht="12.75" hidden="false" customHeight="false" outlineLevel="0" collapsed="false">
      <c r="A968" s="129" t="n">
        <v>41564</v>
      </c>
      <c r="B968" s="0" t="n">
        <v>71.43</v>
      </c>
      <c r="C968" s="0" t="n">
        <v>72.11</v>
      </c>
      <c r="D968" s="0" t="n">
        <v>71.38</v>
      </c>
      <c r="E968" s="0" t="n">
        <v>72.07</v>
      </c>
      <c r="F968" s="0" t="n">
        <v>63398335</v>
      </c>
    </row>
    <row r="969" customFormat="false" ht="12.75" hidden="false" customHeight="false" outlineLevel="0" collapsed="false">
      <c r="A969" s="129" t="n">
        <v>41563</v>
      </c>
      <c r="B969" s="0" t="n">
        <v>71.54</v>
      </c>
      <c r="C969" s="0" t="n">
        <v>71.79</v>
      </c>
      <c r="D969" s="0" t="n">
        <v>71.32</v>
      </c>
      <c r="E969" s="0" t="n">
        <v>71.59</v>
      </c>
      <c r="F969" s="0" t="n">
        <v>62775013</v>
      </c>
    </row>
    <row r="970" customFormat="false" ht="12.75" hidden="false" customHeight="false" outlineLevel="0" collapsed="false">
      <c r="A970" s="129" t="n">
        <v>41562</v>
      </c>
      <c r="B970" s="0" t="n">
        <v>71.07</v>
      </c>
      <c r="C970" s="0" t="n">
        <v>71.71</v>
      </c>
      <c r="D970" s="0" t="n">
        <v>70.79</v>
      </c>
      <c r="E970" s="0" t="n">
        <v>71.24</v>
      </c>
      <c r="F970" s="0" t="n">
        <v>80018603</v>
      </c>
    </row>
    <row r="971" customFormat="false" ht="12.75" hidden="false" customHeight="false" outlineLevel="0" collapsed="false">
      <c r="A971" s="129" t="n">
        <v>41561</v>
      </c>
      <c r="B971" s="0" t="n">
        <v>69.98</v>
      </c>
      <c r="C971" s="0" t="n">
        <v>71.08</v>
      </c>
      <c r="D971" s="0" t="n">
        <v>69.91</v>
      </c>
      <c r="E971" s="0" t="n">
        <v>70.86</v>
      </c>
      <c r="F971" s="0" t="n">
        <v>65474542</v>
      </c>
    </row>
    <row r="972" customFormat="false" ht="12.75" hidden="false" customHeight="false" outlineLevel="0" collapsed="false">
      <c r="A972" s="129" t="n">
        <v>41558</v>
      </c>
      <c r="B972" s="0" t="n">
        <v>69.57</v>
      </c>
      <c r="C972" s="0" t="n">
        <v>70.55</v>
      </c>
      <c r="D972" s="0" t="n">
        <v>69.31</v>
      </c>
      <c r="E972" s="0" t="n">
        <v>70.4</v>
      </c>
      <c r="F972" s="0" t="n">
        <v>66934938</v>
      </c>
    </row>
    <row r="973" customFormat="false" ht="12.75" hidden="false" customHeight="false" outlineLevel="0" collapsed="false">
      <c r="A973" s="129" t="n">
        <v>41557</v>
      </c>
      <c r="B973" s="0" t="n">
        <v>70.19</v>
      </c>
      <c r="C973" s="0" t="n">
        <v>70.34</v>
      </c>
      <c r="D973" s="0" t="n">
        <v>69.58</v>
      </c>
      <c r="E973" s="0" t="n">
        <v>69.95</v>
      </c>
      <c r="F973" s="0" t="n">
        <v>69650490</v>
      </c>
    </row>
    <row r="974" customFormat="false" ht="12.75" hidden="false" customHeight="false" outlineLevel="0" collapsed="false">
      <c r="A974" s="129" t="n">
        <v>41556</v>
      </c>
      <c r="B974" s="0" t="n">
        <v>69.23</v>
      </c>
      <c r="C974" s="0" t="n">
        <v>69.68</v>
      </c>
      <c r="D974" s="0" t="n">
        <v>68.33</v>
      </c>
      <c r="E974" s="0" t="n">
        <v>69.51</v>
      </c>
      <c r="F974" s="0" t="n">
        <v>75431216</v>
      </c>
    </row>
    <row r="975" customFormat="false" ht="12.75" hidden="false" customHeight="false" outlineLevel="0" collapsed="false">
      <c r="A975" s="129" t="n">
        <v>41555</v>
      </c>
      <c r="B975" s="0" t="n">
        <v>69.99</v>
      </c>
      <c r="C975" s="0" t="n">
        <v>70.09</v>
      </c>
      <c r="D975" s="0" t="n">
        <v>68.65</v>
      </c>
      <c r="E975" s="0" t="n">
        <v>68.71</v>
      </c>
      <c r="F975" s="0" t="n">
        <v>72729006</v>
      </c>
    </row>
    <row r="976" customFormat="false" ht="12.75" hidden="false" customHeight="false" outlineLevel="0" collapsed="false">
      <c r="A976" s="129" t="n">
        <v>41554</v>
      </c>
      <c r="B976" s="0" t="n">
        <v>69.51</v>
      </c>
      <c r="C976" s="0" t="n">
        <v>70.38</v>
      </c>
      <c r="D976" s="0" t="n">
        <v>69.34</v>
      </c>
      <c r="E976" s="0" t="n">
        <v>69.68</v>
      </c>
      <c r="F976" s="0" t="n">
        <v>78073107</v>
      </c>
    </row>
    <row r="977" customFormat="false" ht="12.75" hidden="false" customHeight="false" outlineLevel="0" collapsed="false">
      <c r="A977" s="129" t="n">
        <v>41551</v>
      </c>
      <c r="B977" s="0" t="n">
        <v>69.12</v>
      </c>
      <c r="C977" s="0" t="n">
        <v>69.23</v>
      </c>
      <c r="D977" s="0" t="n">
        <v>68.37</v>
      </c>
      <c r="E977" s="0" t="n">
        <v>69</v>
      </c>
      <c r="F977" s="0" t="n">
        <v>64717380</v>
      </c>
    </row>
    <row r="978" customFormat="false" ht="12.75" hidden="false" customHeight="false" outlineLevel="0" collapsed="false">
      <c r="A978" s="129" t="n">
        <v>41550</v>
      </c>
      <c r="B978" s="0" t="n">
        <v>70.07</v>
      </c>
      <c r="C978" s="0" t="n">
        <v>70.34</v>
      </c>
      <c r="D978" s="0" t="n">
        <v>68.68</v>
      </c>
      <c r="E978" s="0" t="n">
        <v>69.06</v>
      </c>
      <c r="F978" s="0" t="n">
        <v>80688503</v>
      </c>
    </row>
    <row r="979" customFormat="false" ht="12.75" hidden="false" customHeight="false" outlineLevel="0" collapsed="false">
      <c r="A979" s="129" t="n">
        <v>41549</v>
      </c>
      <c r="B979" s="0" t="n">
        <v>69.38</v>
      </c>
      <c r="C979" s="0" t="n">
        <v>70.26</v>
      </c>
      <c r="D979" s="0" t="n">
        <v>69.11</v>
      </c>
      <c r="E979" s="0" t="n">
        <v>69.94</v>
      </c>
      <c r="F979" s="0" t="n">
        <v>72295902</v>
      </c>
    </row>
    <row r="980" customFormat="false" ht="12.75" hidden="false" customHeight="false" outlineLevel="0" collapsed="false">
      <c r="A980" s="129" t="n">
        <v>41548</v>
      </c>
      <c r="B980" s="0" t="n">
        <v>68.35</v>
      </c>
      <c r="C980" s="0" t="n">
        <v>69.88</v>
      </c>
      <c r="D980" s="0" t="n">
        <v>68.34</v>
      </c>
      <c r="E980" s="0" t="n">
        <v>69.71</v>
      </c>
      <c r="F980" s="0" t="n">
        <v>88470655</v>
      </c>
    </row>
    <row r="981" customFormat="false" ht="12.75" hidden="false" customHeight="false" outlineLevel="0" collapsed="false">
      <c r="A981" s="129" t="n">
        <v>41547</v>
      </c>
      <c r="B981" s="0" t="n">
        <v>68.18</v>
      </c>
      <c r="C981" s="0" t="n">
        <v>68.81</v>
      </c>
      <c r="D981" s="0" t="n">
        <v>67.77</v>
      </c>
      <c r="E981" s="0" t="n">
        <v>68.11</v>
      </c>
      <c r="F981" s="0" t="n">
        <v>65039408</v>
      </c>
    </row>
    <row r="982" customFormat="false" ht="12.75" hidden="false" customHeight="false" outlineLevel="0" collapsed="false">
      <c r="A982" s="129" t="n">
        <v>41544</v>
      </c>
      <c r="B982" s="0" t="n">
        <v>69.11</v>
      </c>
      <c r="C982" s="0" t="n">
        <v>69.24</v>
      </c>
      <c r="D982" s="0" t="n">
        <v>68.67</v>
      </c>
      <c r="E982" s="0" t="n">
        <v>68.96</v>
      </c>
      <c r="F982" s="0" t="n">
        <v>57009729</v>
      </c>
    </row>
    <row r="983" customFormat="false" ht="12.75" hidden="false" customHeight="false" outlineLevel="0" collapsed="false">
      <c r="A983" s="129" t="n">
        <v>41543</v>
      </c>
      <c r="B983" s="0" t="n">
        <v>69.43</v>
      </c>
      <c r="C983" s="0" t="n">
        <v>69.79</v>
      </c>
      <c r="D983" s="0" t="n">
        <v>69.13</v>
      </c>
      <c r="E983" s="0" t="n">
        <v>69.46</v>
      </c>
      <c r="F983" s="0" t="n">
        <v>59305183</v>
      </c>
    </row>
    <row r="984" customFormat="false" ht="12.75" hidden="false" customHeight="false" outlineLevel="0" collapsed="false">
      <c r="A984" s="129" t="n">
        <v>41542</v>
      </c>
      <c r="B984" s="0" t="n">
        <v>69.89</v>
      </c>
      <c r="C984" s="0" t="n">
        <v>69.95</v>
      </c>
      <c r="D984" s="0" t="n">
        <v>68.78</v>
      </c>
      <c r="E984" s="0" t="n">
        <v>68.79</v>
      </c>
      <c r="F984" s="0" t="n">
        <v>79239167</v>
      </c>
    </row>
    <row r="985" customFormat="false" ht="12.75" hidden="false" customHeight="false" outlineLevel="0" collapsed="false">
      <c r="A985" s="129" t="n">
        <v>41541</v>
      </c>
      <c r="B985" s="0" t="n">
        <v>70.7</v>
      </c>
      <c r="C985" s="0" t="n">
        <v>70.78</v>
      </c>
      <c r="D985" s="0" t="n">
        <v>69.69</v>
      </c>
      <c r="E985" s="0" t="n">
        <v>69.87</v>
      </c>
      <c r="F985" s="0" t="n">
        <v>91085743</v>
      </c>
    </row>
    <row r="986" customFormat="false" ht="12.75" hidden="false" customHeight="false" outlineLevel="0" collapsed="false">
      <c r="A986" s="129" t="n">
        <v>41540</v>
      </c>
      <c r="B986" s="0" t="n">
        <v>70.87</v>
      </c>
      <c r="C986" s="0" t="n">
        <v>70.99</v>
      </c>
      <c r="D986" s="0" t="n">
        <v>68.94</v>
      </c>
      <c r="E986" s="0" t="n">
        <v>70.09</v>
      </c>
      <c r="F986" s="0" t="n">
        <v>190526525</v>
      </c>
    </row>
    <row r="987" customFormat="false" ht="12.75" hidden="false" customHeight="false" outlineLevel="0" collapsed="false">
      <c r="A987" s="129" t="n">
        <v>41537</v>
      </c>
      <c r="B987" s="0" t="n">
        <v>68.29</v>
      </c>
      <c r="C987" s="0" t="n">
        <v>68.36</v>
      </c>
      <c r="D987" s="0" t="n">
        <v>66.57</v>
      </c>
      <c r="E987" s="0" t="n">
        <v>66.77</v>
      </c>
      <c r="F987" s="0" t="n">
        <v>174825322</v>
      </c>
    </row>
    <row r="988" customFormat="false" ht="12.75" hidden="false" customHeight="false" outlineLevel="0" collapsed="false">
      <c r="A988" s="129" t="n">
        <v>41536</v>
      </c>
      <c r="B988" s="0" t="n">
        <v>67.24</v>
      </c>
      <c r="C988" s="0" t="n">
        <v>67.98</v>
      </c>
      <c r="D988" s="0" t="n">
        <v>67.04</v>
      </c>
      <c r="E988" s="0" t="n">
        <v>67.47</v>
      </c>
      <c r="F988" s="0" t="n">
        <v>101134712</v>
      </c>
    </row>
    <row r="989" customFormat="false" ht="12.75" hidden="false" customHeight="false" outlineLevel="0" collapsed="false">
      <c r="A989" s="129" t="n">
        <v>41535</v>
      </c>
      <c r="B989" s="0" t="n">
        <v>66.17</v>
      </c>
      <c r="C989" s="0" t="n">
        <v>66.62</v>
      </c>
      <c r="D989" s="0" t="n">
        <v>65.81</v>
      </c>
      <c r="E989" s="0" t="n">
        <v>66.38</v>
      </c>
      <c r="F989" s="0" t="n">
        <v>114215304</v>
      </c>
    </row>
    <row r="990" customFormat="false" ht="12.75" hidden="false" customHeight="false" outlineLevel="0" collapsed="false">
      <c r="A990" s="129" t="n">
        <v>41534</v>
      </c>
      <c r="B990" s="0" t="n">
        <v>63.99</v>
      </c>
      <c r="C990" s="0" t="n">
        <v>65.67</v>
      </c>
      <c r="D990" s="0" t="n">
        <v>63.93</v>
      </c>
      <c r="E990" s="0" t="n">
        <v>65.05</v>
      </c>
      <c r="F990" s="0" t="n">
        <v>99844773</v>
      </c>
    </row>
    <row r="991" customFormat="false" ht="12.75" hidden="false" customHeight="false" outlineLevel="0" collapsed="false">
      <c r="A991" s="129" t="n">
        <v>41533</v>
      </c>
      <c r="B991" s="0" t="n">
        <v>65.86</v>
      </c>
      <c r="C991" s="0" t="n">
        <v>65.94</v>
      </c>
      <c r="D991" s="0" t="n">
        <v>63.89</v>
      </c>
      <c r="E991" s="0" t="n">
        <v>64.3</v>
      </c>
      <c r="F991" s="0" t="n">
        <v>137137665</v>
      </c>
    </row>
    <row r="992" customFormat="false" ht="12.75" hidden="false" customHeight="false" outlineLevel="0" collapsed="false">
      <c r="A992" s="129" t="n">
        <v>41530</v>
      </c>
      <c r="B992" s="0" t="n">
        <v>67.05</v>
      </c>
      <c r="C992" s="0" t="n">
        <v>67.4</v>
      </c>
      <c r="D992" s="0" t="n">
        <v>66.39</v>
      </c>
      <c r="E992" s="0" t="n">
        <v>66.41</v>
      </c>
      <c r="F992" s="0" t="n">
        <v>74708438</v>
      </c>
    </row>
    <row r="993" customFormat="false" ht="12.75" hidden="false" customHeight="false" outlineLevel="0" collapsed="false">
      <c r="A993" s="129" t="n">
        <v>41529</v>
      </c>
      <c r="B993" s="0" t="n">
        <v>66.93</v>
      </c>
      <c r="C993" s="0" t="n">
        <v>67.91</v>
      </c>
      <c r="D993" s="0" t="n">
        <v>66.57</v>
      </c>
      <c r="E993" s="0" t="n">
        <v>67.53</v>
      </c>
      <c r="F993" s="0" t="n">
        <v>101012471</v>
      </c>
    </row>
    <row r="994" customFormat="false" ht="12.75" hidden="false" customHeight="false" outlineLevel="0" collapsed="false">
      <c r="A994" s="129" t="n">
        <v>41528</v>
      </c>
      <c r="B994" s="0" t="n">
        <v>66.72</v>
      </c>
      <c r="C994" s="0" t="n">
        <v>67.67</v>
      </c>
      <c r="D994" s="0" t="n">
        <v>66.4</v>
      </c>
      <c r="E994" s="0" t="n">
        <v>66.82</v>
      </c>
      <c r="F994" s="0" t="n">
        <v>223526688</v>
      </c>
    </row>
    <row r="995" customFormat="false" ht="12.75" hidden="false" customHeight="false" outlineLevel="0" collapsed="false">
      <c r="A995" s="129" t="n">
        <v>41527</v>
      </c>
      <c r="B995" s="0" t="n">
        <v>72.31</v>
      </c>
      <c r="C995" s="0" t="n">
        <v>72.49</v>
      </c>
      <c r="D995" s="0" t="n">
        <v>69.93</v>
      </c>
      <c r="E995" s="0" t="n">
        <v>70.66</v>
      </c>
      <c r="F995" s="0" t="n">
        <v>185798872</v>
      </c>
    </row>
    <row r="996" customFormat="false" ht="12.75" hidden="false" customHeight="false" outlineLevel="0" collapsed="false">
      <c r="A996" s="129" t="n">
        <v>41526</v>
      </c>
      <c r="B996" s="0" t="n">
        <v>72.14</v>
      </c>
      <c r="C996" s="0" t="n">
        <v>72.56</v>
      </c>
      <c r="D996" s="0" t="n">
        <v>71.93</v>
      </c>
      <c r="E996" s="0" t="n">
        <v>72.31</v>
      </c>
      <c r="F996" s="0" t="n">
        <v>85171583</v>
      </c>
    </row>
    <row r="997" customFormat="false" ht="12.75" hidden="false" customHeight="false" outlineLevel="0" collapsed="false">
      <c r="A997" s="129" t="n">
        <v>41523</v>
      </c>
      <c r="B997" s="0" t="n">
        <v>71.21</v>
      </c>
      <c r="C997" s="0" t="n">
        <v>71.34</v>
      </c>
      <c r="D997" s="0" t="n">
        <v>69.99</v>
      </c>
      <c r="E997" s="0" t="n">
        <v>71.17</v>
      </c>
      <c r="F997" s="0" t="n">
        <v>89881253</v>
      </c>
    </row>
    <row r="998" customFormat="false" ht="12.75" hidden="false" customHeight="false" outlineLevel="0" collapsed="false">
      <c r="A998" s="129" t="n">
        <v>41522</v>
      </c>
      <c r="B998" s="0" t="n">
        <v>71.46</v>
      </c>
      <c r="C998" s="0" t="n">
        <v>71.53</v>
      </c>
      <c r="D998" s="0" t="n">
        <v>70.52</v>
      </c>
      <c r="E998" s="0" t="n">
        <v>70.75</v>
      </c>
      <c r="F998" s="0" t="n">
        <v>59091879</v>
      </c>
    </row>
    <row r="999" customFormat="false" ht="12.75" hidden="false" customHeight="false" outlineLevel="0" collapsed="false">
      <c r="A999" s="129" t="n">
        <v>41521</v>
      </c>
      <c r="B999" s="0" t="n">
        <v>71.37</v>
      </c>
      <c r="C999" s="0" t="n">
        <v>71.75</v>
      </c>
      <c r="D999" s="0" t="n">
        <v>70.9</v>
      </c>
      <c r="E999" s="0" t="n">
        <v>71.24</v>
      </c>
      <c r="F999" s="0" t="n">
        <v>86257878</v>
      </c>
    </row>
    <row r="1000" customFormat="false" ht="12.75" hidden="false" customHeight="false" outlineLevel="0" collapsed="false">
      <c r="A1000" s="129" t="n">
        <v>41520</v>
      </c>
      <c r="B1000" s="0" t="n">
        <v>70.44</v>
      </c>
      <c r="C1000" s="0" t="n">
        <v>71.51</v>
      </c>
      <c r="D1000" s="0" t="n">
        <v>69.62</v>
      </c>
      <c r="E1000" s="0" t="n">
        <v>69.8</v>
      </c>
      <c r="F1000" s="0" t="n">
        <v>83025166</v>
      </c>
    </row>
    <row r="1001" customFormat="false" ht="12.75" hidden="false" customHeight="false" outlineLevel="0" collapsed="false">
      <c r="A1001" s="129" t="n">
        <v>41516</v>
      </c>
      <c r="B1001" s="0" t="n">
        <v>70.29</v>
      </c>
      <c r="C1001" s="0" t="n">
        <v>70.42</v>
      </c>
      <c r="D1001" s="0" t="n">
        <v>69.5</v>
      </c>
      <c r="E1001" s="0" t="n">
        <v>69.6</v>
      </c>
      <c r="F1001" s="0" t="n">
        <v>68100788</v>
      </c>
    </row>
    <row r="1002" customFormat="false" ht="12.75" hidden="false" customHeight="false" outlineLevel="0" collapsed="false">
      <c r="A1002" s="129" t="n">
        <v>41515</v>
      </c>
      <c r="B1002" s="0" t="n">
        <v>70.24</v>
      </c>
      <c r="C1002" s="0" t="n">
        <v>70.93</v>
      </c>
      <c r="D1002" s="0" t="n">
        <v>70.16</v>
      </c>
      <c r="E1002" s="0" t="n">
        <v>70.24</v>
      </c>
      <c r="F1002" s="0" t="n">
        <v>59913714</v>
      </c>
    </row>
    <row r="1003" customFormat="false" ht="12.75" hidden="false" customHeight="false" outlineLevel="0" collapsed="false">
      <c r="A1003" s="129" t="n">
        <v>41514</v>
      </c>
      <c r="B1003" s="0" t="n">
        <v>69.43</v>
      </c>
      <c r="C1003" s="0" t="n">
        <v>70.83</v>
      </c>
      <c r="D1003" s="0" t="n">
        <v>69.43</v>
      </c>
      <c r="E1003" s="0" t="n">
        <v>70.13</v>
      </c>
      <c r="F1003" s="0" t="n">
        <v>76901678</v>
      </c>
    </row>
    <row r="1004" customFormat="false" ht="12.75" hidden="false" customHeight="false" outlineLevel="0" collapsed="false">
      <c r="A1004" s="129" t="n">
        <v>41513</v>
      </c>
      <c r="B1004" s="0" t="n">
        <v>71.14</v>
      </c>
      <c r="C1004" s="0" t="n">
        <v>71.79</v>
      </c>
      <c r="D1004" s="0" t="n">
        <v>69.47</v>
      </c>
      <c r="E1004" s="0" t="n">
        <v>69.8</v>
      </c>
      <c r="F1004" s="0" t="n">
        <v>106047109</v>
      </c>
    </row>
    <row r="1005" customFormat="false" ht="12.75" hidden="false" customHeight="false" outlineLevel="0" collapsed="false">
      <c r="A1005" s="129" t="n">
        <v>41512</v>
      </c>
      <c r="B1005" s="0" t="n">
        <v>71.54</v>
      </c>
      <c r="C1005" s="0" t="n">
        <v>72.89</v>
      </c>
      <c r="D1005" s="0" t="n">
        <v>71.5</v>
      </c>
      <c r="E1005" s="0" t="n">
        <v>71.85</v>
      </c>
      <c r="F1005" s="0" t="n">
        <v>82741050</v>
      </c>
    </row>
    <row r="1006" customFormat="false" ht="12.75" hidden="false" customHeight="false" outlineLevel="0" collapsed="false">
      <c r="A1006" s="129" t="n">
        <v>41509</v>
      </c>
      <c r="B1006" s="0" t="n">
        <v>71.9</v>
      </c>
      <c r="C1006" s="0" t="n">
        <v>71.91</v>
      </c>
      <c r="D1006" s="0" t="n">
        <v>71.34</v>
      </c>
      <c r="E1006" s="0" t="n">
        <v>71.57</v>
      </c>
      <c r="F1006" s="0" t="n">
        <v>55682221</v>
      </c>
    </row>
    <row r="1007" customFormat="false" ht="12.75" hidden="false" customHeight="false" outlineLevel="0" collapsed="false">
      <c r="A1007" s="129" t="n">
        <v>41508</v>
      </c>
      <c r="B1007" s="0" t="n">
        <v>72.14</v>
      </c>
      <c r="C1007" s="0" t="n">
        <v>72.23</v>
      </c>
      <c r="D1007" s="0" t="n">
        <v>71.17</v>
      </c>
      <c r="E1007" s="0" t="n">
        <v>71.85</v>
      </c>
      <c r="F1007" s="0" t="n">
        <v>61051676</v>
      </c>
    </row>
    <row r="1008" customFormat="false" ht="12.75" hidden="false" customHeight="false" outlineLevel="0" collapsed="false">
      <c r="A1008" s="129" t="n">
        <v>41507</v>
      </c>
      <c r="B1008" s="0" t="n">
        <v>71.94</v>
      </c>
      <c r="C1008" s="0" t="n">
        <v>72.45</v>
      </c>
      <c r="D1008" s="0" t="n">
        <v>71.6</v>
      </c>
      <c r="E1008" s="0" t="n">
        <v>71.77</v>
      </c>
      <c r="F1008" s="0" t="n">
        <v>83969305</v>
      </c>
    </row>
    <row r="1009" customFormat="false" ht="12.75" hidden="false" customHeight="false" outlineLevel="0" collapsed="false">
      <c r="A1009" s="129" t="n">
        <v>41506</v>
      </c>
      <c r="B1009" s="0" t="n">
        <v>72.82</v>
      </c>
      <c r="C1009" s="0" t="n">
        <v>72.94</v>
      </c>
      <c r="D1009" s="0" t="n">
        <v>71.55</v>
      </c>
      <c r="E1009" s="0" t="n">
        <v>71.58</v>
      </c>
      <c r="F1009" s="0" t="n">
        <v>89671743</v>
      </c>
    </row>
    <row r="1010" customFormat="false" ht="12.75" hidden="false" customHeight="false" outlineLevel="0" collapsed="false">
      <c r="A1010" s="129" t="n">
        <v>41505</v>
      </c>
      <c r="B1010" s="0" t="n">
        <v>72.05</v>
      </c>
      <c r="C1010" s="0" t="n">
        <v>73.39</v>
      </c>
      <c r="D1010" s="0" t="n">
        <v>72</v>
      </c>
      <c r="E1010" s="0" t="n">
        <v>72.53</v>
      </c>
      <c r="F1010" s="0" t="n">
        <v>127629481</v>
      </c>
    </row>
    <row r="1011" customFormat="false" ht="12.75" hidden="false" customHeight="false" outlineLevel="0" collapsed="false">
      <c r="A1011" s="129" t="n">
        <v>41502</v>
      </c>
      <c r="B1011" s="0" t="n">
        <v>71.45</v>
      </c>
      <c r="C1011" s="0" t="n">
        <v>71.85</v>
      </c>
      <c r="D1011" s="0" t="n">
        <v>71.27</v>
      </c>
      <c r="E1011" s="0" t="n">
        <v>71.76</v>
      </c>
      <c r="F1011" s="0" t="n">
        <v>90575856</v>
      </c>
    </row>
    <row r="1012" customFormat="false" ht="12.75" hidden="false" customHeight="false" outlineLevel="0" collapsed="false">
      <c r="A1012" s="129" t="n">
        <v>41501</v>
      </c>
      <c r="B1012" s="0" t="n">
        <v>70.92</v>
      </c>
      <c r="C1012" s="0" t="n">
        <v>71.77</v>
      </c>
      <c r="D1012" s="0" t="n">
        <v>69.87</v>
      </c>
      <c r="E1012" s="0" t="n">
        <v>71.13</v>
      </c>
      <c r="F1012" s="0" t="n">
        <v>122573507</v>
      </c>
    </row>
    <row r="1013" customFormat="false" ht="12.75" hidden="false" customHeight="false" outlineLevel="0" collapsed="false">
      <c r="A1013" s="129" t="n">
        <v>41500</v>
      </c>
      <c r="B1013" s="0" t="n">
        <v>71.13</v>
      </c>
      <c r="C1013" s="0" t="n">
        <v>72.04</v>
      </c>
      <c r="D1013" s="0" t="n">
        <v>70.49</v>
      </c>
      <c r="E1013" s="0" t="n">
        <v>71.21</v>
      </c>
      <c r="F1013" s="0" t="n">
        <v>189092911</v>
      </c>
    </row>
    <row r="1014" customFormat="false" ht="12.75" hidden="false" customHeight="false" outlineLevel="0" collapsed="false">
      <c r="A1014" s="129" t="n">
        <v>41499</v>
      </c>
      <c r="B1014" s="0" t="n">
        <v>67.28</v>
      </c>
      <c r="C1014" s="0" t="n">
        <v>70.67</v>
      </c>
      <c r="D1014" s="0" t="n">
        <v>66.86</v>
      </c>
      <c r="E1014" s="0" t="n">
        <v>69.94</v>
      </c>
      <c r="F1014" s="0" t="n">
        <v>220484936</v>
      </c>
    </row>
    <row r="1015" customFormat="false" ht="12.75" hidden="false" customHeight="false" outlineLevel="0" collapsed="false">
      <c r="A1015" s="129" t="n">
        <v>41498</v>
      </c>
      <c r="B1015" s="0" t="n">
        <v>65.27</v>
      </c>
      <c r="C1015" s="0" t="n">
        <v>66.95</v>
      </c>
      <c r="D1015" s="0" t="n">
        <v>65.23</v>
      </c>
      <c r="E1015" s="0" t="n">
        <v>66.77</v>
      </c>
      <c r="F1015" s="0" t="n">
        <v>91108290</v>
      </c>
    </row>
    <row r="1016" customFormat="false" ht="12.75" hidden="false" customHeight="false" outlineLevel="0" collapsed="false">
      <c r="A1016" s="129" t="n">
        <v>41495</v>
      </c>
      <c r="B1016" s="0" t="n">
        <v>65.52</v>
      </c>
      <c r="C1016" s="0" t="n">
        <v>65.78</v>
      </c>
      <c r="D1016" s="0" t="n">
        <v>64.81</v>
      </c>
      <c r="E1016" s="0" t="n">
        <v>64.92</v>
      </c>
      <c r="F1016" s="0" t="n">
        <v>66905209</v>
      </c>
    </row>
    <row r="1017" customFormat="false" ht="12.75" hidden="false" customHeight="false" outlineLevel="0" collapsed="false">
      <c r="A1017" s="129" t="n">
        <v>41494</v>
      </c>
      <c r="B1017" s="0" t="n">
        <v>66.26</v>
      </c>
      <c r="C1017" s="0" t="n">
        <v>66.3</v>
      </c>
      <c r="D1017" s="0" t="n">
        <v>65.42</v>
      </c>
      <c r="E1017" s="0" t="n">
        <v>65.86</v>
      </c>
      <c r="F1017" s="0" t="n">
        <v>63999838</v>
      </c>
    </row>
    <row r="1018" customFormat="false" ht="12.75" hidden="false" customHeight="false" outlineLevel="0" collapsed="false">
      <c r="A1018" s="129" t="n">
        <v>41493</v>
      </c>
      <c r="B1018" s="0" t="n">
        <v>66.26</v>
      </c>
      <c r="C1018" s="0" t="n">
        <v>66.71</v>
      </c>
      <c r="D1018" s="0" t="n">
        <v>65.97</v>
      </c>
      <c r="E1018" s="0" t="n">
        <v>66.43</v>
      </c>
      <c r="F1018" s="0" t="n">
        <v>74713968</v>
      </c>
    </row>
    <row r="1019" customFormat="false" ht="12.75" hidden="false" customHeight="false" outlineLevel="0" collapsed="false">
      <c r="A1019" s="129" t="n">
        <v>41492</v>
      </c>
      <c r="B1019" s="0" t="n">
        <v>66.86</v>
      </c>
      <c r="C1019" s="0" t="n">
        <v>67.41</v>
      </c>
      <c r="D1019" s="0" t="n">
        <v>66.02</v>
      </c>
      <c r="E1019" s="0" t="n">
        <v>66.46</v>
      </c>
      <c r="F1019" s="0" t="n">
        <v>83728540</v>
      </c>
    </row>
    <row r="1020" customFormat="false" ht="12.75" hidden="false" customHeight="false" outlineLevel="0" collapsed="false">
      <c r="A1020" s="129" t="n">
        <v>41491</v>
      </c>
      <c r="B1020" s="0" t="n">
        <v>66.38</v>
      </c>
      <c r="C1020" s="0" t="n">
        <v>67.24</v>
      </c>
      <c r="D1020" s="0" t="n">
        <v>66.02</v>
      </c>
      <c r="E1020" s="0" t="n">
        <v>67.06</v>
      </c>
      <c r="F1020" s="0" t="n">
        <v>79713592</v>
      </c>
    </row>
    <row r="1021" customFormat="false" ht="12.75" hidden="false" customHeight="false" outlineLevel="0" collapsed="false">
      <c r="A1021" s="129" t="n">
        <v>41488</v>
      </c>
      <c r="B1021" s="0" t="n">
        <v>65.43</v>
      </c>
      <c r="C1021" s="0" t="n">
        <v>66.12</v>
      </c>
      <c r="D1021" s="0" t="n">
        <v>65.24</v>
      </c>
      <c r="E1021" s="0" t="n">
        <v>66.08</v>
      </c>
      <c r="F1021" s="0" t="n">
        <v>68695326</v>
      </c>
    </row>
    <row r="1022" customFormat="false" ht="12.75" hidden="false" customHeight="false" outlineLevel="0" collapsed="false">
      <c r="A1022" s="129" t="n">
        <v>41487</v>
      </c>
      <c r="B1022" s="0" t="n">
        <v>65.11</v>
      </c>
      <c r="C1022" s="0" t="n">
        <v>65.26</v>
      </c>
      <c r="D1022" s="0" t="n">
        <v>64.75</v>
      </c>
      <c r="E1022" s="0" t="n">
        <v>65.24</v>
      </c>
      <c r="F1022" s="0" t="n">
        <v>51562322</v>
      </c>
    </row>
    <row r="1023" customFormat="false" ht="12.75" hidden="false" customHeight="false" outlineLevel="0" collapsed="false">
      <c r="A1023" s="129" t="n">
        <v>41486</v>
      </c>
      <c r="B1023" s="0" t="n">
        <v>65</v>
      </c>
      <c r="C1023" s="0" t="n">
        <v>65.33</v>
      </c>
      <c r="D1023" s="0" t="n">
        <v>64.2</v>
      </c>
      <c r="E1023" s="0" t="n">
        <v>64.65</v>
      </c>
      <c r="F1023" s="0" t="n">
        <v>80739351</v>
      </c>
    </row>
    <row r="1024" customFormat="false" ht="12.75" hidden="false" customHeight="false" outlineLevel="0" collapsed="false">
      <c r="A1024" s="129" t="n">
        <v>41485</v>
      </c>
      <c r="B1024" s="0" t="n">
        <v>64.28</v>
      </c>
      <c r="C1024" s="0" t="n">
        <v>65.31</v>
      </c>
      <c r="D1024" s="0" t="n">
        <v>64.18</v>
      </c>
      <c r="E1024" s="0" t="n">
        <v>64.76</v>
      </c>
      <c r="F1024" s="0" t="n">
        <v>77355565</v>
      </c>
    </row>
    <row r="1025" customFormat="false" ht="12.75" hidden="false" customHeight="false" outlineLevel="0" collapsed="false">
      <c r="A1025" s="129" t="n">
        <v>41484</v>
      </c>
      <c r="B1025" s="0" t="n">
        <v>62.97</v>
      </c>
      <c r="C1025" s="0" t="n">
        <v>64.28</v>
      </c>
      <c r="D1025" s="0" t="n">
        <v>62.89</v>
      </c>
      <c r="E1025" s="0" t="n">
        <v>63.97</v>
      </c>
      <c r="F1025" s="0" t="n">
        <v>62110300</v>
      </c>
    </row>
    <row r="1026" customFormat="false" ht="12.75" hidden="false" customHeight="false" outlineLevel="0" collapsed="false">
      <c r="A1026" s="129" t="n">
        <v>41481</v>
      </c>
      <c r="B1026" s="0" t="n">
        <v>62.19</v>
      </c>
      <c r="C1026" s="0" t="n">
        <v>63.01</v>
      </c>
      <c r="D1026" s="0" t="n">
        <v>62.05</v>
      </c>
      <c r="E1026" s="0" t="n">
        <v>63</v>
      </c>
      <c r="F1026" s="0" t="n">
        <v>50068753</v>
      </c>
    </row>
    <row r="1027" customFormat="false" ht="12.75" hidden="false" customHeight="false" outlineLevel="0" collapsed="false">
      <c r="A1027" s="129" t="n">
        <v>41480</v>
      </c>
      <c r="B1027" s="0" t="n">
        <v>62.96</v>
      </c>
      <c r="C1027" s="0" t="n">
        <v>63.06</v>
      </c>
      <c r="D1027" s="0" t="n">
        <v>62.26</v>
      </c>
      <c r="E1027" s="0" t="n">
        <v>62.64</v>
      </c>
      <c r="F1027" s="0" t="n">
        <v>57420636</v>
      </c>
    </row>
    <row r="1028" customFormat="false" ht="12.75" hidden="false" customHeight="false" outlineLevel="0" collapsed="false">
      <c r="A1028" s="129" t="n">
        <v>41479</v>
      </c>
      <c r="B1028" s="0" t="n">
        <v>62.7</v>
      </c>
      <c r="C1028" s="0" t="n">
        <v>63.51</v>
      </c>
      <c r="D1028" s="0" t="n">
        <v>62.18</v>
      </c>
      <c r="E1028" s="0" t="n">
        <v>62.93</v>
      </c>
      <c r="F1028" s="0" t="n">
        <v>148013824</v>
      </c>
    </row>
    <row r="1029" customFormat="false" ht="12.75" hidden="false" customHeight="false" outlineLevel="0" collapsed="false">
      <c r="A1029" s="129" t="n">
        <v>41478</v>
      </c>
      <c r="B1029" s="0" t="n">
        <v>60.86</v>
      </c>
      <c r="C1029" s="0" t="n">
        <v>60.99</v>
      </c>
      <c r="D1029" s="0" t="n">
        <v>59.82</v>
      </c>
      <c r="E1029" s="0" t="n">
        <v>59.86</v>
      </c>
      <c r="F1029" s="0" t="n">
        <v>92348403</v>
      </c>
    </row>
    <row r="1030" customFormat="false" ht="12.75" hidden="false" customHeight="false" outlineLevel="0" collapsed="false">
      <c r="A1030" s="129" t="n">
        <v>41477</v>
      </c>
      <c r="B1030" s="0" t="n">
        <v>61.35</v>
      </c>
      <c r="C1030" s="0" t="n">
        <v>61.39</v>
      </c>
      <c r="D1030" s="0" t="n">
        <v>60.78</v>
      </c>
      <c r="E1030" s="0" t="n">
        <v>60.9</v>
      </c>
      <c r="F1030" s="0" t="n">
        <v>51997596</v>
      </c>
    </row>
    <row r="1031" customFormat="false" ht="12.75" hidden="false" customHeight="false" outlineLevel="0" collapsed="false">
      <c r="A1031" s="129" t="n">
        <v>41474</v>
      </c>
      <c r="B1031" s="0" t="n">
        <v>61.87</v>
      </c>
      <c r="C1031" s="0" t="n">
        <v>62</v>
      </c>
      <c r="D1031" s="0" t="n">
        <v>60.62</v>
      </c>
      <c r="E1031" s="0" t="n">
        <v>60.71</v>
      </c>
      <c r="F1031" s="0" t="n">
        <v>67194715</v>
      </c>
    </row>
    <row r="1032" customFormat="false" ht="12.75" hidden="false" customHeight="false" outlineLevel="0" collapsed="false">
      <c r="A1032" s="129" t="n">
        <v>41473</v>
      </c>
      <c r="B1032" s="0" t="n">
        <v>61.91</v>
      </c>
      <c r="C1032" s="0" t="n">
        <v>62.12</v>
      </c>
      <c r="D1032" s="0" t="n">
        <v>61.52</v>
      </c>
      <c r="E1032" s="0" t="n">
        <v>61.68</v>
      </c>
      <c r="F1032" s="0" t="n">
        <v>54760818</v>
      </c>
    </row>
    <row r="1033" customFormat="false" ht="12.75" hidden="false" customHeight="false" outlineLevel="0" collapsed="false">
      <c r="A1033" s="129" t="n">
        <v>41472</v>
      </c>
      <c r="B1033" s="0" t="n">
        <v>61.39</v>
      </c>
      <c r="C1033" s="0" t="n">
        <v>61.75</v>
      </c>
      <c r="D1033" s="0" t="n">
        <v>61.17</v>
      </c>
      <c r="E1033" s="0" t="n">
        <v>61.47</v>
      </c>
      <c r="F1033" s="0" t="n">
        <v>49764064</v>
      </c>
    </row>
    <row r="1034" customFormat="false" ht="12.75" hidden="false" customHeight="false" outlineLevel="0" collapsed="false">
      <c r="A1034" s="129" t="n">
        <v>41471</v>
      </c>
      <c r="B1034" s="0" t="n">
        <v>60.93</v>
      </c>
      <c r="C1034" s="0" t="n">
        <v>61.53</v>
      </c>
      <c r="D1034" s="0" t="n">
        <v>60.6</v>
      </c>
      <c r="E1034" s="0" t="n">
        <v>61.46</v>
      </c>
      <c r="F1034" s="0" t="n">
        <v>54134367</v>
      </c>
    </row>
    <row r="1035" customFormat="false" ht="12.75" hidden="false" customHeight="false" outlineLevel="0" collapsed="false">
      <c r="A1035" s="129" t="n">
        <v>41470</v>
      </c>
      <c r="B1035" s="0" t="n">
        <v>60.72</v>
      </c>
      <c r="C1035" s="0" t="n">
        <v>61.64</v>
      </c>
      <c r="D1035" s="0" t="n">
        <v>60.69</v>
      </c>
      <c r="E1035" s="0" t="n">
        <v>61.06</v>
      </c>
      <c r="F1035" s="0" t="n">
        <v>60543105</v>
      </c>
    </row>
    <row r="1036" customFormat="false" ht="12.75" hidden="false" customHeight="false" outlineLevel="0" collapsed="false">
      <c r="A1036" s="129" t="n">
        <v>41467</v>
      </c>
      <c r="B1036" s="0" t="n">
        <v>61.09</v>
      </c>
      <c r="C1036" s="0" t="n">
        <v>61.4</v>
      </c>
      <c r="D1036" s="0" t="n">
        <v>60.49</v>
      </c>
      <c r="E1036" s="0" t="n">
        <v>60.93</v>
      </c>
      <c r="F1036" s="0" t="n">
        <v>69910463</v>
      </c>
    </row>
    <row r="1037" customFormat="false" ht="12.75" hidden="false" customHeight="false" outlineLevel="0" collapsed="false">
      <c r="A1037" s="129" t="n">
        <v>41466</v>
      </c>
      <c r="B1037" s="0" t="n">
        <v>60.42</v>
      </c>
      <c r="C1037" s="0" t="n">
        <v>61.18</v>
      </c>
      <c r="D1037" s="0" t="n">
        <v>60.17</v>
      </c>
      <c r="E1037" s="0" t="n">
        <v>61.04</v>
      </c>
      <c r="F1037" s="0" t="n">
        <v>81618964</v>
      </c>
    </row>
    <row r="1038" customFormat="false" ht="12.75" hidden="false" customHeight="false" outlineLevel="0" collapsed="false">
      <c r="A1038" s="129" t="n">
        <v>41465</v>
      </c>
      <c r="B1038" s="0" t="n">
        <v>59.94</v>
      </c>
      <c r="C1038" s="0" t="n">
        <v>60.69</v>
      </c>
      <c r="D1038" s="0" t="n">
        <v>59.75</v>
      </c>
      <c r="E1038" s="0" t="n">
        <v>60.1</v>
      </c>
      <c r="F1038" s="0" t="n">
        <v>70350819</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H8"/>
  <sheetViews>
    <sheetView showFormulas="false" showGridLines="true" showRowColHeaders="true" showZeros="true" rightToLeft="false" tabSelected="false" showOutlineSymbols="true" defaultGridColor="true" view="normal" topLeftCell="A1" colorId="64" zoomScale="76" zoomScaleNormal="76" zoomScalePageLayoutView="100" workbookViewId="0">
      <selection pane="topLeft" activeCell="F5" activeCellId="0" sqref="F5"/>
    </sheetView>
  </sheetViews>
  <sheetFormatPr defaultRowHeight="12.75"/>
  <cols>
    <col collapsed="false" hidden="false" max="1" min="1" style="0" width="16.469387755102"/>
    <col collapsed="false" hidden="false" max="2" min="2" style="0" width="12.6887755102041"/>
    <col collapsed="false" hidden="false" max="3" min="3" style="0" width="14.3112244897959"/>
    <col collapsed="false" hidden="false" max="4" min="4" style="0" width="10.8010204081633"/>
    <col collapsed="false" hidden="false" max="5" min="5" style="0" width="11.3418367346939"/>
    <col collapsed="false" hidden="false" max="6" min="6" style="0" width="10.8010204081633"/>
    <col collapsed="false" hidden="false" max="7" min="7" style="0" width="22.6785714285714"/>
    <col collapsed="false" hidden="false" max="1025" min="8" style="0" width="10.8010204081633"/>
  </cols>
  <sheetData>
    <row r="1" customFormat="false" ht="18" hidden="false" customHeight="false" outlineLevel="0" collapsed="false">
      <c r="A1" s="130" t="s">
        <v>137</v>
      </c>
      <c r="B1" s="130"/>
      <c r="C1" s="130"/>
      <c r="D1" s="130"/>
      <c r="E1" s="130"/>
      <c r="F1" s="130"/>
      <c r="G1" s="130"/>
      <c r="H1" s="130"/>
    </row>
    <row r="2" customFormat="false" ht="12.75" hidden="false" customHeight="false" outlineLevel="0" collapsed="false">
      <c r="A2" s="131" t="s">
        <v>138</v>
      </c>
      <c r="B2" s="132" t="s">
        <v>139</v>
      </c>
      <c r="C2" s="132" t="s">
        <v>140</v>
      </c>
      <c r="D2" s="132" t="s">
        <v>141</v>
      </c>
      <c r="E2" s="132" t="s">
        <v>142</v>
      </c>
      <c r="F2" s="132" t="s">
        <v>143</v>
      </c>
      <c r="G2" s="132" t="s">
        <v>144</v>
      </c>
      <c r="H2" s="133"/>
    </row>
    <row r="3" customFormat="false" ht="12.75" hidden="false" customHeight="false" outlineLevel="0" collapsed="false">
      <c r="A3" s="134" t="s">
        <v>88</v>
      </c>
      <c r="B3" s="135" t="s">
        <v>89</v>
      </c>
      <c r="C3" s="135" t="s">
        <v>94</v>
      </c>
      <c r="D3" s="135" t="s">
        <v>99</v>
      </c>
      <c r="E3" s="135" t="s">
        <v>88</v>
      </c>
      <c r="F3" s="135" t="s">
        <v>145</v>
      </c>
      <c r="G3" s="135" t="s">
        <v>146</v>
      </c>
      <c r="H3" s="136"/>
    </row>
    <row r="4" customFormat="false" ht="12.75" hidden="false" customHeight="false" outlineLevel="0" collapsed="false">
      <c r="A4" s="134" t="s">
        <v>134</v>
      </c>
      <c r="B4" s="135" t="s">
        <v>147</v>
      </c>
      <c r="C4" s="135" t="s">
        <v>148</v>
      </c>
      <c r="D4" s="135" t="s">
        <v>149</v>
      </c>
      <c r="E4" s="135" t="s">
        <v>150</v>
      </c>
      <c r="F4" s="135" t="s">
        <v>151</v>
      </c>
      <c r="G4" s="135" t="s">
        <v>152</v>
      </c>
      <c r="H4" s="136"/>
    </row>
    <row r="5" customFormat="false" ht="12.75" hidden="false" customHeight="false" outlineLevel="0" collapsed="false">
      <c r="A5" s="134" t="s">
        <v>153</v>
      </c>
      <c r="B5" s="135" t="s">
        <v>154</v>
      </c>
      <c r="C5" s="135" t="s">
        <v>155</v>
      </c>
      <c r="D5" s="135" t="s">
        <v>156</v>
      </c>
      <c r="E5" s="135" t="s">
        <v>134</v>
      </c>
      <c r="F5" s="135" t="s">
        <v>18</v>
      </c>
      <c r="G5" s="135" t="s">
        <v>20</v>
      </c>
      <c r="H5" s="136"/>
    </row>
    <row r="6" customFormat="false" ht="13.5" hidden="false" customHeight="false" outlineLevel="0" collapsed="false">
      <c r="A6" s="137"/>
      <c r="B6" s="138"/>
      <c r="C6" s="138"/>
      <c r="D6" s="138"/>
      <c r="E6" s="138"/>
      <c r="F6" s="138"/>
      <c r="G6" s="139" t="s">
        <v>157</v>
      </c>
      <c r="H6" s="140"/>
    </row>
    <row r="7" customFormat="false" ht="12.75" hidden="false" customHeight="false" outlineLevel="0" collapsed="false">
      <c r="G7" s="141" t="s">
        <v>158</v>
      </c>
    </row>
    <row r="8" customFormat="false" ht="12.75" hidden="false" customHeight="false" outlineLevel="0" collapsed="false">
      <c r="G8" s="141" t="s">
        <v>159</v>
      </c>
    </row>
  </sheetData>
  <mergeCells count="1">
    <mergeCell ref="A1:H1"/>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tabColor rgb="FFFFFF00"/>
    <pageSetUpPr fitToPage="false"/>
  </sheetPr>
  <dimension ref="A1:A14"/>
  <sheetViews>
    <sheetView showFormulas="false" showGridLines="true" showRowColHeaders="true" showZeros="true" rightToLeft="false" tabSelected="false" showOutlineSymbols="true" defaultGridColor="true" view="normal" topLeftCell="A1" colorId="64" zoomScale="76" zoomScaleNormal="76" zoomScalePageLayoutView="100" workbookViewId="0">
      <selection pane="topLeft" activeCell="F5" activeCellId="0" sqref="F5"/>
    </sheetView>
  </sheetViews>
  <sheetFormatPr defaultRowHeight="12.75"/>
  <cols>
    <col collapsed="false" hidden="false" max="1025" min="1" style="0" width="10.8010204081633"/>
  </cols>
  <sheetData>
    <row r="1" customFormat="false" ht="12.75" hidden="false" customHeight="false" outlineLevel="0" collapsed="false">
      <c r="A1" s="0" t="s">
        <v>160</v>
      </c>
    </row>
    <row r="2" customFormat="false" ht="12.75" hidden="false" customHeight="false" outlineLevel="0" collapsed="false">
      <c r="A2" s="142" t="s">
        <v>161</v>
      </c>
    </row>
    <row r="3" customFormat="false" ht="15" hidden="false" customHeight="false" outlineLevel="0" collapsed="false">
      <c r="A3" s="143" t="s">
        <v>162</v>
      </c>
    </row>
    <row r="4" customFormat="false" ht="15" hidden="false" customHeight="false" outlineLevel="0" collapsed="false">
      <c r="A4" s="143" t="s">
        <v>163</v>
      </c>
    </row>
    <row r="5" customFormat="false" ht="15" hidden="false" customHeight="false" outlineLevel="0" collapsed="false">
      <c r="A5" s="143" t="s">
        <v>164</v>
      </c>
    </row>
    <row r="6" customFormat="false" ht="15" hidden="false" customHeight="false" outlineLevel="0" collapsed="false">
      <c r="A6" s="143" t="s">
        <v>165</v>
      </c>
    </row>
    <row r="7" customFormat="false" ht="15" hidden="false" customHeight="false" outlineLevel="0" collapsed="false">
      <c r="A7" s="143"/>
    </row>
    <row r="8" customFormat="false" ht="15" hidden="false" customHeight="false" outlineLevel="0" collapsed="false">
      <c r="A8" s="143"/>
    </row>
    <row r="9" customFormat="false" ht="15" hidden="false" customHeight="false" outlineLevel="0" collapsed="false">
      <c r="A9" s="143" t="s">
        <v>166</v>
      </c>
    </row>
    <row r="10" customFormat="false" ht="15" hidden="false" customHeight="false" outlineLevel="0" collapsed="false">
      <c r="A10" s="143" t="s">
        <v>167</v>
      </c>
    </row>
    <row r="11" customFormat="false" ht="15" hidden="false" customHeight="false" outlineLevel="0" collapsed="false">
      <c r="A11" s="143" t="s">
        <v>168</v>
      </c>
    </row>
    <row r="12" customFormat="false" ht="15" hidden="false" customHeight="false" outlineLevel="0" collapsed="false">
      <c r="A12" s="143"/>
    </row>
    <row r="13" customFormat="false" ht="15" hidden="false" customHeight="false" outlineLevel="0" collapsed="false">
      <c r="A13" s="143"/>
    </row>
    <row r="14" customFormat="false" ht="15" hidden="false" customHeight="false" outlineLevel="0" collapsed="false">
      <c r="A14" s="143" t="s">
        <v>169</v>
      </c>
    </row>
  </sheetData>
  <hyperlinks>
    <hyperlink ref="A2" r:id="rId1" display="https://www.youtube.com/watch?v=RtCvcP43C1U"/>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75</TotalTime>
  <Application>LibreOffice/5.2.4.2$Linux_X86_64 LibreOffice_project/20m0$Build-2</Application>
  <Company>Rajiv Gandhi</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1999-07-19T19:04:02Z</dcterms:created>
  <dc:creator>Rajiv Gandhi</dc:creator>
  <dc:description>This one is where Google no longer allows ADJUSTED CLOSE
Also we added a scenario for Up- regression is great and Down- Bullish. This is a put atm or in the money</dc:description>
  <dc:language>ru-RU</dc:language>
  <cp:lastModifiedBy/>
  <dcterms:modified xsi:type="dcterms:W3CDTF">2017-08-19T22:29:37Z</dcterms:modified>
  <cp:revision>2</cp:revision>
  <dc:subject>Rajiv Gandhi</dc:subject>
  <dc:title>Decisions Options Rajiv Gandhi</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Rajiv Gandhi</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Manager">
    <vt:lpwstr>Rajiv Gandhi</vt:lpwstr>
  </property>
  <property fmtid="{D5CDD505-2E9C-101B-9397-08002B2CF9AE}" pid="8" name="ScaleCrop">
    <vt:bool>0</vt:bool>
  </property>
  <property fmtid="{D5CDD505-2E9C-101B-9397-08002B2CF9AE}" pid="9" name="ShareDoc">
    <vt:bool>0</vt:bool>
  </property>
  <property fmtid="{D5CDD505-2E9C-101B-9397-08002B2CF9AE}" pid="10" name="category">
    <vt:lpwstr>Options</vt:lpwstr>
  </property>
</Properties>
</file>