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22" codeName="{00000000-0000-0000-0000-000000000000}"/>
  <workbookPr codeName="ThisWorkbook" autoCompressPictures="0"/>
  <xr:revisionPtr revIDLastSave="0" documentId="8_{CD7ADCE9-6BDB-425E-8214-80489A23BDC4}" xr6:coauthVersionLast="45" xr6:coauthVersionMax="45" xr10:uidLastSave="{00000000-0000-0000-0000-000000000000}"/>
  <bookViews>
    <workbookView xWindow="0" yWindow="0" windowWidth="25600" windowHeight="16060" tabRatio="855" xr2:uid="{00000000-000D-0000-FFFF-FFFF00000000}"/>
  </bookViews>
  <sheets>
    <sheet name="Summary" sheetId="80" r:id="rId1"/>
    <sheet name="Analysis" sheetId="77" r:id="rId2"/>
    <sheet name="Data" sheetId="79" state="hidden" r:id="rId3"/>
    <sheet name="Drop Down Sheet" sheetId="52" state="hidden" r:id="rId4"/>
    <sheet name="resrouce" sheetId="78" state="hidden" r:id="rId5"/>
  </sheets>
  <definedNames>
    <definedName name="_xlnm._FilterDatabase" localSheetId="1" hidden="1">Analysis!$F$6:$S$81</definedName>
    <definedName name="endDate">Summary!$B$6</definedName>
    <definedName name="ExternalData_1" localSheetId="2">Data!$A$1:$A$1039</definedName>
    <definedName name="ExternalData_10" localSheetId="2">Data!$A$1:$A$1039</definedName>
    <definedName name="ExternalData_100" localSheetId="2">Data!$A$1:$A$1038</definedName>
    <definedName name="ExternalData_101" localSheetId="2">Data!$A$1:$A$1038</definedName>
    <definedName name="ExternalData_102" localSheetId="2">Data!$A$1:$A$1038</definedName>
    <definedName name="ExternalData_103" localSheetId="2">Data!$A$1:$A$1038</definedName>
    <definedName name="ExternalData_104" localSheetId="2">Data!$A$1:$A$1036</definedName>
    <definedName name="ExternalData_105" localSheetId="2">Data!$A$1:$A$1038</definedName>
    <definedName name="ExternalData_106" localSheetId="2">Data!$A$1:$A$667</definedName>
    <definedName name="ExternalData_107" localSheetId="2">Data!$A$1:$A$672</definedName>
    <definedName name="ExternalData_108" localSheetId="2">Data!$A$1:$A$270</definedName>
    <definedName name="ExternalData_109" localSheetId="2">Data!$A$1:$A$270</definedName>
    <definedName name="ExternalData_11" localSheetId="2">Data!$A$1:$A$1039</definedName>
    <definedName name="ExternalData_110" localSheetId="2">Data!$A$1:$A$531</definedName>
    <definedName name="ExternalData_111" localSheetId="2">Data!$A$1:$A$531</definedName>
    <definedName name="ExternalData_112" localSheetId="2">Data!$A$1:$A$723</definedName>
    <definedName name="ExternalData_113" localSheetId="2">Data!$A$1:$A$959</definedName>
    <definedName name="ExternalData_114" localSheetId="2">Data!$A$1:$A$959</definedName>
    <definedName name="ExternalData_115" localSheetId="2">Data!$A$1:$A$1038</definedName>
    <definedName name="ExternalData_116" localSheetId="2">Data!$A$1:$A$672</definedName>
    <definedName name="ExternalData_117" localSheetId="2">Data!$A$1:$A$674</definedName>
    <definedName name="ExternalData_118" localSheetId="2">Data!$A$1:$A$1038</definedName>
    <definedName name="ExternalData_119" localSheetId="2">Data!$A$1:$A$1038</definedName>
    <definedName name="ExternalData_12" localSheetId="2">Data!$A$1:$A$1039</definedName>
    <definedName name="ExternalData_120" localSheetId="2">Data!$A$1:$A$1038</definedName>
    <definedName name="ExternalData_121" localSheetId="2">Data!$A$1:$A$1037</definedName>
    <definedName name="ExternalData_122" localSheetId="2">Data!$A$1:$A$1037</definedName>
    <definedName name="ExternalData_13" localSheetId="2">Data!$A$1:$A$1038</definedName>
    <definedName name="ExternalData_14" localSheetId="2">Data!$A$1:$A$1037</definedName>
    <definedName name="ExternalData_16" localSheetId="2">Data!$A$1:$A$1037</definedName>
    <definedName name="ExternalData_17" localSheetId="2">Data!$A$1:$A$1037</definedName>
    <definedName name="ExternalData_18" localSheetId="2">Data!$A$1:$A$1037</definedName>
    <definedName name="ExternalData_19" localSheetId="2">Data!$A$1:$A$1036</definedName>
    <definedName name="ExternalData_2" localSheetId="2">Data!$A$1:$A$1039</definedName>
    <definedName name="ExternalData_20" localSheetId="2">Data!$A$1:$A$1036</definedName>
    <definedName name="ExternalData_21" localSheetId="2">Data!$A$1:$A$1038</definedName>
    <definedName name="ExternalData_22" localSheetId="2">Data!$A$1:$A$1038</definedName>
    <definedName name="ExternalData_23" localSheetId="2">Data!$A$1:$A$1037</definedName>
    <definedName name="ExternalData_24" localSheetId="2">Data!$A$1:$A$1037</definedName>
    <definedName name="ExternalData_25" localSheetId="2">Data!$A$1:$A$1037</definedName>
    <definedName name="ExternalData_26" localSheetId="2">Data!$A$1:$A$1037</definedName>
    <definedName name="ExternalData_27" localSheetId="2">Data!$A$1:$A$1037</definedName>
    <definedName name="ExternalData_28" localSheetId="2">Data!$A$1:$A$1037</definedName>
    <definedName name="ExternalData_29" localSheetId="2">Data!$A$1:$A$1037</definedName>
    <definedName name="ExternalData_3" localSheetId="2">Data!$A$1:$A$1039</definedName>
    <definedName name="ExternalData_30" localSheetId="2">Data!$A$1:$A$1037</definedName>
    <definedName name="ExternalData_31" localSheetId="2">Data!$A$1:$A$1037</definedName>
    <definedName name="ExternalData_32" localSheetId="2">Data!$A$1:$A$1037</definedName>
    <definedName name="ExternalData_33" localSheetId="2">Data!$A$1:$A$1037</definedName>
    <definedName name="ExternalData_34" localSheetId="2">Data!$A$1:$A$1037</definedName>
    <definedName name="ExternalData_35" localSheetId="2">Data!$A$1:$A$1037</definedName>
    <definedName name="ExternalData_36" localSheetId="2">Data!$A$1:$A$1037</definedName>
    <definedName name="ExternalData_37" localSheetId="2">Data!$A$1:$A$1037</definedName>
    <definedName name="ExternalData_38" localSheetId="2">Data!$A$1:$A$1037</definedName>
    <definedName name="ExternalData_39" localSheetId="2">Data!$A$1:$A$1037</definedName>
    <definedName name="ExternalData_4" localSheetId="2">Data!$A$1:$A$1039</definedName>
    <definedName name="ExternalData_40" localSheetId="2">Data!$A$1:$A$1037</definedName>
    <definedName name="ExternalData_41" localSheetId="2">Data!$A$1:$A$1037</definedName>
    <definedName name="ExternalData_42" localSheetId="2">Data!$A$1:$A$1037</definedName>
    <definedName name="ExternalData_43" localSheetId="2">Data!$A$1:$A$1036</definedName>
    <definedName name="ExternalData_44" localSheetId="2">Data!$A$1:$A$1036</definedName>
    <definedName name="ExternalData_45" localSheetId="2">Data!$A$1:$A$1036</definedName>
    <definedName name="ExternalData_46" localSheetId="2">Data!$A$1:$A$1036</definedName>
    <definedName name="ExternalData_47" localSheetId="2">Data!$A$1:$A$1036</definedName>
    <definedName name="ExternalData_48" localSheetId="2">Data!$A$1:$A$1036</definedName>
    <definedName name="ExternalData_49" localSheetId="2">Data!$A$1:$A$1036</definedName>
    <definedName name="ExternalData_5" localSheetId="2">Data!$A$1:$A$1039</definedName>
    <definedName name="ExternalData_50" localSheetId="2">Data!$A$1:$A$1037</definedName>
    <definedName name="ExternalData_51" localSheetId="2">Data!$A$1:$A$1037</definedName>
    <definedName name="ExternalData_52" localSheetId="2">Data!$A$1:$A$1037</definedName>
    <definedName name="ExternalData_53" localSheetId="2">Data!$A$1:$A$1037</definedName>
    <definedName name="ExternalData_54" localSheetId="2">Data!$A$1:$A$917</definedName>
    <definedName name="ExternalData_55" localSheetId="2">Data!$A$1:$A$1037</definedName>
    <definedName name="ExternalData_56" localSheetId="2">Data!$A$1:$A$1037</definedName>
    <definedName name="ExternalData_57" localSheetId="2">Data!$A$1:$A$1037</definedName>
    <definedName name="ExternalData_58" localSheetId="2">Data!$A$1:$A$1037</definedName>
    <definedName name="ExternalData_59" localSheetId="2">Data!$A$1:$A$1037</definedName>
    <definedName name="ExternalData_6" localSheetId="2">Data!$A$1:$A$1039</definedName>
    <definedName name="ExternalData_60" localSheetId="2">Data!$A$1:$A$1037</definedName>
    <definedName name="ExternalData_61" localSheetId="2">Data!$A$1:$A$1037</definedName>
    <definedName name="ExternalData_62" localSheetId="2">Data!$A$1:$A$1037</definedName>
    <definedName name="ExternalData_63" localSheetId="2">Data!$A$1:$A$1037</definedName>
    <definedName name="ExternalData_64" localSheetId="2">Data!$A$1:$A$1037</definedName>
    <definedName name="ExternalData_65" localSheetId="2">Data!$A$1:$A$1037</definedName>
    <definedName name="ExternalData_66" localSheetId="2">Data!$A$1:$A$1037</definedName>
    <definedName name="ExternalData_67" localSheetId="2">Data!$A$1:$A$1036</definedName>
    <definedName name="ExternalData_68" localSheetId="2">Data!$A$1:$A$917</definedName>
    <definedName name="ExternalData_69" localSheetId="2">Data!$A$1:$A$1037</definedName>
    <definedName name="ExternalData_7" localSheetId="2">Data!$A$1:$A$1039</definedName>
    <definedName name="ExternalData_70" localSheetId="2">Data!$A$1:$A$244</definedName>
    <definedName name="ExternalData_71" localSheetId="2">Data!$A$1:$A$1037</definedName>
    <definedName name="ExternalData_72" localSheetId="2">Data!$A$1:$A$273</definedName>
    <definedName name="ExternalData_73" localSheetId="2">Data!$A$1:$A$1037</definedName>
    <definedName name="ExternalData_74" localSheetId="2">Data!$A$1:$A$1037</definedName>
    <definedName name="ExternalData_75" localSheetId="2">Data!$A$1:$A$1037</definedName>
    <definedName name="ExternalData_76" localSheetId="2">Data!$A$1:$A$683</definedName>
    <definedName name="ExternalData_77" localSheetId="2">Data!$A$1:$A$491</definedName>
    <definedName name="ExternalData_78" localSheetId="2">Data!$A$1:$A$484</definedName>
    <definedName name="ExternalData_79" localSheetId="2">Data!$A$1:$A$1037</definedName>
    <definedName name="ExternalData_8" localSheetId="2">Data!$A$1:$A$1039</definedName>
    <definedName name="ExternalData_80" localSheetId="2">Data!$A$1:$A$1037</definedName>
    <definedName name="ExternalData_81" localSheetId="2">Data!$A$1:$A$683</definedName>
    <definedName name="ExternalData_82" localSheetId="2">Data!$A$1:$A$1037</definedName>
    <definedName name="ExternalData_83" localSheetId="2">Data!$A$1:$A$1037</definedName>
    <definedName name="ExternalData_84" localSheetId="2">Data!$A$1:$A$683</definedName>
    <definedName name="ExternalData_85" localSheetId="2">Data!$A$1:$A$1037</definedName>
    <definedName name="ExternalData_86" localSheetId="2">Data!$A$1:$A$1037</definedName>
    <definedName name="ExternalData_87" localSheetId="2">Data!$A$1:$A$1038</definedName>
    <definedName name="ExternalData_88" localSheetId="2">Data!$A$1:$A$1037</definedName>
    <definedName name="ExternalData_89" localSheetId="2">Data!$A$1:$A$1037</definedName>
    <definedName name="ExternalData_9" localSheetId="2">Data!$A$1:$A$1039</definedName>
    <definedName name="ExternalData_90" localSheetId="2">Data!$A$1:$A$1037</definedName>
    <definedName name="ExternalData_91" localSheetId="2">Data!$A$1:$A$1037</definedName>
    <definedName name="ExternalData_92" localSheetId="2">Data!$A$1:$A$1037</definedName>
    <definedName name="ExternalData_94" localSheetId="2">Data!$A$1:$A$1038</definedName>
    <definedName name="ExternalData_95" localSheetId="2">Data!$A$1:$A$1037</definedName>
    <definedName name="ExternalData_96" localSheetId="2">Data!$A$1:$A$1037</definedName>
    <definedName name="ExternalData_97" localSheetId="2">Data!$A$1:$A$685</definedName>
    <definedName name="ExternalData_98" localSheetId="2">Data!$A$1:$A$685</definedName>
    <definedName name="ExternalData_99" localSheetId="2">Data!$A$1:$A$1038</definedName>
    <definedName name="_xlnm.Print_Area" localSheetId="1">Analysis!$B$1:$S$99</definedName>
    <definedName name="Sentiment">'Drop Down Sheet'!$A$3:$A$5</definedName>
    <definedName name="solver_eng" localSheetId="1" hidden="1">1</definedName>
    <definedName name="solver_lin" localSheetId="1" hidden="1">2</definedName>
    <definedName name="solver_neg" localSheetId="1" hidden="1">2</definedName>
    <definedName name="solver_num" localSheetId="1" hidden="1">0</definedName>
    <definedName name="solver_opt" localSheetId="1" hidden="1">Analysis!$BI$1</definedName>
    <definedName name="solver_typ" localSheetId="1" hidden="1">1</definedName>
    <definedName name="solver_val" localSheetId="1" hidden="1">0</definedName>
    <definedName name="solver_ver" localSheetId="1" hidden="1">2</definedName>
    <definedName name="startDate">Summary!$B$5</definedName>
    <definedName name="ticker">Summary!$B$4</definedName>
    <definedName name="Total_Features" localSheetId="1">Analysis!$F$95</definedName>
    <definedName name="Total_Features">#REF!</definedName>
  </definedNames>
  <calcPr calcId="140001" calcMode="manual" calcCompleted="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R4" i="77" l="1"/>
  <c r="AJ7" i="77"/>
  <c r="F8" i="77"/>
  <c r="BQ8" i="77"/>
  <c r="AJ8" i="77"/>
  <c r="AJ9" i="77"/>
  <c r="AJ10" i="77"/>
  <c r="AJ11" i="77"/>
  <c r="AJ12" i="77"/>
  <c r="AJ13" i="77"/>
  <c r="AJ14" i="77"/>
  <c r="AJ15" i="77"/>
  <c r="AJ16" i="77"/>
  <c r="AJ17" i="77"/>
  <c r="AJ18" i="77"/>
  <c r="AJ19" i="77"/>
  <c r="AJ20" i="77"/>
  <c r="AJ21" i="77"/>
  <c r="AJ22" i="77"/>
  <c r="AJ23" i="77"/>
  <c r="AJ24" i="77"/>
  <c r="AJ25" i="77"/>
  <c r="AJ26" i="77"/>
  <c r="AJ27" i="77"/>
  <c r="AJ28" i="77"/>
  <c r="BC12" i="77"/>
  <c r="AJ29" i="77"/>
  <c r="AJ30" i="77"/>
  <c r="AJ31" i="77"/>
  <c r="AJ32" i="77"/>
  <c r="AJ33" i="77"/>
  <c r="AJ34" i="77"/>
  <c r="AJ35" i="77"/>
  <c r="AJ36" i="77"/>
  <c r="AJ37" i="77"/>
  <c r="AJ38" i="77"/>
  <c r="AJ39" i="77"/>
  <c r="AJ40" i="77"/>
  <c r="AJ41" i="77"/>
  <c r="AJ42" i="77"/>
  <c r="AJ43" i="77"/>
  <c r="AJ44" i="77"/>
  <c r="AJ45" i="77"/>
  <c r="AJ46" i="77"/>
  <c r="AJ47" i="77"/>
  <c r="AJ48" i="77"/>
  <c r="AJ49" i="77"/>
  <c r="AJ50" i="77"/>
  <c r="AJ51" i="77"/>
  <c r="AJ52" i="77"/>
  <c r="AJ53" i="77"/>
  <c r="AJ54" i="77"/>
  <c r="AJ55" i="77"/>
  <c r="AJ56" i="77"/>
  <c r="AJ57" i="77"/>
  <c r="AJ58" i="77"/>
  <c r="AJ59" i="77"/>
  <c r="AJ60" i="77"/>
  <c r="AJ61" i="77"/>
  <c r="AJ62" i="77"/>
  <c r="AJ63" i="77"/>
  <c r="AJ64" i="77"/>
  <c r="AJ65" i="77"/>
  <c r="AJ66" i="77"/>
  <c r="AJ67" i="77"/>
  <c r="AJ68" i="77"/>
  <c r="AJ69" i="77"/>
  <c r="AJ70" i="77"/>
  <c r="AJ71" i="77"/>
  <c r="AJ72" i="77"/>
  <c r="AJ73" i="77"/>
  <c r="AJ74" i="77"/>
  <c r="AJ75" i="77"/>
  <c r="AJ76" i="77"/>
  <c r="AJ77" i="77"/>
  <c r="AJ78" i="77"/>
  <c r="AJ79" i="77"/>
  <c r="AJ80" i="77"/>
  <c r="AJ81" i="77"/>
  <c r="AJ82" i="77"/>
  <c r="AJ83" i="77"/>
  <c r="AJ84" i="77"/>
  <c r="AJ85" i="77"/>
  <c r="AJ86" i="77"/>
  <c r="AJ87" i="77"/>
  <c r="AJ88" i="77"/>
  <c r="AJ89" i="77"/>
  <c r="AJ90" i="77"/>
  <c r="AJ91" i="77"/>
  <c r="AJ92" i="77"/>
  <c r="AJ93" i="77"/>
  <c r="AJ94" i="77"/>
  <c r="AJ95" i="77"/>
  <c r="AJ96" i="77"/>
  <c r="AJ97" i="77"/>
  <c r="AJ98" i="77"/>
  <c r="AJ99" i="77"/>
  <c r="AJ100" i="77"/>
  <c r="AJ101" i="77"/>
  <c r="AJ102" i="77"/>
  <c r="AJ103" i="77"/>
  <c r="AJ104" i="77"/>
  <c r="AJ105" i="77"/>
  <c r="AJ106" i="77"/>
  <c r="AJ107" i="77"/>
  <c r="AJ108" i="77"/>
  <c r="AJ109" i="77"/>
  <c r="AJ110" i="77"/>
  <c r="AJ111" i="77"/>
  <c r="AJ112" i="77"/>
  <c r="AJ113" i="77"/>
  <c r="AJ114" i="77"/>
  <c r="AJ115" i="77"/>
  <c r="AJ116" i="77"/>
  <c r="AJ117" i="77"/>
  <c r="AJ118" i="77"/>
  <c r="AJ119" i="77"/>
  <c r="AJ120" i="77"/>
  <c r="AJ121" i="77"/>
  <c r="AJ122" i="77"/>
  <c r="AJ123" i="77"/>
  <c r="AJ124" i="77"/>
  <c r="AJ125" i="77"/>
  <c r="AJ126" i="77"/>
  <c r="AJ127" i="77"/>
  <c r="AJ128" i="77"/>
  <c r="AJ129" i="77"/>
  <c r="AJ130" i="77"/>
  <c r="AJ131" i="77"/>
  <c r="AJ132" i="77"/>
  <c r="AJ133" i="77"/>
  <c r="AJ134" i="77"/>
  <c r="AJ135" i="77"/>
  <c r="AJ136" i="77"/>
  <c r="AJ137" i="77"/>
  <c r="AJ138" i="77"/>
  <c r="AJ139" i="77"/>
  <c r="AJ140" i="77"/>
  <c r="AJ141" i="77"/>
  <c r="AJ142" i="77"/>
  <c r="AJ143" i="77"/>
  <c r="AJ144" i="77"/>
  <c r="AJ145" i="77"/>
  <c r="AJ146" i="77"/>
  <c r="AJ147" i="77"/>
  <c r="AJ148" i="77"/>
  <c r="AJ149" i="77"/>
  <c r="AJ150" i="77"/>
  <c r="AJ151" i="77"/>
  <c r="AJ152" i="77"/>
  <c r="AJ153" i="77"/>
  <c r="AJ154" i="77"/>
  <c r="AJ155" i="77"/>
  <c r="AJ156" i="77"/>
  <c r="AJ157" i="77"/>
  <c r="AJ158" i="77"/>
  <c r="AJ159" i="77"/>
  <c r="AJ160" i="77"/>
  <c r="AJ161" i="77"/>
  <c r="AJ162" i="77"/>
  <c r="AJ163" i="77"/>
  <c r="AJ164" i="77"/>
  <c r="AJ165" i="77"/>
  <c r="AJ166" i="77"/>
  <c r="AJ167" i="77"/>
  <c r="AJ168" i="77"/>
  <c r="AJ169" i="77"/>
  <c r="AJ170" i="77"/>
  <c r="AJ171" i="77"/>
  <c r="AJ172" i="77"/>
  <c r="AJ173" i="77"/>
  <c r="AJ174" i="77"/>
  <c r="AJ175" i="77"/>
  <c r="AJ176" i="77"/>
  <c r="AJ177" i="77"/>
  <c r="AJ178" i="77"/>
  <c r="AJ179" i="77"/>
  <c r="AJ180" i="77"/>
  <c r="AJ181" i="77"/>
  <c r="AJ182" i="77"/>
  <c r="AJ183" i="77"/>
  <c r="AJ184" i="77"/>
  <c r="AJ185" i="77"/>
  <c r="AJ186" i="77"/>
  <c r="AJ187" i="77"/>
  <c r="AJ188" i="77"/>
  <c r="AJ189" i="77"/>
  <c r="AJ190" i="77"/>
  <c r="AJ191" i="77"/>
  <c r="AJ192" i="77"/>
  <c r="AJ193" i="77"/>
  <c r="AJ194" i="77"/>
  <c r="AJ195" i="77"/>
  <c r="AJ196" i="77"/>
  <c r="AJ197" i="77"/>
  <c r="AJ198" i="77"/>
  <c r="AJ199" i="77"/>
  <c r="AJ200" i="77"/>
  <c r="AJ201" i="77"/>
  <c r="AJ202" i="77"/>
  <c r="AJ203" i="77"/>
  <c r="AJ204" i="77"/>
  <c r="AJ205" i="77"/>
  <c r="AJ206" i="77"/>
  <c r="AJ207" i="77"/>
  <c r="AJ208" i="77"/>
  <c r="AJ209" i="77"/>
  <c r="AJ210" i="77"/>
  <c r="AJ211" i="77"/>
  <c r="AJ212" i="77"/>
  <c r="AJ213" i="77"/>
  <c r="AJ214" i="77"/>
  <c r="AJ215" i="77"/>
  <c r="AJ216" i="77"/>
  <c r="AJ217" i="77"/>
  <c r="AJ218" i="77"/>
  <c r="AJ219" i="77"/>
  <c r="AJ220" i="77"/>
  <c r="AJ221" i="77"/>
  <c r="AJ222" i="77"/>
  <c r="AJ223" i="77"/>
  <c r="AJ224" i="77"/>
  <c r="AJ225" i="77"/>
  <c r="AJ226" i="77"/>
  <c r="AJ227" i="77"/>
  <c r="AJ228" i="77"/>
  <c r="AJ229" i="77"/>
  <c r="AJ230" i="77"/>
  <c r="AJ231" i="77"/>
  <c r="AJ232" i="77"/>
  <c r="AJ233" i="77"/>
  <c r="AJ234" i="77"/>
  <c r="AJ235" i="77"/>
  <c r="AJ236" i="77"/>
  <c r="AJ237" i="77"/>
  <c r="AJ238" i="77"/>
  <c r="AJ239" i="77"/>
  <c r="AJ240" i="77"/>
  <c r="AJ241" i="77"/>
  <c r="AJ242" i="77"/>
  <c r="AJ243" i="77"/>
  <c r="AJ244" i="77"/>
  <c r="AJ245" i="77"/>
  <c r="AJ246" i="77"/>
  <c r="AJ247" i="77"/>
  <c r="AJ248" i="77"/>
  <c r="AJ249" i="77"/>
  <c r="AJ250" i="77"/>
  <c r="AJ251" i="77"/>
  <c r="AJ252" i="77"/>
  <c r="AJ253" i="77"/>
  <c r="AJ254" i="77"/>
  <c r="AJ255" i="77"/>
  <c r="AJ256" i="77"/>
  <c r="AJ257" i="77"/>
  <c r="BC45" i="77"/>
  <c r="BR3" i="77"/>
  <c r="BR8" i="77"/>
  <c r="BS8" i="77"/>
  <c r="BT8" i="77"/>
  <c r="BU8" i="77"/>
  <c r="BV8" i="77"/>
  <c r="BW8" i="77"/>
  <c r="BX8" i="77"/>
  <c r="BY8" i="77"/>
  <c r="BZ8" i="77"/>
  <c r="CA8" i="77"/>
  <c r="CB8" i="77"/>
  <c r="CC8" i="77"/>
  <c r="CD8" i="77"/>
  <c r="CE8" i="77"/>
  <c r="CF8" i="77"/>
  <c r="CG8" i="77"/>
  <c r="CH9" i="77"/>
  <c r="CH10" i="77"/>
  <c r="CH11" i="77"/>
  <c r="CH12" i="77"/>
  <c r="CH13" i="77"/>
  <c r="CH14" i="77"/>
  <c r="CH15" i="77"/>
  <c r="CH16" i="77"/>
  <c r="CH17" i="77"/>
  <c r="CH18" i="77"/>
  <c r="CH19" i="77"/>
  <c r="CH20" i="77"/>
  <c r="CH21" i="77"/>
  <c r="CH22" i="77"/>
  <c r="CH23" i="77"/>
  <c r="CH24" i="77"/>
  <c r="CH25" i="77"/>
  <c r="CH26" i="77"/>
  <c r="CH27" i="77"/>
  <c r="CH28" i="77"/>
  <c r="CH29" i="77"/>
  <c r="CH30" i="77"/>
  <c r="CH31" i="77"/>
  <c r="CH32" i="77"/>
  <c r="CH33" i="77"/>
  <c r="CH34" i="77"/>
  <c r="CH35" i="77"/>
  <c r="CH36" i="77"/>
  <c r="CH37" i="77"/>
  <c r="CH38" i="77"/>
  <c r="CH39" i="77"/>
  <c r="CH40" i="77"/>
  <c r="CH41" i="77"/>
  <c r="CH42" i="77"/>
  <c r="CH43" i="77"/>
  <c r="CH44" i="77"/>
  <c r="CH45" i="77"/>
  <c r="CH46" i="77"/>
  <c r="CH47" i="77"/>
  <c r="CH48" i="77"/>
  <c r="CH49" i="77"/>
  <c r="CH50" i="77"/>
  <c r="CH51" i="77"/>
  <c r="CH52" i="77"/>
  <c r="CH53" i="77"/>
  <c r="CH54" i="77"/>
  <c r="CH55" i="77"/>
  <c r="CH56" i="77"/>
  <c r="CH57" i="77"/>
  <c r="CH58" i="77"/>
  <c r="CH59" i="77"/>
  <c r="CH60" i="77"/>
  <c r="CH61" i="77"/>
  <c r="CH62" i="77"/>
  <c r="CH63" i="77"/>
  <c r="CH64" i="77"/>
  <c r="CH65" i="77"/>
  <c r="CH66" i="77"/>
  <c r="CH67" i="77"/>
  <c r="CH68" i="77"/>
  <c r="CH69" i="77"/>
  <c r="CH70" i="77"/>
  <c r="CH71" i="77"/>
  <c r="CH72" i="77"/>
  <c r="CH73" i="77"/>
  <c r="CH74" i="77"/>
  <c r="CH75" i="77"/>
  <c r="CH76" i="77"/>
  <c r="CH77" i="77"/>
  <c r="CH78" i="77"/>
  <c r="CH79" i="77"/>
  <c r="CH80" i="77"/>
  <c r="CH81" i="77"/>
  <c r="CH82" i="77"/>
  <c r="CH83" i="77"/>
  <c r="CH84" i="77"/>
  <c r="CH85" i="77"/>
  <c r="CH86" i="77"/>
  <c r="CH87" i="77"/>
  <c r="CH88" i="77"/>
  <c r="CH89" i="77"/>
  <c r="CH90" i="77"/>
  <c r="CH91" i="77"/>
  <c r="CH92" i="77"/>
  <c r="CH93" i="77"/>
  <c r="CH94" i="77"/>
  <c r="CH95" i="77"/>
  <c r="CH96" i="77"/>
  <c r="CH97" i="77"/>
  <c r="CH98" i="77"/>
  <c r="CH99" i="77"/>
  <c r="CH100" i="77"/>
  <c r="CH101" i="77"/>
  <c r="CH102" i="77"/>
  <c r="CH103" i="77"/>
  <c r="CH104" i="77"/>
  <c r="CH105" i="77"/>
  <c r="CH106" i="77"/>
  <c r="CH107" i="77"/>
  <c r="CH108" i="77"/>
  <c r="CJ9" i="77"/>
  <c r="BR25" i="77"/>
  <c r="BR26" i="77"/>
  <c r="BR27" i="77"/>
  <c r="BR28" i="77"/>
  <c r="BR29" i="77"/>
  <c r="BR24" i="77"/>
  <c r="BR23" i="77"/>
  <c r="BR22" i="77"/>
  <c r="BR21" i="77"/>
  <c r="BR20" i="77"/>
  <c r="BR19" i="77"/>
  <c r="BM15" i="77"/>
  <c r="AL8" i="77"/>
  <c r="AL7" i="77"/>
  <c r="AM8" i="77"/>
  <c r="AL9" i="77"/>
  <c r="AM9" i="77"/>
  <c r="AL10" i="77"/>
  <c r="AM10" i="77"/>
  <c r="AL11" i="77"/>
  <c r="AM11" i="77"/>
  <c r="AL12" i="77"/>
  <c r="AM12" i="77"/>
  <c r="AL13" i="77"/>
  <c r="AM13" i="77"/>
  <c r="AL14" i="77"/>
  <c r="AM14" i="77"/>
  <c r="AL15" i="77"/>
  <c r="AM15" i="77"/>
  <c r="AL16" i="77"/>
  <c r="AM16" i="77"/>
  <c r="AL17" i="77"/>
  <c r="AM17" i="77"/>
  <c r="AL18" i="77"/>
  <c r="AM18" i="77"/>
  <c r="AL19" i="77"/>
  <c r="AM19" i="77"/>
  <c r="AL20" i="77"/>
  <c r="AM20" i="77"/>
  <c r="AL21" i="77"/>
  <c r="AM21" i="77"/>
  <c r="AL22" i="77"/>
  <c r="AM22" i="77"/>
  <c r="AL23" i="77"/>
  <c r="AM23" i="77"/>
  <c r="AL24" i="77"/>
  <c r="AM24" i="77"/>
  <c r="AL25" i="77"/>
  <c r="AM25" i="77"/>
  <c r="AL26" i="77"/>
  <c r="AM26" i="77"/>
  <c r="AL27" i="77"/>
  <c r="AM27" i="77"/>
  <c r="AL28" i="77"/>
  <c r="AM28" i="77"/>
  <c r="AL29" i="77"/>
  <c r="AM29" i="77"/>
  <c r="AL30" i="77"/>
  <c r="AM30" i="77"/>
  <c r="AL31" i="77"/>
  <c r="AM31" i="77"/>
  <c r="AL32" i="77"/>
  <c r="AM32" i="77"/>
  <c r="AL33" i="77"/>
  <c r="AM33" i="77"/>
  <c r="AL34" i="77"/>
  <c r="AM34" i="77"/>
  <c r="AL35" i="77"/>
  <c r="AM35" i="77"/>
  <c r="AL36" i="77"/>
  <c r="AM36" i="77"/>
  <c r="AL37" i="77"/>
  <c r="AM37" i="77"/>
  <c r="AL38" i="77"/>
  <c r="AM38" i="77"/>
  <c r="AL39" i="77"/>
  <c r="AM39" i="77"/>
  <c r="AL40" i="77"/>
  <c r="AM40" i="77"/>
  <c r="AL41" i="77"/>
  <c r="AM41" i="77"/>
  <c r="AL42" i="77"/>
  <c r="AM42" i="77"/>
  <c r="AL43" i="77"/>
  <c r="AM43" i="77"/>
  <c r="AL44" i="77"/>
  <c r="AM44" i="77"/>
  <c r="AL45" i="77"/>
  <c r="AM45" i="77"/>
  <c r="AL46" i="77"/>
  <c r="AM46" i="77"/>
  <c r="AL47" i="77"/>
  <c r="AM47" i="77"/>
  <c r="AL48" i="77"/>
  <c r="AM48" i="77"/>
  <c r="AL49" i="77"/>
  <c r="AM49" i="77"/>
  <c r="AL50" i="77"/>
  <c r="AM50" i="77"/>
  <c r="AL51" i="77"/>
  <c r="AM51" i="77"/>
  <c r="AL52" i="77"/>
  <c r="AM52" i="77"/>
  <c r="AL53" i="77"/>
  <c r="AM53" i="77"/>
  <c r="AL54" i="77"/>
  <c r="AM54" i="77"/>
  <c r="AL55" i="77"/>
  <c r="AM55" i="77"/>
  <c r="AL56" i="77"/>
  <c r="AM56" i="77"/>
  <c r="AL57" i="77"/>
  <c r="AM57" i="77"/>
  <c r="AL58" i="77"/>
  <c r="AM58" i="77"/>
  <c r="AL59" i="77"/>
  <c r="AM59" i="77"/>
  <c r="AL60" i="77"/>
  <c r="AM60" i="77"/>
  <c r="AL61" i="77"/>
  <c r="AM61" i="77"/>
  <c r="AL62" i="77"/>
  <c r="AM62" i="77"/>
  <c r="AL63" i="77"/>
  <c r="AM63" i="77"/>
  <c r="AL64" i="77"/>
  <c r="AM64" i="77"/>
  <c r="AL65" i="77"/>
  <c r="AM65" i="77"/>
  <c r="AL66" i="77"/>
  <c r="AM66" i="77"/>
  <c r="AL67" i="77"/>
  <c r="AM67" i="77"/>
  <c r="AL68" i="77"/>
  <c r="AM68" i="77"/>
  <c r="AL69" i="77"/>
  <c r="AM69" i="77"/>
  <c r="AL70" i="77"/>
  <c r="AM70" i="77"/>
  <c r="AL71" i="77"/>
  <c r="AM71" i="77"/>
  <c r="AL72" i="77"/>
  <c r="AM72" i="77"/>
  <c r="AL73" i="77"/>
  <c r="AM73" i="77"/>
  <c r="AL74" i="77"/>
  <c r="AM74" i="77"/>
  <c r="AL75" i="77"/>
  <c r="AM75" i="77"/>
  <c r="AL76" i="77"/>
  <c r="AM76" i="77"/>
  <c r="AL77" i="77"/>
  <c r="AM77" i="77"/>
  <c r="AL78" i="77"/>
  <c r="AM78" i="77"/>
  <c r="AL79" i="77"/>
  <c r="AM79" i="77"/>
  <c r="AL80" i="77"/>
  <c r="AM80" i="77"/>
  <c r="AL81" i="77"/>
  <c r="AM81" i="77"/>
  <c r="AL82" i="77"/>
  <c r="AM82" i="77"/>
  <c r="AL83" i="77"/>
  <c r="AM83" i="77"/>
  <c r="AL84" i="77"/>
  <c r="AM84" i="77"/>
  <c r="AL85" i="77"/>
  <c r="AM85" i="77"/>
  <c r="AL86" i="77"/>
  <c r="AM86" i="77"/>
  <c r="AL87" i="77"/>
  <c r="AM87" i="77"/>
  <c r="AL88" i="77"/>
  <c r="AM88" i="77"/>
  <c r="AL89" i="77"/>
  <c r="AM89" i="77"/>
  <c r="AL90" i="77"/>
  <c r="AM90" i="77"/>
  <c r="AL91" i="77"/>
  <c r="AM91" i="77"/>
  <c r="AL92" i="77"/>
  <c r="AM92" i="77"/>
  <c r="AL93" i="77"/>
  <c r="AM93" i="77"/>
  <c r="AL94" i="77"/>
  <c r="AM94" i="77"/>
  <c r="AL95" i="77"/>
  <c r="AM95" i="77"/>
  <c r="AL96" i="77"/>
  <c r="AM96" i="77"/>
  <c r="AL97" i="77"/>
  <c r="AM97" i="77"/>
  <c r="AL98" i="77"/>
  <c r="AM98" i="77"/>
  <c r="AL99" i="77"/>
  <c r="AM99" i="77"/>
  <c r="AL100" i="77"/>
  <c r="AM100" i="77"/>
  <c r="AL101" i="77"/>
  <c r="AM101" i="77"/>
  <c r="AL102" i="77"/>
  <c r="AM102" i="77"/>
  <c r="AL103" i="77"/>
  <c r="AM103" i="77"/>
  <c r="AL104" i="77"/>
  <c r="AM104" i="77"/>
  <c r="AL105" i="77"/>
  <c r="AM105" i="77"/>
  <c r="AL106" i="77"/>
  <c r="AM106" i="77"/>
  <c r="AL107" i="77"/>
  <c r="AM107" i="77"/>
  <c r="AL108" i="77"/>
  <c r="AM108" i="77"/>
  <c r="AL109" i="77"/>
  <c r="AM109" i="77"/>
  <c r="AL110" i="77"/>
  <c r="AM110" i="77"/>
  <c r="AL111" i="77"/>
  <c r="AM111" i="77"/>
  <c r="AL112" i="77"/>
  <c r="AM112" i="77"/>
  <c r="AL113" i="77"/>
  <c r="AM113" i="77"/>
  <c r="AL114" i="77"/>
  <c r="AM114" i="77"/>
  <c r="AL115" i="77"/>
  <c r="AM115" i="77"/>
  <c r="AL116" i="77"/>
  <c r="AM116" i="77"/>
  <c r="AL117" i="77"/>
  <c r="AM117" i="77"/>
  <c r="AL118" i="77"/>
  <c r="AM118" i="77"/>
  <c r="AL119" i="77"/>
  <c r="AM119" i="77"/>
  <c r="AL120" i="77"/>
  <c r="AM120" i="77"/>
  <c r="AL121" i="77"/>
  <c r="AM121" i="77"/>
  <c r="AL122" i="77"/>
  <c r="AM122" i="77"/>
  <c r="AL123" i="77"/>
  <c r="AM123" i="77"/>
  <c r="AL124" i="77"/>
  <c r="AM124" i="77"/>
  <c r="AL125" i="77"/>
  <c r="AM125" i="77"/>
  <c r="AL126" i="77"/>
  <c r="AM126" i="77"/>
  <c r="AL127" i="77"/>
  <c r="AM127" i="77"/>
  <c r="AL128" i="77"/>
  <c r="AM128" i="77"/>
  <c r="AL129" i="77"/>
  <c r="AM129" i="77"/>
  <c r="AL130" i="77"/>
  <c r="AM130" i="77"/>
  <c r="AL131" i="77"/>
  <c r="AM131" i="77"/>
  <c r="AL132" i="77"/>
  <c r="AM132" i="77"/>
  <c r="AL133" i="77"/>
  <c r="AM133" i="77"/>
  <c r="AL134" i="77"/>
  <c r="AM134" i="77"/>
  <c r="AL135" i="77"/>
  <c r="AM135" i="77"/>
  <c r="AL136" i="77"/>
  <c r="AM136" i="77"/>
  <c r="AL137" i="77"/>
  <c r="AM137" i="77"/>
  <c r="AL138" i="77"/>
  <c r="AM138" i="77"/>
  <c r="AL139" i="77"/>
  <c r="AM139" i="77"/>
  <c r="AL140" i="77"/>
  <c r="AM140" i="77"/>
  <c r="AL141" i="77"/>
  <c r="AM141" i="77"/>
  <c r="AL142" i="77"/>
  <c r="AM142" i="77"/>
  <c r="AL143" i="77"/>
  <c r="AM143" i="77"/>
  <c r="AL144" i="77"/>
  <c r="AM144" i="77"/>
  <c r="AL145" i="77"/>
  <c r="AM145" i="77"/>
  <c r="AL146" i="77"/>
  <c r="AM146" i="77"/>
  <c r="AL147" i="77"/>
  <c r="AM147" i="77"/>
  <c r="AL148" i="77"/>
  <c r="AM148" i="77"/>
  <c r="AL149" i="77"/>
  <c r="AM149" i="77"/>
  <c r="AL150" i="77"/>
  <c r="AM150" i="77"/>
  <c r="AL151" i="77"/>
  <c r="AM151" i="77"/>
  <c r="AL152" i="77"/>
  <c r="AM152" i="77"/>
  <c r="AL153" i="77"/>
  <c r="AM153" i="77"/>
  <c r="AL154" i="77"/>
  <c r="AM154" i="77"/>
  <c r="AL155" i="77"/>
  <c r="AM155" i="77"/>
  <c r="AL156" i="77"/>
  <c r="AM156" i="77"/>
  <c r="AL157" i="77"/>
  <c r="AM157" i="77"/>
  <c r="AL158" i="77"/>
  <c r="AM158" i="77"/>
  <c r="AL159" i="77"/>
  <c r="AM159" i="77"/>
  <c r="AL160" i="77"/>
  <c r="AM160" i="77"/>
  <c r="AL161" i="77"/>
  <c r="AM161" i="77"/>
  <c r="AL162" i="77"/>
  <c r="AM162" i="77"/>
  <c r="AL163" i="77"/>
  <c r="AM163" i="77"/>
  <c r="AL164" i="77"/>
  <c r="AM164" i="77"/>
  <c r="AL165" i="77"/>
  <c r="AM165" i="77"/>
  <c r="AL166" i="77"/>
  <c r="AM166" i="77"/>
  <c r="AL167" i="77"/>
  <c r="AM167" i="77"/>
  <c r="AL168" i="77"/>
  <c r="AM168" i="77"/>
  <c r="AL169" i="77"/>
  <c r="AM169" i="77"/>
  <c r="AL170" i="77"/>
  <c r="AM170" i="77"/>
  <c r="AL171" i="77"/>
  <c r="AM171" i="77"/>
  <c r="AL172" i="77"/>
  <c r="AM172" i="77"/>
  <c r="AL173" i="77"/>
  <c r="AM173" i="77"/>
  <c r="AL174" i="77"/>
  <c r="AM174" i="77"/>
  <c r="AL175" i="77"/>
  <c r="AM175" i="77"/>
  <c r="AL176" i="77"/>
  <c r="AM176" i="77"/>
  <c r="AL177" i="77"/>
  <c r="AM177" i="77"/>
  <c r="AL178" i="77"/>
  <c r="AM178" i="77"/>
  <c r="AL179" i="77"/>
  <c r="AM179" i="77"/>
  <c r="AL180" i="77"/>
  <c r="AM180" i="77"/>
  <c r="AL181" i="77"/>
  <c r="AM181" i="77"/>
  <c r="AL182" i="77"/>
  <c r="AM182" i="77"/>
  <c r="AL183" i="77"/>
  <c r="AM183" i="77"/>
  <c r="AL184" i="77"/>
  <c r="AM184" i="77"/>
  <c r="AL185" i="77"/>
  <c r="AM185" i="77"/>
  <c r="AL186" i="77"/>
  <c r="AM186" i="77"/>
  <c r="AL187" i="77"/>
  <c r="AM187" i="77"/>
  <c r="AL188" i="77"/>
  <c r="AM188" i="77"/>
  <c r="AL189" i="77"/>
  <c r="AM189" i="77"/>
  <c r="AL190" i="77"/>
  <c r="AM190" i="77"/>
  <c r="AL191" i="77"/>
  <c r="AM191" i="77"/>
  <c r="AL192" i="77"/>
  <c r="AM192" i="77"/>
  <c r="AL193" i="77"/>
  <c r="AM193" i="77"/>
  <c r="AL194" i="77"/>
  <c r="AM194" i="77"/>
  <c r="AL195" i="77"/>
  <c r="AM195" i="77"/>
  <c r="AL196" i="77"/>
  <c r="AM196" i="77"/>
  <c r="AL197" i="77"/>
  <c r="AM197" i="77"/>
  <c r="AL198" i="77"/>
  <c r="AM198" i="77"/>
  <c r="AL199" i="77"/>
  <c r="AM199" i="77"/>
  <c r="AL200" i="77"/>
  <c r="AM200" i="77"/>
  <c r="AL201" i="77"/>
  <c r="AM201" i="77"/>
  <c r="AL202" i="77"/>
  <c r="AM202" i="77"/>
  <c r="AL203" i="77"/>
  <c r="AM203" i="77"/>
  <c r="AL204" i="77"/>
  <c r="AM204" i="77"/>
  <c r="AL205" i="77"/>
  <c r="AM205" i="77"/>
  <c r="AL206" i="77"/>
  <c r="AM206" i="77"/>
  <c r="AL207" i="77"/>
  <c r="AM207" i="77"/>
  <c r="AL208" i="77"/>
  <c r="AM208" i="77"/>
  <c r="AL209" i="77"/>
  <c r="AM209" i="77"/>
  <c r="AL210" i="77"/>
  <c r="AM210" i="77"/>
  <c r="AL211" i="77"/>
  <c r="AM211" i="77"/>
  <c r="AL212" i="77"/>
  <c r="AM212" i="77"/>
  <c r="AL213" i="77"/>
  <c r="AM213" i="77"/>
  <c r="AL214" i="77"/>
  <c r="AM214" i="77"/>
  <c r="AL215" i="77"/>
  <c r="AM215" i="77"/>
  <c r="AL216" i="77"/>
  <c r="AM216" i="77"/>
  <c r="AL217" i="77"/>
  <c r="AM217" i="77"/>
  <c r="AL218" i="77"/>
  <c r="AM218" i="77"/>
  <c r="AL219" i="77"/>
  <c r="AM219" i="77"/>
  <c r="AL220" i="77"/>
  <c r="AM220" i="77"/>
  <c r="AL221" i="77"/>
  <c r="AM221" i="77"/>
  <c r="AL222" i="77"/>
  <c r="AM222" i="77"/>
  <c r="AL223" i="77"/>
  <c r="AM223" i="77"/>
  <c r="AL224" i="77"/>
  <c r="AM224" i="77"/>
  <c r="AL225" i="77"/>
  <c r="AM225" i="77"/>
  <c r="AL226" i="77"/>
  <c r="AM226" i="77"/>
  <c r="AL227" i="77"/>
  <c r="AM227" i="77"/>
  <c r="AL228" i="77"/>
  <c r="AM228" i="77"/>
  <c r="AL229" i="77"/>
  <c r="AM229" i="77"/>
  <c r="AL230" i="77"/>
  <c r="AM230" i="77"/>
  <c r="AL231" i="77"/>
  <c r="AM231" i="77"/>
  <c r="AL232" i="77"/>
  <c r="AM232" i="77"/>
  <c r="AL233" i="77"/>
  <c r="AM233" i="77"/>
  <c r="AL234" i="77"/>
  <c r="AM234" i="77"/>
  <c r="AL235" i="77"/>
  <c r="AM235" i="77"/>
  <c r="AL236" i="77"/>
  <c r="AM236" i="77"/>
  <c r="AL237" i="77"/>
  <c r="AM237" i="77"/>
  <c r="AL238" i="77"/>
  <c r="AM238" i="77"/>
  <c r="AL239" i="77"/>
  <c r="AM239" i="77"/>
  <c r="AL240" i="77"/>
  <c r="AM240" i="77"/>
  <c r="AL241" i="77"/>
  <c r="AM241" i="77"/>
  <c r="AL242" i="77"/>
  <c r="AM242" i="77"/>
  <c r="AL243" i="77"/>
  <c r="AM243" i="77"/>
  <c r="AL244" i="77"/>
  <c r="AM244" i="77"/>
  <c r="AL245" i="77"/>
  <c r="AM245" i="77"/>
  <c r="AL246" i="77"/>
  <c r="AM246" i="77"/>
  <c r="AL247" i="77"/>
  <c r="AM247" i="77"/>
  <c r="AL248" i="77"/>
  <c r="AM248" i="77"/>
  <c r="AL249" i="77"/>
  <c r="AM249" i="77"/>
  <c r="AL250" i="77"/>
  <c r="AM250" i="77"/>
  <c r="AL251" i="77"/>
  <c r="AM251" i="77"/>
  <c r="AL252" i="77"/>
  <c r="AM252" i="77"/>
  <c r="AL253" i="77"/>
  <c r="AM253" i="77"/>
  <c r="AL254" i="77"/>
  <c r="AM254" i="77"/>
  <c r="AL255" i="77"/>
  <c r="AM255" i="77"/>
  <c r="AL256" i="77"/>
  <c r="AM256" i="77"/>
  <c r="AL257" i="77"/>
  <c r="AM257" i="77"/>
  <c r="BL7" i="77"/>
  <c r="BL9" i="77"/>
  <c r="BN16" i="77"/>
  <c r="BN17" i="77"/>
  <c r="AI1015" i="77"/>
  <c r="AI1014" i="77"/>
  <c r="AQ1014" i="77"/>
  <c r="AJ1014" i="77"/>
  <c r="AJ1015" i="77"/>
  <c r="AS1014" i="77"/>
  <c r="AK1014" i="77"/>
  <c r="AK1013" i="77"/>
  <c r="AN1014" i="77"/>
  <c r="AO1014" i="77"/>
  <c r="AU1014" i="77"/>
  <c r="AI1016" i="77"/>
  <c r="AQ1015" i="77"/>
  <c r="AJ1016" i="77"/>
  <c r="AS1015" i="77"/>
  <c r="AK1015" i="77"/>
  <c r="AN1015" i="77"/>
  <c r="AO1015" i="77"/>
  <c r="AU1015" i="77"/>
  <c r="AI1017" i="77"/>
  <c r="AQ1016" i="77"/>
  <c r="AJ1017" i="77"/>
  <c r="AS1016" i="77"/>
  <c r="AK1016" i="77"/>
  <c r="AN1016" i="77"/>
  <c r="AO1016" i="77"/>
  <c r="AU1016" i="77"/>
  <c r="AI1018" i="77"/>
  <c r="AQ1017" i="77"/>
  <c r="AJ1018" i="77"/>
  <c r="AS1017" i="77"/>
  <c r="AK1017" i="77"/>
  <c r="AN1017" i="77"/>
  <c r="AO1017" i="77"/>
  <c r="AU1017" i="77"/>
  <c r="AI1019" i="77"/>
  <c r="AQ1018" i="77"/>
  <c r="AJ1019" i="77"/>
  <c r="AS1018" i="77"/>
  <c r="AK1018" i="77"/>
  <c r="AN1018" i="77"/>
  <c r="AO1018" i="77"/>
  <c r="AU1018" i="77"/>
  <c r="AI1020" i="77"/>
  <c r="AQ1019" i="77"/>
  <c r="AJ1020" i="77"/>
  <c r="AS1019" i="77"/>
  <c r="AK1019" i="77"/>
  <c r="AN1019" i="77"/>
  <c r="AO1019" i="77"/>
  <c r="AU1019" i="77"/>
  <c r="AI1021" i="77"/>
  <c r="AQ1020" i="77"/>
  <c r="AJ1021" i="77"/>
  <c r="AS1020" i="77"/>
  <c r="AK1020" i="77"/>
  <c r="AN1020" i="77"/>
  <c r="AO1020" i="77"/>
  <c r="AU1020" i="77"/>
  <c r="AI1022" i="77"/>
  <c r="AQ1021" i="77"/>
  <c r="AJ1022" i="77"/>
  <c r="AS1021" i="77"/>
  <c r="AK1021" i="77"/>
  <c r="AN1021" i="77"/>
  <c r="AO1021" i="77"/>
  <c r="AU1021" i="77"/>
  <c r="AI1023" i="77"/>
  <c r="AQ1022" i="77"/>
  <c r="AJ1023" i="77"/>
  <c r="AS1022" i="77"/>
  <c r="AK1022" i="77"/>
  <c r="AN1022" i="77"/>
  <c r="AO1022" i="77"/>
  <c r="AU1022" i="77"/>
  <c r="AI1024" i="77"/>
  <c r="AQ1023" i="77"/>
  <c r="AJ1024" i="77"/>
  <c r="AS1023" i="77"/>
  <c r="AK1023" i="77"/>
  <c r="AN1023" i="77"/>
  <c r="AO1023" i="77"/>
  <c r="AU1023" i="77"/>
  <c r="AI1025" i="77"/>
  <c r="AQ1024" i="77"/>
  <c r="AJ1025" i="77"/>
  <c r="AS1024" i="77"/>
  <c r="AK1024" i="77"/>
  <c r="AN1024" i="77"/>
  <c r="AO1024" i="77"/>
  <c r="AU1024" i="77"/>
  <c r="AI1026" i="77"/>
  <c r="AQ1025" i="77"/>
  <c r="AJ1026" i="77"/>
  <c r="AS1025" i="77"/>
  <c r="AK1025" i="77"/>
  <c r="AN1025" i="77"/>
  <c r="AO1025" i="77"/>
  <c r="AU1025" i="77"/>
  <c r="AI1027" i="77"/>
  <c r="AQ1026" i="77"/>
  <c r="AJ1027" i="77"/>
  <c r="AS1026" i="77"/>
  <c r="AK1026" i="77"/>
  <c r="AN1026" i="77"/>
  <c r="AO1026" i="77"/>
  <c r="AU1026" i="77"/>
  <c r="AI1028" i="77"/>
  <c r="AQ1027" i="77"/>
  <c r="AJ1028" i="77"/>
  <c r="AS1027" i="77"/>
  <c r="AK1027" i="77"/>
  <c r="AN1027" i="77"/>
  <c r="AO1027" i="77"/>
  <c r="AU1027" i="77"/>
  <c r="AI1029" i="77"/>
  <c r="AQ1028" i="77"/>
  <c r="AJ1029" i="77"/>
  <c r="AS1028" i="77"/>
  <c r="AK1028" i="77"/>
  <c r="AN1028" i="77"/>
  <c r="AO1028" i="77"/>
  <c r="AU1028" i="77"/>
  <c r="AI1030" i="77"/>
  <c r="AQ1029" i="77"/>
  <c r="AJ1030" i="77"/>
  <c r="AS1029" i="77"/>
  <c r="AK1029" i="77"/>
  <c r="AN1029" i="77"/>
  <c r="AO1029" i="77"/>
  <c r="AU1029" i="77"/>
  <c r="AI1031" i="77"/>
  <c r="AQ1030" i="77"/>
  <c r="AJ1031" i="77"/>
  <c r="AS1030" i="77"/>
  <c r="AK1030" i="77"/>
  <c r="AN1030" i="77"/>
  <c r="AO1030" i="77"/>
  <c r="AU1030" i="77"/>
  <c r="AI1032" i="77"/>
  <c r="AQ1031" i="77"/>
  <c r="AJ1032" i="77"/>
  <c r="AS1031" i="77"/>
  <c r="AK1031" i="77"/>
  <c r="AN1031" i="77"/>
  <c r="AO1031" i="77"/>
  <c r="AU1031" i="77"/>
  <c r="AI1033" i="77"/>
  <c r="AQ1032" i="77"/>
  <c r="AJ1033" i="77"/>
  <c r="AS1032" i="77"/>
  <c r="AK1032" i="77"/>
  <c r="AN1032" i="77"/>
  <c r="AO1032" i="77"/>
  <c r="AU1032" i="77"/>
  <c r="AI1034" i="77"/>
  <c r="AQ1033" i="77"/>
  <c r="AJ1034" i="77"/>
  <c r="AS1033" i="77"/>
  <c r="AK1033" i="77"/>
  <c r="AN1033" i="77"/>
  <c r="AO1033" i="77"/>
  <c r="AU1033" i="77"/>
  <c r="AI1035" i="77"/>
  <c r="AQ1034" i="77"/>
  <c r="AJ1035" i="77"/>
  <c r="AS1034" i="77"/>
  <c r="AK1034" i="77"/>
  <c r="AN1034" i="77"/>
  <c r="AO1034" i="77"/>
  <c r="AU1034" i="77"/>
  <c r="AI1036" i="77"/>
  <c r="AQ1035" i="77"/>
  <c r="AJ1036" i="77"/>
  <c r="AS1035" i="77"/>
  <c r="AK1035" i="77"/>
  <c r="AN1035" i="77"/>
  <c r="AO1035" i="77"/>
  <c r="AU1035" i="77"/>
  <c r="AI1037" i="77"/>
  <c r="AQ1036" i="77"/>
  <c r="AJ1037" i="77"/>
  <c r="AS1036" i="77"/>
  <c r="AK1036" i="77"/>
  <c r="AN1036" i="77"/>
  <c r="AO1036" i="77"/>
  <c r="AU1036" i="77"/>
  <c r="AI1038" i="77"/>
  <c r="AQ1037" i="77"/>
  <c r="AJ1038" i="77"/>
  <c r="AS1037" i="77"/>
  <c r="AK1037" i="77"/>
  <c r="AN1037" i="77"/>
  <c r="AO1037" i="77"/>
  <c r="AU1037" i="77"/>
  <c r="AI1039" i="77"/>
  <c r="AQ1038" i="77"/>
  <c r="AJ1039" i="77"/>
  <c r="AS1038" i="77"/>
  <c r="AK1038" i="77"/>
  <c r="AN1038" i="77"/>
  <c r="AO1038" i="77"/>
  <c r="AU1038" i="77"/>
  <c r="AI1040" i="77"/>
  <c r="AQ1039" i="77"/>
  <c r="AJ1040" i="77"/>
  <c r="AS1039" i="77"/>
  <c r="AK1039" i="77"/>
  <c r="AN1039" i="77"/>
  <c r="AO1039" i="77"/>
  <c r="AU1039" i="77"/>
  <c r="AI1041" i="77"/>
  <c r="AQ1040" i="77"/>
  <c r="AJ1041" i="77"/>
  <c r="AS1040" i="77"/>
  <c r="AK1040" i="77"/>
  <c r="AN1040" i="77"/>
  <c r="AO1040" i="77"/>
  <c r="AU1040" i="77"/>
  <c r="AI1042" i="77"/>
  <c r="AQ1041" i="77"/>
  <c r="AJ1042" i="77"/>
  <c r="AS1041" i="77"/>
  <c r="AK1041" i="77"/>
  <c r="AN1041" i="77"/>
  <c r="AO1041" i="77"/>
  <c r="AU1041" i="77"/>
  <c r="AQ1042" i="77"/>
  <c r="AS1042" i="77"/>
  <c r="AK1042" i="77"/>
  <c r="AN1042" i="77"/>
  <c r="AO1042" i="77"/>
  <c r="AU1042" i="77"/>
  <c r="AH1015" i="77"/>
  <c r="AH1014" i="77"/>
  <c r="AP1014" i="77"/>
  <c r="AR1014" i="77"/>
  <c r="AT1014" i="77"/>
  <c r="AH1016" i="77"/>
  <c r="AP1015" i="77"/>
  <c r="AR1015" i="77"/>
  <c r="AT1015" i="77"/>
  <c r="AH1017" i="77"/>
  <c r="AP1016" i="77"/>
  <c r="AR1016" i="77"/>
  <c r="AT1016" i="77"/>
  <c r="AH1018" i="77"/>
  <c r="AP1017" i="77"/>
  <c r="AR1017" i="77"/>
  <c r="AT1017" i="77"/>
  <c r="AH1019" i="77"/>
  <c r="AP1018" i="77"/>
  <c r="AR1018" i="77"/>
  <c r="AT1018" i="77"/>
  <c r="AH1020" i="77"/>
  <c r="AP1019" i="77"/>
  <c r="AR1019" i="77"/>
  <c r="AT1019" i="77"/>
  <c r="AH1021" i="77"/>
  <c r="AP1020" i="77"/>
  <c r="AR1020" i="77"/>
  <c r="AT1020" i="77"/>
  <c r="AH1022" i="77"/>
  <c r="AP1021" i="77"/>
  <c r="AR1021" i="77"/>
  <c r="AT1021" i="77"/>
  <c r="AH1023" i="77"/>
  <c r="AP1022" i="77"/>
  <c r="AR1022" i="77"/>
  <c r="AT1022" i="77"/>
  <c r="AH1024" i="77"/>
  <c r="AP1023" i="77"/>
  <c r="AR1023" i="77"/>
  <c r="AT1023" i="77"/>
  <c r="AH1025" i="77"/>
  <c r="AP1024" i="77"/>
  <c r="AR1024" i="77"/>
  <c r="AT1024" i="77"/>
  <c r="AH1026" i="77"/>
  <c r="AP1025" i="77"/>
  <c r="AR1025" i="77"/>
  <c r="AT1025" i="77"/>
  <c r="AH1027" i="77"/>
  <c r="AP1026" i="77"/>
  <c r="AR1026" i="77"/>
  <c r="AT1026" i="77"/>
  <c r="AH1028" i="77"/>
  <c r="AP1027" i="77"/>
  <c r="AR1027" i="77"/>
  <c r="AT1027" i="77"/>
  <c r="AH1029" i="77"/>
  <c r="AP1028" i="77"/>
  <c r="AR1028" i="77"/>
  <c r="AT1028" i="77"/>
  <c r="AH1030" i="77"/>
  <c r="AP1029" i="77"/>
  <c r="AR1029" i="77"/>
  <c r="AT1029" i="77"/>
  <c r="AH1031" i="77"/>
  <c r="AP1030" i="77"/>
  <c r="AR1030" i="77"/>
  <c r="AT1030" i="77"/>
  <c r="AH1032" i="77"/>
  <c r="AP1031" i="77"/>
  <c r="AR1031" i="77"/>
  <c r="AT1031" i="77"/>
  <c r="AH1033" i="77"/>
  <c r="AP1032" i="77"/>
  <c r="AR1032" i="77"/>
  <c r="AT1032" i="77"/>
  <c r="AH1034" i="77"/>
  <c r="AP1033" i="77"/>
  <c r="AR1033" i="77"/>
  <c r="AT1033" i="77"/>
  <c r="AH1035" i="77"/>
  <c r="AP1034" i="77"/>
  <c r="AR1034" i="77"/>
  <c r="AT1034" i="77"/>
  <c r="AH1036" i="77"/>
  <c r="AP1035" i="77"/>
  <c r="AR1035" i="77"/>
  <c r="AT1035" i="77"/>
  <c r="AH1037" i="77"/>
  <c r="AP1036" i="77"/>
  <c r="AR1036" i="77"/>
  <c r="AT1036" i="77"/>
  <c r="AH1038" i="77"/>
  <c r="AP1037" i="77"/>
  <c r="AR1037" i="77"/>
  <c r="AT1037" i="77"/>
  <c r="AH1039" i="77"/>
  <c r="AP1038" i="77"/>
  <c r="AR1038" i="77"/>
  <c r="AT1038" i="77"/>
  <c r="AH1040" i="77"/>
  <c r="AP1039" i="77"/>
  <c r="AR1039" i="77"/>
  <c r="AT1039" i="77"/>
  <c r="AH1041" i="77"/>
  <c r="AP1040" i="77"/>
  <c r="AR1040" i="77"/>
  <c r="AT1040" i="77"/>
  <c r="AH1042" i="77"/>
  <c r="AP1041" i="77"/>
  <c r="AR1041" i="77"/>
  <c r="AT1041" i="77"/>
  <c r="AP1042" i="77"/>
  <c r="AR1042" i="77"/>
  <c r="AT1042" i="77"/>
  <c r="AL1015" i="77"/>
  <c r="AL1014" i="77"/>
  <c r="AM1015" i="77"/>
  <c r="AL1016" i="77"/>
  <c r="AM1016" i="77"/>
  <c r="AL1017" i="77"/>
  <c r="AM1017" i="77"/>
  <c r="AL1018" i="77"/>
  <c r="AM1018" i="77"/>
  <c r="AL1019" i="77"/>
  <c r="AM1019" i="77"/>
  <c r="AL1020" i="77"/>
  <c r="AM1020" i="77"/>
  <c r="AL1021" i="77"/>
  <c r="AM1021" i="77"/>
  <c r="AL1022" i="77"/>
  <c r="AM1022" i="77"/>
  <c r="AL1023" i="77"/>
  <c r="AM1023" i="77"/>
  <c r="AL1024" i="77"/>
  <c r="AM1024" i="77"/>
  <c r="AL1025" i="77"/>
  <c r="AM1025" i="77"/>
  <c r="AL1026" i="77"/>
  <c r="AM1026" i="77"/>
  <c r="AL1027" i="77"/>
  <c r="AM1027" i="77"/>
  <c r="AL1028" i="77"/>
  <c r="AM1028" i="77"/>
  <c r="AL1029" i="77"/>
  <c r="AM1029" i="77"/>
  <c r="AL1030" i="77"/>
  <c r="AM1030" i="77"/>
  <c r="AL1031" i="77"/>
  <c r="AM1031" i="77"/>
  <c r="AL1032" i="77"/>
  <c r="AM1032" i="77"/>
  <c r="AL1033" i="77"/>
  <c r="AM1033" i="77"/>
  <c r="AL1034" i="77"/>
  <c r="AM1034" i="77"/>
  <c r="AL1035" i="77"/>
  <c r="AM1035" i="77"/>
  <c r="AL1036" i="77"/>
  <c r="AM1036" i="77"/>
  <c r="AL1037" i="77"/>
  <c r="AM1037" i="77"/>
  <c r="AL1038" i="77"/>
  <c r="AM1038" i="77"/>
  <c r="AL1039" i="77"/>
  <c r="AM1039" i="77"/>
  <c r="AL1040" i="77"/>
  <c r="AM1040" i="77"/>
  <c r="AL1041" i="77"/>
  <c r="AM1041" i="77"/>
  <c r="AL1042" i="77"/>
  <c r="AM1042" i="77"/>
  <c r="AJ1013" i="77"/>
  <c r="AL1013" i="77"/>
  <c r="AM1014" i="77"/>
  <c r="AK1005" i="77"/>
  <c r="AK1004" i="77"/>
  <c r="AN1005" i="77"/>
  <c r="AO1005" i="77"/>
  <c r="AH1006" i="77"/>
  <c r="AH1005" i="77"/>
  <c r="AP1005" i="77"/>
  <c r="AJ1005" i="77"/>
  <c r="AR1005" i="77"/>
  <c r="AT1005" i="77"/>
  <c r="AK1006" i="77"/>
  <c r="AN1006" i="77"/>
  <c r="AO1006" i="77"/>
  <c r="AH1007" i="77"/>
  <c r="AP1006" i="77"/>
  <c r="AJ1006" i="77"/>
  <c r="AR1006" i="77"/>
  <c r="AT1006" i="77"/>
  <c r="AK1007" i="77"/>
  <c r="AN1007" i="77"/>
  <c r="AO1007" i="77"/>
  <c r="AH1008" i="77"/>
  <c r="AP1007" i="77"/>
  <c r="AJ1007" i="77"/>
  <c r="AR1007" i="77"/>
  <c r="AT1007" i="77"/>
  <c r="AK1008" i="77"/>
  <c r="AN1008" i="77"/>
  <c r="AO1008" i="77"/>
  <c r="AH1009" i="77"/>
  <c r="AP1008" i="77"/>
  <c r="AJ1008" i="77"/>
  <c r="AR1008" i="77"/>
  <c r="AT1008" i="77"/>
  <c r="AK1009" i="77"/>
  <c r="AN1009" i="77"/>
  <c r="AO1009" i="77"/>
  <c r="AH1010" i="77"/>
  <c r="AP1009" i="77"/>
  <c r="AJ1009" i="77"/>
  <c r="AR1009" i="77"/>
  <c r="AT1009" i="77"/>
  <c r="AK1010" i="77"/>
  <c r="AN1010" i="77"/>
  <c r="AO1010" i="77"/>
  <c r="AH1011" i="77"/>
  <c r="AP1010" i="77"/>
  <c r="AJ1010" i="77"/>
  <c r="AR1010" i="77"/>
  <c r="AT1010" i="77"/>
  <c r="AK1011" i="77"/>
  <c r="AN1011" i="77"/>
  <c r="AO1011" i="77"/>
  <c r="AH1012" i="77"/>
  <c r="AP1011" i="77"/>
  <c r="AJ1011" i="77"/>
  <c r="AR1011" i="77"/>
  <c r="AT1011" i="77"/>
  <c r="AK1012" i="77"/>
  <c r="AN1012" i="77"/>
  <c r="AO1012" i="77"/>
  <c r="AH1013" i="77"/>
  <c r="AP1012" i="77"/>
  <c r="AJ1012" i="77"/>
  <c r="AR1012" i="77"/>
  <c r="AT1012" i="77"/>
  <c r="AN1013" i="77"/>
  <c r="AO1013" i="77"/>
  <c r="AP1013" i="77"/>
  <c r="AR1013" i="77"/>
  <c r="AT1013" i="77"/>
  <c r="AK1001" i="77"/>
  <c r="AK1000" i="77"/>
  <c r="AN1001" i="77"/>
  <c r="AO1001" i="77"/>
  <c r="AI1002" i="77"/>
  <c r="AI1001" i="77"/>
  <c r="AQ1001" i="77"/>
  <c r="AJ1001" i="77"/>
  <c r="AJ1002" i="77"/>
  <c r="AS1001" i="77"/>
  <c r="AU1001" i="77"/>
  <c r="AK1002" i="77"/>
  <c r="AN1002" i="77"/>
  <c r="AO1002" i="77"/>
  <c r="AI1003" i="77"/>
  <c r="AQ1002" i="77"/>
  <c r="AJ1003" i="77"/>
  <c r="AS1002" i="77"/>
  <c r="AU1002" i="77"/>
  <c r="AK1003" i="77"/>
  <c r="AN1003" i="77"/>
  <c r="AO1003" i="77"/>
  <c r="AI1004" i="77"/>
  <c r="AQ1003" i="77"/>
  <c r="AJ1004" i="77"/>
  <c r="AS1003" i="77"/>
  <c r="AU1003" i="77"/>
  <c r="AN1004" i="77"/>
  <c r="AO1004" i="77"/>
  <c r="AI1005" i="77"/>
  <c r="AQ1004" i="77"/>
  <c r="AS1004" i="77"/>
  <c r="AU1004" i="77"/>
  <c r="AI1006" i="77"/>
  <c r="AQ1005" i="77"/>
  <c r="AS1005" i="77"/>
  <c r="AU1005" i="77"/>
  <c r="AI1007" i="77"/>
  <c r="AQ1006" i="77"/>
  <c r="AS1006" i="77"/>
  <c r="AU1006" i="77"/>
  <c r="AI1008" i="77"/>
  <c r="AQ1007" i="77"/>
  <c r="AS1007" i="77"/>
  <c r="AU1007" i="77"/>
  <c r="AI1009" i="77"/>
  <c r="AQ1008" i="77"/>
  <c r="AS1008" i="77"/>
  <c r="AU1008" i="77"/>
  <c r="AI1010" i="77"/>
  <c r="AQ1009" i="77"/>
  <c r="AS1009" i="77"/>
  <c r="AU1009" i="77"/>
  <c r="AI1011" i="77"/>
  <c r="AQ1010" i="77"/>
  <c r="AS1010" i="77"/>
  <c r="AU1010" i="77"/>
  <c r="AI1012" i="77"/>
  <c r="AQ1011" i="77"/>
  <c r="AS1011" i="77"/>
  <c r="AU1011" i="77"/>
  <c r="AI1013" i="77"/>
  <c r="AQ1012" i="77"/>
  <c r="AS1012" i="77"/>
  <c r="AU1012" i="77"/>
  <c r="AQ1013" i="77"/>
  <c r="AS1013" i="77"/>
  <c r="AU1013" i="77"/>
  <c r="BK14" i="77"/>
  <c r="BK9" i="77"/>
  <c r="AZ6" i="77"/>
  <c r="BH6" i="77"/>
  <c r="BK15" i="77"/>
  <c r="B60" i="80"/>
  <c r="AJ258" i="77"/>
  <c r="AL258" i="77"/>
  <c r="AM258" i="77"/>
  <c r="AJ259" i="77"/>
  <c r="AL259" i="77"/>
  <c r="AM259" i="77"/>
  <c r="AJ260" i="77"/>
  <c r="AL260" i="77"/>
  <c r="AM260" i="77"/>
  <c r="AJ261" i="77"/>
  <c r="AL261" i="77"/>
  <c r="AM261" i="77"/>
  <c r="AJ262" i="77"/>
  <c r="AL262" i="77"/>
  <c r="AM262" i="77"/>
  <c r="AJ263" i="77"/>
  <c r="AL263" i="77"/>
  <c r="AM263" i="77"/>
  <c r="AJ264" i="77"/>
  <c r="AL264" i="77"/>
  <c r="AM264" i="77"/>
  <c r="AJ265" i="77"/>
  <c r="AL265" i="77"/>
  <c r="AM265" i="77"/>
  <c r="AJ266" i="77"/>
  <c r="AL266" i="77"/>
  <c r="AM266" i="77"/>
  <c r="AJ267" i="77"/>
  <c r="AL267" i="77"/>
  <c r="AM267" i="77"/>
  <c r="AJ268" i="77"/>
  <c r="AL268" i="77"/>
  <c r="AM268" i="77"/>
  <c r="AJ269" i="77"/>
  <c r="AL269" i="77"/>
  <c r="AM269" i="77"/>
  <c r="AJ270" i="77"/>
  <c r="AL270" i="77"/>
  <c r="AM270" i="77"/>
  <c r="AJ271" i="77"/>
  <c r="AL271" i="77"/>
  <c r="AM271" i="77"/>
  <c r="AJ272" i="77"/>
  <c r="AL272" i="77"/>
  <c r="AM272" i="77"/>
  <c r="AJ273" i="77"/>
  <c r="AL273" i="77"/>
  <c r="AM273" i="77"/>
  <c r="AJ274" i="77"/>
  <c r="AL274" i="77"/>
  <c r="AM274" i="77"/>
  <c r="AJ275" i="77"/>
  <c r="AL275" i="77"/>
  <c r="AM275" i="77"/>
  <c r="AJ276" i="77"/>
  <c r="AL276" i="77"/>
  <c r="AM276" i="77"/>
  <c r="AJ277" i="77"/>
  <c r="AL277" i="77"/>
  <c r="AM277" i="77"/>
  <c r="AJ278" i="77"/>
  <c r="AL278" i="77"/>
  <c r="AM278" i="77"/>
  <c r="AJ279" i="77"/>
  <c r="AL279" i="77"/>
  <c r="AM279" i="77"/>
  <c r="AJ280" i="77"/>
  <c r="AL280" i="77"/>
  <c r="AM280" i="77"/>
  <c r="AJ281" i="77"/>
  <c r="AL281" i="77"/>
  <c r="AM281" i="77"/>
  <c r="AJ282" i="77"/>
  <c r="AL282" i="77"/>
  <c r="AM282" i="77"/>
  <c r="AJ283" i="77"/>
  <c r="AL283" i="77"/>
  <c r="AM283" i="77"/>
  <c r="AJ284" i="77"/>
  <c r="AL284" i="77"/>
  <c r="AM284" i="77"/>
  <c r="AJ285" i="77"/>
  <c r="AL285" i="77"/>
  <c r="AM285" i="77"/>
  <c r="AJ286" i="77"/>
  <c r="AL286" i="77"/>
  <c r="AM286" i="77"/>
  <c r="AJ287" i="77"/>
  <c r="AL287" i="77"/>
  <c r="AM287" i="77"/>
  <c r="AJ288" i="77"/>
  <c r="AL288" i="77"/>
  <c r="AM288" i="77"/>
  <c r="AJ289" i="77"/>
  <c r="AL289" i="77"/>
  <c r="AM289" i="77"/>
  <c r="AJ290" i="77"/>
  <c r="AL290" i="77"/>
  <c r="AM290" i="77"/>
  <c r="AJ291" i="77"/>
  <c r="AL291" i="77"/>
  <c r="AM291" i="77"/>
  <c r="AJ292" i="77"/>
  <c r="AL292" i="77"/>
  <c r="AM292" i="77"/>
  <c r="AJ293" i="77"/>
  <c r="AL293" i="77"/>
  <c r="AM293" i="77"/>
  <c r="AJ294" i="77"/>
  <c r="AL294" i="77"/>
  <c r="AM294" i="77"/>
  <c r="AJ295" i="77"/>
  <c r="AL295" i="77"/>
  <c r="AM295" i="77"/>
  <c r="AJ296" i="77"/>
  <c r="AL296" i="77"/>
  <c r="AM296" i="77"/>
  <c r="AJ297" i="77"/>
  <c r="AL297" i="77"/>
  <c r="AM297" i="77"/>
  <c r="AJ298" i="77"/>
  <c r="AL298" i="77"/>
  <c r="AM298" i="77"/>
  <c r="AJ299" i="77"/>
  <c r="AL299" i="77"/>
  <c r="AM299" i="77"/>
  <c r="AJ300" i="77"/>
  <c r="AL300" i="77"/>
  <c r="AM300" i="77"/>
  <c r="AJ301" i="77"/>
  <c r="AL301" i="77"/>
  <c r="AM301" i="77"/>
  <c r="AJ302" i="77"/>
  <c r="AL302" i="77"/>
  <c r="AM302" i="77"/>
  <c r="AJ303" i="77"/>
  <c r="AL303" i="77"/>
  <c r="AM303" i="77"/>
  <c r="AJ304" i="77"/>
  <c r="AL304" i="77"/>
  <c r="AM304" i="77"/>
  <c r="AJ305" i="77"/>
  <c r="AL305" i="77"/>
  <c r="AM305" i="77"/>
  <c r="AJ306" i="77"/>
  <c r="AL306" i="77"/>
  <c r="AM306" i="77"/>
  <c r="AJ307" i="77"/>
  <c r="AL307" i="77"/>
  <c r="AM307" i="77"/>
  <c r="AJ308" i="77"/>
  <c r="AL308" i="77"/>
  <c r="AM308" i="77"/>
  <c r="AJ309" i="77"/>
  <c r="AL309" i="77"/>
  <c r="AM309" i="77"/>
  <c r="AJ310" i="77"/>
  <c r="AL310" i="77"/>
  <c r="AM310" i="77"/>
  <c r="AJ311" i="77"/>
  <c r="AL311" i="77"/>
  <c r="AM311" i="77"/>
  <c r="AJ312" i="77"/>
  <c r="AL312" i="77"/>
  <c r="AM312" i="77"/>
  <c r="AJ313" i="77"/>
  <c r="AL313" i="77"/>
  <c r="AM313" i="77"/>
  <c r="AJ314" i="77"/>
  <c r="AL314" i="77"/>
  <c r="AM314" i="77"/>
  <c r="AJ315" i="77"/>
  <c r="AL315" i="77"/>
  <c r="AM315" i="77"/>
  <c r="AJ316" i="77"/>
  <c r="AL316" i="77"/>
  <c r="AM316" i="77"/>
  <c r="AJ317" i="77"/>
  <c r="AL317" i="77"/>
  <c r="AM317" i="77"/>
  <c r="AJ318" i="77"/>
  <c r="AL318" i="77"/>
  <c r="AM318" i="77"/>
  <c r="AJ319" i="77"/>
  <c r="AL319" i="77"/>
  <c r="AM319" i="77"/>
  <c r="AJ320" i="77"/>
  <c r="AL320" i="77"/>
  <c r="AM320" i="77"/>
  <c r="AJ321" i="77"/>
  <c r="AL321" i="77"/>
  <c r="AM321" i="77"/>
  <c r="AJ322" i="77"/>
  <c r="AL322" i="77"/>
  <c r="AM322" i="77"/>
  <c r="AJ323" i="77"/>
  <c r="AL323" i="77"/>
  <c r="AM323" i="77"/>
  <c r="AJ324" i="77"/>
  <c r="AL324" i="77"/>
  <c r="AM324" i="77"/>
  <c r="AJ325" i="77"/>
  <c r="AL325" i="77"/>
  <c r="AM325" i="77"/>
  <c r="AJ326" i="77"/>
  <c r="AL326" i="77"/>
  <c r="AM326" i="77"/>
  <c r="AJ327" i="77"/>
  <c r="AL327" i="77"/>
  <c r="AM327" i="77"/>
  <c r="AJ328" i="77"/>
  <c r="AL328" i="77"/>
  <c r="AM328" i="77"/>
  <c r="AJ329" i="77"/>
  <c r="AL329" i="77"/>
  <c r="AM329" i="77"/>
  <c r="AJ330" i="77"/>
  <c r="AL330" i="77"/>
  <c r="AM330" i="77"/>
  <c r="AJ331" i="77"/>
  <c r="AL331" i="77"/>
  <c r="AM331" i="77"/>
  <c r="AJ332" i="77"/>
  <c r="AL332" i="77"/>
  <c r="AM332" i="77"/>
  <c r="AJ333" i="77"/>
  <c r="AL333" i="77"/>
  <c r="AM333" i="77"/>
  <c r="AJ334" i="77"/>
  <c r="AL334" i="77"/>
  <c r="AM334" i="77"/>
  <c r="AJ335" i="77"/>
  <c r="AL335" i="77"/>
  <c r="AM335" i="77"/>
  <c r="AJ336" i="77"/>
  <c r="AL336" i="77"/>
  <c r="AM336" i="77"/>
  <c r="AJ337" i="77"/>
  <c r="AL337" i="77"/>
  <c r="AM337" i="77"/>
  <c r="AJ338" i="77"/>
  <c r="AL338" i="77"/>
  <c r="AM338" i="77"/>
  <c r="AJ339" i="77"/>
  <c r="AL339" i="77"/>
  <c r="AM339" i="77"/>
  <c r="AJ340" i="77"/>
  <c r="AL340" i="77"/>
  <c r="AM340" i="77"/>
  <c r="AJ341" i="77"/>
  <c r="AL341" i="77"/>
  <c r="AM341" i="77"/>
  <c r="AJ342" i="77"/>
  <c r="AL342" i="77"/>
  <c r="AM342" i="77"/>
  <c r="AJ343" i="77"/>
  <c r="AL343" i="77"/>
  <c r="AM343" i="77"/>
  <c r="AJ344" i="77"/>
  <c r="AL344" i="77"/>
  <c r="AM344" i="77"/>
  <c r="AJ345" i="77"/>
  <c r="AL345" i="77"/>
  <c r="AM345" i="77"/>
  <c r="AJ346" i="77"/>
  <c r="AL346" i="77"/>
  <c r="AM346" i="77"/>
  <c r="AJ347" i="77"/>
  <c r="AL347" i="77"/>
  <c r="AM347" i="77"/>
  <c r="AJ348" i="77"/>
  <c r="AL348" i="77"/>
  <c r="AM348" i="77"/>
  <c r="AJ349" i="77"/>
  <c r="AL349" i="77"/>
  <c r="AM349" i="77"/>
  <c r="AJ350" i="77"/>
  <c r="AL350" i="77"/>
  <c r="AM350" i="77"/>
  <c r="AJ351" i="77"/>
  <c r="AL351" i="77"/>
  <c r="AM351" i="77"/>
  <c r="AJ352" i="77"/>
  <c r="AL352" i="77"/>
  <c r="AM352" i="77"/>
  <c r="AJ353" i="77"/>
  <c r="AL353" i="77"/>
  <c r="AM353" i="77"/>
  <c r="AJ354" i="77"/>
  <c r="AL354" i="77"/>
  <c r="AM354" i="77"/>
  <c r="AJ355" i="77"/>
  <c r="AL355" i="77"/>
  <c r="AM355" i="77"/>
  <c r="AJ356" i="77"/>
  <c r="AL356" i="77"/>
  <c r="AM356" i="77"/>
  <c r="AJ357" i="77"/>
  <c r="AL357" i="77"/>
  <c r="AM357" i="77"/>
  <c r="AJ358" i="77"/>
  <c r="AL358" i="77"/>
  <c r="AM358" i="77"/>
  <c r="AJ359" i="77"/>
  <c r="AL359" i="77"/>
  <c r="AM359" i="77"/>
  <c r="AJ360" i="77"/>
  <c r="AL360" i="77"/>
  <c r="AM360" i="77"/>
  <c r="AJ361" i="77"/>
  <c r="AL361" i="77"/>
  <c r="AM361" i="77"/>
  <c r="AJ362" i="77"/>
  <c r="AL362" i="77"/>
  <c r="AM362" i="77"/>
  <c r="AJ363" i="77"/>
  <c r="AL363" i="77"/>
  <c r="AM363" i="77"/>
  <c r="AJ364" i="77"/>
  <c r="AL364" i="77"/>
  <c r="AM364" i="77"/>
  <c r="AJ365" i="77"/>
  <c r="AL365" i="77"/>
  <c r="AM365" i="77"/>
  <c r="AJ366" i="77"/>
  <c r="AL366" i="77"/>
  <c r="AM366" i="77"/>
  <c r="AJ367" i="77"/>
  <c r="AL367" i="77"/>
  <c r="AM367" i="77"/>
  <c r="AJ368" i="77"/>
  <c r="AL368" i="77"/>
  <c r="AM368" i="77"/>
  <c r="AJ369" i="77"/>
  <c r="AL369" i="77"/>
  <c r="AM369" i="77"/>
  <c r="AJ370" i="77"/>
  <c r="AL370" i="77"/>
  <c r="AM370" i="77"/>
  <c r="AJ371" i="77"/>
  <c r="AL371" i="77"/>
  <c r="AM371" i="77"/>
  <c r="AJ372" i="77"/>
  <c r="AL372" i="77"/>
  <c r="AM372" i="77"/>
  <c r="AJ373" i="77"/>
  <c r="AL373" i="77"/>
  <c r="AM373" i="77"/>
  <c r="AJ374" i="77"/>
  <c r="AL374" i="77"/>
  <c r="AM374" i="77"/>
  <c r="AJ375" i="77"/>
  <c r="AL375" i="77"/>
  <c r="AM375" i="77"/>
  <c r="AJ376" i="77"/>
  <c r="AL376" i="77"/>
  <c r="AM376" i="77"/>
  <c r="AJ377" i="77"/>
  <c r="AL377" i="77"/>
  <c r="AM377" i="77"/>
  <c r="AJ378" i="77"/>
  <c r="AL378" i="77"/>
  <c r="AM378" i="77"/>
  <c r="AJ379" i="77"/>
  <c r="AL379" i="77"/>
  <c r="AM379" i="77"/>
  <c r="AJ380" i="77"/>
  <c r="AL380" i="77"/>
  <c r="AM380" i="77"/>
  <c r="AJ381" i="77"/>
  <c r="AL381" i="77"/>
  <c r="AM381" i="77"/>
  <c r="AJ382" i="77"/>
  <c r="AL382" i="77"/>
  <c r="AM382" i="77"/>
  <c r="AJ383" i="77"/>
  <c r="AL383" i="77"/>
  <c r="AM383" i="77"/>
  <c r="AJ384" i="77"/>
  <c r="AL384" i="77"/>
  <c r="AM384" i="77"/>
  <c r="AJ385" i="77"/>
  <c r="AL385" i="77"/>
  <c r="AM385" i="77"/>
  <c r="AJ386" i="77"/>
  <c r="AL386" i="77"/>
  <c r="AM386" i="77"/>
  <c r="AJ387" i="77"/>
  <c r="AL387" i="77"/>
  <c r="AM387" i="77"/>
  <c r="AJ388" i="77"/>
  <c r="AL388" i="77"/>
  <c r="AM388" i="77"/>
  <c r="AJ389" i="77"/>
  <c r="AL389" i="77"/>
  <c r="AM389" i="77"/>
  <c r="AJ390" i="77"/>
  <c r="AL390" i="77"/>
  <c r="AM390" i="77"/>
  <c r="AJ391" i="77"/>
  <c r="AL391" i="77"/>
  <c r="AM391" i="77"/>
  <c r="AJ392" i="77"/>
  <c r="AL392" i="77"/>
  <c r="AM392" i="77"/>
  <c r="AJ393" i="77"/>
  <c r="AL393" i="77"/>
  <c r="AM393" i="77"/>
  <c r="AJ394" i="77"/>
  <c r="AL394" i="77"/>
  <c r="AM394" i="77"/>
  <c r="AJ395" i="77"/>
  <c r="AL395" i="77"/>
  <c r="AM395" i="77"/>
  <c r="AJ396" i="77"/>
  <c r="AL396" i="77"/>
  <c r="AM396" i="77"/>
  <c r="AJ397" i="77"/>
  <c r="AL397" i="77"/>
  <c r="AM397" i="77"/>
  <c r="AJ398" i="77"/>
  <c r="AL398" i="77"/>
  <c r="AM398" i="77"/>
  <c r="AJ399" i="77"/>
  <c r="AL399" i="77"/>
  <c r="AM399" i="77"/>
  <c r="AJ400" i="77"/>
  <c r="AL400" i="77"/>
  <c r="AM400" i="77"/>
  <c r="AJ401" i="77"/>
  <c r="AL401" i="77"/>
  <c r="AM401" i="77"/>
  <c r="AJ402" i="77"/>
  <c r="AL402" i="77"/>
  <c r="AM402" i="77"/>
  <c r="AJ403" i="77"/>
  <c r="AL403" i="77"/>
  <c r="AM403" i="77"/>
  <c r="AJ404" i="77"/>
  <c r="AL404" i="77"/>
  <c r="AM404" i="77"/>
  <c r="AJ405" i="77"/>
  <c r="AL405" i="77"/>
  <c r="AM405" i="77"/>
  <c r="AJ406" i="77"/>
  <c r="AL406" i="77"/>
  <c r="AM406" i="77"/>
  <c r="AJ407" i="77"/>
  <c r="AL407" i="77"/>
  <c r="AM407" i="77"/>
  <c r="AJ408" i="77"/>
  <c r="AL408" i="77"/>
  <c r="AM408" i="77"/>
  <c r="AJ409" i="77"/>
  <c r="AL409" i="77"/>
  <c r="AM409" i="77"/>
  <c r="AJ410" i="77"/>
  <c r="AL410" i="77"/>
  <c r="AM410" i="77"/>
  <c r="AJ411" i="77"/>
  <c r="AL411" i="77"/>
  <c r="AM411" i="77"/>
  <c r="AJ412" i="77"/>
  <c r="AL412" i="77"/>
  <c r="AM412" i="77"/>
  <c r="AJ413" i="77"/>
  <c r="AL413" i="77"/>
  <c r="AM413" i="77"/>
  <c r="AJ414" i="77"/>
  <c r="AL414" i="77"/>
  <c r="AM414" i="77"/>
  <c r="AJ415" i="77"/>
  <c r="AL415" i="77"/>
  <c r="AM415" i="77"/>
  <c r="AJ416" i="77"/>
  <c r="AL416" i="77"/>
  <c r="AM416" i="77"/>
  <c r="AJ417" i="77"/>
  <c r="AL417" i="77"/>
  <c r="AM417" i="77"/>
  <c r="AJ418" i="77"/>
  <c r="AL418" i="77"/>
  <c r="AM418" i="77"/>
  <c r="AJ419" i="77"/>
  <c r="AL419" i="77"/>
  <c r="AM419" i="77"/>
  <c r="AJ420" i="77"/>
  <c r="AL420" i="77"/>
  <c r="AM420" i="77"/>
  <c r="AJ421" i="77"/>
  <c r="AL421" i="77"/>
  <c r="AM421" i="77"/>
  <c r="AJ422" i="77"/>
  <c r="AL422" i="77"/>
  <c r="AM422" i="77"/>
  <c r="AJ423" i="77"/>
  <c r="AL423" i="77"/>
  <c r="AM423" i="77"/>
  <c r="AJ424" i="77"/>
  <c r="AL424" i="77"/>
  <c r="AM424" i="77"/>
  <c r="AJ425" i="77"/>
  <c r="AL425" i="77"/>
  <c r="AM425" i="77"/>
  <c r="AJ426" i="77"/>
  <c r="AL426" i="77"/>
  <c r="AM426" i="77"/>
  <c r="AJ427" i="77"/>
  <c r="AL427" i="77"/>
  <c r="AM427" i="77"/>
  <c r="AJ428" i="77"/>
  <c r="AL428" i="77"/>
  <c r="AM428" i="77"/>
  <c r="AJ429" i="77"/>
  <c r="AL429" i="77"/>
  <c r="AM429" i="77"/>
  <c r="AJ430" i="77"/>
  <c r="AL430" i="77"/>
  <c r="AM430" i="77"/>
  <c r="AJ431" i="77"/>
  <c r="AL431" i="77"/>
  <c r="AM431" i="77"/>
  <c r="AJ432" i="77"/>
  <c r="AL432" i="77"/>
  <c r="AM432" i="77"/>
  <c r="AJ433" i="77"/>
  <c r="AL433" i="77"/>
  <c r="AM433" i="77"/>
  <c r="AJ434" i="77"/>
  <c r="AL434" i="77"/>
  <c r="AM434" i="77"/>
  <c r="AJ435" i="77"/>
  <c r="AL435" i="77"/>
  <c r="AM435" i="77"/>
  <c r="AJ436" i="77"/>
  <c r="AL436" i="77"/>
  <c r="AM436" i="77"/>
  <c r="AJ437" i="77"/>
  <c r="AL437" i="77"/>
  <c r="AM437" i="77"/>
  <c r="AJ438" i="77"/>
  <c r="AL438" i="77"/>
  <c r="AM438" i="77"/>
  <c r="AJ439" i="77"/>
  <c r="AL439" i="77"/>
  <c r="AM439" i="77"/>
  <c r="AJ440" i="77"/>
  <c r="AL440" i="77"/>
  <c r="AM440" i="77"/>
  <c r="AJ441" i="77"/>
  <c r="AL441" i="77"/>
  <c r="AM441" i="77"/>
  <c r="AJ442" i="77"/>
  <c r="AL442" i="77"/>
  <c r="AM442" i="77"/>
  <c r="AJ443" i="77"/>
  <c r="AL443" i="77"/>
  <c r="AM443" i="77"/>
  <c r="AJ444" i="77"/>
  <c r="AL444" i="77"/>
  <c r="AM444" i="77"/>
  <c r="AJ445" i="77"/>
  <c r="AL445" i="77"/>
  <c r="AM445" i="77"/>
  <c r="AJ446" i="77"/>
  <c r="AL446" i="77"/>
  <c r="AM446" i="77"/>
  <c r="AJ447" i="77"/>
  <c r="AL447" i="77"/>
  <c r="AM447" i="77"/>
  <c r="AJ448" i="77"/>
  <c r="AL448" i="77"/>
  <c r="AM448" i="77"/>
  <c r="AJ449" i="77"/>
  <c r="AL449" i="77"/>
  <c r="AM449" i="77"/>
  <c r="AJ450" i="77"/>
  <c r="AL450" i="77"/>
  <c r="AM450" i="77"/>
  <c r="AJ451" i="77"/>
  <c r="AL451" i="77"/>
  <c r="AM451" i="77"/>
  <c r="AJ452" i="77"/>
  <c r="AL452" i="77"/>
  <c r="AM452" i="77"/>
  <c r="AJ453" i="77"/>
  <c r="AL453" i="77"/>
  <c r="AM453" i="77"/>
  <c r="AJ454" i="77"/>
  <c r="AL454" i="77"/>
  <c r="AM454" i="77"/>
  <c r="AJ455" i="77"/>
  <c r="AL455" i="77"/>
  <c r="AM455" i="77"/>
  <c r="AJ456" i="77"/>
  <c r="AL456" i="77"/>
  <c r="AM456" i="77"/>
  <c r="AJ457" i="77"/>
  <c r="AL457" i="77"/>
  <c r="AM457" i="77"/>
  <c r="AJ458" i="77"/>
  <c r="AL458" i="77"/>
  <c r="AM458" i="77"/>
  <c r="AJ459" i="77"/>
  <c r="AL459" i="77"/>
  <c r="AM459" i="77"/>
  <c r="AJ460" i="77"/>
  <c r="AL460" i="77"/>
  <c r="AM460" i="77"/>
  <c r="AJ461" i="77"/>
  <c r="AL461" i="77"/>
  <c r="AM461" i="77"/>
  <c r="AJ462" i="77"/>
  <c r="AL462" i="77"/>
  <c r="AM462" i="77"/>
  <c r="AJ463" i="77"/>
  <c r="AL463" i="77"/>
  <c r="AM463" i="77"/>
  <c r="AJ464" i="77"/>
  <c r="AL464" i="77"/>
  <c r="AM464" i="77"/>
  <c r="AJ465" i="77"/>
  <c r="AL465" i="77"/>
  <c r="AM465" i="77"/>
  <c r="AJ466" i="77"/>
  <c r="AL466" i="77"/>
  <c r="AM466" i="77"/>
  <c r="AJ467" i="77"/>
  <c r="AL467" i="77"/>
  <c r="AM467" i="77"/>
  <c r="AJ468" i="77"/>
  <c r="AL468" i="77"/>
  <c r="AM468" i="77"/>
  <c r="AJ469" i="77"/>
  <c r="AL469" i="77"/>
  <c r="AM469" i="77"/>
  <c r="AJ470" i="77"/>
  <c r="AL470" i="77"/>
  <c r="AM470" i="77"/>
  <c r="AJ471" i="77"/>
  <c r="AL471" i="77"/>
  <c r="AM471" i="77"/>
  <c r="AJ472" i="77"/>
  <c r="AL472" i="77"/>
  <c r="AM472" i="77"/>
  <c r="AJ473" i="77"/>
  <c r="AL473" i="77"/>
  <c r="AM473" i="77"/>
  <c r="AJ474" i="77"/>
  <c r="AL474" i="77"/>
  <c r="AM474" i="77"/>
  <c r="AJ475" i="77"/>
  <c r="AL475" i="77"/>
  <c r="AM475" i="77"/>
  <c r="AJ476" i="77"/>
  <c r="AL476" i="77"/>
  <c r="AM476" i="77"/>
  <c r="AJ477" i="77"/>
  <c r="AL477" i="77"/>
  <c r="AM477" i="77"/>
  <c r="AJ478" i="77"/>
  <c r="AL478" i="77"/>
  <c r="AM478" i="77"/>
  <c r="AJ479" i="77"/>
  <c r="AL479" i="77"/>
  <c r="AM479" i="77"/>
  <c r="AJ480" i="77"/>
  <c r="AL480" i="77"/>
  <c r="AM480" i="77"/>
  <c r="AJ481" i="77"/>
  <c r="AL481" i="77"/>
  <c r="AM481" i="77"/>
  <c r="AJ482" i="77"/>
  <c r="AL482" i="77"/>
  <c r="AM482" i="77"/>
  <c r="AJ483" i="77"/>
  <c r="AL483" i="77"/>
  <c r="AM483" i="77"/>
  <c r="AJ484" i="77"/>
  <c r="AL484" i="77"/>
  <c r="AM484" i="77"/>
  <c r="AJ485" i="77"/>
  <c r="AL485" i="77"/>
  <c r="AM485" i="77"/>
  <c r="AJ486" i="77"/>
  <c r="AL486" i="77"/>
  <c r="AM486" i="77"/>
  <c r="AJ487" i="77"/>
  <c r="AL487" i="77"/>
  <c r="AM487" i="77"/>
  <c r="AJ488" i="77"/>
  <c r="AL488" i="77"/>
  <c r="AM488" i="77"/>
  <c r="AJ489" i="77"/>
  <c r="AL489" i="77"/>
  <c r="AM489" i="77"/>
  <c r="AJ490" i="77"/>
  <c r="AL490" i="77"/>
  <c r="AM490" i="77"/>
  <c r="AJ491" i="77"/>
  <c r="AL491" i="77"/>
  <c r="AM491" i="77"/>
  <c r="AJ492" i="77"/>
  <c r="AL492" i="77"/>
  <c r="AM492" i="77"/>
  <c r="AJ493" i="77"/>
  <c r="AL493" i="77"/>
  <c r="AM493" i="77"/>
  <c r="AJ494" i="77"/>
  <c r="AL494" i="77"/>
  <c r="AM494" i="77"/>
  <c r="AJ495" i="77"/>
  <c r="AL495" i="77"/>
  <c r="AM495" i="77"/>
  <c r="AJ496" i="77"/>
  <c r="AL496" i="77"/>
  <c r="AM496" i="77"/>
  <c r="AJ497" i="77"/>
  <c r="AL497" i="77"/>
  <c r="AM497" i="77"/>
  <c r="AJ498" i="77"/>
  <c r="AL498" i="77"/>
  <c r="AM498" i="77"/>
  <c r="AJ499" i="77"/>
  <c r="AL499" i="77"/>
  <c r="AM499" i="77"/>
  <c r="AJ500" i="77"/>
  <c r="AL500" i="77"/>
  <c r="AM500" i="77"/>
  <c r="AJ501" i="77"/>
  <c r="AL501" i="77"/>
  <c r="AM501" i="77"/>
  <c r="AJ502" i="77"/>
  <c r="AL502" i="77"/>
  <c r="AM502" i="77"/>
  <c r="AJ503" i="77"/>
  <c r="AL503" i="77"/>
  <c r="AM503" i="77"/>
  <c r="AJ504" i="77"/>
  <c r="AL504" i="77"/>
  <c r="AM504" i="77"/>
  <c r="AJ505" i="77"/>
  <c r="AL505" i="77"/>
  <c r="AM505" i="77"/>
  <c r="AJ506" i="77"/>
  <c r="AL506" i="77"/>
  <c r="AM506" i="77"/>
  <c r="AJ507" i="77"/>
  <c r="AL507" i="77"/>
  <c r="AM507" i="77"/>
  <c r="AJ508" i="77"/>
  <c r="AL508" i="77"/>
  <c r="AM508" i="77"/>
  <c r="AJ509" i="77"/>
  <c r="AL509" i="77"/>
  <c r="AM509" i="77"/>
  <c r="AJ510" i="77"/>
  <c r="AL510" i="77"/>
  <c r="AM510" i="77"/>
  <c r="AJ511" i="77"/>
  <c r="AL511" i="77"/>
  <c r="AM511" i="77"/>
  <c r="AJ512" i="77"/>
  <c r="AL512" i="77"/>
  <c r="AM512" i="77"/>
  <c r="AJ513" i="77"/>
  <c r="AL513" i="77"/>
  <c r="AM513" i="77"/>
  <c r="AJ514" i="77"/>
  <c r="AL514" i="77"/>
  <c r="AM514" i="77"/>
  <c r="AJ515" i="77"/>
  <c r="AL515" i="77"/>
  <c r="AM515" i="77"/>
  <c r="AJ516" i="77"/>
  <c r="AL516" i="77"/>
  <c r="AM516" i="77"/>
  <c r="AJ517" i="77"/>
  <c r="AL517" i="77"/>
  <c r="AM517" i="77"/>
  <c r="AJ518" i="77"/>
  <c r="AL518" i="77"/>
  <c r="AM518" i="77"/>
  <c r="AJ519" i="77"/>
  <c r="AL519" i="77"/>
  <c r="AM519" i="77"/>
  <c r="AJ520" i="77"/>
  <c r="AL520" i="77"/>
  <c r="AM520" i="77"/>
  <c r="AJ521" i="77"/>
  <c r="AL521" i="77"/>
  <c r="AM521" i="77"/>
  <c r="AJ522" i="77"/>
  <c r="AL522" i="77"/>
  <c r="AM522" i="77"/>
  <c r="AJ523" i="77"/>
  <c r="AL523" i="77"/>
  <c r="AM523" i="77"/>
  <c r="AJ524" i="77"/>
  <c r="AL524" i="77"/>
  <c r="AM524" i="77"/>
  <c r="AJ525" i="77"/>
  <c r="AL525" i="77"/>
  <c r="AM525" i="77"/>
  <c r="AJ526" i="77"/>
  <c r="AL526" i="77"/>
  <c r="AM526" i="77"/>
  <c r="AJ527" i="77"/>
  <c r="AL527" i="77"/>
  <c r="AM527" i="77"/>
  <c r="AJ528" i="77"/>
  <c r="AL528" i="77"/>
  <c r="AM528" i="77"/>
  <c r="AJ529" i="77"/>
  <c r="AL529" i="77"/>
  <c r="AM529" i="77"/>
  <c r="AJ530" i="77"/>
  <c r="AL530" i="77"/>
  <c r="AM530" i="77"/>
  <c r="AJ531" i="77"/>
  <c r="AL531" i="77"/>
  <c r="AM531" i="77"/>
  <c r="AJ532" i="77"/>
  <c r="AL532" i="77"/>
  <c r="AM532" i="77"/>
  <c r="AJ533" i="77"/>
  <c r="AL533" i="77"/>
  <c r="AM533" i="77"/>
  <c r="AJ534" i="77"/>
  <c r="AL534" i="77"/>
  <c r="AM534" i="77"/>
  <c r="AJ535" i="77"/>
  <c r="AL535" i="77"/>
  <c r="AM535" i="77"/>
  <c r="AJ536" i="77"/>
  <c r="AL536" i="77"/>
  <c r="AM536" i="77"/>
  <c r="AJ537" i="77"/>
  <c r="AL537" i="77"/>
  <c r="AM537" i="77"/>
  <c r="AJ538" i="77"/>
  <c r="AL538" i="77"/>
  <c r="AM538" i="77"/>
  <c r="AJ539" i="77"/>
  <c r="AL539" i="77"/>
  <c r="AM539" i="77"/>
  <c r="AJ540" i="77"/>
  <c r="AL540" i="77"/>
  <c r="AM540" i="77"/>
  <c r="AJ541" i="77"/>
  <c r="AL541" i="77"/>
  <c r="AM541" i="77"/>
  <c r="AJ542" i="77"/>
  <c r="AL542" i="77"/>
  <c r="AM542" i="77"/>
  <c r="AJ543" i="77"/>
  <c r="AL543" i="77"/>
  <c r="AM543" i="77"/>
  <c r="AJ544" i="77"/>
  <c r="AL544" i="77"/>
  <c r="AM544" i="77"/>
  <c r="AJ545" i="77"/>
  <c r="AL545" i="77"/>
  <c r="AM545" i="77"/>
  <c r="AJ546" i="77"/>
  <c r="AL546" i="77"/>
  <c r="AM546" i="77"/>
  <c r="AJ547" i="77"/>
  <c r="AL547" i="77"/>
  <c r="AM547" i="77"/>
  <c r="AJ548" i="77"/>
  <c r="AL548" i="77"/>
  <c r="AM548" i="77"/>
  <c r="AJ549" i="77"/>
  <c r="AL549" i="77"/>
  <c r="AM549" i="77"/>
  <c r="AJ550" i="77"/>
  <c r="AL550" i="77"/>
  <c r="AM550" i="77"/>
  <c r="AJ551" i="77"/>
  <c r="AL551" i="77"/>
  <c r="AM551" i="77"/>
  <c r="AJ552" i="77"/>
  <c r="AL552" i="77"/>
  <c r="AM552" i="77"/>
  <c r="AJ553" i="77"/>
  <c r="AL553" i="77"/>
  <c r="AM553" i="77"/>
  <c r="AJ554" i="77"/>
  <c r="AL554" i="77"/>
  <c r="AM554" i="77"/>
  <c r="AJ555" i="77"/>
  <c r="AL555" i="77"/>
  <c r="AM555" i="77"/>
  <c r="AJ556" i="77"/>
  <c r="AL556" i="77"/>
  <c r="AM556" i="77"/>
  <c r="AJ557" i="77"/>
  <c r="AL557" i="77"/>
  <c r="AM557" i="77"/>
  <c r="AJ558" i="77"/>
  <c r="AL558" i="77"/>
  <c r="AM558" i="77"/>
  <c r="AJ559" i="77"/>
  <c r="AL559" i="77"/>
  <c r="AM559" i="77"/>
  <c r="AJ560" i="77"/>
  <c r="AL560" i="77"/>
  <c r="AM560" i="77"/>
  <c r="AJ561" i="77"/>
  <c r="AL561" i="77"/>
  <c r="AM561" i="77"/>
  <c r="AJ562" i="77"/>
  <c r="AL562" i="77"/>
  <c r="AM562" i="77"/>
  <c r="AJ563" i="77"/>
  <c r="AL563" i="77"/>
  <c r="AM563" i="77"/>
  <c r="AJ564" i="77"/>
  <c r="AL564" i="77"/>
  <c r="AM564" i="77"/>
  <c r="AJ565" i="77"/>
  <c r="AL565" i="77"/>
  <c r="AM565" i="77"/>
  <c r="AJ566" i="77"/>
  <c r="AL566" i="77"/>
  <c r="AM566" i="77"/>
  <c r="AJ567" i="77"/>
  <c r="AL567" i="77"/>
  <c r="AM567" i="77"/>
  <c r="AJ568" i="77"/>
  <c r="AL568" i="77"/>
  <c r="AM568" i="77"/>
  <c r="AJ569" i="77"/>
  <c r="AL569" i="77"/>
  <c r="AM569" i="77"/>
  <c r="AJ570" i="77"/>
  <c r="AL570" i="77"/>
  <c r="AM570" i="77"/>
  <c r="AJ571" i="77"/>
  <c r="AL571" i="77"/>
  <c r="AM571" i="77"/>
  <c r="AJ572" i="77"/>
  <c r="AL572" i="77"/>
  <c r="AM572" i="77"/>
  <c r="AJ573" i="77"/>
  <c r="AL573" i="77"/>
  <c r="AM573" i="77"/>
  <c r="AJ574" i="77"/>
  <c r="AL574" i="77"/>
  <c r="AM574" i="77"/>
  <c r="AJ575" i="77"/>
  <c r="AL575" i="77"/>
  <c r="AM575" i="77"/>
  <c r="AJ576" i="77"/>
  <c r="AL576" i="77"/>
  <c r="AM576" i="77"/>
  <c r="AJ577" i="77"/>
  <c r="AL577" i="77"/>
  <c r="AM577" i="77"/>
  <c r="AJ578" i="77"/>
  <c r="AL578" i="77"/>
  <c r="AM578" i="77"/>
  <c r="AJ579" i="77"/>
  <c r="AL579" i="77"/>
  <c r="AM579" i="77"/>
  <c r="AJ580" i="77"/>
  <c r="AL580" i="77"/>
  <c r="AM580" i="77"/>
  <c r="AJ581" i="77"/>
  <c r="AL581" i="77"/>
  <c r="AM581" i="77"/>
  <c r="AJ582" i="77"/>
  <c r="AL582" i="77"/>
  <c r="AM582" i="77"/>
  <c r="AJ583" i="77"/>
  <c r="AL583" i="77"/>
  <c r="AM583" i="77"/>
  <c r="AJ584" i="77"/>
  <c r="AL584" i="77"/>
  <c r="AM584" i="77"/>
  <c r="AJ585" i="77"/>
  <c r="AL585" i="77"/>
  <c r="AM585" i="77"/>
  <c r="AJ586" i="77"/>
  <c r="AL586" i="77"/>
  <c r="AM586" i="77"/>
  <c r="AJ587" i="77"/>
  <c r="AL587" i="77"/>
  <c r="AM587" i="77"/>
  <c r="AJ588" i="77"/>
  <c r="AL588" i="77"/>
  <c r="AM588" i="77"/>
  <c r="AJ589" i="77"/>
  <c r="AL589" i="77"/>
  <c r="AM589" i="77"/>
  <c r="AJ590" i="77"/>
  <c r="AL590" i="77"/>
  <c r="AM590" i="77"/>
  <c r="AJ591" i="77"/>
  <c r="AL591" i="77"/>
  <c r="AM591" i="77"/>
  <c r="AJ592" i="77"/>
  <c r="AL592" i="77"/>
  <c r="AM592" i="77"/>
  <c r="AJ593" i="77"/>
  <c r="AL593" i="77"/>
  <c r="AM593" i="77"/>
  <c r="AJ594" i="77"/>
  <c r="AL594" i="77"/>
  <c r="AM594" i="77"/>
  <c r="AJ595" i="77"/>
  <c r="AL595" i="77"/>
  <c r="AM595" i="77"/>
  <c r="AJ596" i="77"/>
  <c r="AL596" i="77"/>
  <c r="AM596" i="77"/>
  <c r="AJ597" i="77"/>
  <c r="AL597" i="77"/>
  <c r="AM597" i="77"/>
  <c r="AJ598" i="77"/>
  <c r="AL598" i="77"/>
  <c r="AM598" i="77"/>
  <c r="AJ599" i="77"/>
  <c r="AL599" i="77"/>
  <c r="AM599" i="77"/>
  <c r="AJ600" i="77"/>
  <c r="AL600" i="77"/>
  <c r="AM600" i="77"/>
  <c r="AJ601" i="77"/>
  <c r="AL601" i="77"/>
  <c r="AM601" i="77"/>
  <c r="AJ602" i="77"/>
  <c r="AL602" i="77"/>
  <c r="AM602" i="77"/>
  <c r="AJ603" i="77"/>
  <c r="AL603" i="77"/>
  <c r="AM603" i="77"/>
  <c r="AJ604" i="77"/>
  <c r="AL604" i="77"/>
  <c r="AM604" i="77"/>
  <c r="AJ605" i="77"/>
  <c r="AL605" i="77"/>
  <c r="AM605" i="77"/>
  <c r="AJ606" i="77"/>
  <c r="AL606" i="77"/>
  <c r="AM606" i="77"/>
  <c r="AJ607" i="77"/>
  <c r="AL607" i="77"/>
  <c r="AM607" i="77"/>
  <c r="AJ608" i="77"/>
  <c r="AL608" i="77"/>
  <c r="AM608" i="77"/>
  <c r="AJ609" i="77"/>
  <c r="AL609" i="77"/>
  <c r="AM609" i="77"/>
  <c r="AJ610" i="77"/>
  <c r="AL610" i="77"/>
  <c r="AM610" i="77"/>
  <c r="AJ611" i="77"/>
  <c r="AL611" i="77"/>
  <c r="AM611" i="77"/>
  <c r="AJ612" i="77"/>
  <c r="AL612" i="77"/>
  <c r="AM612" i="77"/>
  <c r="AJ613" i="77"/>
  <c r="AL613" i="77"/>
  <c r="AM613" i="77"/>
  <c r="AJ614" i="77"/>
  <c r="AL614" i="77"/>
  <c r="AM614" i="77"/>
  <c r="AJ615" i="77"/>
  <c r="AL615" i="77"/>
  <c r="AM615" i="77"/>
  <c r="AJ616" i="77"/>
  <c r="AL616" i="77"/>
  <c r="AM616" i="77"/>
  <c r="AJ617" i="77"/>
  <c r="AL617" i="77"/>
  <c r="AM617" i="77"/>
  <c r="AJ618" i="77"/>
  <c r="AL618" i="77"/>
  <c r="AM618" i="77"/>
  <c r="AJ619" i="77"/>
  <c r="AL619" i="77"/>
  <c r="AM619" i="77"/>
  <c r="AJ620" i="77"/>
  <c r="AL620" i="77"/>
  <c r="AM620" i="77"/>
  <c r="AJ621" i="77"/>
  <c r="AL621" i="77"/>
  <c r="AM621" i="77"/>
  <c r="AJ622" i="77"/>
  <c r="AL622" i="77"/>
  <c r="AM622" i="77"/>
  <c r="AJ623" i="77"/>
  <c r="AL623" i="77"/>
  <c r="AM623" i="77"/>
  <c r="AJ624" i="77"/>
  <c r="AL624" i="77"/>
  <c r="AM624" i="77"/>
  <c r="AJ625" i="77"/>
  <c r="AL625" i="77"/>
  <c r="AM625" i="77"/>
  <c r="AJ626" i="77"/>
  <c r="AL626" i="77"/>
  <c r="AM626" i="77"/>
  <c r="AJ627" i="77"/>
  <c r="AL627" i="77"/>
  <c r="AM627" i="77"/>
  <c r="AJ628" i="77"/>
  <c r="AL628" i="77"/>
  <c r="AM628" i="77"/>
  <c r="AJ629" i="77"/>
  <c r="AL629" i="77"/>
  <c r="AM629" i="77"/>
  <c r="AJ630" i="77"/>
  <c r="AL630" i="77"/>
  <c r="AM630" i="77"/>
  <c r="AJ631" i="77"/>
  <c r="AL631" i="77"/>
  <c r="AM631" i="77"/>
  <c r="AJ632" i="77"/>
  <c r="AL632" i="77"/>
  <c r="AM632" i="77"/>
  <c r="AJ633" i="77"/>
  <c r="AL633" i="77"/>
  <c r="AM633" i="77"/>
  <c r="AJ634" i="77"/>
  <c r="AL634" i="77"/>
  <c r="AM634" i="77"/>
  <c r="AJ635" i="77"/>
  <c r="AL635" i="77"/>
  <c r="AM635" i="77"/>
  <c r="AJ636" i="77"/>
  <c r="AL636" i="77"/>
  <c r="AM636" i="77"/>
  <c r="AJ637" i="77"/>
  <c r="AL637" i="77"/>
  <c r="AM637" i="77"/>
  <c r="AJ638" i="77"/>
  <c r="AL638" i="77"/>
  <c r="AM638" i="77"/>
  <c r="AJ639" i="77"/>
  <c r="AL639" i="77"/>
  <c r="AM639" i="77"/>
  <c r="AJ640" i="77"/>
  <c r="AL640" i="77"/>
  <c r="AM640" i="77"/>
  <c r="AJ641" i="77"/>
  <c r="AL641" i="77"/>
  <c r="AM641" i="77"/>
  <c r="AJ642" i="77"/>
  <c r="AL642" i="77"/>
  <c r="AM642" i="77"/>
  <c r="AJ643" i="77"/>
  <c r="AL643" i="77"/>
  <c r="AM643" i="77"/>
  <c r="AJ644" i="77"/>
  <c r="AL644" i="77"/>
  <c r="AM644" i="77"/>
  <c r="AJ645" i="77"/>
  <c r="AL645" i="77"/>
  <c r="AM645" i="77"/>
  <c r="AJ646" i="77"/>
  <c r="AL646" i="77"/>
  <c r="AM646" i="77"/>
  <c r="AJ647" i="77"/>
  <c r="AL647" i="77"/>
  <c r="AM647" i="77"/>
  <c r="AJ648" i="77"/>
  <c r="AL648" i="77"/>
  <c r="AM648" i="77"/>
  <c r="AJ649" i="77"/>
  <c r="AL649" i="77"/>
  <c r="AM649" i="77"/>
  <c r="AJ650" i="77"/>
  <c r="AL650" i="77"/>
  <c r="AM650" i="77"/>
  <c r="AJ651" i="77"/>
  <c r="AL651" i="77"/>
  <c r="AM651" i="77"/>
  <c r="AJ652" i="77"/>
  <c r="AL652" i="77"/>
  <c r="AM652" i="77"/>
  <c r="AJ653" i="77"/>
  <c r="AL653" i="77"/>
  <c r="AM653" i="77"/>
  <c r="AJ654" i="77"/>
  <c r="AL654" i="77"/>
  <c r="AM654" i="77"/>
  <c r="AJ655" i="77"/>
  <c r="AL655" i="77"/>
  <c r="AM655" i="77"/>
  <c r="AJ656" i="77"/>
  <c r="AL656" i="77"/>
  <c r="AM656" i="77"/>
  <c r="AJ657" i="77"/>
  <c r="AL657" i="77"/>
  <c r="AM657" i="77"/>
  <c r="AJ658" i="77"/>
  <c r="AL658" i="77"/>
  <c r="AM658" i="77"/>
  <c r="AJ659" i="77"/>
  <c r="AL659" i="77"/>
  <c r="AM659" i="77"/>
  <c r="AJ660" i="77"/>
  <c r="AL660" i="77"/>
  <c r="AM660" i="77"/>
  <c r="AJ661" i="77"/>
  <c r="AL661" i="77"/>
  <c r="AM661" i="77"/>
  <c r="AJ662" i="77"/>
  <c r="AL662" i="77"/>
  <c r="AM662" i="77"/>
  <c r="AJ663" i="77"/>
  <c r="AL663" i="77"/>
  <c r="AM663" i="77"/>
  <c r="AJ664" i="77"/>
  <c r="AL664" i="77"/>
  <c r="AM664" i="77"/>
  <c r="AJ665" i="77"/>
  <c r="AL665" i="77"/>
  <c r="AM665" i="77"/>
  <c r="AJ666" i="77"/>
  <c r="AL666" i="77"/>
  <c r="AM666" i="77"/>
  <c r="AJ667" i="77"/>
  <c r="AL667" i="77"/>
  <c r="AM667" i="77"/>
  <c r="AJ668" i="77"/>
  <c r="AL668" i="77"/>
  <c r="AM668" i="77"/>
  <c r="AJ669" i="77"/>
  <c r="AL669" i="77"/>
  <c r="AM669" i="77"/>
  <c r="AJ670" i="77"/>
  <c r="AL670" i="77"/>
  <c r="AM670" i="77"/>
  <c r="AJ671" i="77"/>
  <c r="AL671" i="77"/>
  <c r="AM671" i="77"/>
  <c r="AJ672" i="77"/>
  <c r="AL672" i="77"/>
  <c r="AM672" i="77"/>
  <c r="AJ673" i="77"/>
  <c r="AL673" i="77"/>
  <c r="AM673" i="77"/>
  <c r="AJ674" i="77"/>
  <c r="AL674" i="77"/>
  <c r="AM674" i="77"/>
  <c r="AJ675" i="77"/>
  <c r="AL675" i="77"/>
  <c r="AM675" i="77"/>
  <c r="AJ676" i="77"/>
  <c r="AL676" i="77"/>
  <c r="AM676" i="77"/>
  <c r="AJ677" i="77"/>
  <c r="AL677" i="77"/>
  <c r="AM677" i="77"/>
  <c r="AJ678" i="77"/>
  <c r="AL678" i="77"/>
  <c r="AM678" i="77"/>
  <c r="AJ679" i="77"/>
  <c r="AL679" i="77"/>
  <c r="AM679" i="77"/>
  <c r="AJ680" i="77"/>
  <c r="AL680" i="77"/>
  <c r="AM680" i="77"/>
  <c r="AJ681" i="77"/>
  <c r="AL681" i="77"/>
  <c r="AM681" i="77"/>
  <c r="AJ682" i="77"/>
  <c r="AL682" i="77"/>
  <c r="AM682" i="77"/>
  <c r="AJ683" i="77"/>
  <c r="AL683" i="77"/>
  <c r="AM683" i="77"/>
  <c r="AJ684" i="77"/>
  <c r="AL684" i="77"/>
  <c r="AM684" i="77"/>
  <c r="AJ685" i="77"/>
  <c r="AL685" i="77"/>
  <c r="AM685" i="77"/>
  <c r="AJ686" i="77"/>
  <c r="AL686" i="77"/>
  <c r="AM686" i="77"/>
  <c r="AJ687" i="77"/>
  <c r="AL687" i="77"/>
  <c r="AM687" i="77"/>
  <c r="AJ688" i="77"/>
  <c r="AL688" i="77"/>
  <c r="AM688" i="77"/>
  <c r="AJ689" i="77"/>
  <c r="AL689" i="77"/>
  <c r="AM689" i="77"/>
  <c r="AJ690" i="77"/>
  <c r="AL690" i="77"/>
  <c r="AM690" i="77"/>
  <c r="AJ691" i="77"/>
  <c r="AL691" i="77"/>
  <c r="AM691" i="77"/>
  <c r="AJ692" i="77"/>
  <c r="AL692" i="77"/>
  <c r="AM692" i="77"/>
  <c r="AJ693" i="77"/>
  <c r="AL693" i="77"/>
  <c r="AM693" i="77"/>
  <c r="AJ694" i="77"/>
  <c r="AL694" i="77"/>
  <c r="AM694" i="77"/>
  <c r="AJ695" i="77"/>
  <c r="AL695" i="77"/>
  <c r="AM695" i="77"/>
  <c r="AJ696" i="77"/>
  <c r="AL696" i="77"/>
  <c r="AM696" i="77"/>
  <c r="AJ697" i="77"/>
  <c r="AL697" i="77"/>
  <c r="AM697" i="77"/>
  <c r="AJ698" i="77"/>
  <c r="AL698" i="77"/>
  <c r="AM698" i="77"/>
  <c r="AJ699" i="77"/>
  <c r="AL699" i="77"/>
  <c r="AM699" i="77"/>
  <c r="AJ700" i="77"/>
  <c r="AL700" i="77"/>
  <c r="AM700" i="77"/>
  <c r="AJ701" i="77"/>
  <c r="AL701" i="77"/>
  <c r="AM701" i="77"/>
  <c r="AJ702" i="77"/>
  <c r="AL702" i="77"/>
  <c r="AM702" i="77"/>
  <c r="AJ703" i="77"/>
  <c r="AL703" i="77"/>
  <c r="AM703" i="77"/>
  <c r="AJ704" i="77"/>
  <c r="AL704" i="77"/>
  <c r="AM704" i="77"/>
  <c r="AJ705" i="77"/>
  <c r="AL705" i="77"/>
  <c r="AM705" i="77"/>
  <c r="AJ706" i="77"/>
  <c r="AL706" i="77"/>
  <c r="AM706" i="77"/>
  <c r="AJ707" i="77"/>
  <c r="AL707" i="77"/>
  <c r="AM707" i="77"/>
  <c r="AJ708" i="77"/>
  <c r="AL708" i="77"/>
  <c r="AM708" i="77"/>
  <c r="AJ709" i="77"/>
  <c r="AL709" i="77"/>
  <c r="AM709" i="77"/>
  <c r="AJ710" i="77"/>
  <c r="AL710" i="77"/>
  <c r="AM710" i="77"/>
  <c r="AJ711" i="77"/>
  <c r="AL711" i="77"/>
  <c r="AM711" i="77"/>
  <c r="AJ712" i="77"/>
  <c r="AL712" i="77"/>
  <c r="AM712" i="77"/>
  <c r="AJ713" i="77"/>
  <c r="AL713" i="77"/>
  <c r="AM713" i="77"/>
  <c r="AJ714" i="77"/>
  <c r="AL714" i="77"/>
  <c r="AM714" i="77"/>
  <c r="AJ715" i="77"/>
  <c r="AL715" i="77"/>
  <c r="AM715" i="77"/>
  <c r="AJ716" i="77"/>
  <c r="AL716" i="77"/>
  <c r="AM716" i="77"/>
  <c r="AJ717" i="77"/>
  <c r="AL717" i="77"/>
  <c r="AM717" i="77"/>
  <c r="AJ718" i="77"/>
  <c r="AL718" i="77"/>
  <c r="AM718" i="77"/>
  <c r="AJ719" i="77"/>
  <c r="AL719" i="77"/>
  <c r="AM719" i="77"/>
  <c r="AJ720" i="77"/>
  <c r="AL720" i="77"/>
  <c r="AM720" i="77"/>
  <c r="AJ721" i="77"/>
  <c r="AL721" i="77"/>
  <c r="AM721" i="77"/>
  <c r="AJ722" i="77"/>
  <c r="AL722" i="77"/>
  <c r="AM722" i="77"/>
  <c r="AJ723" i="77"/>
  <c r="AL723" i="77"/>
  <c r="AM723" i="77"/>
  <c r="AJ724" i="77"/>
  <c r="AL724" i="77"/>
  <c r="AM724" i="77"/>
  <c r="AJ725" i="77"/>
  <c r="AL725" i="77"/>
  <c r="AM725" i="77"/>
  <c r="AJ726" i="77"/>
  <c r="AL726" i="77"/>
  <c r="AM726" i="77"/>
  <c r="AJ727" i="77"/>
  <c r="AL727" i="77"/>
  <c r="AM727" i="77"/>
  <c r="AJ728" i="77"/>
  <c r="AL728" i="77"/>
  <c r="AM728" i="77"/>
  <c r="AJ729" i="77"/>
  <c r="AL729" i="77"/>
  <c r="AM729" i="77"/>
  <c r="AJ730" i="77"/>
  <c r="AL730" i="77"/>
  <c r="AM730" i="77"/>
  <c r="AJ731" i="77"/>
  <c r="AL731" i="77"/>
  <c r="AM731" i="77"/>
  <c r="AJ732" i="77"/>
  <c r="AL732" i="77"/>
  <c r="AM732" i="77"/>
  <c r="AJ733" i="77"/>
  <c r="AL733" i="77"/>
  <c r="AM733" i="77"/>
  <c r="AJ734" i="77"/>
  <c r="AL734" i="77"/>
  <c r="AM734" i="77"/>
  <c r="AJ735" i="77"/>
  <c r="AL735" i="77"/>
  <c r="AM735" i="77"/>
  <c r="AJ736" i="77"/>
  <c r="AL736" i="77"/>
  <c r="AM736" i="77"/>
  <c r="AJ737" i="77"/>
  <c r="AL737" i="77"/>
  <c r="AM737" i="77"/>
  <c r="AJ738" i="77"/>
  <c r="AL738" i="77"/>
  <c r="AM738" i="77"/>
  <c r="AJ739" i="77"/>
  <c r="AL739" i="77"/>
  <c r="AM739" i="77"/>
  <c r="AJ740" i="77"/>
  <c r="AL740" i="77"/>
  <c r="AM740" i="77"/>
  <c r="AJ741" i="77"/>
  <c r="AL741" i="77"/>
  <c r="AM741" i="77"/>
  <c r="AJ742" i="77"/>
  <c r="AL742" i="77"/>
  <c r="AM742" i="77"/>
  <c r="AJ743" i="77"/>
  <c r="AL743" i="77"/>
  <c r="AM743" i="77"/>
  <c r="AJ744" i="77"/>
  <c r="AL744" i="77"/>
  <c r="AM744" i="77"/>
  <c r="AJ745" i="77"/>
  <c r="AL745" i="77"/>
  <c r="AM745" i="77"/>
  <c r="AJ746" i="77"/>
  <c r="AL746" i="77"/>
  <c r="AM746" i="77"/>
  <c r="AJ747" i="77"/>
  <c r="AL747" i="77"/>
  <c r="AM747" i="77"/>
  <c r="AJ748" i="77"/>
  <c r="AL748" i="77"/>
  <c r="AM748" i="77"/>
  <c r="AJ749" i="77"/>
  <c r="AL749" i="77"/>
  <c r="AM749" i="77"/>
  <c r="AJ750" i="77"/>
  <c r="AL750" i="77"/>
  <c r="AM750" i="77"/>
  <c r="AJ751" i="77"/>
  <c r="AL751" i="77"/>
  <c r="AM751" i="77"/>
  <c r="AJ752" i="77"/>
  <c r="AL752" i="77"/>
  <c r="AM752" i="77"/>
  <c r="AJ753" i="77"/>
  <c r="AL753" i="77"/>
  <c r="AM753" i="77"/>
  <c r="AJ754" i="77"/>
  <c r="AL754" i="77"/>
  <c r="AM754" i="77"/>
  <c r="AJ755" i="77"/>
  <c r="AL755" i="77"/>
  <c r="AM755" i="77"/>
  <c r="AJ756" i="77"/>
  <c r="AL756" i="77"/>
  <c r="AM756" i="77"/>
  <c r="AJ757" i="77"/>
  <c r="AL757" i="77"/>
  <c r="AM757" i="77"/>
  <c r="AJ758" i="77"/>
  <c r="AL758" i="77"/>
  <c r="AM758" i="77"/>
  <c r="AJ759" i="77"/>
  <c r="AL759" i="77"/>
  <c r="AM759" i="77"/>
  <c r="AJ760" i="77"/>
  <c r="AL760" i="77"/>
  <c r="AM760" i="77"/>
  <c r="AJ761" i="77"/>
  <c r="AL761" i="77"/>
  <c r="AM761" i="77"/>
  <c r="AJ762" i="77"/>
  <c r="AL762" i="77"/>
  <c r="AM762" i="77"/>
  <c r="AJ763" i="77"/>
  <c r="AL763" i="77"/>
  <c r="AM763" i="77"/>
  <c r="AJ764" i="77"/>
  <c r="AL764" i="77"/>
  <c r="AM764" i="77"/>
  <c r="AJ765" i="77"/>
  <c r="AL765" i="77"/>
  <c r="AM765" i="77"/>
  <c r="AJ766" i="77"/>
  <c r="AL766" i="77"/>
  <c r="AM766" i="77"/>
  <c r="AJ767" i="77"/>
  <c r="AL767" i="77"/>
  <c r="AM767" i="77"/>
  <c r="AJ768" i="77"/>
  <c r="AL768" i="77"/>
  <c r="AM768" i="77"/>
  <c r="AJ769" i="77"/>
  <c r="AL769" i="77"/>
  <c r="AM769" i="77"/>
  <c r="AJ770" i="77"/>
  <c r="AL770" i="77"/>
  <c r="AM770" i="77"/>
  <c r="AJ771" i="77"/>
  <c r="AL771" i="77"/>
  <c r="AM771" i="77"/>
  <c r="AJ772" i="77"/>
  <c r="AL772" i="77"/>
  <c r="AM772" i="77"/>
  <c r="AJ773" i="77"/>
  <c r="AL773" i="77"/>
  <c r="AM773" i="77"/>
  <c r="AJ774" i="77"/>
  <c r="AL774" i="77"/>
  <c r="AM774" i="77"/>
  <c r="AJ775" i="77"/>
  <c r="AL775" i="77"/>
  <c r="AM775" i="77"/>
  <c r="AJ776" i="77"/>
  <c r="AL776" i="77"/>
  <c r="AM776" i="77"/>
  <c r="AJ777" i="77"/>
  <c r="AL777" i="77"/>
  <c r="AM777" i="77"/>
  <c r="AJ778" i="77"/>
  <c r="AL778" i="77"/>
  <c r="AM778" i="77"/>
  <c r="AJ779" i="77"/>
  <c r="AL779" i="77"/>
  <c r="AM779" i="77"/>
  <c r="AJ780" i="77"/>
  <c r="AL780" i="77"/>
  <c r="AM780" i="77"/>
  <c r="AJ781" i="77"/>
  <c r="AL781" i="77"/>
  <c r="AM781" i="77"/>
  <c r="AJ782" i="77"/>
  <c r="AL782" i="77"/>
  <c r="AM782" i="77"/>
  <c r="AJ783" i="77"/>
  <c r="AL783" i="77"/>
  <c r="AM783" i="77"/>
  <c r="AJ784" i="77"/>
  <c r="AL784" i="77"/>
  <c r="AM784" i="77"/>
  <c r="AJ785" i="77"/>
  <c r="AL785" i="77"/>
  <c r="AM785" i="77"/>
  <c r="AJ786" i="77"/>
  <c r="AL786" i="77"/>
  <c r="AM786" i="77"/>
  <c r="AJ787" i="77"/>
  <c r="AL787" i="77"/>
  <c r="AM787" i="77"/>
  <c r="AJ788" i="77"/>
  <c r="AL788" i="77"/>
  <c r="AM788" i="77"/>
  <c r="AJ789" i="77"/>
  <c r="AL789" i="77"/>
  <c r="AM789" i="77"/>
  <c r="AJ790" i="77"/>
  <c r="AL790" i="77"/>
  <c r="AM790" i="77"/>
  <c r="AJ791" i="77"/>
  <c r="AL791" i="77"/>
  <c r="AM791" i="77"/>
  <c r="AJ792" i="77"/>
  <c r="AL792" i="77"/>
  <c r="AM792" i="77"/>
  <c r="AJ793" i="77"/>
  <c r="AL793" i="77"/>
  <c r="AM793" i="77"/>
  <c r="AJ794" i="77"/>
  <c r="AL794" i="77"/>
  <c r="AM794" i="77"/>
  <c r="AJ795" i="77"/>
  <c r="AL795" i="77"/>
  <c r="AM795" i="77"/>
  <c r="AJ796" i="77"/>
  <c r="AL796" i="77"/>
  <c r="AM796" i="77"/>
  <c r="AJ797" i="77"/>
  <c r="AL797" i="77"/>
  <c r="AM797" i="77"/>
  <c r="AJ798" i="77"/>
  <c r="AL798" i="77"/>
  <c r="AM798" i="77"/>
  <c r="AJ799" i="77"/>
  <c r="AL799" i="77"/>
  <c r="AM799" i="77"/>
  <c r="AJ800" i="77"/>
  <c r="AL800" i="77"/>
  <c r="AM800" i="77"/>
  <c r="AJ801" i="77"/>
  <c r="AL801" i="77"/>
  <c r="AM801" i="77"/>
  <c r="AJ802" i="77"/>
  <c r="AL802" i="77"/>
  <c r="AM802" i="77"/>
  <c r="AJ803" i="77"/>
  <c r="AL803" i="77"/>
  <c r="AM803" i="77"/>
  <c r="AJ804" i="77"/>
  <c r="AL804" i="77"/>
  <c r="AM804" i="77"/>
  <c r="AJ805" i="77"/>
  <c r="AL805" i="77"/>
  <c r="AM805" i="77"/>
  <c r="AJ806" i="77"/>
  <c r="AL806" i="77"/>
  <c r="AM806" i="77"/>
  <c r="AJ807" i="77"/>
  <c r="AL807" i="77"/>
  <c r="AM807" i="77"/>
  <c r="AJ808" i="77"/>
  <c r="AL808" i="77"/>
  <c r="AM808" i="77"/>
  <c r="AJ809" i="77"/>
  <c r="AL809" i="77"/>
  <c r="AM809" i="77"/>
  <c r="AJ810" i="77"/>
  <c r="AL810" i="77"/>
  <c r="AM810" i="77"/>
  <c r="AJ811" i="77"/>
  <c r="AL811" i="77"/>
  <c r="AM811" i="77"/>
  <c r="AJ812" i="77"/>
  <c r="AL812" i="77"/>
  <c r="AM812" i="77"/>
  <c r="AJ813" i="77"/>
  <c r="AL813" i="77"/>
  <c r="AM813" i="77"/>
  <c r="AJ814" i="77"/>
  <c r="AL814" i="77"/>
  <c r="AM814" i="77"/>
  <c r="AJ815" i="77"/>
  <c r="AL815" i="77"/>
  <c r="AM815" i="77"/>
  <c r="AJ816" i="77"/>
  <c r="AL816" i="77"/>
  <c r="AM816" i="77"/>
  <c r="AJ817" i="77"/>
  <c r="AL817" i="77"/>
  <c r="AM817" i="77"/>
  <c r="AJ818" i="77"/>
  <c r="AL818" i="77"/>
  <c r="AM818" i="77"/>
  <c r="AJ819" i="77"/>
  <c r="AL819" i="77"/>
  <c r="AM819" i="77"/>
  <c r="AJ820" i="77"/>
  <c r="AL820" i="77"/>
  <c r="AM820" i="77"/>
  <c r="AJ821" i="77"/>
  <c r="AL821" i="77"/>
  <c r="AM821" i="77"/>
  <c r="AJ822" i="77"/>
  <c r="AL822" i="77"/>
  <c r="AM822" i="77"/>
  <c r="AJ823" i="77"/>
  <c r="AL823" i="77"/>
  <c r="AM823" i="77"/>
  <c r="AJ824" i="77"/>
  <c r="AL824" i="77"/>
  <c r="AM824" i="77"/>
  <c r="AJ825" i="77"/>
  <c r="AL825" i="77"/>
  <c r="AM825" i="77"/>
  <c r="AJ826" i="77"/>
  <c r="AL826" i="77"/>
  <c r="AM826" i="77"/>
  <c r="AJ827" i="77"/>
  <c r="AL827" i="77"/>
  <c r="AM827" i="77"/>
  <c r="AJ828" i="77"/>
  <c r="AL828" i="77"/>
  <c r="AM828" i="77"/>
  <c r="AJ829" i="77"/>
  <c r="AL829" i="77"/>
  <c r="AM829" i="77"/>
  <c r="AJ830" i="77"/>
  <c r="AL830" i="77"/>
  <c r="AM830" i="77"/>
  <c r="AJ831" i="77"/>
  <c r="AL831" i="77"/>
  <c r="AM831" i="77"/>
  <c r="AJ832" i="77"/>
  <c r="AL832" i="77"/>
  <c r="AM832" i="77"/>
  <c r="AJ833" i="77"/>
  <c r="AL833" i="77"/>
  <c r="AM833" i="77"/>
  <c r="AJ834" i="77"/>
  <c r="AL834" i="77"/>
  <c r="AM834" i="77"/>
  <c r="AJ835" i="77"/>
  <c r="AL835" i="77"/>
  <c r="AM835" i="77"/>
  <c r="AJ836" i="77"/>
  <c r="AL836" i="77"/>
  <c r="AM836" i="77"/>
  <c r="AJ837" i="77"/>
  <c r="AL837" i="77"/>
  <c r="AM837" i="77"/>
  <c r="AJ838" i="77"/>
  <c r="AL838" i="77"/>
  <c r="AM838" i="77"/>
  <c r="AJ839" i="77"/>
  <c r="AL839" i="77"/>
  <c r="AM839" i="77"/>
  <c r="AJ840" i="77"/>
  <c r="AL840" i="77"/>
  <c r="AM840" i="77"/>
  <c r="AJ841" i="77"/>
  <c r="AL841" i="77"/>
  <c r="AM841" i="77"/>
  <c r="AJ842" i="77"/>
  <c r="AL842" i="77"/>
  <c r="AM842" i="77"/>
  <c r="AJ843" i="77"/>
  <c r="AL843" i="77"/>
  <c r="AM843" i="77"/>
  <c r="AJ844" i="77"/>
  <c r="AL844" i="77"/>
  <c r="AM844" i="77"/>
  <c r="AJ845" i="77"/>
  <c r="AL845" i="77"/>
  <c r="AM845" i="77"/>
  <c r="AJ846" i="77"/>
  <c r="AL846" i="77"/>
  <c r="AM846" i="77"/>
  <c r="AJ847" i="77"/>
  <c r="AL847" i="77"/>
  <c r="AM847" i="77"/>
  <c r="AJ848" i="77"/>
  <c r="AL848" i="77"/>
  <c r="AM848" i="77"/>
  <c r="AJ849" i="77"/>
  <c r="AL849" i="77"/>
  <c r="AM849" i="77"/>
  <c r="AJ850" i="77"/>
  <c r="AL850" i="77"/>
  <c r="AM850" i="77"/>
  <c r="AJ851" i="77"/>
  <c r="AL851" i="77"/>
  <c r="AM851" i="77"/>
  <c r="AJ852" i="77"/>
  <c r="AL852" i="77"/>
  <c r="AM852" i="77"/>
  <c r="AJ853" i="77"/>
  <c r="AL853" i="77"/>
  <c r="AM853" i="77"/>
  <c r="AJ854" i="77"/>
  <c r="AL854" i="77"/>
  <c r="AM854" i="77"/>
  <c r="AJ855" i="77"/>
  <c r="AL855" i="77"/>
  <c r="AM855" i="77"/>
  <c r="AJ856" i="77"/>
  <c r="AL856" i="77"/>
  <c r="AM856" i="77"/>
  <c r="AJ857" i="77"/>
  <c r="AL857" i="77"/>
  <c r="AM857" i="77"/>
  <c r="AJ858" i="77"/>
  <c r="AL858" i="77"/>
  <c r="AM858" i="77"/>
  <c r="AJ859" i="77"/>
  <c r="AL859" i="77"/>
  <c r="AM859" i="77"/>
  <c r="AJ860" i="77"/>
  <c r="AL860" i="77"/>
  <c r="AM860" i="77"/>
  <c r="AJ861" i="77"/>
  <c r="AL861" i="77"/>
  <c r="AM861" i="77"/>
  <c r="AJ862" i="77"/>
  <c r="AL862" i="77"/>
  <c r="AM862" i="77"/>
  <c r="AJ863" i="77"/>
  <c r="AL863" i="77"/>
  <c r="AM863" i="77"/>
  <c r="AJ864" i="77"/>
  <c r="AL864" i="77"/>
  <c r="AM864" i="77"/>
  <c r="AJ865" i="77"/>
  <c r="AL865" i="77"/>
  <c r="AM865" i="77"/>
  <c r="AJ866" i="77"/>
  <c r="AL866" i="77"/>
  <c r="AM866" i="77"/>
  <c r="AJ867" i="77"/>
  <c r="AL867" i="77"/>
  <c r="AM867" i="77"/>
  <c r="AJ868" i="77"/>
  <c r="AL868" i="77"/>
  <c r="AM868" i="77"/>
  <c r="AJ869" i="77"/>
  <c r="AL869" i="77"/>
  <c r="AM869" i="77"/>
  <c r="AJ870" i="77"/>
  <c r="AL870" i="77"/>
  <c r="AM870" i="77"/>
  <c r="AJ871" i="77"/>
  <c r="AL871" i="77"/>
  <c r="AM871" i="77"/>
  <c r="AJ872" i="77"/>
  <c r="AL872" i="77"/>
  <c r="AM872" i="77"/>
  <c r="AJ873" i="77"/>
  <c r="AL873" i="77"/>
  <c r="AM873" i="77"/>
  <c r="AJ874" i="77"/>
  <c r="AL874" i="77"/>
  <c r="AM874" i="77"/>
  <c r="AJ875" i="77"/>
  <c r="AL875" i="77"/>
  <c r="AM875" i="77"/>
  <c r="AJ876" i="77"/>
  <c r="AL876" i="77"/>
  <c r="AM876" i="77"/>
  <c r="AJ877" i="77"/>
  <c r="AL877" i="77"/>
  <c r="AM877" i="77"/>
  <c r="AJ878" i="77"/>
  <c r="AL878" i="77"/>
  <c r="AM878" i="77"/>
  <c r="AJ879" i="77"/>
  <c r="AL879" i="77"/>
  <c r="AM879" i="77"/>
  <c r="AJ880" i="77"/>
  <c r="AL880" i="77"/>
  <c r="AM880" i="77"/>
  <c r="AJ881" i="77"/>
  <c r="AL881" i="77"/>
  <c r="AM881" i="77"/>
  <c r="AJ882" i="77"/>
  <c r="AL882" i="77"/>
  <c r="AM882" i="77"/>
  <c r="AJ883" i="77"/>
  <c r="AL883" i="77"/>
  <c r="AM883" i="77"/>
  <c r="AJ884" i="77"/>
  <c r="AL884" i="77"/>
  <c r="AM884" i="77"/>
  <c r="AJ885" i="77"/>
  <c r="AL885" i="77"/>
  <c r="AM885" i="77"/>
  <c r="AJ886" i="77"/>
  <c r="AL886" i="77"/>
  <c r="AM886" i="77"/>
  <c r="AJ887" i="77"/>
  <c r="AL887" i="77"/>
  <c r="AM887" i="77"/>
  <c r="AJ888" i="77"/>
  <c r="AL888" i="77"/>
  <c r="AM888" i="77"/>
  <c r="AJ889" i="77"/>
  <c r="AL889" i="77"/>
  <c r="AM889" i="77"/>
  <c r="AJ890" i="77"/>
  <c r="AL890" i="77"/>
  <c r="AM890" i="77"/>
  <c r="AJ891" i="77"/>
  <c r="AL891" i="77"/>
  <c r="AM891" i="77"/>
  <c r="AJ892" i="77"/>
  <c r="AL892" i="77"/>
  <c r="AM892" i="77"/>
  <c r="AJ893" i="77"/>
  <c r="AL893" i="77"/>
  <c r="AM893" i="77"/>
  <c r="AJ894" i="77"/>
  <c r="AL894" i="77"/>
  <c r="AM894" i="77"/>
  <c r="AJ895" i="77"/>
  <c r="AL895" i="77"/>
  <c r="AM895" i="77"/>
  <c r="AJ896" i="77"/>
  <c r="AL896" i="77"/>
  <c r="AM896" i="77"/>
  <c r="AJ897" i="77"/>
  <c r="AL897" i="77"/>
  <c r="AM897" i="77"/>
  <c r="AJ898" i="77"/>
  <c r="AL898" i="77"/>
  <c r="AM898" i="77"/>
  <c r="AJ899" i="77"/>
  <c r="AL899" i="77"/>
  <c r="AM899" i="77"/>
  <c r="AJ900" i="77"/>
  <c r="AL900" i="77"/>
  <c r="AM900" i="77"/>
  <c r="AJ901" i="77"/>
  <c r="AL901" i="77"/>
  <c r="AM901" i="77"/>
  <c r="AJ902" i="77"/>
  <c r="AL902" i="77"/>
  <c r="AM902" i="77"/>
  <c r="AJ903" i="77"/>
  <c r="AL903" i="77"/>
  <c r="AM903" i="77"/>
  <c r="AJ904" i="77"/>
  <c r="AL904" i="77"/>
  <c r="AM904" i="77"/>
  <c r="AJ905" i="77"/>
  <c r="AL905" i="77"/>
  <c r="AM905" i="77"/>
  <c r="AJ906" i="77"/>
  <c r="AL906" i="77"/>
  <c r="AM906" i="77"/>
  <c r="AJ907" i="77"/>
  <c r="AL907" i="77"/>
  <c r="AM907" i="77"/>
  <c r="AJ908" i="77"/>
  <c r="AL908" i="77"/>
  <c r="AM908" i="77"/>
  <c r="AJ909" i="77"/>
  <c r="AL909" i="77"/>
  <c r="AM909" i="77"/>
  <c r="AJ910" i="77"/>
  <c r="AL910" i="77"/>
  <c r="AM910" i="77"/>
  <c r="AJ911" i="77"/>
  <c r="AL911" i="77"/>
  <c r="AM911" i="77"/>
  <c r="AJ912" i="77"/>
  <c r="AL912" i="77"/>
  <c r="AM912" i="77"/>
  <c r="AJ913" i="77"/>
  <c r="AL913" i="77"/>
  <c r="AM913" i="77"/>
  <c r="AJ914" i="77"/>
  <c r="AL914" i="77"/>
  <c r="AM914" i="77"/>
  <c r="AJ915" i="77"/>
  <c r="AL915" i="77"/>
  <c r="AM915" i="77"/>
  <c r="AJ916" i="77"/>
  <c r="AL916" i="77"/>
  <c r="AM916" i="77"/>
  <c r="AJ917" i="77"/>
  <c r="AL917" i="77"/>
  <c r="AM917" i="77"/>
  <c r="AJ918" i="77"/>
  <c r="AL918" i="77"/>
  <c r="AM918" i="77"/>
  <c r="AJ919" i="77"/>
  <c r="AL919" i="77"/>
  <c r="AM919" i="77"/>
  <c r="AJ920" i="77"/>
  <c r="AL920" i="77"/>
  <c r="AM920" i="77"/>
  <c r="AJ921" i="77"/>
  <c r="AL921" i="77"/>
  <c r="AM921" i="77"/>
  <c r="AJ922" i="77"/>
  <c r="AL922" i="77"/>
  <c r="AM922" i="77"/>
  <c r="AJ923" i="77"/>
  <c r="AL923" i="77"/>
  <c r="AM923" i="77"/>
  <c r="AJ924" i="77"/>
  <c r="AL924" i="77"/>
  <c r="AM924" i="77"/>
  <c r="AJ925" i="77"/>
  <c r="AL925" i="77"/>
  <c r="AM925" i="77"/>
  <c r="AJ926" i="77"/>
  <c r="AL926" i="77"/>
  <c r="AM926" i="77"/>
  <c r="AJ927" i="77"/>
  <c r="AL927" i="77"/>
  <c r="AM927" i="77"/>
  <c r="AJ928" i="77"/>
  <c r="AL928" i="77"/>
  <c r="AM928" i="77"/>
  <c r="AJ929" i="77"/>
  <c r="AL929" i="77"/>
  <c r="AM929" i="77"/>
  <c r="AJ930" i="77"/>
  <c r="AL930" i="77"/>
  <c r="AM930" i="77"/>
  <c r="AJ931" i="77"/>
  <c r="AL931" i="77"/>
  <c r="AM931" i="77"/>
  <c r="AJ932" i="77"/>
  <c r="AL932" i="77"/>
  <c r="AM932" i="77"/>
  <c r="AJ933" i="77"/>
  <c r="AL933" i="77"/>
  <c r="AM933" i="77"/>
  <c r="AJ934" i="77"/>
  <c r="AL934" i="77"/>
  <c r="AM934" i="77"/>
  <c r="AJ935" i="77"/>
  <c r="AL935" i="77"/>
  <c r="AM935" i="77"/>
  <c r="AJ936" i="77"/>
  <c r="AL936" i="77"/>
  <c r="AM936" i="77"/>
  <c r="AJ937" i="77"/>
  <c r="AL937" i="77"/>
  <c r="AM937" i="77"/>
  <c r="AJ938" i="77"/>
  <c r="AL938" i="77"/>
  <c r="AM938" i="77"/>
  <c r="AJ939" i="77"/>
  <c r="AL939" i="77"/>
  <c r="AM939" i="77"/>
  <c r="AJ940" i="77"/>
  <c r="AL940" i="77"/>
  <c r="AM940" i="77"/>
  <c r="AJ941" i="77"/>
  <c r="AL941" i="77"/>
  <c r="AM941" i="77"/>
  <c r="AJ942" i="77"/>
  <c r="AL942" i="77"/>
  <c r="AM942" i="77"/>
  <c r="AJ943" i="77"/>
  <c r="AL943" i="77"/>
  <c r="AM943" i="77"/>
  <c r="AJ944" i="77"/>
  <c r="AL944" i="77"/>
  <c r="AM944" i="77"/>
  <c r="AJ945" i="77"/>
  <c r="AL945" i="77"/>
  <c r="AM945" i="77"/>
  <c r="AJ946" i="77"/>
  <c r="AL946" i="77"/>
  <c r="AM946" i="77"/>
  <c r="AJ947" i="77"/>
  <c r="AL947" i="77"/>
  <c r="AM947" i="77"/>
  <c r="AJ948" i="77"/>
  <c r="AL948" i="77"/>
  <c r="AM948" i="77"/>
  <c r="AJ949" i="77"/>
  <c r="AL949" i="77"/>
  <c r="AM949" i="77"/>
  <c r="AJ950" i="77"/>
  <c r="AL950" i="77"/>
  <c r="AM950" i="77"/>
  <c r="AJ951" i="77"/>
  <c r="AL951" i="77"/>
  <c r="AM951" i="77"/>
  <c r="AJ952" i="77"/>
  <c r="AL952" i="77"/>
  <c r="AM952" i="77"/>
  <c r="AJ953" i="77"/>
  <c r="AL953" i="77"/>
  <c r="AM953" i="77"/>
  <c r="AJ954" i="77"/>
  <c r="AL954" i="77"/>
  <c r="AM954" i="77"/>
  <c r="AJ955" i="77"/>
  <c r="AL955" i="77"/>
  <c r="AM955" i="77"/>
  <c r="AJ956" i="77"/>
  <c r="AL956" i="77"/>
  <c r="AM956" i="77"/>
  <c r="AJ957" i="77"/>
  <c r="AL957" i="77"/>
  <c r="AM957" i="77"/>
  <c r="AJ958" i="77"/>
  <c r="AL958" i="77"/>
  <c r="AM958" i="77"/>
  <c r="AJ959" i="77"/>
  <c r="AL959" i="77"/>
  <c r="AM959" i="77"/>
  <c r="AJ960" i="77"/>
  <c r="AL960" i="77"/>
  <c r="AM960" i="77"/>
  <c r="AJ961" i="77"/>
  <c r="AL961" i="77"/>
  <c r="AM961" i="77"/>
  <c r="AJ962" i="77"/>
  <c r="AL962" i="77"/>
  <c r="AM962" i="77"/>
  <c r="AJ963" i="77"/>
  <c r="AL963" i="77"/>
  <c r="AM963" i="77"/>
  <c r="AJ964" i="77"/>
  <c r="AL964" i="77"/>
  <c r="AM964" i="77"/>
  <c r="AJ965" i="77"/>
  <c r="AL965" i="77"/>
  <c r="AM965" i="77"/>
  <c r="AJ966" i="77"/>
  <c r="AL966" i="77"/>
  <c r="AM966" i="77"/>
  <c r="AJ967" i="77"/>
  <c r="AL967" i="77"/>
  <c r="AM967" i="77"/>
  <c r="AJ968" i="77"/>
  <c r="AL968" i="77"/>
  <c r="AM968" i="77"/>
  <c r="AJ969" i="77"/>
  <c r="AL969" i="77"/>
  <c r="AM969" i="77"/>
  <c r="AJ970" i="77"/>
  <c r="AL970" i="77"/>
  <c r="AM970" i="77"/>
  <c r="AJ971" i="77"/>
  <c r="AL971" i="77"/>
  <c r="AM971" i="77"/>
  <c r="AJ972" i="77"/>
  <c r="AL972" i="77"/>
  <c r="AM972" i="77"/>
  <c r="AJ973" i="77"/>
  <c r="AL973" i="77"/>
  <c r="AM973" i="77"/>
  <c r="AJ974" i="77"/>
  <c r="AL974" i="77"/>
  <c r="AM974" i="77"/>
  <c r="AJ975" i="77"/>
  <c r="AL975" i="77"/>
  <c r="AM975" i="77"/>
  <c r="AJ976" i="77"/>
  <c r="AL976" i="77"/>
  <c r="AM976" i="77"/>
  <c r="AJ977" i="77"/>
  <c r="AL977" i="77"/>
  <c r="AM977" i="77"/>
  <c r="AJ978" i="77"/>
  <c r="AL978" i="77"/>
  <c r="AM978" i="77"/>
  <c r="AJ979" i="77"/>
  <c r="AL979" i="77"/>
  <c r="AM979" i="77"/>
  <c r="AJ980" i="77"/>
  <c r="AL980" i="77"/>
  <c r="AM980" i="77"/>
  <c r="AJ981" i="77"/>
  <c r="AL981" i="77"/>
  <c r="AM981" i="77"/>
  <c r="AJ982" i="77"/>
  <c r="AL982" i="77"/>
  <c r="AM982" i="77"/>
  <c r="AJ983" i="77"/>
  <c r="AL983" i="77"/>
  <c r="AM983" i="77"/>
  <c r="AJ984" i="77"/>
  <c r="AL984" i="77"/>
  <c r="AM984" i="77"/>
  <c r="AJ985" i="77"/>
  <c r="AL985" i="77"/>
  <c r="AM985" i="77"/>
  <c r="AJ986" i="77"/>
  <c r="AL986" i="77"/>
  <c r="AM986" i="77"/>
  <c r="AJ987" i="77"/>
  <c r="AL987" i="77"/>
  <c r="AM987" i="77"/>
  <c r="AJ988" i="77"/>
  <c r="AL988" i="77"/>
  <c r="AM988" i="77"/>
  <c r="AJ989" i="77"/>
  <c r="AL989" i="77"/>
  <c r="AM989" i="77"/>
  <c r="AJ990" i="77"/>
  <c r="AL990" i="77"/>
  <c r="AM990" i="77"/>
  <c r="AJ991" i="77"/>
  <c r="AL991" i="77"/>
  <c r="AM991" i="77"/>
  <c r="AJ992" i="77"/>
  <c r="AL992" i="77"/>
  <c r="AM992" i="77"/>
  <c r="AJ993" i="77"/>
  <c r="AL993" i="77"/>
  <c r="AM993" i="77"/>
  <c r="AJ994" i="77"/>
  <c r="AL994" i="77"/>
  <c r="AM994" i="77"/>
  <c r="AJ995" i="77"/>
  <c r="AL995" i="77"/>
  <c r="AM995" i="77"/>
  <c r="AJ996" i="77"/>
  <c r="AL996" i="77"/>
  <c r="AM996" i="77"/>
  <c r="AJ997" i="77"/>
  <c r="AL997" i="77"/>
  <c r="AM997" i="77"/>
  <c r="AJ998" i="77"/>
  <c r="AL998" i="77"/>
  <c r="AM998" i="77"/>
  <c r="AJ999" i="77"/>
  <c r="AL999" i="77"/>
  <c r="AM999" i="77"/>
  <c r="AJ1000" i="77"/>
  <c r="AL1000" i="77"/>
  <c r="AM1000" i="77"/>
  <c r="AL1001" i="77"/>
  <c r="AM1001" i="77"/>
  <c r="AL1002" i="77"/>
  <c r="AM1002" i="77"/>
  <c r="AL1003" i="77"/>
  <c r="AM1003" i="77"/>
  <c r="AL1004" i="77"/>
  <c r="AM1004" i="77"/>
  <c r="AL1005" i="77"/>
  <c r="AM1005" i="77"/>
  <c r="AL1006" i="77"/>
  <c r="AM1006" i="77"/>
  <c r="AL1007" i="77"/>
  <c r="AM1007" i="77"/>
  <c r="AL1008" i="77"/>
  <c r="AM1008" i="77"/>
  <c r="AL1009" i="77"/>
  <c r="AM1009" i="77"/>
  <c r="AL1010" i="77"/>
  <c r="AM1010" i="77"/>
  <c r="AL1011" i="77"/>
  <c r="AM1011" i="77"/>
  <c r="AL1012" i="77"/>
  <c r="AM1012" i="77"/>
  <c r="AM1013" i="77"/>
  <c r="AJ6" i="77"/>
  <c r="AL6" i="77"/>
  <c r="BK6" i="77"/>
  <c r="BK5" i="77"/>
  <c r="AK615" i="77"/>
  <c r="AK614" i="77"/>
  <c r="AN615" i="77"/>
  <c r="AO615" i="77"/>
  <c r="AH616" i="77"/>
  <c r="AH615" i="77"/>
  <c r="AP615" i="77"/>
  <c r="AR615" i="77"/>
  <c r="AT615" i="77"/>
  <c r="AK616" i="77"/>
  <c r="AN616" i="77"/>
  <c r="AO616" i="77"/>
  <c r="AH617" i="77"/>
  <c r="AP616" i="77"/>
  <c r="AR616" i="77"/>
  <c r="AT616" i="77"/>
  <c r="AK617" i="77"/>
  <c r="AN617" i="77"/>
  <c r="AO617" i="77"/>
  <c r="AH618" i="77"/>
  <c r="AP617" i="77"/>
  <c r="AR617" i="77"/>
  <c r="AT617" i="77"/>
  <c r="AK618" i="77"/>
  <c r="AN618" i="77"/>
  <c r="AO618" i="77"/>
  <c r="AH619" i="77"/>
  <c r="AP618" i="77"/>
  <c r="AR618" i="77"/>
  <c r="AT618" i="77"/>
  <c r="AK619" i="77"/>
  <c r="AN619" i="77"/>
  <c r="AO619" i="77"/>
  <c r="AH620" i="77"/>
  <c r="AP619" i="77"/>
  <c r="AR619" i="77"/>
  <c r="AT619" i="77"/>
  <c r="AK620" i="77"/>
  <c r="AN620" i="77"/>
  <c r="AO620" i="77"/>
  <c r="AH621" i="77"/>
  <c r="AP620" i="77"/>
  <c r="AR620" i="77"/>
  <c r="AT620" i="77"/>
  <c r="AK621" i="77"/>
  <c r="AN621" i="77"/>
  <c r="AO621" i="77"/>
  <c r="AH622" i="77"/>
  <c r="AP621" i="77"/>
  <c r="AR621" i="77"/>
  <c r="AT621" i="77"/>
  <c r="AK622" i="77"/>
  <c r="AN622" i="77"/>
  <c r="AO622" i="77"/>
  <c r="AH623" i="77"/>
  <c r="AP622" i="77"/>
  <c r="AR622" i="77"/>
  <c r="AT622" i="77"/>
  <c r="AK623" i="77"/>
  <c r="AN623" i="77"/>
  <c r="AO623" i="77"/>
  <c r="AH624" i="77"/>
  <c r="AP623" i="77"/>
  <c r="AR623" i="77"/>
  <c r="AT623" i="77"/>
  <c r="AK624" i="77"/>
  <c r="AN624" i="77"/>
  <c r="AO624" i="77"/>
  <c r="AH625" i="77"/>
  <c r="AP624" i="77"/>
  <c r="AR624" i="77"/>
  <c r="AT624" i="77"/>
  <c r="AK625" i="77"/>
  <c r="AN625" i="77"/>
  <c r="AO625" i="77"/>
  <c r="AH626" i="77"/>
  <c r="AP625" i="77"/>
  <c r="AR625" i="77"/>
  <c r="AT625" i="77"/>
  <c r="AK626" i="77"/>
  <c r="AN626" i="77"/>
  <c r="AO626" i="77"/>
  <c r="AH627" i="77"/>
  <c r="AP626" i="77"/>
  <c r="AR626" i="77"/>
  <c r="AT626" i="77"/>
  <c r="AK627" i="77"/>
  <c r="AN627" i="77"/>
  <c r="AO627" i="77"/>
  <c r="AH628" i="77"/>
  <c r="AP627" i="77"/>
  <c r="AR627" i="77"/>
  <c r="AT627" i="77"/>
  <c r="AK628" i="77"/>
  <c r="AN628" i="77"/>
  <c r="AO628" i="77"/>
  <c r="AH629" i="77"/>
  <c r="AP628" i="77"/>
  <c r="AR628" i="77"/>
  <c r="AT628" i="77"/>
  <c r="AK629" i="77"/>
  <c r="AN629" i="77"/>
  <c r="AO629" i="77"/>
  <c r="AH630" i="77"/>
  <c r="AP629" i="77"/>
  <c r="AR629" i="77"/>
  <c r="AT629" i="77"/>
  <c r="AK630" i="77"/>
  <c r="AN630" i="77"/>
  <c r="AO630" i="77"/>
  <c r="AH631" i="77"/>
  <c r="AP630" i="77"/>
  <c r="AR630" i="77"/>
  <c r="AT630" i="77"/>
  <c r="AK631" i="77"/>
  <c r="AN631" i="77"/>
  <c r="AO631" i="77"/>
  <c r="AH632" i="77"/>
  <c r="AP631" i="77"/>
  <c r="AR631" i="77"/>
  <c r="AT631" i="77"/>
  <c r="AK632" i="77"/>
  <c r="AN632" i="77"/>
  <c r="AO632" i="77"/>
  <c r="AH633" i="77"/>
  <c r="AP632" i="77"/>
  <c r="AR632" i="77"/>
  <c r="AT632" i="77"/>
  <c r="AK633" i="77"/>
  <c r="AN633" i="77"/>
  <c r="AO633" i="77"/>
  <c r="AH634" i="77"/>
  <c r="AP633" i="77"/>
  <c r="AR633" i="77"/>
  <c r="AT633" i="77"/>
  <c r="AK634" i="77"/>
  <c r="AN634" i="77"/>
  <c r="AO634" i="77"/>
  <c r="AH635" i="77"/>
  <c r="AP634" i="77"/>
  <c r="AR634" i="77"/>
  <c r="AT634" i="77"/>
  <c r="AK635" i="77"/>
  <c r="AN635" i="77"/>
  <c r="AO635" i="77"/>
  <c r="AH636" i="77"/>
  <c r="AP635" i="77"/>
  <c r="AR635" i="77"/>
  <c r="AT635" i="77"/>
  <c r="AK636" i="77"/>
  <c r="AN636" i="77"/>
  <c r="AO636" i="77"/>
  <c r="AH637" i="77"/>
  <c r="AP636" i="77"/>
  <c r="AR636" i="77"/>
  <c r="AT636" i="77"/>
  <c r="AK637" i="77"/>
  <c r="AN637" i="77"/>
  <c r="AO637" i="77"/>
  <c r="AH638" i="77"/>
  <c r="AP637" i="77"/>
  <c r="AR637" i="77"/>
  <c r="AT637" i="77"/>
  <c r="AK638" i="77"/>
  <c r="AN638" i="77"/>
  <c r="AO638" i="77"/>
  <c r="AH639" i="77"/>
  <c r="AP638" i="77"/>
  <c r="AR638" i="77"/>
  <c r="AT638" i="77"/>
  <c r="AK639" i="77"/>
  <c r="AN639" i="77"/>
  <c r="AO639" i="77"/>
  <c r="AH640" i="77"/>
  <c r="AP639" i="77"/>
  <c r="AR639" i="77"/>
  <c r="AT639" i="77"/>
  <c r="AK640" i="77"/>
  <c r="AN640" i="77"/>
  <c r="AO640" i="77"/>
  <c r="AH641" i="77"/>
  <c r="AP640" i="77"/>
  <c r="AR640" i="77"/>
  <c r="AT640" i="77"/>
  <c r="AK641" i="77"/>
  <c r="AN641" i="77"/>
  <c r="AO641" i="77"/>
  <c r="AH642" i="77"/>
  <c r="AP641" i="77"/>
  <c r="AR641" i="77"/>
  <c r="AT641" i="77"/>
  <c r="AK642" i="77"/>
  <c r="AN642" i="77"/>
  <c r="AO642" i="77"/>
  <c r="AH643" i="77"/>
  <c r="AP642" i="77"/>
  <c r="AR642" i="77"/>
  <c r="AT642" i="77"/>
  <c r="AK643" i="77"/>
  <c r="AN643" i="77"/>
  <c r="AO643" i="77"/>
  <c r="AH644" i="77"/>
  <c r="AP643" i="77"/>
  <c r="AR643" i="77"/>
  <c r="AT643" i="77"/>
  <c r="AK644" i="77"/>
  <c r="AN644" i="77"/>
  <c r="AO644" i="77"/>
  <c r="AH645" i="77"/>
  <c r="AP644" i="77"/>
  <c r="AR644" i="77"/>
  <c r="AT644" i="77"/>
  <c r="AK645" i="77"/>
  <c r="AN645" i="77"/>
  <c r="AO645" i="77"/>
  <c r="AH646" i="77"/>
  <c r="AP645" i="77"/>
  <c r="AR645" i="77"/>
  <c r="AT645" i="77"/>
  <c r="AK646" i="77"/>
  <c r="AN646" i="77"/>
  <c r="AO646" i="77"/>
  <c r="AH647" i="77"/>
  <c r="AP646" i="77"/>
  <c r="AR646" i="77"/>
  <c r="AT646" i="77"/>
  <c r="AK647" i="77"/>
  <c r="AN647" i="77"/>
  <c r="AO647" i="77"/>
  <c r="AH648" i="77"/>
  <c r="AP647" i="77"/>
  <c r="AR647" i="77"/>
  <c r="AT647" i="77"/>
  <c r="AK648" i="77"/>
  <c r="AN648" i="77"/>
  <c r="AO648" i="77"/>
  <c r="AH649" i="77"/>
  <c r="AP648" i="77"/>
  <c r="AR648" i="77"/>
  <c r="AT648" i="77"/>
  <c r="AK649" i="77"/>
  <c r="AN649" i="77"/>
  <c r="AO649" i="77"/>
  <c r="AH650" i="77"/>
  <c r="AP649" i="77"/>
  <c r="AR649" i="77"/>
  <c r="AT649" i="77"/>
  <c r="AK650" i="77"/>
  <c r="AN650" i="77"/>
  <c r="AO650" i="77"/>
  <c r="AH651" i="77"/>
  <c r="AP650" i="77"/>
  <c r="AR650" i="77"/>
  <c r="AT650" i="77"/>
  <c r="AK651" i="77"/>
  <c r="AN651" i="77"/>
  <c r="AO651" i="77"/>
  <c r="AH652" i="77"/>
  <c r="AP651" i="77"/>
  <c r="AR651" i="77"/>
  <c r="AT651" i="77"/>
  <c r="AK652" i="77"/>
  <c r="AN652" i="77"/>
  <c r="AO652" i="77"/>
  <c r="AH653" i="77"/>
  <c r="AP652" i="77"/>
  <c r="AR652" i="77"/>
  <c r="AT652" i="77"/>
  <c r="AK653" i="77"/>
  <c r="AN653" i="77"/>
  <c r="AO653" i="77"/>
  <c r="AH654" i="77"/>
  <c r="AP653" i="77"/>
  <c r="AR653" i="77"/>
  <c r="AT653" i="77"/>
  <c r="AK654" i="77"/>
  <c r="AN654" i="77"/>
  <c r="AO654" i="77"/>
  <c r="AH655" i="77"/>
  <c r="AP654" i="77"/>
  <c r="AR654" i="77"/>
  <c r="AT654" i="77"/>
  <c r="AK655" i="77"/>
  <c r="AN655" i="77"/>
  <c r="AO655" i="77"/>
  <c r="AH656" i="77"/>
  <c r="AP655" i="77"/>
  <c r="AR655" i="77"/>
  <c r="AT655" i="77"/>
  <c r="AK656" i="77"/>
  <c r="AN656" i="77"/>
  <c r="AO656" i="77"/>
  <c r="AH657" i="77"/>
  <c r="AP656" i="77"/>
  <c r="AR656" i="77"/>
  <c r="AT656" i="77"/>
  <c r="AK657" i="77"/>
  <c r="AN657" i="77"/>
  <c r="AO657" i="77"/>
  <c r="AH658" i="77"/>
  <c r="AP657" i="77"/>
  <c r="AR657" i="77"/>
  <c r="AT657" i="77"/>
  <c r="AK658" i="77"/>
  <c r="AN658" i="77"/>
  <c r="AO658" i="77"/>
  <c r="AH659" i="77"/>
  <c r="AP658" i="77"/>
  <c r="AR658" i="77"/>
  <c r="AT658" i="77"/>
  <c r="AK659" i="77"/>
  <c r="AN659" i="77"/>
  <c r="AO659" i="77"/>
  <c r="AH660" i="77"/>
  <c r="AP659" i="77"/>
  <c r="AR659" i="77"/>
  <c r="AT659" i="77"/>
  <c r="AK660" i="77"/>
  <c r="AN660" i="77"/>
  <c r="AO660" i="77"/>
  <c r="AH661" i="77"/>
  <c r="AP660" i="77"/>
  <c r="AR660" i="77"/>
  <c r="AT660" i="77"/>
  <c r="AK661" i="77"/>
  <c r="AN661" i="77"/>
  <c r="AO661" i="77"/>
  <c r="AH662" i="77"/>
  <c r="AP661" i="77"/>
  <c r="AR661" i="77"/>
  <c r="AT661" i="77"/>
  <c r="AK662" i="77"/>
  <c r="AN662" i="77"/>
  <c r="AO662" i="77"/>
  <c r="AH663" i="77"/>
  <c r="AP662" i="77"/>
  <c r="AR662" i="77"/>
  <c r="AT662" i="77"/>
  <c r="AK663" i="77"/>
  <c r="AN663" i="77"/>
  <c r="AO663" i="77"/>
  <c r="AH664" i="77"/>
  <c r="AP663" i="77"/>
  <c r="AR663" i="77"/>
  <c r="AT663" i="77"/>
  <c r="AK664" i="77"/>
  <c r="AN664" i="77"/>
  <c r="AO664" i="77"/>
  <c r="AH665" i="77"/>
  <c r="AP664" i="77"/>
  <c r="AR664" i="77"/>
  <c r="AT664" i="77"/>
  <c r="AK665" i="77"/>
  <c r="AN665" i="77"/>
  <c r="AO665" i="77"/>
  <c r="AH666" i="77"/>
  <c r="AP665" i="77"/>
  <c r="AR665" i="77"/>
  <c r="AT665" i="77"/>
  <c r="AK666" i="77"/>
  <c r="AN666" i="77"/>
  <c r="AO666" i="77"/>
  <c r="AH667" i="77"/>
  <c r="AP666" i="77"/>
  <c r="AR666" i="77"/>
  <c r="AT666" i="77"/>
  <c r="AK667" i="77"/>
  <c r="AN667" i="77"/>
  <c r="AO667" i="77"/>
  <c r="AH668" i="77"/>
  <c r="AP667" i="77"/>
  <c r="AR667" i="77"/>
  <c r="AT667" i="77"/>
  <c r="AK668" i="77"/>
  <c r="AN668" i="77"/>
  <c r="AO668" i="77"/>
  <c r="AH669" i="77"/>
  <c r="AP668" i="77"/>
  <c r="AR668" i="77"/>
  <c r="AT668" i="77"/>
  <c r="AK669" i="77"/>
  <c r="AN669" i="77"/>
  <c r="AO669" i="77"/>
  <c r="AH670" i="77"/>
  <c r="AP669" i="77"/>
  <c r="AR669" i="77"/>
  <c r="AT669" i="77"/>
  <c r="AK670" i="77"/>
  <c r="AN670" i="77"/>
  <c r="AO670" i="77"/>
  <c r="AH671" i="77"/>
  <c r="AP670" i="77"/>
  <c r="AR670" i="77"/>
  <c r="AT670" i="77"/>
  <c r="AK671" i="77"/>
  <c r="AN671" i="77"/>
  <c r="AO671" i="77"/>
  <c r="AH672" i="77"/>
  <c r="AP671" i="77"/>
  <c r="AR671" i="77"/>
  <c r="AT671" i="77"/>
  <c r="AK672" i="77"/>
  <c r="AN672" i="77"/>
  <c r="AO672" i="77"/>
  <c r="AH673" i="77"/>
  <c r="AP672" i="77"/>
  <c r="AR672" i="77"/>
  <c r="AT672" i="77"/>
  <c r="AK673" i="77"/>
  <c r="AN673" i="77"/>
  <c r="AO673" i="77"/>
  <c r="AH674" i="77"/>
  <c r="AP673" i="77"/>
  <c r="AR673" i="77"/>
  <c r="AT673" i="77"/>
  <c r="AK674" i="77"/>
  <c r="AN674" i="77"/>
  <c r="AO674" i="77"/>
  <c r="AH675" i="77"/>
  <c r="AP674" i="77"/>
  <c r="AR674" i="77"/>
  <c r="AT674" i="77"/>
  <c r="AK675" i="77"/>
  <c r="AN675" i="77"/>
  <c r="AO675" i="77"/>
  <c r="AH676" i="77"/>
  <c r="AP675" i="77"/>
  <c r="AR675" i="77"/>
  <c r="AT675" i="77"/>
  <c r="AK676" i="77"/>
  <c r="AN676" i="77"/>
  <c r="AO676" i="77"/>
  <c r="AH677" i="77"/>
  <c r="AP676" i="77"/>
  <c r="AR676" i="77"/>
  <c r="AT676" i="77"/>
  <c r="AK677" i="77"/>
  <c r="AN677" i="77"/>
  <c r="AO677" i="77"/>
  <c r="AH678" i="77"/>
  <c r="AP677" i="77"/>
  <c r="AR677" i="77"/>
  <c r="AT677" i="77"/>
  <c r="AK678" i="77"/>
  <c r="AN678" i="77"/>
  <c r="AO678" i="77"/>
  <c r="AH679" i="77"/>
  <c r="AP678" i="77"/>
  <c r="AR678" i="77"/>
  <c r="AT678" i="77"/>
  <c r="AK679" i="77"/>
  <c r="AN679" i="77"/>
  <c r="AO679" i="77"/>
  <c r="AH680" i="77"/>
  <c r="AP679" i="77"/>
  <c r="AR679" i="77"/>
  <c r="AT679" i="77"/>
  <c r="AK680" i="77"/>
  <c r="AN680" i="77"/>
  <c r="AO680" i="77"/>
  <c r="AH681" i="77"/>
  <c r="AP680" i="77"/>
  <c r="AR680" i="77"/>
  <c r="AT680" i="77"/>
  <c r="AK681" i="77"/>
  <c r="AN681" i="77"/>
  <c r="AO681" i="77"/>
  <c r="AH682" i="77"/>
  <c r="AP681" i="77"/>
  <c r="AR681" i="77"/>
  <c r="AT681" i="77"/>
  <c r="AK682" i="77"/>
  <c r="AN682" i="77"/>
  <c r="AO682" i="77"/>
  <c r="AH683" i="77"/>
  <c r="AP682" i="77"/>
  <c r="AR682" i="77"/>
  <c r="AT682" i="77"/>
  <c r="AK683" i="77"/>
  <c r="AN683" i="77"/>
  <c r="AO683" i="77"/>
  <c r="AH684" i="77"/>
  <c r="AP683" i="77"/>
  <c r="AR683" i="77"/>
  <c r="AT683" i="77"/>
  <c r="AK684" i="77"/>
  <c r="AN684" i="77"/>
  <c r="AO684" i="77"/>
  <c r="AH685" i="77"/>
  <c r="AP684" i="77"/>
  <c r="AR684" i="77"/>
  <c r="AT684" i="77"/>
  <c r="AK685" i="77"/>
  <c r="AN685" i="77"/>
  <c r="AO685" i="77"/>
  <c r="AH686" i="77"/>
  <c r="AP685" i="77"/>
  <c r="AR685" i="77"/>
  <c r="AT685" i="77"/>
  <c r="AK686" i="77"/>
  <c r="AN686" i="77"/>
  <c r="AO686" i="77"/>
  <c r="AH687" i="77"/>
  <c r="AP686" i="77"/>
  <c r="AR686" i="77"/>
  <c r="AT686" i="77"/>
  <c r="AK687" i="77"/>
  <c r="AN687" i="77"/>
  <c r="AO687" i="77"/>
  <c r="AH688" i="77"/>
  <c r="AP687" i="77"/>
  <c r="AR687" i="77"/>
  <c r="AT687" i="77"/>
  <c r="AK688" i="77"/>
  <c r="AN688" i="77"/>
  <c r="AO688" i="77"/>
  <c r="AH689" i="77"/>
  <c r="AP688" i="77"/>
  <c r="AR688" i="77"/>
  <c r="AT688" i="77"/>
  <c r="AK689" i="77"/>
  <c r="AN689" i="77"/>
  <c r="AO689" i="77"/>
  <c r="AH690" i="77"/>
  <c r="AP689" i="77"/>
  <c r="AR689" i="77"/>
  <c r="AT689" i="77"/>
  <c r="AK690" i="77"/>
  <c r="AN690" i="77"/>
  <c r="AO690" i="77"/>
  <c r="AH691" i="77"/>
  <c r="AP690" i="77"/>
  <c r="AR690" i="77"/>
  <c r="AT690" i="77"/>
  <c r="AK691" i="77"/>
  <c r="AN691" i="77"/>
  <c r="AO691" i="77"/>
  <c r="AH692" i="77"/>
  <c r="AP691" i="77"/>
  <c r="AR691" i="77"/>
  <c r="AT691" i="77"/>
  <c r="AK692" i="77"/>
  <c r="AN692" i="77"/>
  <c r="AO692" i="77"/>
  <c r="AH693" i="77"/>
  <c r="AP692" i="77"/>
  <c r="AR692" i="77"/>
  <c r="AT692" i="77"/>
  <c r="AK693" i="77"/>
  <c r="AN693" i="77"/>
  <c r="AO693" i="77"/>
  <c r="AH694" i="77"/>
  <c r="AP693" i="77"/>
  <c r="AR693" i="77"/>
  <c r="AT693" i="77"/>
  <c r="AK694" i="77"/>
  <c r="AN694" i="77"/>
  <c r="AO694" i="77"/>
  <c r="AH695" i="77"/>
  <c r="AP694" i="77"/>
  <c r="AR694" i="77"/>
  <c r="AT694" i="77"/>
  <c r="AK695" i="77"/>
  <c r="AN695" i="77"/>
  <c r="AO695" i="77"/>
  <c r="AH696" i="77"/>
  <c r="AP695" i="77"/>
  <c r="AR695" i="77"/>
  <c r="AT695" i="77"/>
  <c r="AK696" i="77"/>
  <c r="AN696" i="77"/>
  <c r="AO696" i="77"/>
  <c r="AH697" i="77"/>
  <c r="AP696" i="77"/>
  <c r="AR696" i="77"/>
  <c r="AT696" i="77"/>
  <c r="AK697" i="77"/>
  <c r="AN697" i="77"/>
  <c r="AO697" i="77"/>
  <c r="AH698" i="77"/>
  <c r="AP697" i="77"/>
  <c r="AR697" i="77"/>
  <c r="AT697" i="77"/>
  <c r="AK698" i="77"/>
  <c r="AN698" i="77"/>
  <c r="AO698" i="77"/>
  <c r="AH699" i="77"/>
  <c r="AP698" i="77"/>
  <c r="AR698" i="77"/>
  <c r="AT698" i="77"/>
  <c r="AK699" i="77"/>
  <c r="AN699" i="77"/>
  <c r="AO699" i="77"/>
  <c r="AH700" i="77"/>
  <c r="AP699" i="77"/>
  <c r="AR699" i="77"/>
  <c r="AT699" i="77"/>
  <c r="AK700" i="77"/>
  <c r="AN700" i="77"/>
  <c r="AO700" i="77"/>
  <c r="AH701" i="77"/>
  <c r="AP700" i="77"/>
  <c r="AR700" i="77"/>
  <c r="AT700" i="77"/>
  <c r="AK701" i="77"/>
  <c r="AN701" i="77"/>
  <c r="AO701" i="77"/>
  <c r="AH702" i="77"/>
  <c r="AP701" i="77"/>
  <c r="AR701" i="77"/>
  <c r="AT701" i="77"/>
  <c r="AK702" i="77"/>
  <c r="AN702" i="77"/>
  <c r="AO702" i="77"/>
  <c r="AH703" i="77"/>
  <c r="AP702" i="77"/>
  <c r="AR702" i="77"/>
  <c r="AT702" i="77"/>
  <c r="AK703" i="77"/>
  <c r="AN703" i="77"/>
  <c r="AO703" i="77"/>
  <c r="AH704" i="77"/>
  <c r="AP703" i="77"/>
  <c r="AR703" i="77"/>
  <c r="AT703" i="77"/>
  <c r="AK704" i="77"/>
  <c r="AN704" i="77"/>
  <c r="AO704" i="77"/>
  <c r="AH705" i="77"/>
  <c r="AP704" i="77"/>
  <c r="AR704" i="77"/>
  <c r="AT704" i="77"/>
  <c r="AK705" i="77"/>
  <c r="AN705" i="77"/>
  <c r="AO705" i="77"/>
  <c r="AH706" i="77"/>
  <c r="AP705" i="77"/>
  <c r="AR705" i="77"/>
  <c r="AT705" i="77"/>
  <c r="AK706" i="77"/>
  <c r="AN706" i="77"/>
  <c r="AO706" i="77"/>
  <c r="AH707" i="77"/>
  <c r="AP706" i="77"/>
  <c r="AR706" i="77"/>
  <c r="AT706" i="77"/>
  <c r="AK707" i="77"/>
  <c r="AN707" i="77"/>
  <c r="AO707" i="77"/>
  <c r="AH708" i="77"/>
  <c r="AP707" i="77"/>
  <c r="AR707" i="77"/>
  <c r="AT707" i="77"/>
  <c r="AK708" i="77"/>
  <c r="AN708" i="77"/>
  <c r="AO708" i="77"/>
  <c r="AH709" i="77"/>
  <c r="AP708" i="77"/>
  <c r="AR708" i="77"/>
  <c r="AT708" i="77"/>
  <c r="AK709" i="77"/>
  <c r="AN709" i="77"/>
  <c r="AO709" i="77"/>
  <c r="AH710" i="77"/>
  <c r="AP709" i="77"/>
  <c r="AR709" i="77"/>
  <c r="AT709" i="77"/>
  <c r="AK710" i="77"/>
  <c r="AN710" i="77"/>
  <c r="AO710" i="77"/>
  <c r="AH711" i="77"/>
  <c r="AP710" i="77"/>
  <c r="AR710" i="77"/>
  <c r="AT710" i="77"/>
  <c r="AK711" i="77"/>
  <c r="AN711" i="77"/>
  <c r="AO711" i="77"/>
  <c r="AH712" i="77"/>
  <c r="AP711" i="77"/>
  <c r="AR711" i="77"/>
  <c r="AT711" i="77"/>
  <c r="AK712" i="77"/>
  <c r="AN712" i="77"/>
  <c r="AO712" i="77"/>
  <c r="AH713" i="77"/>
  <c r="AP712" i="77"/>
  <c r="AR712" i="77"/>
  <c r="AT712" i="77"/>
  <c r="AK713" i="77"/>
  <c r="AN713" i="77"/>
  <c r="AO713" i="77"/>
  <c r="AH714" i="77"/>
  <c r="AP713" i="77"/>
  <c r="AR713" i="77"/>
  <c r="AT713" i="77"/>
  <c r="AK714" i="77"/>
  <c r="AN714" i="77"/>
  <c r="AO714" i="77"/>
  <c r="AH715" i="77"/>
  <c r="AP714" i="77"/>
  <c r="AR714" i="77"/>
  <c r="AT714" i="77"/>
  <c r="AK715" i="77"/>
  <c r="AN715" i="77"/>
  <c r="AO715" i="77"/>
  <c r="AH716" i="77"/>
  <c r="AP715" i="77"/>
  <c r="AR715" i="77"/>
  <c r="AT715" i="77"/>
  <c r="AK716" i="77"/>
  <c r="AN716" i="77"/>
  <c r="AO716" i="77"/>
  <c r="AH717" i="77"/>
  <c r="AP716" i="77"/>
  <c r="AR716" i="77"/>
  <c r="AT716" i="77"/>
  <c r="AK717" i="77"/>
  <c r="AN717" i="77"/>
  <c r="AO717" i="77"/>
  <c r="AH718" i="77"/>
  <c r="AP717" i="77"/>
  <c r="AR717" i="77"/>
  <c r="AT717" i="77"/>
  <c r="AK718" i="77"/>
  <c r="AN718" i="77"/>
  <c r="AO718" i="77"/>
  <c r="AH719" i="77"/>
  <c r="AP718" i="77"/>
  <c r="AR718" i="77"/>
  <c r="AT718" i="77"/>
  <c r="AK719" i="77"/>
  <c r="AN719" i="77"/>
  <c r="AO719" i="77"/>
  <c r="AH720" i="77"/>
  <c r="AP719" i="77"/>
  <c r="AR719" i="77"/>
  <c r="AT719" i="77"/>
  <c r="AK720" i="77"/>
  <c r="AN720" i="77"/>
  <c r="AO720" i="77"/>
  <c r="AH721" i="77"/>
  <c r="AP720" i="77"/>
  <c r="AR720" i="77"/>
  <c r="AT720" i="77"/>
  <c r="AK721" i="77"/>
  <c r="AN721" i="77"/>
  <c r="AO721" i="77"/>
  <c r="AH722" i="77"/>
  <c r="AP721" i="77"/>
  <c r="AR721" i="77"/>
  <c r="AT721" i="77"/>
  <c r="AK722" i="77"/>
  <c r="AN722" i="77"/>
  <c r="AO722" i="77"/>
  <c r="AH723" i="77"/>
  <c r="AP722" i="77"/>
  <c r="AR722" i="77"/>
  <c r="AT722" i="77"/>
  <c r="AK723" i="77"/>
  <c r="AN723" i="77"/>
  <c r="AO723" i="77"/>
  <c r="AH724" i="77"/>
  <c r="AP723" i="77"/>
  <c r="AR723" i="77"/>
  <c r="AT723" i="77"/>
  <c r="AK724" i="77"/>
  <c r="AN724" i="77"/>
  <c r="AO724" i="77"/>
  <c r="AH725" i="77"/>
  <c r="AP724" i="77"/>
  <c r="AR724" i="77"/>
  <c r="AT724" i="77"/>
  <c r="AK725" i="77"/>
  <c r="AN725" i="77"/>
  <c r="AO725" i="77"/>
  <c r="AH726" i="77"/>
  <c r="AP725" i="77"/>
  <c r="AR725" i="77"/>
  <c r="AT725" i="77"/>
  <c r="AK726" i="77"/>
  <c r="AN726" i="77"/>
  <c r="AO726" i="77"/>
  <c r="AH727" i="77"/>
  <c r="AP726" i="77"/>
  <c r="AR726" i="77"/>
  <c r="AT726" i="77"/>
  <c r="AK727" i="77"/>
  <c r="AN727" i="77"/>
  <c r="AO727" i="77"/>
  <c r="AH728" i="77"/>
  <c r="AP727" i="77"/>
  <c r="AR727" i="77"/>
  <c r="AT727" i="77"/>
  <c r="AK728" i="77"/>
  <c r="AN728" i="77"/>
  <c r="AO728" i="77"/>
  <c r="AH729" i="77"/>
  <c r="AP728" i="77"/>
  <c r="AR728" i="77"/>
  <c r="AT728" i="77"/>
  <c r="AK729" i="77"/>
  <c r="AN729" i="77"/>
  <c r="AO729" i="77"/>
  <c r="AH730" i="77"/>
  <c r="AP729" i="77"/>
  <c r="AR729" i="77"/>
  <c r="AT729" i="77"/>
  <c r="AK730" i="77"/>
  <c r="AN730" i="77"/>
  <c r="AO730" i="77"/>
  <c r="AH731" i="77"/>
  <c r="AP730" i="77"/>
  <c r="AR730" i="77"/>
  <c r="AT730" i="77"/>
  <c r="AK731" i="77"/>
  <c r="AN731" i="77"/>
  <c r="AO731" i="77"/>
  <c r="AH732" i="77"/>
  <c r="AP731" i="77"/>
  <c r="AR731" i="77"/>
  <c r="AT731" i="77"/>
  <c r="AK732" i="77"/>
  <c r="AN732" i="77"/>
  <c r="AO732" i="77"/>
  <c r="AH733" i="77"/>
  <c r="AP732" i="77"/>
  <c r="AR732" i="77"/>
  <c r="AT732" i="77"/>
  <c r="AK733" i="77"/>
  <c r="AN733" i="77"/>
  <c r="AO733" i="77"/>
  <c r="AH734" i="77"/>
  <c r="AP733" i="77"/>
  <c r="AR733" i="77"/>
  <c r="AT733" i="77"/>
  <c r="AK734" i="77"/>
  <c r="AN734" i="77"/>
  <c r="AO734" i="77"/>
  <c r="AH735" i="77"/>
  <c r="AP734" i="77"/>
  <c r="AR734" i="77"/>
  <c r="AT734" i="77"/>
  <c r="AK735" i="77"/>
  <c r="AN735" i="77"/>
  <c r="AO735" i="77"/>
  <c r="AH736" i="77"/>
  <c r="AP735" i="77"/>
  <c r="AR735" i="77"/>
  <c r="AT735" i="77"/>
  <c r="AK736" i="77"/>
  <c r="AN736" i="77"/>
  <c r="AO736" i="77"/>
  <c r="AH737" i="77"/>
  <c r="AP736" i="77"/>
  <c r="AR736" i="77"/>
  <c r="AT736" i="77"/>
  <c r="AK737" i="77"/>
  <c r="AN737" i="77"/>
  <c r="AO737" i="77"/>
  <c r="AH738" i="77"/>
  <c r="AP737" i="77"/>
  <c r="AR737" i="77"/>
  <c r="AT737" i="77"/>
  <c r="AK738" i="77"/>
  <c r="AN738" i="77"/>
  <c r="AO738" i="77"/>
  <c r="AH739" i="77"/>
  <c r="AP738" i="77"/>
  <c r="AR738" i="77"/>
  <c r="AT738" i="77"/>
  <c r="AK739" i="77"/>
  <c r="AN739" i="77"/>
  <c r="AO739" i="77"/>
  <c r="AH740" i="77"/>
  <c r="AP739" i="77"/>
  <c r="AR739" i="77"/>
  <c r="AT739" i="77"/>
  <c r="AK740" i="77"/>
  <c r="AN740" i="77"/>
  <c r="AO740" i="77"/>
  <c r="AH741" i="77"/>
  <c r="AP740" i="77"/>
  <c r="AR740" i="77"/>
  <c r="AT740" i="77"/>
  <c r="AK741" i="77"/>
  <c r="AN741" i="77"/>
  <c r="AO741" i="77"/>
  <c r="AH742" i="77"/>
  <c r="AP741" i="77"/>
  <c r="AR741" i="77"/>
  <c r="AT741" i="77"/>
  <c r="AK742" i="77"/>
  <c r="AN742" i="77"/>
  <c r="AO742" i="77"/>
  <c r="AH743" i="77"/>
  <c r="AP742" i="77"/>
  <c r="AR742" i="77"/>
  <c r="AT742" i="77"/>
  <c r="AK743" i="77"/>
  <c r="AN743" i="77"/>
  <c r="AO743" i="77"/>
  <c r="AH744" i="77"/>
  <c r="AP743" i="77"/>
  <c r="AR743" i="77"/>
  <c r="AT743" i="77"/>
  <c r="AK744" i="77"/>
  <c r="AN744" i="77"/>
  <c r="AO744" i="77"/>
  <c r="AH745" i="77"/>
  <c r="AP744" i="77"/>
  <c r="AR744" i="77"/>
  <c r="AT744" i="77"/>
  <c r="AK745" i="77"/>
  <c r="AN745" i="77"/>
  <c r="AO745" i="77"/>
  <c r="AH746" i="77"/>
  <c r="AP745" i="77"/>
  <c r="AR745" i="77"/>
  <c r="AT745" i="77"/>
  <c r="AK746" i="77"/>
  <c r="AN746" i="77"/>
  <c r="AO746" i="77"/>
  <c r="AH747" i="77"/>
  <c r="AP746" i="77"/>
  <c r="AR746" i="77"/>
  <c r="AT746" i="77"/>
  <c r="AK747" i="77"/>
  <c r="AN747" i="77"/>
  <c r="AO747" i="77"/>
  <c r="AH748" i="77"/>
  <c r="AP747" i="77"/>
  <c r="AR747" i="77"/>
  <c r="AT747" i="77"/>
  <c r="AK748" i="77"/>
  <c r="AN748" i="77"/>
  <c r="AO748" i="77"/>
  <c r="AH749" i="77"/>
  <c r="AP748" i="77"/>
  <c r="AR748" i="77"/>
  <c r="AT748" i="77"/>
  <c r="AK749" i="77"/>
  <c r="AN749" i="77"/>
  <c r="AO749" i="77"/>
  <c r="AH750" i="77"/>
  <c r="AP749" i="77"/>
  <c r="AR749" i="77"/>
  <c r="AT749" i="77"/>
  <c r="AK750" i="77"/>
  <c r="AN750" i="77"/>
  <c r="AO750" i="77"/>
  <c r="AH751" i="77"/>
  <c r="AP750" i="77"/>
  <c r="AR750" i="77"/>
  <c r="AT750" i="77"/>
  <c r="AK751" i="77"/>
  <c r="AN751" i="77"/>
  <c r="AO751" i="77"/>
  <c r="AH752" i="77"/>
  <c r="AP751" i="77"/>
  <c r="AR751" i="77"/>
  <c r="AT751" i="77"/>
  <c r="AK752" i="77"/>
  <c r="AN752" i="77"/>
  <c r="AO752" i="77"/>
  <c r="AH753" i="77"/>
  <c r="AP752" i="77"/>
  <c r="AR752" i="77"/>
  <c r="AT752" i="77"/>
  <c r="AK753" i="77"/>
  <c r="AN753" i="77"/>
  <c r="AO753" i="77"/>
  <c r="AH754" i="77"/>
  <c r="AP753" i="77"/>
  <c r="AR753" i="77"/>
  <c r="AT753" i="77"/>
  <c r="AK754" i="77"/>
  <c r="AN754" i="77"/>
  <c r="AO754" i="77"/>
  <c r="AH755" i="77"/>
  <c r="AP754" i="77"/>
  <c r="AR754" i="77"/>
  <c r="AT754" i="77"/>
  <c r="AK755" i="77"/>
  <c r="AN755" i="77"/>
  <c r="AO755" i="77"/>
  <c r="AH756" i="77"/>
  <c r="AP755" i="77"/>
  <c r="AR755" i="77"/>
  <c r="AT755" i="77"/>
  <c r="AK756" i="77"/>
  <c r="AN756" i="77"/>
  <c r="AO756" i="77"/>
  <c r="AH757" i="77"/>
  <c r="AP756" i="77"/>
  <c r="AR756" i="77"/>
  <c r="AT756" i="77"/>
  <c r="AK757" i="77"/>
  <c r="AN757" i="77"/>
  <c r="AO757" i="77"/>
  <c r="AH758" i="77"/>
  <c r="AP757" i="77"/>
  <c r="AR757" i="77"/>
  <c r="AT757" i="77"/>
  <c r="AK758" i="77"/>
  <c r="AN758" i="77"/>
  <c r="AO758" i="77"/>
  <c r="AH759" i="77"/>
  <c r="AP758" i="77"/>
  <c r="AR758" i="77"/>
  <c r="AT758" i="77"/>
  <c r="AK759" i="77"/>
  <c r="AN759" i="77"/>
  <c r="AO759" i="77"/>
  <c r="AH760" i="77"/>
  <c r="AP759" i="77"/>
  <c r="AR759" i="77"/>
  <c r="AT759" i="77"/>
  <c r="AK760" i="77"/>
  <c r="AN760" i="77"/>
  <c r="AO760" i="77"/>
  <c r="AH761" i="77"/>
  <c r="AP760" i="77"/>
  <c r="AR760" i="77"/>
  <c r="AT760" i="77"/>
  <c r="AK761" i="77"/>
  <c r="AN761" i="77"/>
  <c r="AO761" i="77"/>
  <c r="AH762" i="77"/>
  <c r="AP761" i="77"/>
  <c r="AR761" i="77"/>
  <c r="AT761" i="77"/>
  <c r="AK762" i="77"/>
  <c r="AN762" i="77"/>
  <c r="AO762" i="77"/>
  <c r="AH763" i="77"/>
  <c r="AP762" i="77"/>
  <c r="AR762" i="77"/>
  <c r="AT762" i="77"/>
  <c r="AK763" i="77"/>
  <c r="AN763" i="77"/>
  <c r="AO763" i="77"/>
  <c r="AH764" i="77"/>
  <c r="AP763" i="77"/>
  <c r="AR763" i="77"/>
  <c r="AT763" i="77"/>
  <c r="AK764" i="77"/>
  <c r="AN764" i="77"/>
  <c r="AO764" i="77"/>
  <c r="AH765" i="77"/>
  <c r="AP764" i="77"/>
  <c r="AR764" i="77"/>
  <c r="AT764" i="77"/>
  <c r="AK765" i="77"/>
  <c r="AN765" i="77"/>
  <c r="AO765" i="77"/>
  <c r="AH766" i="77"/>
  <c r="AP765" i="77"/>
  <c r="AR765" i="77"/>
  <c r="AT765" i="77"/>
  <c r="AK766" i="77"/>
  <c r="AN766" i="77"/>
  <c r="AO766" i="77"/>
  <c r="AH767" i="77"/>
  <c r="AP766" i="77"/>
  <c r="AR766" i="77"/>
  <c r="AT766" i="77"/>
  <c r="AK767" i="77"/>
  <c r="AN767" i="77"/>
  <c r="AO767" i="77"/>
  <c r="AH768" i="77"/>
  <c r="AP767" i="77"/>
  <c r="AR767" i="77"/>
  <c r="AT767" i="77"/>
  <c r="AK768" i="77"/>
  <c r="AN768" i="77"/>
  <c r="AO768" i="77"/>
  <c r="AH769" i="77"/>
  <c r="AP768" i="77"/>
  <c r="AR768" i="77"/>
  <c r="AT768" i="77"/>
  <c r="AK769" i="77"/>
  <c r="AN769" i="77"/>
  <c r="AO769" i="77"/>
  <c r="AH770" i="77"/>
  <c r="AP769" i="77"/>
  <c r="AR769" i="77"/>
  <c r="AT769" i="77"/>
  <c r="AK770" i="77"/>
  <c r="AN770" i="77"/>
  <c r="AO770" i="77"/>
  <c r="AH771" i="77"/>
  <c r="AP770" i="77"/>
  <c r="AR770" i="77"/>
  <c r="AT770" i="77"/>
  <c r="AK771" i="77"/>
  <c r="AN771" i="77"/>
  <c r="AO771" i="77"/>
  <c r="AH772" i="77"/>
  <c r="AP771" i="77"/>
  <c r="AR771" i="77"/>
  <c r="AT771" i="77"/>
  <c r="AK772" i="77"/>
  <c r="AN772" i="77"/>
  <c r="AO772" i="77"/>
  <c r="AH773" i="77"/>
  <c r="AP772" i="77"/>
  <c r="AR772" i="77"/>
  <c r="AT772" i="77"/>
  <c r="AK773" i="77"/>
  <c r="AN773" i="77"/>
  <c r="AO773" i="77"/>
  <c r="AH774" i="77"/>
  <c r="AP773" i="77"/>
  <c r="AR773" i="77"/>
  <c r="AT773" i="77"/>
  <c r="AK774" i="77"/>
  <c r="AN774" i="77"/>
  <c r="AO774" i="77"/>
  <c r="AH775" i="77"/>
  <c r="AP774" i="77"/>
  <c r="AR774" i="77"/>
  <c r="AT774" i="77"/>
  <c r="AK775" i="77"/>
  <c r="AN775" i="77"/>
  <c r="AO775" i="77"/>
  <c r="AH776" i="77"/>
  <c r="AP775" i="77"/>
  <c r="AR775" i="77"/>
  <c r="AT775" i="77"/>
  <c r="AK776" i="77"/>
  <c r="AN776" i="77"/>
  <c r="AO776" i="77"/>
  <c r="AH777" i="77"/>
  <c r="AP776" i="77"/>
  <c r="AR776" i="77"/>
  <c r="AT776" i="77"/>
  <c r="AK777" i="77"/>
  <c r="AN777" i="77"/>
  <c r="AO777" i="77"/>
  <c r="AH778" i="77"/>
  <c r="AP777" i="77"/>
  <c r="AR777" i="77"/>
  <c r="AT777" i="77"/>
  <c r="AK778" i="77"/>
  <c r="AN778" i="77"/>
  <c r="AO778" i="77"/>
  <c r="AH779" i="77"/>
  <c r="AP778" i="77"/>
  <c r="AR778" i="77"/>
  <c r="AT778" i="77"/>
  <c r="AK779" i="77"/>
  <c r="AN779" i="77"/>
  <c r="AO779" i="77"/>
  <c r="AH780" i="77"/>
  <c r="AP779" i="77"/>
  <c r="AR779" i="77"/>
  <c r="AT779" i="77"/>
  <c r="AK780" i="77"/>
  <c r="AN780" i="77"/>
  <c r="AO780" i="77"/>
  <c r="AH781" i="77"/>
  <c r="AP780" i="77"/>
  <c r="AR780" i="77"/>
  <c r="AT780" i="77"/>
  <c r="AK781" i="77"/>
  <c r="AN781" i="77"/>
  <c r="AO781" i="77"/>
  <c r="AH782" i="77"/>
  <c r="AP781" i="77"/>
  <c r="AR781" i="77"/>
  <c r="AT781" i="77"/>
  <c r="AK782" i="77"/>
  <c r="AN782" i="77"/>
  <c r="AO782" i="77"/>
  <c r="AH783" i="77"/>
  <c r="AP782" i="77"/>
  <c r="AR782" i="77"/>
  <c r="AT782" i="77"/>
  <c r="AK783" i="77"/>
  <c r="AN783" i="77"/>
  <c r="AO783" i="77"/>
  <c r="AH784" i="77"/>
  <c r="AP783" i="77"/>
  <c r="AR783" i="77"/>
  <c r="AT783" i="77"/>
  <c r="AK784" i="77"/>
  <c r="AN784" i="77"/>
  <c r="AO784" i="77"/>
  <c r="AH785" i="77"/>
  <c r="AP784" i="77"/>
  <c r="AR784" i="77"/>
  <c r="AT784" i="77"/>
  <c r="AK785" i="77"/>
  <c r="AN785" i="77"/>
  <c r="AO785" i="77"/>
  <c r="AH786" i="77"/>
  <c r="AP785" i="77"/>
  <c r="AR785" i="77"/>
  <c r="AT785" i="77"/>
  <c r="AK786" i="77"/>
  <c r="AN786" i="77"/>
  <c r="AO786" i="77"/>
  <c r="AH787" i="77"/>
  <c r="AP786" i="77"/>
  <c r="AR786" i="77"/>
  <c r="AT786" i="77"/>
  <c r="AK787" i="77"/>
  <c r="AN787" i="77"/>
  <c r="AO787" i="77"/>
  <c r="AH788" i="77"/>
  <c r="AP787" i="77"/>
  <c r="AR787" i="77"/>
  <c r="AT787" i="77"/>
  <c r="AK788" i="77"/>
  <c r="AN788" i="77"/>
  <c r="AO788" i="77"/>
  <c r="AH789" i="77"/>
  <c r="AP788" i="77"/>
  <c r="AR788" i="77"/>
  <c r="AT788" i="77"/>
  <c r="AK789" i="77"/>
  <c r="AN789" i="77"/>
  <c r="AO789" i="77"/>
  <c r="AH790" i="77"/>
  <c r="AP789" i="77"/>
  <c r="AR789" i="77"/>
  <c r="AT789" i="77"/>
  <c r="AK790" i="77"/>
  <c r="AN790" i="77"/>
  <c r="AO790" i="77"/>
  <c r="AH791" i="77"/>
  <c r="AP790" i="77"/>
  <c r="AR790" i="77"/>
  <c r="AT790" i="77"/>
  <c r="AK791" i="77"/>
  <c r="AN791" i="77"/>
  <c r="AO791" i="77"/>
  <c r="AH792" i="77"/>
  <c r="AP791" i="77"/>
  <c r="AR791" i="77"/>
  <c r="AT791" i="77"/>
  <c r="AK792" i="77"/>
  <c r="AN792" i="77"/>
  <c r="AO792" i="77"/>
  <c r="AH793" i="77"/>
  <c r="AP792" i="77"/>
  <c r="AR792" i="77"/>
  <c r="AT792" i="77"/>
  <c r="AK793" i="77"/>
  <c r="AN793" i="77"/>
  <c r="AO793" i="77"/>
  <c r="AH794" i="77"/>
  <c r="AP793" i="77"/>
  <c r="AR793" i="77"/>
  <c r="AT793" i="77"/>
  <c r="AK794" i="77"/>
  <c r="AN794" i="77"/>
  <c r="AO794" i="77"/>
  <c r="AH795" i="77"/>
  <c r="AP794" i="77"/>
  <c r="AR794" i="77"/>
  <c r="AT794" i="77"/>
  <c r="AK795" i="77"/>
  <c r="AN795" i="77"/>
  <c r="AO795" i="77"/>
  <c r="AH796" i="77"/>
  <c r="AP795" i="77"/>
  <c r="AR795" i="77"/>
  <c r="AT795" i="77"/>
  <c r="AK796" i="77"/>
  <c r="AN796" i="77"/>
  <c r="AO796" i="77"/>
  <c r="AH797" i="77"/>
  <c r="AP796" i="77"/>
  <c r="AR796" i="77"/>
  <c r="AT796" i="77"/>
  <c r="AK797" i="77"/>
  <c r="AN797" i="77"/>
  <c r="AO797" i="77"/>
  <c r="AH798" i="77"/>
  <c r="AP797" i="77"/>
  <c r="AR797" i="77"/>
  <c r="AT797" i="77"/>
  <c r="AK798" i="77"/>
  <c r="AN798" i="77"/>
  <c r="AO798" i="77"/>
  <c r="AH799" i="77"/>
  <c r="AP798" i="77"/>
  <c r="AR798" i="77"/>
  <c r="AT798" i="77"/>
  <c r="AK799" i="77"/>
  <c r="AN799" i="77"/>
  <c r="AO799" i="77"/>
  <c r="AH800" i="77"/>
  <c r="AP799" i="77"/>
  <c r="AR799" i="77"/>
  <c r="AT799" i="77"/>
  <c r="AK800" i="77"/>
  <c r="AN800" i="77"/>
  <c r="AO800" i="77"/>
  <c r="AH801" i="77"/>
  <c r="AP800" i="77"/>
  <c r="AR800" i="77"/>
  <c r="AT800" i="77"/>
  <c r="AK801" i="77"/>
  <c r="AN801" i="77"/>
  <c r="AO801" i="77"/>
  <c r="AH802" i="77"/>
  <c r="AP801" i="77"/>
  <c r="AR801" i="77"/>
  <c r="AT801" i="77"/>
  <c r="AK802" i="77"/>
  <c r="AN802" i="77"/>
  <c r="AO802" i="77"/>
  <c r="AH803" i="77"/>
  <c r="AP802" i="77"/>
  <c r="AR802" i="77"/>
  <c r="AT802" i="77"/>
  <c r="AK803" i="77"/>
  <c r="AN803" i="77"/>
  <c r="AO803" i="77"/>
  <c r="AH804" i="77"/>
  <c r="AP803" i="77"/>
  <c r="AR803" i="77"/>
  <c r="AT803" i="77"/>
  <c r="AK804" i="77"/>
  <c r="AN804" i="77"/>
  <c r="AO804" i="77"/>
  <c r="AH805" i="77"/>
  <c r="AP804" i="77"/>
  <c r="AR804" i="77"/>
  <c r="AT804" i="77"/>
  <c r="AK805" i="77"/>
  <c r="AN805" i="77"/>
  <c r="AO805" i="77"/>
  <c r="AH806" i="77"/>
  <c r="AP805" i="77"/>
  <c r="AR805" i="77"/>
  <c r="AT805" i="77"/>
  <c r="AK806" i="77"/>
  <c r="AN806" i="77"/>
  <c r="AO806" i="77"/>
  <c r="AH807" i="77"/>
  <c r="AP806" i="77"/>
  <c r="AR806" i="77"/>
  <c r="AT806" i="77"/>
  <c r="AK807" i="77"/>
  <c r="AN807" i="77"/>
  <c r="AO807" i="77"/>
  <c r="AH808" i="77"/>
  <c r="AP807" i="77"/>
  <c r="AR807" i="77"/>
  <c r="AT807" i="77"/>
  <c r="AK808" i="77"/>
  <c r="AN808" i="77"/>
  <c r="AO808" i="77"/>
  <c r="AH809" i="77"/>
  <c r="AP808" i="77"/>
  <c r="AR808" i="77"/>
  <c r="AT808" i="77"/>
  <c r="AK809" i="77"/>
  <c r="AN809" i="77"/>
  <c r="AO809" i="77"/>
  <c r="AH810" i="77"/>
  <c r="AP809" i="77"/>
  <c r="AR809" i="77"/>
  <c r="AT809" i="77"/>
  <c r="AK810" i="77"/>
  <c r="AN810" i="77"/>
  <c r="AO810" i="77"/>
  <c r="AH811" i="77"/>
  <c r="AP810" i="77"/>
  <c r="AR810" i="77"/>
  <c r="AT810" i="77"/>
  <c r="AK811" i="77"/>
  <c r="AN811" i="77"/>
  <c r="AO811" i="77"/>
  <c r="AH812" i="77"/>
  <c r="AP811" i="77"/>
  <c r="AR811" i="77"/>
  <c r="AT811" i="77"/>
  <c r="AK812" i="77"/>
  <c r="AN812" i="77"/>
  <c r="AO812" i="77"/>
  <c r="AH813" i="77"/>
  <c r="AP812" i="77"/>
  <c r="AR812" i="77"/>
  <c r="AT812" i="77"/>
  <c r="AK813" i="77"/>
  <c r="AN813" i="77"/>
  <c r="AO813" i="77"/>
  <c r="AH814" i="77"/>
  <c r="AP813" i="77"/>
  <c r="AR813" i="77"/>
  <c r="AT813" i="77"/>
  <c r="AK814" i="77"/>
  <c r="AN814" i="77"/>
  <c r="AO814" i="77"/>
  <c r="AH815" i="77"/>
  <c r="AP814" i="77"/>
  <c r="AR814" i="77"/>
  <c r="AT814" i="77"/>
  <c r="AK815" i="77"/>
  <c r="AN815" i="77"/>
  <c r="AO815" i="77"/>
  <c r="AH816" i="77"/>
  <c r="AP815" i="77"/>
  <c r="AR815" i="77"/>
  <c r="AT815" i="77"/>
  <c r="AK816" i="77"/>
  <c r="AN816" i="77"/>
  <c r="AO816" i="77"/>
  <c r="AH817" i="77"/>
  <c r="AP816" i="77"/>
  <c r="AR816" i="77"/>
  <c r="AT816" i="77"/>
  <c r="AK817" i="77"/>
  <c r="AN817" i="77"/>
  <c r="AO817" i="77"/>
  <c r="AH818" i="77"/>
  <c r="AP817" i="77"/>
  <c r="AR817" i="77"/>
  <c r="AT817" i="77"/>
  <c r="AK818" i="77"/>
  <c r="AN818" i="77"/>
  <c r="AO818" i="77"/>
  <c r="AH819" i="77"/>
  <c r="AP818" i="77"/>
  <c r="AR818" i="77"/>
  <c r="AT818" i="77"/>
  <c r="AK819" i="77"/>
  <c r="AN819" i="77"/>
  <c r="AO819" i="77"/>
  <c r="AH820" i="77"/>
  <c r="AP819" i="77"/>
  <c r="AR819" i="77"/>
  <c r="AT819" i="77"/>
  <c r="AK820" i="77"/>
  <c r="AN820" i="77"/>
  <c r="AO820" i="77"/>
  <c r="AH821" i="77"/>
  <c r="AP820" i="77"/>
  <c r="AR820" i="77"/>
  <c r="AT820" i="77"/>
  <c r="AK821" i="77"/>
  <c r="AN821" i="77"/>
  <c r="AO821" i="77"/>
  <c r="AH822" i="77"/>
  <c r="AP821" i="77"/>
  <c r="AR821" i="77"/>
  <c r="AT821" i="77"/>
  <c r="AK822" i="77"/>
  <c r="AN822" i="77"/>
  <c r="AO822" i="77"/>
  <c r="AH823" i="77"/>
  <c r="AP822" i="77"/>
  <c r="AR822" i="77"/>
  <c r="AT822" i="77"/>
  <c r="AK823" i="77"/>
  <c r="AN823" i="77"/>
  <c r="AO823" i="77"/>
  <c r="AH824" i="77"/>
  <c r="AP823" i="77"/>
  <c r="AR823" i="77"/>
  <c r="AT823" i="77"/>
  <c r="AK824" i="77"/>
  <c r="AN824" i="77"/>
  <c r="AO824" i="77"/>
  <c r="AH825" i="77"/>
  <c r="AP824" i="77"/>
  <c r="AR824" i="77"/>
  <c r="AT824" i="77"/>
  <c r="AK825" i="77"/>
  <c r="AN825" i="77"/>
  <c r="AO825" i="77"/>
  <c r="AH826" i="77"/>
  <c r="AP825" i="77"/>
  <c r="AR825" i="77"/>
  <c r="AT825" i="77"/>
  <c r="AK826" i="77"/>
  <c r="AN826" i="77"/>
  <c r="AO826" i="77"/>
  <c r="AH827" i="77"/>
  <c r="AP826" i="77"/>
  <c r="AR826" i="77"/>
  <c r="AT826" i="77"/>
  <c r="AK827" i="77"/>
  <c r="AN827" i="77"/>
  <c r="AO827" i="77"/>
  <c r="AH828" i="77"/>
  <c r="AP827" i="77"/>
  <c r="AR827" i="77"/>
  <c r="AT827" i="77"/>
  <c r="AK828" i="77"/>
  <c r="AN828" i="77"/>
  <c r="AO828" i="77"/>
  <c r="AH829" i="77"/>
  <c r="AP828" i="77"/>
  <c r="AR828" i="77"/>
  <c r="AT828" i="77"/>
  <c r="AK829" i="77"/>
  <c r="AN829" i="77"/>
  <c r="AO829" i="77"/>
  <c r="AH830" i="77"/>
  <c r="AP829" i="77"/>
  <c r="AR829" i="77"/>
  <c r="AT829" i="77"/>
  <c r="AK830" i="77"/>
  <c r="AN830" i="77"/>
  <c r="AO830" i="77"/>
  <c r="AH831" i="77"/>
  <c r="AP830" i="77"/>
  <c r="AR830" i="77"/>
  <c r="AT830" i="77"/>
  <c r="AK831" i="77"/>
  <c r="AN831" i="77"/>
  <c r="AO831" i="77"/>
  <c r="AH832" i="77"/>
  <c r="AP831" i="77"/>
  <c r="AR831" i="77"/>
  <c r="AT831" i="77"/>
  <c r="AK832" i="77"/>
  <c r="AN832" i="77"/>
  <c r="AO832" i="77"/>
  <c r="AH833" i="77"/>
  <c r="AP832" i="77"/>
  <c r="AR832" i="77"/>
  <c r="AT832" i="77"/>
  <c r="AK833" i="77"/>
  <c r="AN833" i="77"/>
  <c r="AO833" i="77"/>
  <c r="AH834" i="77"/>
  <c r="AP833" i="77"/>
  <c r="AR833" i="77"/>
  <c r="AT833" i="77"/>
  <c r="AK834" i="77"/>
  <c r="AN834" i="77"/>
  <c r="AO834" i="77"/>
  <c r="AH835" i="77"/>
  <c r="AP834" i="77"/>
  <c r="AR834" i="77"/>
  <c r="AT834" i="77"/>
  <c r="AK835" i="77"/>
  <c r="AN835" i="77"/>
  <c r="AO835" i="77"/>
  <c r="AH836" i="77"/>
  <c r="AP835" i="77"/>
  <c r="AR835" i="77"/>
  <c r="AT835" i="77"/>
  <c r="AK836" i="77"/>
  <c r="AN836" i="77"/>
  <c r="AO836" i="77"/>
  <c r="AH837" i="77"/>
  <c r="AP836" i="77"/>
  <c r="AR836" i="77"/>
  <c r="AT836" i="77"/>
  <c r="AK837" i="77"/>
  <c r="AN837" i="77"/>
  <c r="AO837" i="77"/>
  <c r="AH838" i="77"/>
  <c r="AP837" i="77"/>
  <c r="AR837" i="77"/>
  <c r="AT837" i="77"/>
  <c r="AK838" i="77"/>
  <c r="AN838" i="77"/>
  <c r="AO838" i="77"/>
  <c r="AH839" i="77"/>
  <c r="AP838" i="77"/>
  <c r="AR838" i="77"/>
  <c r="AT838" i="77"/>
  <c r="AK839" i="77"/>
  <c r="AN839" i="77"/>
  <c r="AO839" i="77"/>
  <c r="AH840" i="77"/>
  <c r="AP839" i="77"/>
  <c r="AR839" i="77"/>
  <c r="AT839" i="77"/>
  <c r="AK840" i="77"/>
  <c r="AN840" i="77"/>
  <c r="AO840" i="77"/>
  <c r="AH841" i="77"/>
  <c r="AP840" i="77"/>
  <c r="AR840" i="77"/>
  <c r="AT840" i="77"/>
  <c r="AK841" i="77"/>
  <c r="AN841" i="77"/>
  <c r="AO841" i="77"/>
  <c r="AH842" i="77"/>
  <c r="AP841" i="77"/>
  <c r="AR841" i="77"/>
  <c r="AT841" i="77"/>
  <c r="AK842" i="77"/>
  <c r="AN842" i="77"/>
  <c r="AO842" i="77"/>
  <c r="AH843" i="77"/>
  <c r="AP842" i="77"/>
  <c r="AR842" i="77"/>
  <c r="AT842" i="77"/>
  <c r="AK843" i="77"/>
  <c r="AN843" i="77"/>
  <c r="AO843" i="77"/>
  <c r="AH844" i="77"/>
  <c r="AP843" i="77"/>
  <c r="AR843" i="77"/>
  <c r="AT843" i="77"/>
  <c r="AK844" i="77"/>
  <c r="AN844" i="77"/>
  <c r="AO844" i="77"/>
  <c r="AH845" i="77"/>
  <c r="AP844" i="77"/>
  <c r="AR844" i="77"/>
  <c r="AT844" i="77"/>
  <c r="AK845" i="77"/>
  <c r="AN845" i="77"/>
  <c r="AO845" i="77"/>
  <c r="AH846" i="77"/>
  <c r="AP845" i="77"/>
  <c r="AR845" i="77"/>
  <c r="AT845" i="77"/>
  <c r="AK846" i="77"/>
  <c r="AN846" i="77"/>
  <c r="AO846" i="77"/>
  <c r="AH847" i="77"/>
  <c r="AP846" i="77"/>
  <c r="AR846" i="77"/>
  <c r="AT846" i="77"/>
  <c r="AK847" i="77"/>
  <c r="AN847" i="77"/>
  <c r="AO847" i="77"/>
  <c r="AH848" i="77"/>
  <c r="AP847" i="77"/>
  <c r="AR847" i="77"/>
  <c r="AT847" i="77"/>
  <c r="AK848" i="77"/>
  <c r="AN848" i="77"/>
  <c r="AO848" i="77"/>
  <c r="AH849" i="77"/>
  <c r="AP848" i="77"/>
  <c r="AR848" i="77"/>
  <c r="AT848" i="77"/>
  <c r="AK849" i="77"/>
  <c r="AN849" i="77"/>
  <c r="AO849" i="77"/>
  <c r="AH850" i="77"/>
  <c r="AP849" i="77"/>
  <c r="AR849" i="77"/>
  <c r="AT849" i="77"/>
  <c r="AK850" i="77"/>
  <c r="AN850" i="77"/>
  <c r="AO850" i="77"/>
  <c r="AH851" i="77"/>
  <c r="AP850" i="77"/>
  <c r="AR850" i="77"/>
  <c r="AT850" i="77"/>
  <c r="AK851" i="77"/>
  <c r="AN851" i="77"/>
  <c r="AO851" i="77"/>
  <c r="AH852" i="77"/>
  <c r="AP851" i="77"/>
  <c r="AR851" i="77"/>
  <c r="AT851" i="77"/>
  <c r="AK852" i="77"/>
  <c r="AN852" i="77"/>
  <c r="AO852" i="77"/>
  <c r="AH853" i="77"/>
  <c r="AP852" i="77"/>
  <c r="AR852" i="77"/>
  <c r="AT852" i="77"/>
  <c r="AK853" i="77"/>
  <c r="AN853" i="77"/>
  <c r="AO853" i="77"/>
  <c r="AH854" i="77"/>
  <c r="AP853" i="77"/>
  <c r="AR853" i="77"/>
  <c r="AT853" i="77"/>
  <c r="AK854" i="77"/>
  <c r="AN854" i="77"/>
  <c r="AO854" i="77"/>
  <c r="AH855" i="77"/>
  <c r="AP854" i="77"/>
  <c r="AR854" i="77"/>
  <c r="AT854" i="77"/>
  <c r="AK855" i="77"/>
  <c r="AN855" i="77"/>
  <c r="AO855" i="77"/>
  <c r="AH856" i="77"/>
  <c r="AP855" i="77"/>
  <c r="AR855" i="77"/>
  <c r="AT855" i="77"/>
  <c r="AK856" i="77"/>
  <c r="AN856" i="77"/>
  <c r="AO856" i="77"/>
  <c r="AH857" i="77"/>
  <c r="AP856" i="77"/>
  <c r="AR856" i="77"/>
  <c r="AT856" i="77"/>
  <c r="AK857" i="77"/>
  <c r="AN857" i="77"/>
  <c r="AO857" i="77"/>
  <c r="AH858" i="77"/>
  <c r="AP857" i="77"/>
  <c r="AR857" i="77"/>
  <c r="AT857" i="77"/>
  <c r="AK858" i="77"/>
  <c r="AN858" i="77"/>
  <c r="AO858" i="77"/>
  <c r="AH859" i="77"/>
  <c r="AP858" i="77"/>
  <c r="AR858" i="77"/>
  <c r="AT858" i="77"/>
  <c r="AK859" i="77"/>
  <c r="AN859" i="77"/>
  <c r="AO859" i="77"/>
  <c r="AH860" i="77"/>
  <c r="AP859" i="77"/>
  <c r="AR859" i="77"/>
  <c r="AT859" i="77"/>
  <c r="AK860" i="77"/>
  <c r="AN860" i="77"/>
  <c r="AO860" i="77"/>
  <c r="AH861" i="77"/>
  <c r="AP860" i="77"/>
  <c r="AR860" i="77"/>
  <c r="AT860" i="77"/>
  <c r="AK861" i="77"/>
  <c r="AN861" i="77"/>
  <c r="AO861" i="77"/>
  <c r="AH862" i="77"/>
  <c r="AP861" i="77"/>
  <c r="AR861" i="77"/>
  <c r="AT861" i="77"/>
  <c r="AK862" i="77"/>
  <c r="AN862" i="77"/>
  <c r="AO862" i="77"/>
  <c r="AH863" i="77"/>
  <c r="AP862" i="77"/>
  <c r="AR862" i="77"/>
  <c r="AT862" i="77"/>
  <c r="AK863" i="77"/>
  <c r="AN863" i="77"/>
  <c r="AO863" i="77"/>
  <c r="AH864" i="77"/>
  <c r="AP863" i="77"/>
  <c r="AR863" i="77"/>
  <c r="AT863" i="77"/>
  <c r="AK864" i="77"/>
  <c r="AN864" i="77"/>
  <c r="AO864" i="77"/>
  <c r="AH865" i="77"/>
  <c r="AP864" i="77"/>
  <c r="AR864" i="77"/>
  <c r="AT864" i="77"/>
  <c r="AK865" i="77"/>
  <c r="AN865" i="77"/>
  <c r="AO865" i="77"/>
  <c r="AH866" i="77"/>
  <c r="AP865" i="77"/>
  <c r="AR865" i="77"/>
  <c r="AT865" i="77"/>
  <c r="AK866" i="77"/>
  <c r="AN866" i="77"/>
  <c r="AO866" i="77"/>
  <c r="AH867" i="77"/>
  <c r="AP866" i="77"/>
  <c r="AR866" i="77"/>
  <c r="AT866" i="77"/>
  <c r="AK867" i="77"/>
  <c r="AN867" i="77"/>
  <c r="AO867" i="77"/>
  <c r="AH868" i="77"/>
  <c r="AP867" i="77"/>
  <c r="AR867" i="77"/>
  <c r="AT867" i="77"/>
  <c r="AK868" i="77"/>
  <c r="AN868" i="77"/>
  <c r="AO868" i="77"/>
  <c r="AH869" i="77"/>
  <c r="AP868" i="77"/>
  <c r="AR868" i="77"/>
  <c r="AT868" i="77"/>
  <c r="AK869" i="77"/>
  <c r="AN869" i="77"/>
  <c r="AO869" i="77"/>
  <c r="AH870" i="77"/>
  <c r="AP869" i="77"/>
  <c r="AR869" i="77"/>
  <c r="AT869" i="77"/>
  <c r="AK870" i="77"/>
  <c r="AN870" i="77"/>
  <c r="AO870" i="77"/>
  <c r="AH871" i="77"/>
  <c r="AP870" i="77"/>
  <c r="AR870" i="77"/>
  <c r="AT870" i="77"/>
  <c r="AK871" i="77"/>
  <c r="AN871" i="77"/>
  <c r="AO871" i="77"/>
  <c r="AH872" i="77"/>
  <c r="AP871" i="77"/>
  <c r="AR871" i="77"/>
  <c r="AT871" i="77"/>
  <c r="AK872" i="77"/>
  <c r="AN872" i="77"/>
  <c r="AO872" i="77"/>
  <c r="AH873" i="77"/>
  <c r="AP872" i="77"/>
  <c r="AR872" i="77"/>
  <c r="AT872" i="77"/>
  <c r="AK873" i="77"/>
  <c r="AN873" i="77"/>
  <c r="AO873" i="77"/>
  <c r="AH874" i="77"/>
  <c r="AP873" i="77"/>
  <c r="AR873" i="77"/>
  <c r="AT873" i="77"/>
  <c r="AK874" i="77"/>
  <c r="AN874" i="77"/>
  <c r="AO874" i="77"/>
  <c r="AH875" i="77"/>
  <c r="AP874" i="77"/>
  <c r="AR874" i="77"/>
  <c r="AT874" i="77"/>
  <c r="AK875" i="77"/>
  <c r="AN875" i="77"/>
  <c r="AO875" i="77"/>
  <c r="AH876" i="77"/>
  <c r="AP875" i="77"/>
  <c r="AR875" i="77"/>
  <c r="AT875" i="77"/>
  <c r="AK876" i="77"/>
  <c r="AN876" i="77"/>
  <c r="AO876" i="77"/>
  <c r="AH877" i="77"/>
  <c r="AP876" i="77"/>
  <c r="AR876" i="77"/>
  <c r="AT876" i="77"/>
  <c r="AK877" i="77"/>
  <c r="AN877" i="77"/>
  <c r="AO877" i="77"/>
  <c r="AH878" i="77"/>
  <c r="AP877" i="77"/>
  <c r="AR877" i="77"/>
  <c r="AT877" i="77"/>
  <c r="AK878" i="77"/>
  <c r="AN878" i="77"/>
  <c r="AO878" i="77"/>
  <c r="AH879" i="77"/>
  <c r="AP878" i="77"/>
  <c r="AR878" i="77"/>
  <c r="AT878" i="77"/>
  <c r="AK879" i="77"/>
  <c r="AN879" i="77"/>
  <c r="AO879" i="77"/>
  <c r="AH880" i="77"/>
  <c r="AP879" i="77"/>
  <c r="AR879" i="77"/>
  <c r="AT879" i="77"/>
  <c r="AK880" i="77"/>
  <c r="AN880" i="77"/>
  <c r="AO880" i="77"/>
  <c r="AH881" i="77"/>
  <c r="AP880" i="77"/>
  <c r="AR880" i="77"/>
  <c r="AT880" i="77"/>
  <c r="AK881" i="77"/>
  <c r="AN881" i="77"/>
  <c r="AO881" i="77"/>
  <c r="AH882" i="77"/>
  <c r="AP881" i="77"/>
  <c r="AR881" i="77"/>
  <c r="AT881" i="77"/>
  <c r="AK882" i="77"/>
  <c r="AN882" i="77"/>
  <c r="AO882" i="77"/>
  <c r="AH883" i="77"/>
  <c r="AP882" i="77"/>
  <c r="AR882" i="77"/>
  <c r="AT882" i="77"/>
  <c r="AK883" i="77"/>
  <c r="AN883" i="77"/>
  <c r="AO883" i="77"/>
  <c r="AH884" i="77"/>
  <c r="AP883" i="77"/>
  <c r="AR883" i="77"/>
  <c r="AT883" i="77"/>
  <c r="AK884" i="77"/>
  <c r="AN884" i="77"/>
  <c r="AO884" i="77"/>
  <c r="AH885" i="77"/>
  <c r="AP884" i="77"/>
  <c r="AR884" i="77"/>
  <c r="AT884" i="77"/>
  <c r="AK885" i="77"/>
  <c r="AN885" i="77"/>
  <c r="AO885" i="77"/>
  <c r="AH886" i="77"/>
  <c r="AP885" i="77"/>
  <c r="AR885" i="77"/>
  <c r="AT885" i="77"/>
  <c r="AK886" i="77"/>
  <c r="AN886" i="77"/>
  <c r="AO886" i="77"/>
  <c r="AH887" i="77"/>
  <c r="AP886" i="77"/>
  <c r="AR886" i="77"/>
  <c r="AT886" i="77"/>
  <c r="AK887" i="77"/>
  <c r="AN887" i="77"/>
  <c r="AO887" i="77"/>
  <c r="AH888" i="77"/>
  <c r="AP887" i="77"/>
  <c r="AR887" i="77"/>
  <c r="AT887" i="77"/>
  <c r="AK888" i="77"/>
  <c r="AN888" i="77"/>
  <c r="AO888" i="77"/>
  <c r="AH889" i="77"/>
  <c r="AP888" i="77"/>
  <c r="AR888" i="77"/>
  <c r="AT888" i="77"/>
  <c r="AK889" i="77"/>
  <c r="AN889" i="77"/>
  <c r="AO889" i="77"/>
  <c r="AH890" i="77"/>
  <c r="AP889" i="77"/>
  <c r="AR889" i="77"/>
  <c r="AT889" i="77"/>
  <c r="AK890" i="77"/>
  <c r="AN890" i="77"/>
  <c r="AO890" i="77"/>
  <c r="AH891" i="77"/>
  <c r="AP890" i="77"/>
  <c r="AR890" i="77"/>
  <c r="AT890" i="77"/>
  <c r="AK891" i="77"/>
  <c r="AN891" i="77"/>
  <c r="AO891" i="77"/>
  <c r="AH892" i="77"/>
  <c r="AP891" i="77"/>
  <c r="AR891" i="77"/>
  <c r="AT891" i="77"/>
  <c r="AK892" i="77"/>
  <c r="AN892" i="77"/>
  <c r="AO892" i="77"/>
  <c r="AH893" i="77"/>
  <c r="AP892" i="77"/>
  <c r="AR892" i="77"/>
  <c r="AT892" i="77"/>
  <c r="AK893" i="77"/>
  <c r="AN893" i="77"/>
  <c r="AO893" i="77"/>
  <c r="AH894" i="77"/>
  <c r="AP893" i="77"/>
  <c r="AR893" i="77"/>
  <c r="AT893" i="77"/>
  <c r="AK894" i="77"/>
  <c r="AN894" i="77"/>
  <c r="AO894" i="77"/>
  <c r="AH895" i="77"/>
  <c r="AP894" i="77"/>
  <c r="AR894" i="77"/>
  <c r="AT894" i="77"/>
  <c r="AK895" i="77"/>
  <c r="AN895" i="77"/>
  <c r="AO895" i="77"/>
  <c r="AH896" i="77"/>
  <c r="AP895" i="77"/>
  <c r="AR895" i="77"/>
  <c r="AT895" i="77"/>
  <c r="AK896" i="77"/>
  <c r="AN896" i="77"/>
  <c r="AO896" i="77"/>
  <c r="AH897" i="77"/>
  <c r="AP896" i="77"/>
  <c r="AR896" i="77"/>
  <c r="AT896" i="77"/>
  <c r="AK897" i="77"/>
  <c r="AN897" i="77"/>
  <c r="AO897" i="77"/>
  <c r="AH898" i="77"/>
  <c r="AP897" i="77"/>
  <c r="AR897" i="77"/>
  <c r="AT897" i="77"/>
  <c r="AK898" i="77"/>
  <c r="AN898" i="77"/>
  <c r="AO898" i="77"/>
  <c r="AH899" i="77"/>
  <c r="AP898" i="77"/>
  <c r="AR898" i="77"/>
  <c r="AT898" i="77"/>
  <c r="AK899" i="77"/>
  <c r="AN899" i="77"/>
  <c r="AO899" i="77"/>
  <c r="AH900" i="77"/>
  <c r="AP899" i="77"/>
  <c r="AR899" i="77"/>
  <c r="AT899" i="77"/>
  <c r="AK900" i="77"/>
  <c r="AN900" i="77"/>
  <c r="AO900" i="77"/>
  <c r="AH901" i="77"/>
  <c r="AP900" i="77"/>
  <c r="AR900" i="77"/>
  <c r="AT900" i="77"/>
  <c r="AK901" i="77"/>
  <c r="AN901" i="77"/>
  <c r="AO901" i="77"/>
  <c r="AH902" i="77"/>
  <c r="AP901" i="77"/>
  <c r="AR901" i="77"/>
  <c r="AT901" i="77"/>
  <c r="AK902" i="77"/>
  <c r="AN902" i="77"/>
  <c r="AO902" i="77"/>
  <c r="AH903" i="77"/>
  <c r="AP902" i="77"/>
  <c r="AR902" i="77"/>
  <c r="AT902" i="77"/>
  <c r="AK903" i="77"/>
  <c r="AN903" i="77"/>
  <c r="AO903" i="77"/>
  <c r="AH904" i="77"/>
  <c r="AP903" i="77"/>
  <c r="AR903" i="77"/>
  <c r="AT903" i="77"/>
  <c r="AK904" i="77"/>
  <c r="AN904" i="77"/>
  <c r="AO904" i="77"/>
  <c r="AH905" i="77"/>
  <c r="AP904" i="77"/>
  <c r="AR904" i="77"/>
  <c r="AT904" i="77"/>
  <c r="AK905" i="77"/>
  <c r="AN905" i="77"/>
  <c r="AO905" i="77"/>
  <c r="AH906" i="77"/>
  <c r="AP905" i="77"/>
  <c r="AR905" i="77"/>
  <c r="AT905" i="77"/>
  <c r="AK906" i="77"/>
  <c r="AN906" i="77"/>
  <c r="AO906" i="77"/>
  <c r="AH907" i="77"/>
  <c r="AP906" i="77"/>
  <c r="AR906" i="77"/>
  <c r="AT906" i="77"/>
  <c r="AK907" i="77"/>
  <c r="AN907" i="77"/>
  <c r="AO907" i="77"/>
  <c r="AH908" i="77"/>
  <c r="AP907" i="77"/>
  <c r="AR907" i="77"/>
  <c r="AT907" i="77"/>
  <c r="AK908" i="77"/>
  <c r="AN908" i="77"/>
  <c r="AO908" i="77"/>
  <c r="AH909" i="77"/>
  <c r="AP908" i="77"/>
  <c r="AR908" i="77"/>
  <c r="AT908" i="77"/>
  <c r="AK909" i="77"/>
  <c r="AN909" i="77"/>
  <c r="AO909" i="77"/>
  <c r="AH910" i="77"/>
  <c r="AP909" i="77"/>
  <c r="AR909" i="77"/>
  <c r="AT909" i="77"/>
  <c r="AK910" i="77"/>
  <c r="AN910" i="77"/>
  <c r="AO910" i="77"/>
  <c r="AH911" i="77"/>
  <c r="AP910" i="77"/>
  <c r="AR910" i="77"/>
  <c r="AT910" i="77"/>
  <c r="AK911" i="77"/>
  <c r="AN911" i="77"/>
  <c r="AO911" i="77"/>
  <c r="AH912" i="77"/>
  <c r="AP911" i="77"/>
  <c r="AR911" i="77"/>
  <c r="AT911" i="77"/>
  <c r="AK912" i="77"/>
  <c r="AN912" i="77"/>
  <c r="AO912" i="77"/>
  <c r="AH913" i="77"/>
  <c r="AP912" i="77"/>
  <c r="AR912" i="77"/>
  <c r="AT912" i="77"/>
  <c r="AK913" i="77"/>
  <c r="AN913" i="77"/>
  <c r="AO913" i="77"/>
  <c r="AH914" i="77"/>
  <c r="AP913" i="77"/>
  <c r="AR913" i="77"/>
  <c r="AT913" i="77"/>
  <c r="AK914" i="77"/>
  <c r="AN914" i="77"/>
  <c r="AO914" i="77"/>
  <c r="AH915" i="77"/>
  <c r="AP914" i="77"/>
  <c r="AR914" i="77"/>
  <c r="AT914" i="77"/>
  <c r="AK915" i="77"/>
  <c r="AN915" i="77"/>
  <c r="AO915" i="77"/>
  <c r="AH916" i="77"/>
  <c r="AP915" i="77"/>
  <c r="AR915" i="77"/>
  <c r="AT915" i="77"/>
  <c r="AK916" i="77"/>
  <c r="AN916" i="77"/>
  <c r="AO916" i="77"/>
  <c r="AH917" i="77"/>
  <c r="AP916" i="77"/>
  <c r="AR916" i="77"/>
  <c r="AT916" i="77"/>
  <c r="AK917" i="77"/>
  <c r="AN917" i="77"/>
  <c r="AO917" i="77"/>
  <c r="AH918" i="77"/>
  <c r="AP917" i="77"/>
  <c r="AR917" i="77"/>
  <c r="AT917" i="77"/>
  <c r="AK918" i="77"/>
  <c r="AN918" i="77"/>
  <c r="AO918" i="77"/>
  <c r="AH919" i="77"/>
  <c r="AP918" i="77"/>
  <c r="AR918" i="77"/>
  <c r="AT918" i="77"/>
  <c r="AK919" i="77"/>
  <c r="AN919" i="77"/>
  <c r="AO919" i="77"/>
  <c r="AH920" i="77"/>
  <c r="AP919" i="77"/>
  <c r="AR919" i="77"/>
  <c r="AT919" i="77"/>
  <c r="AK920" i="77"/>
  <c r="AN920" i="77"/>
  <c r="AO920" i="77"/>
  <c r="AH921" i="77"/>
  <c r="AP920" i="77"/>
  <c r="AR920" i="77"/>
  <c r="AT920" i="77"/>
  <c r="AK921" i="77"/>
  <c r="AN921" i="77"/>
  <c r="AO921" i="77"/>
  <c r="AH922" i="77"/>
  <c r="AP921" i="77"/>
  <c r="AR921" i="77"/>
  <c r="AT921" i="77"/>
  <c r="AK922" i="77"/>
  <c r="AN922" i="77"/>
  <c r="AO922" i="77"/>
  <c r="AH923" i="77"/>
  <c r="AP922" i="77"/>
  <c r="AR922" i="77"/>
  <c r="AT922" i="77"/>
  <c r="AK923" i="77"/>
  <c r="AN923" i="77"/>
  <c r="AO923" i="77"/>
  <c r="AH924" i="77"/>
  <c r="AP923" i="77"/>
  <c r="AR923" i="77"/>
  <c r="AT923" i="77"/>
  <c r="AK924" i="77"/>
  <c r="AN924" i="77"/>
  <c r="AO924" i="77"/>
  <c r="AH925" i="77"/>
  <c r="AP924" i="77"/>
  <c r="AR924" i="77"/>
  <c r="AT924" i="77"/>
  <c r="AK925" i="77"/>
  <c r="AN925" i="77"/>
  <c r="AO925" i="77"/>
  <c r="AH926" i="77"/>
  <c r="AP925" i="77"/>
  <c r="AR925" i="77"/>
  <c r="AT925" i="77"/>
  <c r="AK926" i="77"/>
  <c r="AN926" i="77"/>
  <c r="AO926" i="77"/>
  <c r="AH927" i="77"/>
  <c r="AP926" i="77"/>
  <c r="AR926" i="77"/>
  <c r="AT926" i="77"/>
  <c r="AK927" i="77"/>
  <c r="AN927" i="77"/>
  <c r="AO927" i="77"/>
  <c r="AH928" i="77"/>
  <c r="AP927" i="77"/>
  <c r="AR927" i="77"/>
  <c r="AT927" i="77"/>
  <c r="AK928" i="77"/>
  <c r="AN928" i="77"/>
  <c r="AO928" i="77"/>
  <c r="AH929" i="77"/>
  <c r="AP928" i="77"/>
  <c r="AR928" i="77"/>
  <c r="AT928" i="77"/>
  <c r="AK929" i="77"/>
  <c r="AN929" i="77"/>
  <c r="AO929" i="77"/>
  <c r="AH930" i="77"/>
  <c r="AP929" i="77"/>
  <c r="AR929" i="77"/>
  <c r="AT929" i="77"/>
  <c r="AK930" i="77"/>
  <c r="AN930" i="77"/>
  <c r="AO930" i="77"/>
  <c r="AH931" i="77"/>
  <c r="AP930" i="77"/>
  <c r="AR930" i="77"/>
  <c r="AT930" i="77"/>
  <c r="AK931" i="77"/>
  <c r="AN931" i="77"/>
  <c r="AO931" i="77"/>
  <c r="AH932" i="77"/>
  <c r="AP931" i="77"/>
  <c r="AR931" i="77"/>
  <c r="AT931" i="77"/>
  <c r="AK932" i="77"/>
  <c r="AN932" i="77"/>
  <c r="AO932" i="77"/>
  <c r="AH933" i="77"/>
  <c r="AP932" i="77"/>
  <c r="AR932" i="77"/>
  <c r="AT932" i="77"/>
  <c r="AK933" i="77"/>
  <c r="AN933" i="77"/>
  <c r="AO933" i="77"/>
  <c r="AH934" i="77"/>
  <c r="AP933" i="77"/>
  <c r="AR933" i="77"/>
  <c r="AT933" i="77"/>
  <c r="AK934" i="77"/>
  <c r="AN934" i="77"/>
  <c r="AO934" i="77"/>
  <c r="AH935" i="77"/>
  <c r="AP934" i="77"/>
  <c r="AR934" i="77"/>
  <c r="AT934" i="77"/>
  <c r="AK935" i="77"/>
  <c r="AN935" i="77"/>
  <c r="AO935" i="77"/>
  <c r="AH936" i="77"/>
  <c r="AP935" i="77"/>
  <c r="AR935" i="77"/>
  <c r="AT935" i="77"/>
  <c r="AK936" i="77"/>
  <c r="AN936" i="77"/>
  <c r="AO936" i="77"/>
  <c r="AH937" i="77"/>
  <c r="AP936" i="77"/>
  <c r="AR936" i="77"/>
  <c r="AT936" i="77"/>
  <c r="AK937" i="77"/>
  <c r="AN937" i="77"/>
  <c r="AO937" i="77"/>
  <c r="AH938" i="77"/>
  <c r="AP937" i="77"/>
  <c r="AR937" i="77"/>
  <c r="AT937" i="77"/>
  <c r="AK938" i="77"/>
  <c r="AN938" i="77"/>
  <c r="AO938" i="77"/>
  <c r="AH939" i="77"/>
  <c r="AP938" i="77"/>
  <c r="AR938" i="77"/>
  <c r="AT938" i="77"/>
  <c r="AK939" i="77"/>
  <c r="AN939" i="77"/>
  <c r="AO939" i="77"/>
  <c r="AH940" i="77"/>
  <c r="AP939" i="77"/>
  <c r="AR939" i="77"/>
  <c r="AT939" i="77"/>
  <c r="AK940" i="77"/>
  <c r="AN940" i="77"/>
  <c r="AO940" i="77"/>
  <c r="AH941" i="77"/>
  <c r="AP940" i="77"/>
  <c r="AR940" i="77"/>
  <c r="AT940" i="77"/>
  <c r="AK941" i="77"/>
  <c r="AN941" i="77"/>
  <c r="AO941" i="77"/>
  <c r="AH942" i="77"/>
  <c r="AP941" i="77"/>
  <c r="AR941" i="77"/>
  <c r="AT941" i="77"/>
  <c r="AK942" i="77"/>
  <c r="AN942" i="77"/>
  <c r="AO942" i="77"/>
  <c r="AH943" i="77"/>
  <c r="AP942" i="77"/>
  <c r="AR942" i="77"/>
  <c r="AT942" i="77"/>
  <c r="AK943" i="77"/>
  <c r="AN943" i="77"/>
  <c r="AO943" i="77"/>
  <c r="AH944" i="77"/>
  <c r="AP943" i="77"/>
  <c r="AR943" i="77"/>
  <c r="AT943" i="77"/>
  <c r="AK944" i="77"/>
  <c r="AN944" i="77"/>
  <c r="AO944" i="77"/>
  <c r="AH945" i="77"/>
  <c r="AP944" i="77"/>
  <c r="AR944" i="77"/>
  <c r="AT944" i="77"/>
  <c r="AK945" i="77"/>
  <c r="AN945" i="77"/>
  <c r="AO945" i="77"/>
  <c r="AH946" i="77"/>
  <c r="AP945" i="77"/>
  <c r="AR945" i="77"/>
  <c r="AT945" i="77"/>
  <c r="AK946" i="77"/>
  <c r="AN946" i="77"/>
  <c r="AO946" i="77"/>
  <c r="AH947" i="77"/>
  <c r="AP946" i="77"/>
  <c r="AR946" i="77"/>
  <c r="AT946" i="77"/>
  <c r="AK947" i="77"/>
  <c r="AN947" i="77"/>
  <c r="AO947" i="77"/>
  <c r="AH948" i="77"/>
  <c r="AP947" i="77"/>
  <c r="AR947" i="77"/>
  <c r="AT947" i="77"/>
  <c r="AK948" i="77"/>
  <c r="AN948" i="77"/>
  <c r="AO948" i="77"/>
  <c r="AH949" i="77"/>
  <c r="AP948" i="77"/>
  <c r="AR948" i="77"/>
  <c r="AT948" i="77"/>
  <c r="AK949" i="77"/>
  <c r="AN949" i="77"/>
  <c r="AO949" i="77"/>
  <c r="AH950" i="77"/>
  <c r="AP949" i="77"/>
  <c r="AR949" i="77"/>
  <c r="AT949" i="77"/>
  <c r="AK950" i="77"/>
  <c r="AN950" i="77"/>
  <c r="AO950" i="77"/>
  <c r="AH951" i="77"/>
  <c r="AP950" i="77"/>
  <c r="AR950" i="77"/>
  <c r="AT950" i="77"/>
  <c r="AK951" i="77"/>
  <c r="AN951" i="77"/>
  <c r="AO951" i="77"/>
  <c r="AH952" i="77"/>
  <c r="AP951" i="77"/>
  <c r="AR951" i="77"/>
  <c r="AT951" i="77"/>
  <c r="AK952" i="77"/>
  <c r="AN952" i="77"/>
  <c r="AO952" i="77"/>
  <c r="AH953" i="77"/>
  <c r="AP952" i="77"/>
  <c r="AR952" i="77"/>
  <c r="AT952" i="77"/>
  <c r="AK953" i="77"/>
  <c r="AN953" i="77"/>
  <c r="AO953" i="77"/>
  <c r="AH954" i="77"/>
  <c r="AP953" i="77"/>
  <c r="AR953" i="77"/>
  <c r="AT953" i="77"/>
  <c r="AK954" i="77"/>
  <c r="AN954" i="77"/>
  <c r="AO954" i="77"/>
  <c r="AH955" i="77"/>
  <c r="AP954" i="77"/>
  <c r="AR954" i="77"/>
  <c r="AT954" i="77"/>
  <c r="AK955" i="77"/>
  <c r="AN955" i="77"/>
  <c r="AO955" i="77"/>
  <c r="AH956" i="77"/>
  <c r="AP955" i="77"/>
  <c r="AR955" i="77"/>
  <c r="AT955" i="77"/>
  <c r="AK956" i="77"/>
  <c r="AN956" i="77"/>
  <c r="AO956" i="77"/>
  <c r="AH957" i="77"/>
  <c r="AP956" i="77"/>
  <c r="AR956" i="77"/>
  <c r="AT956" i="77"/>
  <c r="AK957" i="77"/>
  <c r="AN957" i="77"/>
  <c r="AO957" i="77"/>
  <c r="AH958" i="77"/>
  <c r="AP957" i="77"/>
  <c r="AR957" i="77"/>
  <c r="AT957" i="77"/>
  <c r="AK958" i="77"/>
  <c r="AN958" i="77"/>
  <c r="AO958" i="77"/>
  <c r="AH959" i="77"/>
  <c r="AP958" i="77"/>
  <c r="AR958" i="77"/>
  <c r="AT958" i="77"/>
  <c r="AK959" i="77"/>
  <c r="AN959" i="77"/>
  <c r="AO959" i="77"/>
  <c r="AH960" i="77"/>
  <c r="AP959" i="77"/>
  <c r="AR959" i="77"/>
  <c r="AT959" i="77"/>
  <c r="AK960" i="77"/>
  <c r="AN960" i="77"/>
  <c r="AO960" i="77"/>
  <c r="AH961" i="77"/>
  <c r="AP960" i="77"/>
  <c r="AR960" i="77"/>
  <c r="AT960" i="77"/>
  <c r="AK961" i="77"/>
  <c r="AN961" i="77"/>
  <c r="AO961" i="77"/>
  <c r="AH962" i="77"/>
  <c r="AP961" i="77"/>
  <c r="AR961" i="77"/>
  <c r="AT961" i="77"/>
  <c r="AK962" i="77"/>
  <c r="AN962" i="77"/>
  <c r="AO962" i="77"/>
  <c r="AH963" i="77"/>
  <c r="AP962" i="77"/>
  <c r="AR962" i="77"/>
  <c r="AT962" i="77"/>
  <c r="AK963" i="77"/>
  <c r="AN963" i="77"/>
  <c r="AO963" i="77"/>
  <c r="AH964" i="77"/>
  <c r="AP963" i="77"/>
  <c r="AR963" i="77"/>
  <c r="AT963" i="77"/>
  <c r="AK964" i="77"/>
  <c r="AN964" i="77"/>
  <c r="AO964" i="77"/>
  <c r="AH965" i="77"/>
  <c r="AP964" i="77"/>
  <c r="AR964" i="77"/>
  <c r="AT964" i="77"/>
  <c r="AK965" i="77"/>
  <c r="AN965" i="77"/>
  <c r="AO965" i="77"/>
  <c r="AH966" i="77"/>
  <c r="AP965" i="77"/>
  <c r="AR965" i="77"/>
  <c r="AT965" i="77"/>
  <c r="AK966" i="77"/>
  <c r="AN966" i="77"/>
  <c r="AO966" i="77"/>
  <c r="AH967" i="77"/>
  <c r="AP966" i="77"/>
  <c r="AR966" i="77"/>
  <c r="AT966" i="77"/>
  <c r="AK967" i="77"/>
  <c r="AN967" i="77"/>
  <c r="AO967" i="77"/>
  <c r="AH968" i="77"/>
  <c r="AP967" i="77"/>
  <c r="AR967" i="77"/>
  <c r="AT967" i="77"/>
  <c r="AK968" i="77"/>
  <c r="AN968" i="77"/>
  <c r="AO968" i="77"/>
  <c r="AH969" i="77"/>
  <c r="AP968" i="77"/>
  <c r="AR968" i="77"/>
  <c r="AT968" i="77"/>
  <c r="AK969" i="77"/>
  <c r="AN969" i="77"/>
  <c r="AO969" i="77"/>
  <c r="AH970" i="77"/>
  <c r="AP969" i="77"/>
  <c r="AR969" i="77"/>
  <c r="AT969" i="77"/>
  <c r="AK970" i="77"/>
  <c r="AN970" i="77"/>
  <c r="AO970" i="77"/>
  <c r="AH971" i="77"/>
  <c r="AP970" i="77"/>
  <c r="AR970" i="77"/>
  <c r="AT970" i="77"/>
  <c r="AK971" i="77"/>
  <c r="AN971" i="77"/>
  <c r="AO971" i="77"/>
  <c r="AH972" i="77"/>
  <c r="AP971" i="77"/>
  <c r="AR971" i="77"/>
  <c r="AT971" i="77"/>
  <c r="AK972" i="77"/>
  <c r="AN972" i="77"/>
  <c r="AO972" i="77"/>
  <c r="AH973" i="77"/>
  <c r="AP972" i="77"/>
  <c r="AR972" i="77"/>
  <c r="AT972" i="77"/>
  <c r="AK973" i="77"/>
  <c r="AN973" i="77"/>
  <c r="AO973" i="77"/>
  <c r="AH974" i="77"/>
  <c r="AP973" i="77"/>
  <c r="AR973" i="77"/>
  <c r="AT973" i="77"/>
  <c r="AK974" i="77"/>
  <c r="AN974" i="77"/>
  <c r="AO974" i="77"/>
  <c r="AH975" i="77"/>
  <c r="AP974" i="77"/>
  <c r="AR974" i="77"/>
  <c r="AT974" i="77"/>
  <c r="AK975" i="77"/>
  <c r="AN975" i="77"/>
  <c r="AO975" i="77"/>
  <c r="AH976" i="77"/>
  <c r="AP975" i="77"/>
  <c r="AR975" i="77"/>
  <c r="AT975" i="77"/>
  <c r="AK976" i="77"/>
  <c r="AN976" i="77"/>
  <c r="AO976" i="77"/>
  <c r="AH977" i="77"/>
  <c r="AP976" i="77"/>
  <c r="AR976" i="77"/>
  <c r="AT976" i="77"/>
  <c r="AK977" i="77"/>
  <c r="AN977" i="77"/>
  <c r="AO977" i="77"/>
  <c r="AH978" i="77"/>
  <c r="AP977" i="77"/>
  <c r="AR977" i="77"/>
  <c r="AT977" i="77"/>
  <c r="AK978" i="77"/>
  <c r="AN978" i="77"/>
  <c r="AO978" i="77"/>
  <c r="AH979" i="77"/>
  <c r="AP978" i="77"/>
  <c r="AR978" i="77"/>
  <c r="AT978" i="77"/>
  <c r="AK979" i="77"/>
  <c r="AN979" i="77"/>
  <c r="AO979" i="77"/>
  <c r="AH980" i="77"/>
  <c r="AP979" i="77"/>
  <c r="AR979" i="77"/>
  <c r="AT979" i="77"/>
  <c r="AK980" i="77"/>
  <c r="AN980" i="77"/>
  <c r="AO980" i="77"/>
  <c r="AH981" i="77"/>
  <c r="AP980" i="77"/>
  <c r="AR980" i="77"/>
  <c r="AT980" i="77"/>
  <c r="AK981" i="77"/>
  <c r="AN981" i="77"/>
  <c r="AO981" i="77"/>
  <c r="AH982" i="77"/>
  <c r="AP981" i="77"/>
  <c r="AR981" i="77"/>
  <c r="AT981" i="77"/>
  <c r="AK982" i="77"/>
  <c r="AN982" i="77"/>
  <c r="AO982" i="77"/>
  <c r="AH983" i="77"/>
  <c r="AP982" i="77"/>
  <c r="AR982" i="77"/>
  <c r="AT982" i="77"/>
  <c r="AK983" i="77"/>
  <c r="AN983" i="77"/>
  <c r="AO983" i="77"/>
  <c r="AH984" i="77"/>
  <c r="AP983" i="77"/>
  <c r="AR983" i="77"/>
  <c r="AT983" i="77"/>
  <c r="AK984" i="77"/>
  <c r="AN984" i="77"/>
  <c r="AO984" i="77"/>
  <c r="AH985" i="77"/>
  <c r="AP984" i="77"/>
  <c r="AR984" i="77"/>
  <c r="AT984" i="77"/>
  <c r="AK985" i="77"/>
  <c r="AN985" i="77"/>
  <c r="AO985" i="77"/>
  <c r="AH986" i="77"/>
  <c r="AP985" i="77"/>
  <c r="AR985" i="77"/>
  <c r="AT985" i="77"/>
  <c r="AK986" i="77"/>
  <c r="AN986" i="77"/>
  <c r="AO986" i="77"/>
  <c r="AH987" i="77"/>
  <c r="AP986" i="77"/>
  <c r="AR986" i="77"/>
  <c r="AT986" i="77"/>
  <c r="AK987" i="77"/>
  <c r="AN987" i="77"/>
  <c r="AO987" i="77"/>
  <c r="AH988" i="77"/>
  <c r="AP987" i="77"/>
  <c r="AR987" i="77"/>
  <c r="AT987" i="77"/>
  <c r="AK988" i="77"/>
  <c r="AN988" i="77"/>
  <c r="AO988" i="77"/>
  <c r="AH989" i="77"/>
  <c r="AP988" i="77"/>
  <c r="AR988" i="77"/>
  <c r="AT988" i="77"/>
  <c r="AK989" i="77"/>
  <c r="AN989" i="77"/>
  <c r="AO989" i="77"/>
  <c r="AH990" i="77"/>
  <c r="AP989" i="77"/>
  <c r="AR989" i="77"/>
  <c r="AT989" i="77"/>
  <c r="AK990" i="77"/>
  <c r="AN990" i="77"/>
  <c r="AO990" i="77"/>
  <c r="AH991" i="77"/>
  <c r="AP990" i="77"/>
  <c r="AR990" i="77"/>
  <c r="AT990" i="77"/>
  <c r="AK991" i="77"/>
  <c r="AN991" i="77"/>
  <c r="AO991" i="77"/>
  <c r="AH992" i="77"/>
  <c r="AP991" i="77"/>
  <c r="AR991" i="77"/>
  <c r="AT991" i="77"/>
  <c r="AK992" i="77"/>
  <c r="AN992" i="77"/>
  <c r="AO992" i="77"/>
  <c r="AH993" i="77"/>
  <c r="AP992" i="77"/>
  <c r="AR992" i="77"/>
  <c r="AT992" i="77"/>
  <c r="AK993" i="77"/>
  <c r="AN993" i="77"/>
  <c r="AO993" i="77"/>
  <c r="AH994" i="77"/>
  <c r="AP993" i="77"/>
  <c r="AR993" i="77"/>
  <c r="AT993" i="77"/>
  <c r="AK994" i="77"/>
  <c r="AN994" i="77"/>
  <c r="AO994" i="77"/>
  <c r="AH995" i="77"/>
  <c r="AP994" i="77"/>
  <c r="AR994" i="77"/>
  <c r="AT994" i="77"/>
  <c r="AK995" i="77"/>
  <c r="AN995" i="77"/>
  <c r="AO995" i="77"/>
  <c r="AH996" i="77"/>
  <c r="AP995" i="77"/>
  <c r="AR995" i="77"/>
  <c r="AT995" i="77"/>
  <c r="AK996" i="77"/>
  <c r="AN996" i="77"/>
  <c r="AO996" i="77"/>
  <c r="AH997" i="77"/>
  <c r="AP996" i="77"/>
  <c r="AR996" i="77"/>
  <c r="AT996" i="77"/>
  <c r="AK997" i="77"/>
  <c r="AN997" i="77"/>
  <c r="AO997" i="77"/>
  <c r="AH998" i="77"/>
  <c r="AP997" i="77"/>
  <c r="AR997" i="77"/>
  <c r="AT997" i="77"/>
  <c r="AK998" i="77"/>
  <c r="AN998" i="77"/>
  <c r="AO998" i="77"/>
  <c r="AH999" i="77"/>
  <c r="AP998" i="77"/>
  <c r="AR998" i="77"/>
  <c r="AT998" i="77"/>
  <c r="AK999" i="77"/>
  <c r="AN999" i="77"/>
  <c r="AO999" i="77"/>
  <c r="AH1000" i="77"/>
  <c r="AP999" i="77"/>
  <c r="AR999" i="77"/>
  <c r="AT999" i="77"/>
  <c r="AN1000" i="77"/>
  <c r="AO1000" i="77"/>
  <c r="AH1001" i="77"/>
  <c r="AP1000" i="77"/>
  <c r="AR1000" i="77"/>
  <c r="AT1000" i="77"/>
  <c r="AH1002" i="77"/>
  <c r="AP1001" i="77"/>
  <c r="AR1001" i="77"/>
  <c r="AT1001" i="77"/>
  <c r="AH1003" i="77"/>
  <c r="AP1002" i="77"/>
  <c r="AR1002" i="77"/>
  <c r="AT1002" i="77"/>
  <c r="AH1004" i="77"/>
  <c r="AP1003" i="77"/>
  <c r="AR1003" i="77"/>
  <c r="AT1003" i="77"/>
  <c r="AP1004" i="77"/>
  <c r="AR1004" i="77"/>
  <c r="AT1004" i="77"/>
  <c r="AV4" i="77"/>
  <c r="F20" i="80"/>
  <c r="AI616" i="77"/>
  <c r="AI615" i="77"/>
  <c r="AQ615" i="77"/>
  <c r="AS615" i="77"/>
  <c r="AU615" i="77"/>
  <c r="AI617" i="77"/>
  <c r="AQ616" i="77"/>
  <c r="AS616" i="77"/>
  <c r="AU616" i="77"/>
  <c r="AI618" i="77"/>
  <c r="AQ617" i="77"/>
  <c r="AS617" i="77"/>
  <c r="AU617" i="77"/>
  <c r="AI619" i="77"/>
  <c r="AQ618" i="77"/>
  <c r="AS618" i="77"/>
  <c r="AU618" i="77"/>
  <c r="AI620" i="77"/>
  <c r="AQ619" i="77"/>
  <c r="AS619" i="77"/>
  <c r="AU619" i="77"/>
  <c r="AI621" i="77"/>
  <c r="AQ620" i="77"/>
  <c r="AS620" i="77"/>
  <c r="AU620" i="77"/>
  <c r="AI622" i="77"/>
  <c r="AQ621" i="77"/>
  <c r="AS621" i="77"/>
  <c r="AU621" i="77"/>
  <c r="AI623" i="77"/>
  <c r="AQ622" i="77"/>
  <c r="AS622" i="77"/>
  <c r="AU622" i="77"/>
  <c r="AI624" i="77"/>
  <c r="AQ623" i="77"/>
  <c r="AS623" i="77"/>
  <c r="AU623" i="77"/>
  <c r="AI625" i="77"/>
  <c r="AQ624" i="77"/>
  <c r="AS624" i="77"/>
  <c r="AU624" i="77"/>
  <c r="AI626" i="77"/>
  <c r="AQ625" i="77"/>
  <c r="AS625" i="77"/>
  <c r="AU625" i="77"/>
  <c r="AI627" i="77"/>
  <c r="AQ626" i="77"/>
  <c r="AS626" i="77"/>
  <c r="AU626" i="77"/>
  <c r="AI628" i="77"/>
  <c r="AQ627" i="77"/>
  <c r="AS627" i="77"/>
  <c r="AU627" i="77"/>
  <c r="AI629" i="77"/>
  <c r="AQ628" i="77"/>
  <c r="AS628" i="77"/>
  <c r="AU628" i="77"/>
  <c r="AI630" i="77"/>
  <c r="AQ629" i="77"/>
  <c r="AS629" i="77"/>
  <c r="AU629" i="77"/>
  <c r="AI631" i="77"/>
  <c r="AQ630" i="77"/>
  <c r="AS630" i="77"/>
  <c r="AU630" i="77"/>
  <c r="AI632" i="77"/>
  <c r="AQ631" i="77"/>
  <c r="AS631" i="77"/>
  <c r="AU631" i="77"/>
  <c r="AI633" i="77"/>
  <c r="AQ632" i="77"/>
  <c r="AS632" i="77"/>
  <c r="AU632" i="77"/>
  <c r="AI634" i="77"/>
  <c r="AQ633" i="77"/>
  <c r="AS633" i="77"/>
  <c r="AU633" i="77"/>
  <c r="AI635" i="77"/>
  <c r="AQ634" i="77"/>
  <c r="AS634" i="77"/>
  <c r="AU634" i="77"/>
  <c r="AI636" i="77"/>
  <c r="AQ635" i="77"/>
  <c r="AS635" i="77"/>
  <c r="AU635" i="77"/>
  <c r="AI637" i="77"/>
  <c r="AQ636" i="77"/>
  <c r="AS636" i="77"/>
  <c r="AU636" i="77"/>
  <c r="AI638" i="77"/>
  <c r="AQ637" i="77"/>
  <c r="AS637" i="77"/>
  <c r="AU637" i="77"/>
  <c r="AI639" i="77"/>
  <c r="AQ638" i="77"/>
  <c r="AS638" i="77"/>
  <c r="AU638" i="77"/>
  <c r="AI640" i="77"/>
  <c r="AQ639" i="77"/>
  <c r="AS639" i="77"/>
  <c r="AU639" i="77"/>
  <c r="AI641" i="77"/>
  <c r="AQ640" i="77"/>
  <c r="AS640" i="77"/>
  <c r="AU640" i="77"/>
  <c r="AI642" i="77"/>
  <c r="AQ641" i="77"/>
  <c r="AS641" i="77"/>
  <c r="AU641" i="77"/>
  <c r="AI643" i="77"/>
  <c r="AQ642" i="77"/>
  <c r="AS642" i="77"/>
  <c r="AU642" i="77"/>
  <c r="AI644" i="77"/>
  <c r="AQ643" i="77"/>
  <c r="AS643" i="77"/>
  <c r="AU643" i="77"/>
  <c r="AI645" i="77"/>
  <c r="AQ644" i="77"/>
  <c r="AS644" i="77"/>
  <c r="AU644" i="77"/>
  <c r="AI646" i="77"/>
  <c r="AQ645" i="77"/>
  <c r="AS645" i="77"/>
  <c r="AU645" i="77"/>
  <c r="AI647" i="77"/>
  <c r="AQ646" i="77"/>
  <c r="AS646" i="77"/>
  <c r="AU646" i="77"/>
  <c r="AI648" i="77"/>
  <c r="AQ647" i="77"/>
  <c r="AS647" i="77"/>
  <c r="AU647" i="77"/>
  <c r="AI649" i="77"/>
  <c r="AQ648" i="77"/>
  <c r="AS648" i="77"/>
  <c r="AU648" i="77"/>
  <c r="AI650" i="77"/>
  <c r="AQ649" i="77"/>
  <c r="AS649" i="77"/>
  <c r="AU649" i="77"/>
  <c r="AI651" i="77"/>
  <c r="AQ650" i="77"/>
  <c r="AS650" i="77"/>
  <c r="AU650" i="77"/>
  <c r="AI652" i="77"/>
  <c r="AQ651" i="77"/>
  <c r="AS651" i="77"/>
  <c r="AU651" i="77"/>
  <c r="AI653" i="77"/>
  <c r="AQ652" i="77"/>
  <c r="AS652" i="77"/>
  <c r="AU652" i="77"/>
  <c r="AI654" i="77"/>
  <c r="AQ653" i="77"/>
  <c r="AS653" i="77"/>
  <c r="AU653" i="77"/>
  <c r="AI655" i="77"/>
  <c r="AQ654" i="77"/>
  <c r="AS654" i="77"/>
  <c r="AU654" i="77"/>
  <c r="AI656" i="77"/>
  <c r="AQ655" i="77"/>
  <c r="AS655" i="77"/>
  <c r="AU655" i="77"/>
  <c r="AI657" i="77"/>
  <c r="AQ656" i="77"/>
  <c r="AS656" i="77"/>
  <c r="AU656" i="77"/>
  <c r="AI658" i="77"/>
  <c r="AQ657" i="77"/>
  <c r="AS657" i="77"/>
  <c r="AU657" i="77"/>
  <c r="AI659" i="77"/>
  <c r="AQ658" i="77"/>
  <c r="AS658" i="77"/>
  <c r="AU658" i="77"/>
  <c r="AI660" i="77"/>
  <c r="AQ659" i="77"/>
  <c r="AS659" i="77"/>
  <c r="AU659" i="77"/>
  <c r="AI661" i="77"/>
  <c r="AQ660" i="77"/>
  <c r="AS660" i="77"/>
  <c r="AU660" i="77"/>
  <c r="AI662" i="77"/>
  <c r="AQ661" i="77"/>
  <c r="AS661" i="77"/>
  <c r="AU661" i="77"/>
  <c r="AI663" i="77"/>
  <c r="AQ662" i="77"/>
  <c r="AS662" i="77"/>
  <c r="AU662" i="77"/>
  <c r="AI664" i="77"/>
  <c r="AQ663" i="77"/>
  <c r="AS663" i="77"/>
  <c r="AU663" i="77"/>
  <c r="AI665" i="77"/>
  <c r="AQ664" i="77"/>
  <c r="AS664" i="77"/>
  <c r="AU664" i="77"/>
  <c r="AI666" i="77"/>
  <c r="AQ665" i="77"/>
  <c r="AS665" i="77"/>
  <c r="AU665" i="77"/>
  <c r="AI667" i="77"/>
  <c r="AQ666" i="77"/>
  <c r="AS666" i="77"/>
  <c r="AU666" i="77"/>
  <c r="AI668" i="77"/>
  <c r="AQ667" i="77"/>
  <c r="AS667" i="77"/>
  <c r="AU667" i="77"/>
  <c r="AI669" i="77"/>
  <c r="AQ668" i="77"/>
  <c r="AS668" i="77"/>
  <c r="AU668" i="77"/>
  <c r="AI670" i="77"/>
  <c r="AQ669" i="77"/>
  <c r="AS669" i="77"/>
  <c r="AU669" i="77"/>
  <c r="AI671" i="77"/>
  <c r="AQ670" i="77"/>
  <c r="AS670" i="77"/>
  <c r="AU670" i="77"/>
  <c r="AI672" i="77"/>
  <c r="AQ671" i="77"/>
  <c r="AS671" i="77"/>
  <c r="AU671" i="77"/>
  <c r="AI673" i="77"/>
  <c r="AQ672" i="77"/>
  <c r="AS672" i="77"/>
  <c r="AU672" i="77"/>
  <c r="AI674" i="77"/>
  <c r="AQ673" i="77"/>
  <c r="AS673" i="77"/>
  <c r="AU673" i="77"/>
  <c r="AI675" i="77"/>
  <c r="AQ674" i="77"/>
  <c r="AS674" i="77"/>
  <c r="AU674" i="77"/>
  <c r="AI676" i="77"/>
  <c r="AQ675" i="77"/>
  <c r="AS675" i="77"/>
  <c r="AU675" i="77"/>
  <c r="AI677" i="77"/>
  <c r="AQ676" i="77"/>
  <c r="AS676" i="77"/>
  <c r="AU676" i="77"/>
  <c r="AI678" i="77"/>
  <c r="AQ677" i="77"/>
  <c r="AS677" i="77"/>
  <c r="AU677" i="77"/>
  <c r="AI679" i="77"/>
  <c r="AQ678" i="77"/>
  <c r="AS678" i="77"/>
  <c r="AU678" i="77"/>
  <c r="AI680" i="77"/>
  <c r="AQ679" i="77"/>
  <c r="AS679" i="77"/>
  <c r="AU679" i="77"/>
  <c r="AI681" i="77"/>
  <c r="AQ680" i="77"/>
  <c r="AS680" i="77"/>
  <c r="AU680" i="77"/>
  <c r="AI682" i="77"/>
  <c r="AQ681" i="77"/>
  <c r="AS681" i="77"/>
  <c r="AU681" i="77"/>
  <c r="AI683" i="77"/>
  <c r="AQ682" i="77"/>
  <c r="AS682" i="77"/>
  <c r="AU682" i="77"/>
  <c r="AI684" i="77"/>
  <c r="AQ683" i="77"/>
  <c r="AS683" i="77"/>
  <c r="AU683" i="77"/>
  <c r="AI685" i="77"/>
  <c r="AQ684" i="77"/>
  <c r="AS684" i="77"/>
  <c r="AU684" i="77"/>
  <c r="AI686" i="77"/>
  <c r="AQ685" i="77"/>
  <c r="AS685" i="77"/>
  <c r="AU685" i="77"/>
  <c r="AI687" i="77"/>
  <c r="AQ686" i="77"/>
  <c r="AS686" i="77"/>
  <c r="AU686" i="77"/>
  <c r="AI688" i="77"/>
  <c r="AQ687" i="77"/>
  <c r="AS687" i="77"/>
  <c r="AU687" i="77"/>
  <c r="AI689" i="77"/>
  <c r="AQ688" i="77"/>
  <c r="AS688" i="77"/>
  <c r="AU688" i="77"/>
  <c r="AI690" i="77"/>
  <c r="AQ689" i="77"/>
  <c r="AS689" i="77"/>
  <c r="AU689" i="77"/>
  <c r="AI691" i="77"/>
  <c r="AQ690" i="77"/>
  <c r="AS690" i="77"/>
  <c r="AU690" i="77"/>
  <c r="AI692" i="77"/>
  <c r="AQ691" i="77"/>
  <c r="AS691" i="77"/>
  <c r="AU691" i="77"/>
  <c r="AI693" i="77"/>
  <c r="AQ692" i="77"/>
  <c r="AS692" i="77"/>
  <c r="AU692" i="77"/>
  <c r="AI694" i="77"/>
  <c r="AQ693" i="77"/>
  <c r="AS693" i="77"/>
  <c r="AU693" i="77"/>
  <c r="AI695" i="77"/>
  <c r="AQ694" i="77"/>
  <c r="AS694" i="77"/>
  <c r="AU694" i="77"/>
  <c r="AI696" i="77"/>
  <c r="AQ695" i="77"/>
  <c r="AS695" i="77"/>
  <c r="AU695" i="77"/>
  <c r="AI697" i="77"/>
  <c r="AQ696" i="77"/>
  <c r="AS696" i="77"/>
  <c r="AU696" i="77"/>
  <c r="AI698" i="77"/>
  <c r="AQ697" i="77"/>
  <c r="AS697" i="77"/>
  <c r="AU697" i="77"/>
  <c r="AI699" i="77"/>
  <c r="AQ698" i="77"/>
  <c r="AS698" i="77"/>
  <c r="AU698" i="77"/>
  <c r="AI700" i="77"/>
  <c r="AQ699" i="77"/>
  <c r="AS699" i="77"/>
  <c r="AU699" i="77"/>
  <c r="AI701" i="77"/>
  <c r="AQ700" i="77"/>
  <c r="AS700" i="77"/>
  <c r="AU700" i="77"/>
  <c r="AI702" i="77"/>
  <c r="AQ701" i="77"/>
  <c r="AS701" i="77"/>
  <c r="AU701" i="77"/>
  <c r="AI703" i="77"/>
  <c r="AQ702" i="77"/>
  <c r="AS702" i="77"/>
  <c r="AU702" i="77"/>
  <c r="AI704" i="77"/>
  <c r="AQ703" i="77"/>
  <c r="AS703" i="77"/>
  <c r="AU703" i="77"/>
  <c r="AI705" i="77"/>
  <c r="AQ704" i="77"/>
  <c r="AS704" i="77"/>
  <c r="AU704" i="77"/>
  <c r="AI706" i="77"/>
  <c r="AQ705" i="77"/>
  <c r="AS705" i="77"/>
  <c r="AU705" i="77"/>
  <c r="AI707" i="77"/>
  <c r="AQ706" i="77"/>
  <c r="AS706" i="77"/>
  <c r="AU706" i="77"/>
  <c r="AI708" i="77"/>
  <c r="AQ707" i="77"/>
  <c r="AS707" i="77"/>
  <c r="AU707" i="77"/>
  <c r="AI709" i="77"/>
  <c r="AQ708" i="77"/>
  <c r="AS708" i="77"/>
  <c r="AU708" i="77"/>
  <c r="AI710" i="77"/>
  <c r="AQ709" i="77"/>
  <c r="AS709" i="77"/>
  <c r="AU709" i="77"/>
  <c r="AI711" i="77"/>
  <c r="AQ710" i="77"/>
  <c r="AS710" i="77"/>
  <c r="AU710" i="77"/>
  <c r="AI712" i="77"/>
  <c r="AQ711" i="77"/>
  <c r="AS711" i="77"/>
  <c r="AU711" i="77"/>
  <c r="AI713" i="77"/>
  <c r="AQ712" i="77"/>
  <c r="AS712" i="77"/>
  <c r="AU712" i="77"/>
  <c r="AI714" i="77"/>
  <c r="AQ713" i="77"/>
  <c r="AS713" i="77"/>
  <c r="AU713" i="77"/>
  <c r="AI715" i="77"/>
  <c r="AQ714" i="77"/>
  <c r="AS714" i="77"/>
  <c r="AU714" i="77"/>
  <c r="AI716" i="77"/>
  <c r="AQ715" i="77"/>
  <c r="AS715" i="77"/>
  <c r="AU715" i="77"/>
  <c r="AI717" i="77"/>
  <c r="AQ716" i="77"/>
  <c r="AS716" i="77"/>
  <c r="AU716" i="77"/>
  <c r="AI718" i="77"/>
  <c r="AQ717" i="77"/>
  <c r="AS717" i="77"/>
  <c r="AU717" i="77"/>
  <c r="AI719" i="77"/>
  <c r="AQ718" i="77"/>
  <c r="AS718" i="77"/>
  <c r="AU718" i="77"/>
  <c r="AI720" i="77"/>
  <c r="AQ719" i="77"/>
  <c r="AS719" i="77"/>
  <c r="AU719" i="77"/>
  <c r="AI721" i="77"/>
  <c r="AQ720" i="77"/>
  <c r="AS720" i="77"/>
  <c r="AU720" i="77"/>
  <c r="AI722" i="77"/>
  <c r="AQ721" i="77"/>
  <c r="AS721" i="77"/>
  <c r="AU721" i="77"/>
  <c r="AI723" i="77"/>
  <c r="AQ722" i="77"/>
  <c r="AS722" i="77"/>
  <c r="AU722" i="77"/>
  <c r="AI724" i="77"/>
  <c r="AQ723" i="77"/>
  <c r="AS723" i="77"/>
  <c r="AU723" i="77"/>
  <c r="AI725" i="77"/>
  <c r="AQ724" i="77"/>
  <c r="AS724" i="77"/>
  <c r="AU724" i="77"/>
  <c r="AI726" i="77"/>
  <c r="AQ725" i="77"/>
  <c r="AS725" i="77"/>
  <c r="AU725" i="77"/>
  <c r="AI727" i="77"/>
  <c r="AQ726" i="77"/>
  <c r="AS726" i="77"/>
  <c r="AU726" i="77"/>
  <c r="AI728" i="77"/>
  <c r="AQ727" i="77"/>
  <c r="AS727" i="77"/>
  <c r="AU727" i="77"/>
  <c r="AI729" i="77"/>
  <c r="AQ728" i="77"/>
  <c r="AS728" i="77"/>
  <c r="AU728" i="77"/>
  <c r="AI730" i="77"/>
  <c r="AQ729" i="77"/>
  <c r="AS729" i="77"/>
  <c r="AU729" i="77"/>
  <c r="AI731" i="77"/>
  <c r="AQ730" i="77"/>
  <c r="AS730" i="77"/>
  <c r="AU730" i="77"/>
  <c r="AI732" i="77"/>
  <c r="AQ731" i="77"/>
  <c r="AS731" i="77"/>
  <c r="AU731" i="77"/>
  <c r="AI733" i="77"/>
  <c r="AQ732" i="77"/>
  <c r="AS732" i="77"/>
  <c r="AU732" i="77"/>
  <c r="AI734" i="77"/>
  <c r="AQ733" i="77"/>
  <c r="AS733" i="77"/>
  <c r="AU733" i="77"/>
  <c r="AI735" i="77"/>
  <c r="AQ734" i="77"/>
  <c r="AS734" i="77"/>
  <c r="AU734" i="77"/>
  <c r="AI736" i="77"/>
  <c r="AQ735" i="77"/>
  <c r="AS735" i="77"/>
  <c r="AU735" i="77"/>
  <c r="AI737" i="77"/>
  <c r="AQ736" i="77"/>
  <c r="AS736" i="77"/>
  <c r="AU736" i="77"/>
  <c r="AI738" i="77"/>
  <c r="AQ737" i="77"/>
  <c r="AS737" i="77"/>
  <c r="AU737" i="77"/>
  <c r="AI739" i="77"/>
  <c r="AQ738" i="77"/>
  <c r="AS738" i="77"/>
  <c r="AU738" i="77"/>
  <c r="AI740" i="77"/>
  <c r="AQ739" i="77"/>
  <c r="AS739" i="77"/>
  <c r="AU739" i="77"/>
  <c r="AI741" i="77"/>
  <c r="AQ740" i="77"/>
  <c r="AS740" i="77"/>
  <c r="AU740" i="77"/>
  <c r="AI742" i="77"/>
  <c r="AQ741" i="77"/>
  <c r="AS741" i="77"/>
  <c r="AU741" i="77"/>
  <c r="AI743" i="77"/>
  <c r="AQ742" i="77"/>
  <c r="AS742" i="77"/>
  <c r="AU742" i="77"/>
  <c r="AI744" i="77"/>
  <c r="AQ743" i="77"/>
  <c r="AS743" i="77"/>
  <c r="AU743" i="77"/>
  <c r="AI745" i="77"/>
  <c r="AQ744" i="77"/>
  <c r="AS744" i="77"/>
  <c r="AU744" i="77"/>
  <c r="AI746" i="77"/>
  <c r="AQ745" i="77"/>
  <c r="AS745" i="77"/>
  <c r="AU745" i="77"/>
  <c r="AI747" i="77"/>
  <c r="AQ746" i="77"/>
  <c r="AS746" i="77"/>
  <c r="AU746" i="77"/>
  <c r="AI748" i="77"/>
  <c r="AQ747" i="77"/>
  <c r="AS747" i="77"/>
  <c r="AU747" i="77"/>
  <c r="AI749" i="77"/>
  <c r="AQ748" i="77"/>
  <c r="AS748" i="77"/>
  <c r="AU748" i="77"/>
  <c r="AI750" i="77"/>
  <c r="AQ749" i="77"/>
  <c r="AS749" i="77"/>
  <c r="AU749" i="77"/>
  <c r="AI751" i="77"/>
  <c r="AQ750" i="77"/>
  <c r="AS750" i="77"/>
  <c r="AU750" i="77"/>
  <c r="AI752" i="77"/>
  <c r="AQ751" i="77"/>
  <c r="AS751" i="77"/>
  <c r="AU751" i="77"/>
  <c r="AI753" i="77"/>
  <c r="AQ752" i="77"/>
  <c r="AS752" i="77"/>
  <c r="AU752" i="77"/>
  <c r="AI754" i="77"/>
  <c r="AQ753" i="77"/>
  <c r="AS753" i="77"/>
  <c r="AU753" i="77"/>
  <c r="AI755" i="77"/>
  <c r="AQ754" i="77"/>
  <c r="AS754" i="77"/>
  <c r="AU754" i="77"/>
  <c r="AI756" i="77"/>
  <c r="AQ755" i="77"/>
  <c r="AS755" i="77"/>
  <c r="AU755" i="77"/>
  <c r="AI757" i="77"/>
  <c r="AQ756" i="77"/>
  <c r="AS756" i="77"/>
  <c r="AU756" i="77"/>
  <c r="AI758" i="77"/>
  <c r="AQ757" i="77"/>
  <c r="AS757" i="77"/>
  <c r="AU757" i="77"/>
  <c r="AI759" i="77"/>
  <c r="AQ758" i="77"/>
  <c r="AS758" i="77"/>
  <c r="AU758" i="77"/>
  <c r="AI760" i="77"/>
  <c r="AQ759" i="77"/>
  <c r="AS759" i="77"/>
  <c r="AU759" i="77"/>
  <c r="AI761" i="77"/>
  <c r="AQ760" i="77"/>
  <c r="AS760" i="77"/>
  <c r="AU760" i="77"/>
  <c r="AI762" i="77"/>
  <c r="AQ761" i="77"/>
  <c r="AS761" i="77"/>
  <c r="AU761" i="77"/>
  <c r="AI763" i="77"/>
  <c r="AQ762" i="77"/>
  <c r="AS762" i="77"/>
  <c r="AU762" i="77"/>
  <c r="AI764" i="77"/>
  <c r="AQ763" i="77"/>
  <c r="AS763" i="77"/>
  <c r="AU763" i="77"/>
  <c r="AI765" i="77"/>
  <c r="AQ764" i="77"/>
  <c r="AS764" i="77"/>
  <c r="AU764" i="77"/>
  <c r="AI766" i="77"/>
  <c r="AQ765" i="77"/>
  <c r="AS765" i="77"/>
  <c r="AU765" i="77"/>
  <c r="AI767" i="77"/>
  <c r="AQ766" i="77"/>
  <c r="AS766" i="77"/>
  <c r="AU766" i="77"/>
  <c r="AI768" i="77"/>
  <c r="AQ767" i="77"/>
  <c r="AS767" i="77"/>
  <c r="AU767" i="77"/>
  <c r="AI769" i="77"/>
  <c r="AQ768" i="77"/>
  <c r="AS768" i="77"/>
  <c r="AU768" i="77"/>
  <c r="AI770" i="77"/>
  <c r="AQ769" i="77"/>
  <c r="AS769" i="77"/>
  <c r="AU769" i="77"/>
  <c r="AI771" i="77"/>
  <c r="AQ770" i="77"/>
  <c r="AS770" i="77"/>
  <c r="AU770" i="77"/>
  <c r="AI772" i="77"/>
  <c r="AQ771" i="77"/>
  <c r="AS771" i="77"/>
  <c r="AU771" i="77"/>
  <c r="AI773" i="77"/>
  <c r="AQ772" i="77"/>
  <c r="AS772" i="77"/>
  <c r="AU772" i="77"/>
  <c r="AI774" i="77"/>
  <c r="AQ773" i="77"/>
  <c r="AS773" i="77"/>
  <c r="AU773" i="77"/>
  <c r="AI775" i="77"/>
  <c r="AQ774" i="77"/>
  <c r="AS774" i="77"/>
  <c r="AU774" i="77"/>
  <c r="AI776" i="77"/>
  <c r="AQ775" i="77"/>
  <c r="AS775" i="77"/>
  <c r="AU775" i="77"/>
  <c r="AI777" i="77"/>
  <c r="AQ776" i="77"/>
  <c r="AS776" i="77"/>
  <c r="AU776" i="77"/>
  <c r="AI778" i="77"/>
  <c r="AQ777" i="77"/>
  <c r="AS777" i="77"/>
  <c r="AU777" i="77"/>
  <c r="AI779" i="77"/>
  <c r="AQ778" i="77"/>
  <c r="AS778" i="77"/>
  <c r="AU778" i="77"/>
  <c r="AI780" i="77"/>
  <c r="AQ779" i="77"/>
  <c r="AS779" i="77"/>
  <c r="AU779" i="77"/>
  <c r="AI781" i="77"/>
  <c r="AQ780" i="77"/>
  <c r="AS780" i="77"/>
  <c r="AU780" i="77"/>
  <c r="AI782" i="77"/>
  <c r="AQ781" i="77"/>
  <c r="AS781" i="77"/>
  <c r="AU781" i="77"/>
  <c r="AI783" i="77"/>
  <c r="AQ782" i="77"/>
  <c r="AS782" i="77"/>
  <c r="AU782" i="77"/>
  <c r="AI784" i="77"/>
  <c r="AQ783" i="77"/>
  <c r="AS783" i="77"/>
  <c r="AU783" i="77"/>
  <c r="AI785" i="77"/>
  <c r="AQ784" i="77"/>
  <c r="AS784" i="77"/>
  <c r="AU784" i="77"/>
  <c r="AI786" i="77"/>
  <c r="AQ785" i="77"/>
  <c r="AS785" i="77"/>
  <c r="AU785" i="77"/>
  <c r="AI787" i="77"/>
  <c r="AQ786" i="77"/>
  <c r="AS786" i="77"/>
  <c r="AU786" i="77"/>
  <c r="AI788" i="77"/>
  <c r="AQ787" i="77"/>
  <c r="AS787" i="77"/>
  <c r="AU787" i="77"/>
  <c r="AI789" i="77"/>
  <c r="AQ788" i="77"/>
  <c r="AS788" i="77"/>
  <c r="AU788" i="77"/>
  <c r="AI790" i="77"/>
  <c r="AQ789" i="77"/>
  <c r="AS789" i="77"/>
  <c r="AU789" i="77"/>
  <c r="AI791" i="77"/>
  <c r="AQ790" i="77"/>
  <c r="AS790" i="77"/>
  <c r="AU790" i="77"/>
  <c r="AI792" i="77"/>
  <c r="AQ791" i="77"/>
  <c r="AS791" i="77"/>
  <c r="AU791" i="77"/>
  <c r="AI793" i="77"/>
  <c r="AQ792" i="77"/>
  <c r="AS792" i="77"/>
  <c r="AU792" i="77"/>
  <c r="AI794" i="77"/>
  <c r="AQ793" i="77"/>
  <c r="AS793" i="77"/>
  <c r="AU793" i="77"/>
  <c r="AI795" i="77"/>
  <c r="AQ794" i="77"/>
  <c r="AS794" i="77"/>
  <c r="AU794" i="77"/>
  <c r="AI796" i="77"/>
  <c r="AQ795" i="77"/>
  <c r="AS795" i="77"/>
  <c r="AU795" i="77"/>
  <c r="AI797" i="77"/>
  <c r="AQ796" i="77"/>
  <c r="AS796" i="77"/>
  <c r="AU796" i="77"/>
  <c r="AI798" i="77"/>
  <c r="AQ797" i="77"/>
  <c r="AS797" i="77"/>
  <c r="AU797" i="77"/>
  <c r="AI799" i="77"/>
  <c r="AQ798" i="77"/>
  <c r="AS798" i="77"/>
  <c r="AU798" i="77"/>
  <c r="AI800" i="77"/>
  <c r="AQ799" i="77"/>
  <c r="AS799" i="77"/>
  <c r="AU799" i="77"/>
  <c r="AI801" i="77"/>
  <c r="AQ800" i="77"/>
  <c r="AS800" i="77"/>
  <c r="AU800" i="77"/>
  <c r="AI802" i="77"/>
  <c r="AQ801" i="77"/>
  <c r="AS801" i="77"/>
  <c r="AU801" i="77"/>
  <c r="AI803" i="77"/>
  <c r="AQ802" i="77"/>
  <c r="AS802" i="77"/>
  <c r="AU802" i="77"/>
  <c r="AI804" i="77"/>
  <c r="AQ803" i="77"/>
  <c r="AS803" i="77"/>
  <c r="AU803" i="77"/>
  <c r="AI805" i="77"/>
  <c r="AQ804" i="77"/>
  <c r="AS804" i="77"/>
  <c r="AU804" i="77"/>
  <c r="AI806" i="77"/>
  <c r="AQ805" i="77"/>
  <c r="AS805" i="77"/>
  <c r="AU805" i="77"/>
  <c r="AI807" i="77"/>
  <c r="AQ806" i="77"/>
  <c r="AS806" i="77"/>
  <c r="AU806" i="77"/>
  <c r="AI808" i="77"/>
  <c r="AQ807" i="77"/>
  <c r="AS807" i="77"/>
  <c r="AU807" i="77"/>
  <c r="AI809" i="77"/>
  <c r="AQ808" i="77"/>
  <c r="AS808" i="77"/>
  <c r="AU808" i="77"/>
  <c r="AI810" i="77"/>
  <c r="AQ809" i="77"/>
  <c r="AS809" i="77"/>
  <c r="AU809" i="77"/>
  <c r="AI811" i="77"/>
  <c r="AQ810" i="77"/>
  <c r="AS810" i="77"/>
  <c r="AU810" i="77"/>
  <c r="AI812" i="77"/>
  <c r="AQ811" i="77"/>
  <c r="AS811" i="77"/>
  <c r="AU811" i="77"/>
  <c r="AI813" i="77"/>
  <c r="AQ812" i="77"/>
  <c r="AS812" i="77"/>
  <c r="AU812" i="77"/>
  <c r="AI814" i="77"/>
  <c r="AQ813" i="77"/>
  <c r="AS813" i="77"/>
  <c r="AU813" i="77"/>
  <c r="AI815" i="77"/>
  <c r="AQ814" i="77"/>
  <c r="AS814" i="77"/>
  <c r="AU814" i="77"/>
  <c r="AI816" i="77"/>
  <c r="AQ815" i="77"/>
  <c r="AS815" i="77"/>
  <c r="AU815" i="77"/>
  <c r="AI817" i="77"/>
  <c r="AQ816" i="77"/>
  <c r="AS816" i="77"/>
  <c r="AU816" i="77"/>
  <c r="AI818" i="77"/>
  <c r="AQ817" i="77"/>
  <c r="AS817" i="77"/>
  <c r="AU817" i="77"/>
  <c r="AI819" i="77"/>
  <c r="AQ818" i="77"/>
  <c r="AS818" i="77"/>
  <c r="AU818" i="77"/>
  <c r="AI820" i="77"/>
  <c r="AQ819" i="77"/>
  <c r="AS819" i="77"/>
  <c r="AU819" i="77"/>
  <c r="AI821" i="77"/>
  <c r="AQ820" i="77"/>
  <c r="AS820" i="77"/>
  <c r="AU820" i="77"/>
  <c r="AI822" i="77"/>
  <c r="AQ821" i="77"/>
  <c r="AS821" i="77"/>
  <c r="AU821" i="77"/>
  <c r="AI823" i="77"/>
  <c r="AQ822" i="77"/>
  <c r="AS822" i="77"/>
  <c r="AU822" i="77"/>
  <c r="AI824" i="77"/>
  <c r="AQ823" i="77"/>
  <c r="AS823" i="77"/>
  <c r="AU823" i="77"/>
  <c r="AI825" i="77"/>
  <c r="AQ824" i="77"/>
  <c r="AS824" i="77"/>
  <c r="AU824" i="77"/>
  <c r="AI826" i="77"/>
  <c r="AQ825" i="77"/>
  <c r="AS825" i="77"/>
  <c r="AU825" i="77"/>
  <c r="AI827" i="77"/>
  <c r="AQ826" i="77"/>
  <c r="AS826" i="77"/>
  <c r="AU826" i="77"/>
  <c r="AI828" i="77"/>
  <c r="AQ827" i="77"/>
  <c r="AS827" i="77"/>
  <c r="AU827" i="77"/>
  <c r="AI829" i="77"/>
  <c r="AQ828" i="77"/>
  <c r="AS828" i="77"/>
  <c r="AU828" i="77"/>
  <c r="AI830" i="77"/>
  <c r="AQ829" i="77"/>
  <c r="AS829" i="77"/>
  <c r="AU829" i="77"/>
  <c r="AI831" i="77"/>
  <c r="AQ830" i="77"/>
  <c r="AS830" i="77"/>
  <c r="AU830" i="77"/>
  <c r="AI832" i="77"/>
  <c r="AQ831" i="77"/>
  <c r="AS831" i="77"/>
  <c r="AU831" i="77"/>
  <c r="AI833" i="77"/>
  <c r="AQ832" i="77"/>
  <c r="AS832" i="77"/>
  <c r="AU832" i="77"/>
  <c r="AI834" i="77"/>
  <c r="AQ833" i="77"/>
  <c r="AS833" i="77"/>
  <c r="AU833" i="77"/>
  <c r="AI835" i="77"/>
  <c r="AQ834" i="77"/>
  <c r="AS834" i="77"/>
  <c r="AU834" i="77"/>
  <c r="AI836" i="77"/>
  <c r="AQ835" i="77"/>
  <c r="AS835" i="77"/>
  <c r="AU835" i="77"/>
  <c r="AI837" i="77"/>
  <c r="AQ836" i="77"/>
  <c r="AS836" i="77"/>
  <c r="AU836" i="77"/>
  <c r="AI838" i="77"/>
  <c r="AQ837" i="77"/>
  <c r="AS837" i="77"/>
  <c r="AU837" i="77"/>
  <c r="AI839" i="77"/>
  <c r="AQ838" i="77"/>
  <c r="AS838" i="77"/>
  <c r="AU838" i="77"/>
  <c r="AI840" i="77"/>
  <c r="AQ839" i="77"/>
  <c r="AS839" i="77"/>
  <c r="AU839" i="77"/>
  <c r="AI841" i="77"/>
  <c r="AQ840" i="77"/>
  <c r="AS840" i="77"/>
  <c r="AU840" i="77"/>
  <c r="AI842" i="77"/>
  <c r="AQ841" i="77"/>
  <c r="AS841" i="77"/>
  <c r="AU841" i="77"/>
  <c r="AI843" i="77"/>
  <c r="AQ842" i="77"/>
  <c r="AS842" i="77"/>
  <c r="AU842" i="77"/>
  <c r="AI844" i="77"/>
  <c r="AQ843" i="77"/>
  <c r="AS843" i="77"/>
  <c r="AU843" i="77"/>
  <c r="AI845" i="77"/>
  <c r="AQ844" i="77"/>
  <c r="AS844" i="77"/>
  <c r="AU844" i="77"/>
  <c r="AI846" i="77"/>
  <c r="AQ845" i="77"/>
  <c r="AS845" i="77"/>
  <c r="AU845" i="77"/>
  <c r="AI847" i="77"/>
  <c r="AQ846" i="77"/>
  <c r="AS846" i="77"/>
  <c r="AU846" i="77"/>
  <c r="AI848" i="77"/>
  <c r="AQ847" i="77"/>
  <c r="AS847" i="77"/>
  <c r="AU847" i="77"/>
  <c r="AI849" i="77"/>
  <c r="AQ848" i="77"/>
  <c r="AS848" i="77"/>
  <c r="AU848" i="77"/>
  <c r="AI850" i="77"/>
  <c r="AQ849" i="77"/>
  <c r="AS849" i="77"/>
  <c r="AU849" i="77"/>
  <c r="AI851" i="77"/>
  <c r="AQ850" i="77"/>
  <c r="AS850" i="77"/>
  <c r="AU850" i="77"/>
  <c r="AI852" i="77"/>
  <c r="AQ851" i="77"/>
  <c r="AS851" i="77"/>
  <c r="AU851" i="77"/>
  <c r="AI853" i="77"/>
  <c r="AQ852" i="77"/>
  <c r="AS852" i="77"/>
  <c r="AU852" i="77"/>
  <c r="AI854" i="77"/>
  <c r="AQ853" i="77"/>
  <c r="AS853" i="77"/>
  <c r="AU853" i="77"/>
  <c r="AI855" i="77"/>
  <c r="AQ854" i="77"/>
  <c r="AS854" i="77"/>
  <c r="AU854" i="77"/>
  <c r="AI856" i="77"/>
  <c r="AQ855" i="77"/>
  <c r="AS855" i="77"/>
  <c r="AU855" i="77"/>
  <c r="AI857" i="77"/>
  <c r="AQ856" i="77"/>
  <c r="AS856" i="77"/>
  <c r="AU856" i="77"/>
  <c r="AI858" i="77"/>
  <c r="AQ857" i="77"/>
  <c r="AS857" i="77"/>
  <c r="AU857" i="77"/>
  <c r="AI859" i="77"/>
  <c r="AQ858" i="77"/>
  <c r="AS858" i="77"/>
  <c r="AU858" i="77"/>
  <c r="AI860" i="77"/>
  <c r="AQ859" i="77"/>
  <c r="AS859" i="77"/>
  <c r="AU859" i="77"/>
  <c r="AI861" i="77"/>
  <c r="AQ860" i="77"/>
  <c r="AS860" i="77"/>
  <c r="AU860" i="77"/>
  <c r="AI862" i="77"/>
  <c r="AQ861" i="77"/>
  <c r="AS861" i="77"/>
  <c r="AU861" i="77"/>
  <c r="AI863" i="77"/>
  <c r="AQ862" i="77"/>
  <c r="AS862" i="77"/>
  <c r="AU862" i="77"/>
  <c r="AI864" i="77"/>
  <c r="AQ863" i="77"/>
  <c r="AS863" i="77"/>
  <c r="AU863" i="77"/>
  <c r="AI865" i="77"/>
  <c r="AQ864" i="77"/>
  <c r="AS864" i="77"/>
  <c r="AU864" i="77"/>
  <c r="AI866" i="77"/>
  <c r="AQ865" i="77"/>
  <c r="AS865" i="77"/>
  <c r="AU865" i="77"/>
  <c r="AI867" i="77"/>
  <c r="AQ866" i="77"/>
  <c r="AS866" i="77"/>
  <c r="AU866" i="77"/>
  <c r="AI868" i="77"/>
  <c r="AQ867" i="77"/>
  <c r="AS867" i="77"/>
  <c r="AU867" i="77"/>
  <c r="AI869" i="77"/>
  <c r="AQ868" i="77"/>
  <c r="AS868" i="77"/>
  <c r="AU868" i="77"/>
  <c r="AI870" i="77"/>
  <c r="AQ869" i="77"/>
  <c r="AS869" i="77"/>
  <c r="AU869" i="77"/>
  <c r="AI871" i="77"/>
  <c r="AQ870" i="77"/>
  <c r="AS870" i="77"/>
  <c r="AU870" i="77"/>
  <c r="AI872" i="77"/>
  <c r="AQ871" i="77"/>
  <c r="AS871" i="77"/>
  <c r="AU871" i="77"/>
  <c r="AI873" i="77"/>
  <c r="AQ872" i="77"/>
  <c r="AS872" i="77"/>
  <c r="AU872" i="77"/>
  <c r="AI874" i="77"/>
  <c r="AQ873" i="77"/>
  <c r="AS873" i="77"/>
  <c r="AU873" i="77"/>
  <c r="AI875" i="77"/>
  <c r="AQ874" i="77"/>
  <c r="AS874" i="77"/>
  <c r="AU874" i="77"/>
  <c r="AI876" i="77"/>
  <c r="AQ875" i="77"/>
  <c r="AS875" i="77"/>
  <c r="AU875" i="77"/>
  <c r="AI877" i="77"/>
  <c r="AQ876" i="77"/>
  <c r="AS876" i="77"/>
  <c r="AU876" i="77"/>
  <c r="AI878" i="77"/>
  <c r="AQ877" i="77"/>
  <c r="AS877" i="77"/>
  <c r="AU877" i="77"/>
  <c r="AI879" i="77"/>
  <c r="AQ878" i="77"/>
  <c r="AS878" i="77"/>
  <c r="AU878" i="77"/>
  <c r="AI880" i="77"/>
  <c r="AQ879" i="77"/>
  <c r="AS879" i="77"/>
  <c r="AU879" i="77"/>
  <c r="AI881" i="77"/>
  <c r="AQ880" i="77"/>
  <c r="AS880" i="77"/>
  <c r="AU880" i="77"/>
  <c r="AI882" i="77"/>
  <c r="AQ881" i="77"/>
  <c r="AS881" i="77"/>
  <c r="AU881" i="77"/>
  <c r="AI883" i="77"/>
  <c r="AQ882" i="77"/>
  <c r="AS882" i="77"/>
  <c r="AU882" i="77"/>
  <c r="AI884" i="77"/>
  <c r="AQ883" i="77"/>
  <c r="AS883" i="77"/>
  <c r="AU883" i="77"/>
  <c r="AI885" i="77"/>
  <c r="AQ884" i="77"/>
  <c r="AS884" i="77"/>
  <c r="AU884" i="77"/>
  <c r="AI886" i="77"/>
  <c r="AQ885" i="77"/>
  <c r="AS885" i="77"/>
  <c r="AU885" i="77"/>
  <c r="AI887" i="77"/>
  <c r="AQ886" i="77"/>
  <c r="AS886" i="77"/>
  <c r="AU886" i="77"/>
  <c r="AI888" i="77"/>
  <c r="AQ887" i="77"/>
  <c r="AS887" i="77"/>
  <c r="AU887" i="77"/>
  <c r="AI889" i="77"/>
  <c r="AQ888" i="77"/>
  <c r="AS888" i="77"/>
  <c r="AU888" i="77"/>
  <c r="AI890" i="77"/>
  <c r="AQ889" i="77"/>
  <c r="AS889" i="77"/>
  <c r="AU889" i="77"/>
  <c r="AI891" i="77"/>
  <c r="AQ890" i="77"/>
  <c r="AS890" i="77"/>
  <c r="AU890" i="77"/>
  <c r="AI892" i="77"/>
  <c r="AQ891" i="77"/>
  <c r="AS891" i="77"/>
  <c r="AU891" i="77"/>
  <c r="AI893" i="77"/>
  <c r="AQ892" i="77"/>
  <c r="AS892" i="77"/>
  <c r="AU892" i="77"/>
  <c r="AI894" i="77"/>
  <c r="AQ893" i="77"/>
  <c r="AS893" i="77"/>
  <c r="AU893" i="77"/>
  <c r="AI895" i="77"/>
  <c r="AQ894" i="77"/>
  <c r="AS894" i="77"/>
  <c r="AU894" i="77"/>
  <c r="AI896" i="77"/>
  <c r="AQ895" i="77"/>
  <c r="AS895" i="77"/>
  <c r="AU895" i="77"/>
  <c r="AI897" i="77"/>
  <c r="AQ896" i="77"/>
  <c r="AS896" i="77"/>
  <c r="AU896" i="77"/>
  <c r="AI898" i="77"/>
  <c r="AQ897" i="77"/>
  <c r="AS897" i="77"/>
  <c r="AU897" i="77"/>
  <c r="AI899" i="77"/>
  <c r="AQ898" i="77"/>
  <c r="AS898" i="77"/>
  <c r="AU898" i="77"/>
  <c r="AI900" i="77"/>
  <c r="AQ899" i="77"/>
  <c r="AS899" i="77"/>
  <c r="AU899" i="77"/>
  <c r="AI901" i="77"/>
  <c r="AQ900" i="77"/>
  <c r="AS900" i="77"/>
  <c r="AU900" i="77"/>
  <c r="AI902" i="77"/>
  <c r="AQ901" i="77"/>
  <c r="AS901" i="77"/>
  <c r="AU901" i="77"/>
  <c r="AI903" i="77"/>
  <c r="AQ902" i="77"/>
  <c r="AS902" i="77"/>
  <c r="AU902" i="77"/>
  <c r="AI904" i="77"/>
  <c r="AQ903" i="77"/>
  <c r="AS903" i="77"/>
  <c r="AU903" i="77"/>
  <c r="AI905" i="77"/>
  <c r="AQ904" i="77"/>
  <c r="AS904" i="77"/>
  <c r="AU904" i="77"/>
  <c r="AI906" i="77"/>
  <c r="AQ905" i="77"/>
  <c r="AS905" i="77"/>
  <c r="AU905" i="77"/>
  <c r="AI907" i="77"/>
  <c r="AQ906" i="77"/>
  <c r="AS906" i="77"/>
  <c r="AU906" i="77"/>
  <c r="AI908" i="77"/>
  <c r="AQ907" i="77"/>
  <c r="AS907" i="77"/>
  <c r="AU907" i="77"/>
  <c r="AI909" i="77"/>
  <c r="AQ908" i="77"/>
  <c r="AS908" i="77"/>
  <c r="AU908" i="77"/>
  <c r="AI910" i="77"/>
  <c r="AQ909" i="77"/>
  <c r="AS909" i="77"/>
  <c r="AU909" i="77"/>
  <c r="AI911" i="77"/>
  <c r="AQ910" i="77"/>
  <c r="AS910" i="77"/>
  <c r="AU910" i="77"/>
  <c r="AI912" i="77"/>
  <c r="AQ911" i="77"/>
  <c r="AS911" i="77"/>
  <c r="AU911" i="77"/>
  <c r="AI913" i="77"/>
  <c r="AQ912" i="77"/>
  <c r="AS912" i="77"/>
  <c r="AU912" i="77"/>
  <c r="AI914" i="77"/>
  <c r="AQ913" i="77"/>
  <c r="AS913" i="77"/>
  <c r="AU913" i="77"/>
  <c r="AI915" i="77"/>
  <c r="AQ914" i="77"/>
  <c r="AS914" i="77"/>
  <c r="AU914" i="77"/>
  <c r="AI916" i="77"/>
  <c r="AQ915" i="77"/>
  <c r="AS915" i="77"/>
  <c r="AU915" i="77"/>
  <c r="AI917" i="77"/>
  <c r="AQ916" i="77"/>
  <c r="AS916" i="77"/>
  <c r="AU916" i="77"/>
  <c r="AI918" i="77"/>
  <c r="AQ917" i="77"/>
  <c r="AS917" i="77"/>
  <c r="AU917" i="77"/>
  <c r="AI919" i="77"/>
  <c r="AQ918" i="77"/>
  <c r="AS918" i="77"/>
  <c r="AU918" i="77"/>
  <c r="AI920" i="77"/>
  <c r="AQ919" i="77"/>
  <c r="AS919" i="77"/>
  <c r="AU919" i="77"/>
  <c r="AI921" i="77"/>
  <c r="AQ920" i="77"/>
  <c r="AS920" i="77"/>
  <c r="AU920" i="77"/>
  <c r="AI922" i="77"/>
  <c r="AQ921" i="77"/>
  <c r="AS921" i="77"/>
  <c r="AU921" i="77"/>
  <c r="AI923" i="77"/>
  <c r="AQ922" i="77"/>
  <c r="AS922" i="77"/>
  <c r="AU922" i="77"/>
  <c r="AI924" i="77"/>
  <c r="AQ923" i="77"/>
  <c r="AS923" i="77"/>
  <c r="AU923" i="77"/>
  <c r="AI925" i="77"/>
  <c r="AQ924" i="77"/>
  <c r="AS924" i="77"/>
  <c r="AU924" i="77"/>
  <c r="AI926" i="77"/>
  <c r="AQ925" i="77"/>
  <c r="AS925" i="77"/>
  <c r="AU925" i="77"/>
  <c r="AI927" i="77"/>
  <c r="AQ926" i="77"/>
  <c r="AS926" i="77"/>
  <c r="AU926" i="77"/>
  <c r="AI928" i="77"/>
  <c r="AQ927" i="77"/>
  <c r="AS927" i="77"/>
  <c r="AU927" i="77"/>
  <c r="AI929" i="77"/>
  <c r="AQ928" i="77"/>
  <c r="AS928" i="77"/>
  <c r="AU928" i="77"/>
  <c r="AI930" i="77"/>
  <c r="AQ929" i="77"/>
  <c r="AS929" i="77"/>
  <c r="AU929" i="77"/>
  <c r="AI931" i="77"/>
  <c r="AQ930" i="77"/>
  <c r="AS930" i="77"/>
  <c r="AU930" i="77"/>
  <c r="AI932" i="77"/>
  <c r="AQ931" i="77"/>
  <c r="AS931" i="77"/>
  <c r="AU931" i="77"/>
  <c r="AI933" i="77"/>
  <c r="AQ932" i="77"/>
  <c r="AS932" i="77"/>
  <c r="AU932" i="77"/>
  <c r="AI934" i="77"/>
  <c r="AQ933" i="77"/>
  <c r="AS933" i="77"/>
  <c r="AU933" i="77"/>
  <c r="AI935" i="77"/>
  <c r="AQ934" i="77"/>
  <c r="AS934" i="77"/>
  <c r="AU934" i="77"/>
  <c r="AI936" i="77"/>
  <c r="AQ935" i="77"/>
  <c r="AS935" i="77"/>
  <c r="AU935" i="77"/>
  <c r="AI937" i="77"/>
  <c r="AQ936" i="77"/>
  <c r="AS936" i="77"/>
  <c r="AU936" i="77"/>
  <c r="AI938" i="77"/>
  <c r="AQ937" i="77"/>
  <c r="AS937" i="77"/>
  <c r="AU937" i="77"/>
  <c r="AI939" i="77"/>
  <c r="AQ938" i="77"/>
  <c r="AS938" i="77"/>
  <c r="AU938" i="77"/>
  <c r="AI940" i="77"/>
  <c r="AQ939" i="77"/>
  <c r="AS939" i="77"/>
  <c r="AU939" i="77"/>
  <c r="AI941" i="77"/>
  <c r="AQ940" i="77"/>
  <c r="AS940" i="77"/>
  <c r="AU940" i="77"/>
  <c r="AI942" i="77"/>
  <c r="AQ941" i="77"/>
  <c r="AS941" i="77"/>
  <c r="AU941" i="77"/>
  <c r="AI943" i="77"/>
  <c r="AQ942" i="77"/>
  <c r="AS942" i="77"/>
  <c r="AU942" i="77"/>
  <c r="AI944" i="77"/>
  <c r="AQ943" i="77"/>
  <c r="AS943" i="77"/>
  <c r="AU943" i="77"/>
  <c r="AI945" i="77"/>
  <c r="AQ944" i="77"/>
  <c r="AS944" i="77"/>
  <c r="AU944" i="77"/>
  <c r="AI946" i="77"/>
  <c r="AQ945" i="77"/>
  <c r="AS945" i="77"/>
  <c r="AU945" i="77"/>
  <c r="AI947" i="77"/>
  <c r="AQ946" i="77"/>
  <c r="AS946" i="77"/>
  <c r="AU946" i="77"/>
  <c r="AI948" i="77"/>
  <c r="AQ947" i="77"/>
  <c r="AS947" i="77"/>
  <c r="AU947" i="77"/>
  <c r="AI949" i="77"/>
  <c r="AQ948" i="77"/>
  <c r="AS948" i="77"/>
  <c r="AU948" i="77"/>
  <c r="AI950" i="77"/>
  <c r="AQ949" i="77"/>
  <c r="AS949" i="77"/>
  <c r="AU949" i="77"/>
  <c r="AI951" i="77"/>
  <c r="AQ950" i="77"/>
  <c r="AS950" i="77"/>
  <c r="AU950" i="77"/>
  <c r="AI952" i="77"/>
  <c r="AQ951" i="77"/>
  <c r="AS951" i="77"/>
  <c r="AU951" i="77"/>
  <c r="AI953" i="77"/>
  <c r="AQ952" i="77"/>
  <c r="AS952" i="77"/>
  <c r="AU952" i="77"/>
  <c r="AI954" i="77"/>
  <c r="AQ953" i="77"/>
  <c r="AS953" i="77"/>
  <c r="AU953" i="77"/>
  <c r="AI955" i="77"/>
  <c r="AQ954" i="77"/>
  <c r="AS954" i="77"/>
  <c r="AU954" i="77"/>
  <c r="AI956" i="77"/>
  <c r="AQ955" i="77"/>
  <c r="AS955" i="77"/>
  <c r="AU955" i="77"/>
  <c r="AI957" i="77"/>
  <c r="AQ956" i="77"/>
  <c r="AS956" i="77"/>
  <c r="AU956" i="77"/>
  <c r="AI958" i="77"/>
  <c r="AQ957" i="77"/>
  <c r="AS957" i="77"/>
  <c r="AU957" i="77"/>
  <c r="AI959" i="77"/>
  <c r="AQ958" i="77"/>
  <c r="AS958" i="77"/>
  <c r="AU958" i="77"/>
  <c r="AI960" i="77"/>
  <c r="AQ959" i="77"/>
  <c r="AS959" i="77"/>
  <c r="AU959" i="77"/>
  <c r="AI961" i="77"/>
  <c r="AQ960" i="77"/>
  <c r="AS960" i="77"/>
  <c r="AU960" i="77"/>
  <c r="AI962" i="77"/>
  <c r="AQ961" i="77"/>
  <c r="AS961" i="77"/>
  <c r="AU961" i="77"/>
  <c r="AI963" i="77"/>
  <c r="AQ962" i="77"/>
  <c r="AS962" i="77"/>
  <c r="AU962" i="77"/>
  <c r="AI964" i="77"/>
  <c r="AQ963" i="77"/>
  <c r="AS963" i="77"/>
  <c r="AU963" i="77"/>
  <c r="AI965" i="77"/>
  <c r="AQ964" i="77"/>
  <c r="AS964" i="77"/>
  <c r="AU964" i="77"/>
  <c r="AI966" i="77"/>
  <c r="AQ965" i="77"/>
  <c r="AS965" i="77"/>
  <c r="AU965" i="77"/>
  <c r="AI967" i="77"/>
  <c r="AQ966" i="77"/>
  <c r="AS966" i="77"/>
  <c r="AU966" i="77"/>
  <c r="AI968" i="77"/>
  <c r="AQ967" i="77"/>
  <c r="AS967" i="77"/>
  <c r="AU967" i="77"/>
  <c r="AI969" i="77"/>
  <c r="AQ968" i="77"/>
  <c r="AS968" i="77"/>
  <c r="AU968" i="77"/>
  <c r="AI970" i="77"/>
  <c r="AQ969" i="77"/>
  <c r="AS969" i="77"/>
  <c r="AU969" i="77"/>
  <c r="AI971" i="77"/>
  <c r="AQ970" i="77"/>
  <c r="AS970" i="77"/>
  <c r="AU970" i="77"/>
  <c r="AI972" i="77"/>
  <c r="AQ971" i="77"/>
  <c r="AS971" i="77"/>
  <c r="AU971" i="77"/>
  <c r="AI973" i="77"/>
  <c r="AQ972" i="77"/>
  <c r="AS972" i="77"/>
  <c r="AU972" i="77"/>
  <c r="AI974" i="77"/>
  <c r="AQ973" i="77"/>
  <c r="AS973" i="77"/>
  <c r="AU973" i="77"/>
  <c r="AI975" i="77"/>
  <c r="AQ974" i="77"/>
  <c r="AS974" i="77"/>
  <c r="AU974" i="77"/>
  <c r="AI976" i="77"/>
  <c r="AQ975" i="77"/>
  <c r="AS975" i="77"/>
  <c r="AU975" i="77"/>
  <c r="AI977" i="77"/>
  <c r="AQ976" i="77"/>
  <c r="AS976" i="77"/>
  <c r="AU976" i="77"/>
  <c r="AI978" i="77"/>
  <c r="AQ977" i="77"/>
  <c r="AS977" i="77"/>
  <c r="AU977" i="77"/>
  <c r="AI979" i="77"/>
  <c r="AQ978" i="77"/>
  <c r="AS978" i="77"/>
  <c r="AU978" i="77"/>
  <c r="AI980" i="77"/>
  <c r="AQ979" i="77"/>
  <c r="AS979" i="77"/>
  <c r="AU979" i="77"/>
  <c r="AI981" i="77"/>
  <c r="AQ980" i="77"/>
  <c r="AS980" i="77"/>
  <c r="AU980" i="77"/>
  <c r="AI982" i="77"/>
  <c r="AQ981" i="77"/>
  <c r="AS981" i="77"/>
  <c r="AU981" i="77"/>
  <c r="AI983" i="77"/>
  <c r="AQ982" i="77"/>
  <c r="AS982" i="77"/>
  <c r="AU982" i="77"/>
  <c r="AI984" i="77"/>
  <c r="AQ983" i="77"/>
  <c r="AS983" i="77"/>
  <c r="AU983" i="77"/>
  <c r="AI985" i="77"/>
  <c r="AQ984" i="77"/>
  <c r="AS984" i="77"/>
  <c r="AU984" i="77"/>
  <c r="AI986" i="77"/>
  <c r="AQ985" i="77"/>
  <c r="AS985" i="77"/>
  <c r="AU985" i="77"/>
  <c r="AI987" i="77"/>
  <c r="AQ986" i="77"/>
  <c r="AS986" i="77"/>
  <c r="AU986" i="77"/>
  <c r="AI988" i="77"/>
  <c r="AQ987" i="77"/>
  <c r="AS987" i="77"/>
  <c r="AU987" i="77"/>
  <c r="AI989" i="77"/>
  <c r="AQ988" i="77"/>
  <c r="AS988" i="77"/>
  <c r="AU988" i="77"/>
  <c r="AI990" i="77"/>
  <c r="AQ989" i="77"/>
  <c r="AS989" i="77"/>
  <c r="AU989" i="77"/>
  <c r="AI991" i="77"/>
  <c r="AQ990" i="77"/>
  <c r="AS990" i="77"/>
  <c r="AU990" i="77"/>
  <c r="AI992" i="77"/>
  <c r="AQ991" i="77"/>
  <c r="AS991" i="77"/>
  <c r="AU991" i="77"/>
  <c r="AI993" i="77"/>
  <c r="AQ992" i="77"/>
  <c r="AS992" i="77"/>
  <c r="AU992" i="77"/>
  <c r="AI994" i="77"/>
  <c r="AQ993" i="77"/>
  <c r="AS993" i="77"/>
  <c r="AU993" i="77"/>
  <c r="AI995" i="77"/>
  <c r="AQ994" i="77"/>
  <c r="AS994" i="77"/>
  <c r="AU994" i="77"/>
  <c r="AI996" i="77"/>
  <c r="AQ995" i="77"/>
  <c r="AS995" i="77"/>
  <c r="AU995" i="77"/>
  <c r="AI997" i="77"/>
  <c r="AQ996" i="77"/>
  <c r="AS996" i="77"/>
  <c r="AU996" i="77"/>
  <c r="AI998" i="77"/>
  <c r="AQ997" i="77"/>
  <c r="AS997" i="77"/>
  <c r="AU997" i="77"/>
  <c r="AI999" i="77"/>
  <c r="AQ998" i="77"/>
  <c r="AS998" i="77"/>
  <c r="AU998" i="77"/>
  <c r="AI1000" i="77"/>
  <c r="AQ999" i="77"/>
  <c r="AS999" i="77"/>
  <c r="AU999" i="77"/>
  <c r="AQ1000" i="77"/>
  <c r="AS1000" i="77"/>
  <c r="AU1000" i="77"/>
  <c r="AW4" i="77"/>
  <c r="G20" i="80"/>
  <c r="H20" i="80"/>
  <c r="AV3" i="77"/>
  <c r="F19" i="80"/>
  <c r="AW3" i="77"/>
  <c r="G19" i="80"/>
  <c r="H19" i="80"/>
  <c r="AV2" i="77"/>
  <c r="F18" i="80"/>
  <c r="AW2" i="77"/>
  <c r="G18" i="80"/>
  <c r="H18" i="80"/>
  <c r="AK8" i="77"/>
  <c r="AK7" i="77"/>
  <c r="AN8" i="77"/>
  <c r="AO8" i="77"/>
  <c r="AH9" i="77"/>
  <c r="AH8" i="77"/>
  <c r="AP8" i="77"/>
  <c r="AR8" i="77"/>
  <c r="AT8" i="77"/>
  <c r="AK9" i="77"/>
  <c r="AN9" i="77"/>
  <c r="AO9" i="77"/>
  <c r="AH10" i="77"/>
  <c r="AP9" i="77"/>
  <c r="AR9" i="77"/>
  <c r="AT9" i="77"/>
  <c r="AK10" i="77"/>
  <c r="AN10" i="77"/>
  <c r="AO10" i="77"/>
  <c r="AH11" i="77"/>
  <c r="AP10" i="77"/>
  <c r="AR10" i="77"/>
  <c r="AT10" i="77"/>
  <c r="AK11" i="77"/>
  <c r="AN11" i="77"/>
  <c r="AO11" i="77"/>
  <c r="AH12" i="77"/>
  <c r="AP11" i="77"/>
  <c r="AR11" i="77"/>
  <c r="AT11" i="77"/>
  <c r="AK12" i="77"/>
  <c r="AN12" i="77"/>
  <c r="AO12" i="77"/>
  <c r="AH13" i="77"/>
  <c r="AP12" i="77"/>
  <c r="AR12" i="77"/>
  <c r="AT12" i="77"/>
  <c r="AK13" i="77"/>
  <c r="AN13" i="77"/>
  <c r="AO13" i="77"/>
  <c r="AH14" i="77"/>
  <c r="AP13" i="77"/>
  <c r="AR13" i="77"/>
  <c r="AT13" i="77"/>
  <c r="AK14" i="77"/>
  <c r="AN14" i="77"/>
  <c r="AO14" i="77"/>
  <c r="AH15" i="77"/>
  <c r="AP14" i="77"/>
  <c r="AR14" i="77"/>
  <c r="AT14" i="77"/>
  <c r="AK15" i="77"/>
  <c r="AN15" i="77"/>
  <c r="AO15" i="77"/>
  <c r="AH16" i="77"/>
  <c r="AP15" i="77"/>
  <c r="AR15" i="77"/>
  <c r="AT15" i="77"/>
  <c r="AK16" i="77"/>
  <c r="AN16" i="77"/>
  <c r="AO16" i="77"/>
  <c r="AH17" i="77"/>
  <c r="AP16" i="77"/>
  <c r="AR16" i="77"/>
  <c r="AT16" i="77"/>
  <c r="AK17" i="77"/>
  <c r="AN17" i="77"/>
  <c r="AO17" i="77"/>
  <c r="AH18" i="77"/>
  <c r="AP17" i="77"/>
  <c r="AR17" i="77"/>
  <c r="AT17" i="77"/>
  <c r="AK18" i="77"/>
  <c r="AN18" i="77"/>
  <c r="AO18" i="77"/>
  <c r="AH19" i="77"/>
  <c r="AP18" i="77"/>
  <c r="AR18" i="77"/>
  <c r="AT18" i="77"/>
  <c r="AK19" i="77"/>
  <c r="AN19" i="77"/>
  <c r="AO19" i="77"/>
  <c r="AH20" i="77"/>
  <c r="AP19" i="77"/>
  <c r="AR19" i="77"/>
  <c r="AT19" i="77"/>
  <c r="AK20" i="77"/>
  <c r="AN20" i="77"/>
  <c r="AO20" i="77"/>
  <c r="AH21" i="77"/>
  <c r="AP20" i="77"/>
  <c r="AR20" i="77"/>
  <c r="AT20" i="77"/>
  <c r="AK21" i="77"/>
  <c r="AN21" i="77"/>
  <c r="AO21" i="77"/>
  <c r="AH22" i="77"/>
  <c r="AP21" i="77"/>
  <c r="AR21" i="77"/>
  <c r="AT21" i="77"/>
  <c r="AK22" i="77"/>
  <c r="AN22" i="77"/>
  <c r="AO22" i="77"/>
  <c r="AH23" i="77"/>
  <c r="AP22" i="77"/>
  <c r="AR22" i="77"/>
  <c r="AT22" i="77"/>
  <c r="AK23" i="77"/>
  <c r="AN23" i="77"/>
  <c r="AO23" i="77"/>
  <c r="AH24" i="77"/>
  <c r="AP23" i="77"/>
  <c r="AR23" i="77"/>
  <c r="AT23" i="77"/>
  <c r="AK24" i="77"/>
  <c r="AN24" i="77"/>
  <c r="AO24" i="77"/>
  <c r="AH25" i="77"/>
  <c r="AP24" i="77"/>
  <c r="AR24" i="77"/>
  <c r="AT24" i="77"/>
  <c r="AK25" i="77"/>
  <c r="AN25" i="77"/>
  <c r="AO25" i="77"/>
  <c r="AH26" i="77"/>
  <c r="AP25" i="77"/>
  <c r="AR25" i="77"/>
  <c r="AT25" i="77"/>
  <c r="AK26" i="77"/>
  <c r="AN26" i="77"/>
  <c r="AO26" i="77"/>
  <c r="AH27" i="77"/>
  <c r="AP26" i="77"/>
  <c r="AR26" i="77"/>
  <c r="AT26" i="77"/>
  <c r="AK27" i="77"/>
  <c r="AN27" i="77"/>
  <c r="AO27" i="77"/>
  <c r="AH28" i="77"/>
  <c r="AP27" i="77"/>
  <c r="AR27" i="77"/>
  <c r="AT27" i="77"/>
  <c r="AK28" i="77"/>
  <c r="AN28" i="77"/>
  <c r="AO28" i="77"/>
  <c r="AH29" i="77"/>
  <c r="AP28" i="77"/>
  <c r="AR28" i="77"/>
  <c r="AT28" i="77"/>
  <c r="AK29" i="77"/>
  <c r="AN29" i="77"/>
  <c r="AO29" i="77"/>
  <c r="AH30" i="77"/>
  <c r="AP29" i="77"/>
  <c r="AR29" i="77"/>
  <c r="AT29" i="77"/>
  <c r="AK30" i="77"/>
  <c r="AN30" i="77"/>
  <c r="AO30" i="77"/>
  <c r="AH31" i="77"/>
  <c r="AP30" i="77"/>
  <c r="AR30" i="77"/>
  <c r="AT30" i="77"/>
  <c r="AK31" i="77"/>
  <c r="AN31" i="77"/>
  <c r="AO31" i="77"/>
  <c r="AH32" i="77"/>
  <c r="AP31" i="77"/>
  <c r="AR31" i="77"/>
  <c r="AT31" i="77"/>
  <c r="AK32" i="77"/>
  <c r="AN32" i="77"/>
  <c r="AO32" i="77"/>
  <c r="AH33" i="77"/>
  <c r="AP32" i="77"/>
  <c r="AR32" i="77"/>
  <c r="AT32" i="77"/>
  <c r="AK33" i="77"/>
  <c r="AN33" i="77"/>
  <c r="AO33" i="77"/>
  <c r="AH34" i="77"/>
  <c r="AP33" i="77"/>
  <c r="AR33" i="77"/>
  <c r="AT33" i="77"/>
  <c r="AK34" i="77"/>
  <c r="AN34" i="77"/>
  <c r="AO34" i="77"/>
  <c r="AH35" i="77"/>
  <c r="AP34" i="77"/>
  <c r="AR34" i="77"/>
  <c r="AT34" i="77"/>
  <c r="AK35" i="77"/>
  <c r="AN35" i="77"/>
  <c r="AO35" i="77"/>
  <c r="AH36" i="77"/>
  <c r="AP35" i="77"/>
  <c r="AR35" i="77"/>
  <c r="AT35" i="77"/>
  <c r="AK36" i="77"/>
  <c r="AN36" i="77"/>
  <c r="AO36" i="77"/>
  <c r="AH37" i="77"/>
  <c r="AP36" i="77"/>
  <c r="AR36" i="77"/>
  <c r="AT36" i="77"/>
  <c r="AK37" i="77"/>
  <c r="AN37" i="77"/>
  <c r="AO37" i="77"/>
  <c r="AH38" i="77"/>
  <c r="AP37" i="77"/>
  <c r="AR37" i="77"/>
  <c r="AT37" i="77"/>
  <c r="AK38" i="77"/>
  <c r="AN38" i="77"/>
  <c r="AO38" i="77"/>
  <c r="AH39" i="77"/>
  <c r="AP38" i="77"/>
  <c r="AR38" i="77"/>
  <c r="AT38" i="77"/>
  <c r="AK39" i="77"/>
  <c r="AN39" i="77"/>
  <c r="AO39" i="77"/>
  <c r="AH40" i="77"/>
  <c r="AP39" i="77"/>
  <c r="AR39" i="77"/>
  <c r="AT39" i="77"/>
  <c r="AK40" i="77"/>
  <c r="AN40" i="77"/>
  <c r="AO40" i="77"/>
  <c r="AH41" i="77"/>
  <c r="AP40" i="77"/>
  <c r="AR40" i="77"/>
  <c r="AT40" i="77"/>
  <c r="AK41" i="77"/>
  <c r="AN41" i="77"/>
  <c r="AO41" i="77"/>
  <c r="AH42" i="77"/>
  <c r="AP41" i="77"/>
  <c r="AR41" i="77"/>
  <c r="AT41" i="77"/>
  <c r="AK42" i="77"/>
  <c r="AN42" i="77"/>
  <c r="AO42" i="77"/>
  <c r="AH43" i="77"/>
  <c r="AP42" i="77"/>
  <c r="AR42" i="77"/>
  <c r="AT42" i="77"/>
  <c r="AK43" i="77"/>
  <c r="AN43" i="77"/>
  <c r="AO43" i="77"/>
  <c r="AH44" i="77"/>
  <c r="AP43" i="77"/>
  <c r="AR43" i="77"/>
  <c r="AT43" i="77"/>
  <c r="AK44" i="77"/>
  <c r="AN44" i="77"/>
  <c r="AO44" i="77"/>
  <c r="AH45" i="77"/>
  <c r="AP44" i="77"/>
  <c r="AR44" i="77"/>
  <c r="AT44" i="77"/>
  <c r="AK45" i="77"/>
  <c r="AN45" i="77"/>
  <c r="AO45" i="77"/>
  <c r="AH46" i="77"/>
  <c r="AP45" i="77"/>
  <c r="AR45" i="77"/>
  <c r="AT45" i="77"/>
  <c r="AK46" i="77"/>
  <c r="AN46" i="77"/>
  <c r="AO46" i="77"/>
  <c r="AH47" i="77"/>
  <c r="AP46" i="77"/>
  <c r="AR46" i="77"/>
  <c r="AT46" i="77"/>
  <c r="AK47" i="77"/>
  <c r="AN47" i="77"/>
  <c r="AO47" i="77"/>
  <c r="AH48" i="77"/>
  <c r="AP47" i="77"/>
  <c r="AR47" i="77"/>
  <c r="AT47" i="77"/>
  <c r="AK48" i="77"/>
  <c r="AN48" i="77"/>
  <c r="AO48" i="77"/>
  <c r="AH49" i="77"/>
  <c r="AP48" i="77"/>
  <c r="AR48" i="77"/>
  <c r="AT48" i="77"/>
  <c r="AK49" i="77"/>
  <c r="AN49" i="77"/>
  <c r="AO49" i="77"/>
  <c r="AH50" i="77"/>
  <c r="AP49" i="77"/>
  <c r="AR49" i="77"/>
  <c r="AT49" i="77"/>
  <c r="AK50" i="77"/>
  <c r="AN50" i="77"/>
  <c r="AO50" i="77"/>
  <c r="AH51" i="77"/>
  <c r="AP50" i="77"/>
  <c r="AR50" i="77"/>
  <c r="AT50" i="77"/>
  <c r="AK51" i="77"/>
  <c r="AN51" i="77"/>
  <c r="AO51" i="77"/>
  <c r="AH52" i="77"/>
  <c r="AP51" i="77"/>
  <c r="AR51" i="77"/>
  <c r="AT51" i="77"/>
  <c r="AK52" i="77"/>
  <c r="AN52" i="77"/>
  <c r="AO52" i="77"/>
  <c r="AH53" i="77"/>
  <c r="AP52" i="77"/>
  <c r="AR52" i="77"/>
  <c r="AT52" i="77"/>
  <c r="AK53" i="77"/>
  <c r="AN53" i="77"/>
  <c r="AO53" i="77"/>
  <c r="AH54" i="77"/>
  <c r="AP53" i="77"/>
  <c r="AR53" i="77"/>
  <c r="AT53" i="77"/>
  <c r="AK54" i="77"/>
  <c r="AN54" i="77"/>
  <c r="AO54" i="77"/>
  <c r="AH55" i="77"/>
  <c r="AP54" i="77"/>
  <c r="AR54" i="77"/>
  <c r="AT54" i="77"/>
  <c r="AK55" i="77"/>
  <c r="AN55" i="77"/>
  <c r="AO55" i="77"/>
  <c r="AH56" i="77"/>
  <c r="AP55" i="77"/>
  <c r="AR55" i="77"/>
  <c r="AT55" i="77"/>
  <c r="AK56" i="77"/>
  <c r="AN56" i="77"/>
  <c r="AO56" i="77"/>
  <c r="AH57" i="77"/>
  <c r="AP56" i="77"/>
  <c r="AR56" i="77"/>
  <c r="AT56" i="77"/>
  <c r="AK57" i="77"/>
  <c r="AN57" i="77"/>
  <c r="AO57" i="77"/>
  <c r="AH58" i="77"/>
  <c r="AP57" i="77"/>
  <c r="AR57" i="77"/>
  <c r="AT57" i="77"/>
  <c r="AK58" i="77"/>
  <c r="AN58" i="77"/>
  <c r="AO58" i="77"/>
  <c r="AH59" i="77"/>
  <c r="AP58" i="77"/>
  <c r="AR58" i="77"/>
  <c r="AT58" i="77"/>
  <c r="AK59" i="77"/>
  <c r="AN59" i="77"/>
  <c r="AO59" i="77"/>
  <c r="AH60" i="77"/>
  <c r="AP59" i="77"/>
  <c r="AR59" i="77"/>
  <c r="AT59" i="77"/>
  <c r="AK60" i="77"/>
  <c r="AN60" i="77"/>
  <c r="AO60" i="77"/>
  <c r="AH61" i="77"/>
  <c r="AP60" i="77"/>
  <c r="AR60" i="77"/>
  <c r="AT60" i="77"/>
  <c r="AK61" i="77"/>
  <c r="AN61" i="77"/>
  <c r="AO61" i="77"/>
  <c r="AH62" i="77"/>
  <c r="AP61" i="77"/>
  <c r="AR61" i="77"/>
  <c r="AT61" i="77"/>
  <c r="AK62" i="77"/>
  <c r="AN62" i="77"/>
  <c r="AO62" i="77"/>
  <c r="AH63" i="77"/>
  <c r="AP62" i="77"/>
  <c r="AR62" i="77"/>
  <c r="AT62" i="77"/>
  <c r="AK63" i="77"/>
  <c r="AN63" i="77"/>
  <c r="AO63" i="77"/>
  <c r="AH64" i="77"/>
  <c r="AP63" i="77"/>
  <c r="AR63" i="77"/>
  <c r="AT63" i="77"/>
  <c r="AK64" i="77"/>
  <c r="AN64" i="77"/>
  <c r="AO64" i="77"/>
  <c r="AH65" i="77"/>
  <c r="AP64" i="77"/>
  <c r="AR64" i="77"/>
  <c r="AT64" i="77"/>
  <c r="AK65" i="77"/>
  <c r="AN65" i="77"/>
  <c r="AO65" i="77"/>
  <c r="AH66" i="77"/>
  <c r="AP65" i="77"/>
  <c r="AR65" i="77"/>
  <c r="AT65" i="77"/>
  <c r="AK66" i="77"/>
  <c r="AN66" i="77"/>
  <c r="AO66" i="77"/>
  <c r="AH67" i="77"/>
  <c r="AP66" i="77"/>
  <c r="AR66" i="77"/>
  <c r="AT66" i="77"/>
  <c r="AK67" i="77"/>
  <c r="AN67" i="77"/>
  <c r="AO67" i="77"/>
  <c r="AH68" i="77"/>
  <c r="AP67" i="77"/>
  <c r="AR67" i="77"/>
  <c r="AT67" i="77"/>
  <c r="AK68" i="77"/>
  <c r="AN68" i="77"/>
  <c r="AO68" i="77"/>
  <c r="AH69" i="77"/>
  <c r="AP68" i="77"/>
  <c r="AR68" i="77"/>
  <c r="AT68" i="77"/>
  <c r="AK69" i="77"/>
  <c r="AN69" i="77"/>
  <c r="AO69" i="77"/>
  <c r="AH70" i="77"/>
  <c r="AP69" i="77"/>
  <c r="AR69" i="77"/>
  <c r="AT69" i="77"/>
  <c r="AK70" i="77"/>
  <c r="AN70" i="77"/>
  <c r="AO70" i="77"/>
  <c r="AH71" i="77"/>
  <c r="AP70" i="77"/>
  <c r="AR70" i="77"/>
  <c r="AT70" i="77"/>
  <c r="AK71" i="77"/>
  <c r="AN71" i="77"/>
  <c r="AO71" i="77"/>
  <c r="AH72" i="77"/>
  <c r="AP71" i="77"/>
  <c r="AR71" i="77"/>
  <c r="AT71" i="77"/>
  <c r="AK72" i="77"/>
  <c r="AN72" i="77"/>
  <c r="AO72" i="77"/>
  <c r="AH73" i="77"/>
  <c r="AP72" i="77"/>
  <c r="AR72" i="77"/>
  <c r="AT72" i="77"/>
  <c r="AK73" i="77"/>
  <c r="AN73" i="77"/>
  <c r="AO73" i="77"/>
  <c r="AH74" i="77"/>
  <c r="AP73" i="77"/>
  <c r="AR73" i="77"/>
  <c r="AT73" i="77"/>
  <c r="AK74" i="77"/>
  <c r="AN74" i="77"/>
  <c r="AO74" i="77"/>
  <c r="AH75" i="77"/>
  <c r="AP74" i="77"/>
  <c r="AR74" i="77"/>
  <c r="AT74" i="77"/>
  <c r="AK75" i="77"/>
  <c r="AN75" i="77"/>
  <c r="AO75" i="77"/>
  <c r="AH76" i="77"/>
  <c r="AP75" i="77"/>
  <c r="AR75" i="77"/>
  <c r="AT75" i="77"/>
  <c r="AK76" i="77"/>
  <c r="AN76" i="77"/>
  <c r="AO76" i="77"/>
  <c r="AH77" i="77"/>
  <c r="AP76" i="77"/>
  <c r="AR76" i="77"/>
  <c r="AT76" i="77"/>
  <c r="AK77" i="77"/>
  <c r="AN77" i="77"/>
  <c r="AO77" i="77"/>
  <c r="AH78" i="77"/>
  <c r="AP77" i="77"/>
  <c r="AR77" i="77"/>
  <c r="AT77" i="77"/>
  <c r="AK78" i="77"/>
  <c r="AN78" i="77"/>
  <c r="AO78" i="77"/>
  <c r="AH79" i="77"/>
  <c r="AP78" i="77"/>
  <c r="AR78" i="77"/>
  <c r="AT78" i="77"/>
  <c r="AK79" i="77"/>
  <c r="AN79" i="77"/>
  <c r="AO79" i="77"/>
  <c r="AH80" i="77"/>
  <c r="AP79" i="77"/>
  <c r="AR79" i="77"/>
  <c r="AT79" i="77"/>
  <c r="AK80" i="77"/>
  <c r="AN80" i="77"/>
  <c r="AO80" i="77"/>
  <c r="AH81" i="77"/>
  <c r="AP80" i="77"/>
  <c r="AR80" i="77"/>
  <c r="AT80" i="77"/>
  <c r="AK81" i="77"/>
  <c r="AN81" i="77"/>
  <c r="AO81" i="77"/>
  <c r="AH82" i="77"/>
  <c r="AP81" i="77"/>
  <c r="AR81" i="77"/>
  <c r="AT81" i="77"/>
  <c r="AK82" i="77"/>
  <c r="AN82" i="77"/>
  <c r="AO82" i="77"/>
  <c r="AH83" i="77"/>
  <c r="AP82" i="77"/>
  <c r="AR82" i="77"/>
  <c r="AT82" i="77"/>
  <c r="AK83" i="77"/>
  <c r="AN83" i="77"/>
  <c r="AO83" i="77"/>
  <c r="AH84" i="77"/>
  <c r="AP83" i="77"/>
  <c r="AR83" i="77"/>
  <c r="AT83" i="77"/>
  <c r="AK84" i="77"/>
  <c r="AN84" i="77"/>
  <c r="AO84" i="77"/>
  <c r="AH85" i="77"/>
  <c r="AP84" i="77"/>
  <c r="AR84" i="77"/>
  <c r="AT84" i="77"/>
  <c r="AK85" i="77"/>
  <c r="AN85" i="77"/>
  <c r="AO85" i="77"/>
  <c r="AH86" i="77"/>
  <c r="AP85" i="77"/>
  <c r="AR85" i="77"/>
  <c r="AT85" i="77"/>
  <c r="AK86" i="77"/>
  <c r="AN86" i="77"/>
  <c r="AO86" i="77"/>
  <c r="AH87" i="77"/>
  <c r="AP86" i="77"/>
  <c r="AR86" i="77"/>
  <c r="AT86" i="77"/>
  <c r="AK87" i="77"/>
  <c r="AN87" i="77"/>
  <c r="AO87" i="77"/>
  <c r="AH88" i="77"/>
  <c r="AP87" i="77"/>
  <c r="AR87" i="77"/>
  <c r="AT87" i="77"/>
  <c r="AK88" i="77"/>
  <c r="AN88" i="77"/>
  <c r="AO88" i="77"/>
  <c r="AH89" i="77"/>
  <c r="AP88" i="77"/>
  <c r="AR88" i="77"/>
  <c r="AT88" i="77"/>
  <c r="AK89" i="77"/>
  <c r="AN89" i="77"/>
  <c r="AO89" i="77"/>
  <c r="AH90" i="77"/>
  <c r="AP89" i="77"/>
  <c r="AR89" i="77"/>
  <c r="AT89" i="77"/>
  <c r="AK90" i="77"/>
  <c r="AN90" i="77"/>
  <c r="AO90" i="77"/>
  <c r="AH91" i="77"/>
  <c r="AP90" i="77"/>
  <c r="AR90" i="77"/>
  <c r="AT90" i="77"/>
  <c r="AK91" i="77"/>
  <c r="AN91" i="77"/>
  <c r="AO91" i="77"/>
  <c r="AH92" i="77"/>
  <c r="AP91" i="77"/>
  <c r="AR91" i="77"/>
  <c r="AT91" i="77"/>
  <c r="AK92" i="77"/>
  <c r="AN92" i="77"/>
  <c r="AO92" i="77"/>
  <c r="AH93" i="77"/>
  <c r="AP92" i="77"/>
  <c r="AR92" i="77"/>
  <c r="AT92" i="77"/>
  <c r="AK93" i="77"/>
  <c r="AN93" i="77"/>
  <c r="AO93" i="77"/>
  <c r="AH94" i="77"/>
  <c r="AP93" i="77"/>
  <c r="AR93" i="77"/>
  <c r="AT93" i="77"/>
  <c r="AK94" i="77"/>
  <c r="AN94" i="77"/>
  <c r="AO94" i="77"/>
  <c r="AH95" i="77"/>
  <c r="AP94" i="77"/>
  <c r="AR94" i="77"/>
  <c r="AT94" i="77"/>
  <c r="AK95" i="77"/>
  <c r="AN95" i="77"/>
  <c r="AO95" i="77"/>
  <c r="AH96" i="77"/>
  <c r="AP95" i="77"/>
  <c r="AR95" i="77"/>
  <c r="AT95" i="77"/>
  <c r="AK96" i="77"/>
  <c r="AN96" i="77"/>
  <c r="AO96" i="77"/>
  <c r="AH97" i="77"/>
  <c r="AP96" i="77"/>
  <c r="AR96" i="77"/>
  <c r="AT96" i="77"/>
  <c r="AK97" i="77"/>
  <c r="AN97" i="77"/>
  <c r="AO97" i="77"/>
  <c r="AH98" i="77"/>
  <c r="AP97" i="77"/>
  <c r="AR97" i="77"/>
  <c r="AT97" i="77"/>
  <c r="AK98" i="77"/>
  <c r="AN98" i="77"/>
  <c r="AO98" i="77"/>
  <c r="AH99" i="77"/>
  <c r="AP98" i="77"/>
  <c r="AR98" i="77"/>
  <c r="AT98" i="77"/>
  <c r="AK99" i="77"/>
  <c r="AN99" i="77"/>
  <c r="AO99" i="77"/>
  <c r="AH100" i="77"/>
  <c r="AP99" i="77"/>
  <c r="AR99" i="77"/>
  <c r="AT99" i="77"/>
  <c r="AK100" i="77"/>
  <c r="AN100" i="77"/>
  <c r="AO100" i="77"/>
  <c r="AH101" i="77"/>
  <c r="AP100" i="77"/>
  <c r="AR100" i="77"/>
  <c r="AT100" i="77"/>
  <c r="AK101" i="77"/>
  <c r="AN101" i="77"/>
  <c r="AO101" i="77"/>
  <c r="AH102" i="77"/>
  <c r="AP101" i="77"/>
  <c r="AR101" i="77"/>
  <c r="AT101" i="77"/>
  <c r="AK102" i="77"/>
  <c r="AN102" i="77"/>
  <c r="AO102" i="77"/>
  <c r="AH103" i="77"/>
  <c r="AP102" i="77"/>
  <c r="AR102" i="77"/>
  <c r="AT102" i="77"/>
  <c r="AK103" i="77"/>
  <c r="AN103" i="77"/>
  <c r="AO103" i="77"/>
  <c r="AH104" i="77"/>
  <c r="AP103" i="77"/>
  <c r="AR103" i="77"/>
  <c r="AT103" i="77"/>
  <c r="AK104" i="77"/>
  <c r="AN104" i="77"/>
  <c r="AO104" i="77"/>
  <c r="AH105" i="77"/>
  <c r="AP104" i="77"/>
  <c r="AR104" i="77"/>
  <c r="AT104" i="77"/>
  <c r="AK105" i="77"/>
  <c r="AN105" i="77"/>
  <c r="AO105" i="77"/>
  <c r="AH106" i="77"/>
  <c r="AP105" i="77"/>
  <c r="AR105" i="77"/>
  <c r="AT105" i="77"/>
  <c r="AK106" i="77"/>
  <c r="AN106" i="77"/>
  <c r="AO106" i="77"/>
  <c r="AH107" i="77"/>
  <c r="AP106" i="77"/>
  <c r="AR106" i="77"/>
  <c r="AT106" i="77"/>
  <c r="AK107" i="77"/>
  <c r="AN107" i="77"/>
  <c r="AO107" i="77"/>
  <c r="AH108" i="77"/>
  <c r="AP107" i="77"/>
  <c r="AR107" i="77"/>
  <c r="AT107" i="77"/>
  <c r="AK108" i="77"/>
  <c r="AN108" i="77"/>
  <c r="AO108" i="77"/>
  <c r="AH109" i="77"/>
  <c r="AP108" i="77"/>
  <c r="AR108" i="77"/>
  <c r="AT108" i="77"/>
  <c r="AK109" i="77"/>
  <c r="AN109" i="77"/>
  <c r="AO109" i="77"/>
  <c r="AH110" i="77"/>
  <c r="AP109" i="77"/>
  <c r="AR109" i="77"/>
  <c r="AT109" i="77"/>
  <c r="AK110" i="77"/>
  <c r="AN110" i="77"/>
  <c r="AO110" i="77"/>
  <c r="AH111" i="77"/>
  <c r="AP110" i="77"/>
  <c r="AR110" i="77"/>
  <c r="AT110" i="77"/>
  <c r="AK111" i="77"/>
  <c r="AN111" i="77"/>
  <c r="AO111" i="77"/>
  <c r="AH112" i="77"/>
  <c r="AP111" i="77"/>
  <c r="AR111" i="77"/>
  <c r="AT111" i="77"/>
  <c r="AK112" i="77"/>
  <c r="AN112" i="77"/>
  <c r="AO112" i="77"/>
  <c r="AH113" i="77"/>
  <c r="AP112" i="77"/>
  <c r="AR112" i="77"/>
  <c r="AT112" i="77"/>
  <c r="AK113" i="77"/>
  <c r="AN113" i="77"/>
  <c r="AO113" i="77"/>
  <c r="AH114" i="77"/>
  <c r="AP113" i="77"/>
  <c r="AR113" i="77"/>
  <c r="AT113" i="77"/>
  <c r="AK114" i="77"/>
  <c r="AN114" i="77"/>
  <c r="AO114" i="77"/>
  <c r="AH115" i="77"/>
  <c r="AP114" i="77"/>
  <c r="AR114" i="77"/>
  <c r="AT114" i="77"/>
  <c r="AK115" i="77"/>
  <c r="AN115" i="77"/>
  <c r="AO115" i="77"/>
  <c r="AH116" i="77"/>
  <c r="AP115" i="77"/>
  <c r="AR115" i="77"/>
  <c r="AT115" i="77"/>
  <c r="AK116" i="77"/>
  <c r="AN116" i="77"/>
  <c r="AO116" i="77"/>
  <c r="AH117" i="77"/>
  <c r="AP116" i="77"/>
  <c r="AR116" i="77"/>
  <c r="AT116" i="77"/>
  <c r="AK117" i="77"/>
  <c r="AN117" i="77"/>
  <c r="AO117" i="77"/>
  <c r="AH118" i="77"/>
  <c r="AP117" i="77"/>
  <c r="AR117" i="77"/>
  <c r="AT117" i="77"/>
  <c r="AK118" i="77"/>
  <c r="AN118" i="77"/>
  <c r="AO118" i="77"/>
  <c r="AH119" i="77"/>
  <c r="AP118" i="77"/>
  <c r="AR118" i="77"/>
  <c r="AT118" i="77"/>
  <c r="AK119" i="77"/>
  <c r="AN119" i="77"/>
  <c r="AO119" i="77"/>
  <c r="AH120" i="77"/>
  <c r="AP119" i="77"/>
  <c r="AR119" i="77"/>
  <c r="AT119" i="77"/>
  <c r="AK120" i="77"/>
  <c r="AN120" i="77"/>
  <c r="AO120" i="77"/>
  <c r="AH121" i="77"/>
  <c r="AP120" i="77"/>
  <c r="AR120" i="77"/>
  <c r="AT120" i="77"/>
  <c r="AK121" i="77"/>
  <c r="AN121" i="77"/>
  <c r="AO121" i="77"/>
  <c r="AH122" i="77"/>
  <c r="AP121" i="77"/>
  <c r="AR121" i="77"/>
  <c r="AT121" i="77"/>
  <c r="AK122" i="77"/>
  <c r="AN122" i="77"/>
  <c r="AO122" i="77"/>
  <c r="AH123" i="77"/>
  <c r="AP122" i="77"/>
  <c r="AR122" i="77"/>
  <c r="AT122" i="77"/>
  <c r="AK123" i="77"/>
  <c r="AN123" i="77"/>
  <c r="AO123" i="77"/>
  <c r="AH124" i="77"/>
  <c r="AP123" i="77"/>
  <c r="AR123" i="77"/>
  <c r="AT123" i="77"/>
  <c r="AK124" i="77"/>
  <c r="AN124" i="77"/>
  <c r="AO124" i="77"/>
  <c r="AH125" i="77"/>
  <c r="AP124" i="77"/>
  <c r="AR124" i="77"/>
  <c r="AT124" i="77"/>
  <c r="AK125" i="77"/>
  <c r="AN125" i="77"/>
  <c r="AO125" i="77"/>
  <c r="AH126" i="77"/>
  <c r="AP125" i="77"/>
  <c r="AR125" i="77"/>
  <c r="AT125" i="77"/>
  <c r="AK126" i="77"/>
  <c r="AN126" i="77"/>
  <c r="AO126" i="77"/>
  <c r="AH127" i="77"/>
  <c r="AP126" i="77"/>
  <c r="AR126" i="77"/>
  <c r="AT126" i="77"/>
  <c r="AK127" i="77"/>
  <c r="AN127" i="77"/>
  <c r="AO127" i="77"/>
  <c r="AH128" i="77"/>
  <c r="AP127" i="77"/>
  <c r="AR127" i="77"/>
  <c r="AT127" i="77"/>
  <c r="AK128" i="77"/>
  <c r="AN128" i="77"/>
  <c r="AO128" i="77"/>
  <c r="AH129" i="77"/>
  <c r="AP128" i="77"/>
  <c r="AR128" i="77"/>
  <c r="AT128" i="77"/>
  <c r="AK129" i="77"/>
  <c r="AN129" i="77"/>
  <c r="AO129" i="77"/>
  <c r="AH130" i="77"/>
  <c r="AP129" i="77"/>
  <c r="AR129" i="77"/>
  <c r="AT129" i="77"/>
  <c r="AK130" i="77"/>
  <c r="AN130" i="77"/>
  <c r="AO130" i="77"/>
  <c r="AH131" i="77"/>
  <c r="AP130" i="77"/>
  <c r="AR130" i="77"/>
  <c r="AT130" i="77"/>
  <c r="AK131" i="77"/>
  <c r="AN131" i="77"/>
  <c r="AO131" i="77"/>
  <c r="AH132" i="77"/>
  <c r="AP131" i="77"/>
  <c r="AR131" i="77"/>
  <c r="AT131" i="77"/>
  <c r="AK132" i="77"/>
  <c r="AN132" i="77"/>
  <c r="AO132" i="77"/>
  <c r="AH133" i="77"/>
  <c r="AP132" i="77"/>
  <c r="AR132" i="77"/>
  <c r="AT132" i="77"/>
  <c r="AK133" i="77"/>
  <c r="AN133" i="77"/>
  <c r="AO133" i="77"/>
  <c r="AH134" i="77"/>
  <c r="AP133" i="77"/>
  <c r="AR133" i="77"/>
  <c r="AT133" i="77"/>
  <c r="AK134" i="77"/>
  <c r="AN134" i="77"/>
  <c r="AO134" i="77"/>
  <c r="AH135" i="77"/>
  <c r="AP134" i="77"/>
  <c r="AR134" i="77"/>
  <c r="AT134" i="77"/>
  <c r="AK135" i="77"/>
  <c r="AN135" i="77"/>
  <c r="AO135" i="77"/>
  <c r="AH136" i="77"/>
  <c r="AP135" i="77"/>
  <c r="AR135" i="77"/>
  <c r="AT135" i="77"/>
  <c r="AK136" i="77"/>
  <c r="AN136" i="77"/>
  <c r="AO136" i="77"/>
  <c r="AH137" i="77"/>
  <c r="AP136" i="77"/>
  <c r="AR136" i="77"/>
  <c r="AT136" i="77"/>
  <c r="AK137" i="77"/>
  <c r="AN137" i="77"/>
  <c r="AO137" i="77"/>
  <c r="AH138" i="77"/>
  <c r="AP137" i="77"/>
  <c r="AR137" i="77"/>
  <c r="AT137" i="77"/>
  <c r="AK138" i="77"/>
  <c r="AN138" i="77"/>
  <c r="AO138" i="77"/>
  <c r="AH139" i="77"/>
  <c r="AP138" i="77"/>
  <c r="AR138" i="77"/>
  <c r="AT138" i="77"/>
  <c r="AK139" i="77"/>
  <c r="AN139" i="77"/>
  <c r="AO139" i="77"/>
  <c r="AH140" i="77"/>
  <c r="AP139" i="77"/>
  <c r="AR139" i="77"/>
  <c r="AT139" i="77"/>
  <c r="AK140" i="77"/>
  <c r="AN140" i="77"/>
  <c r="AO140" i="77"/>
  <c r="AH141" i="77"/>
  <c r="AP140" i="77"/>
  <c r="AR140" i="77"/>
  <c r="AT140" i="77"/>
  <c r="AK141" i="77"/>
  <c r="AN141" i="77"/>
  <c r="AO141" i="77"/>
  <c r="AH142" i="77"/>
  <c r="AP141" i="77"/>
  <c r="AR141" i="77"/>
  <c r="AT141" i="77"/>
  <c r="AK142" i="77"/>
  <c r="AN142" i="77"/>
  <c r="AO142" i="77"/>
  <c r="AH143" i="77"/>
  <c r="AP142" i="77"/>
  <c r="AR142" i="77"/>
  <c r="AT142" i="77"/>
  <c r="AK143" i="77"/>
  <c r="AN143" i="77"/>
  <c r="AO143" i="77"/>
  <c r="AH144" i="77"/>
  <c r="AP143" i="77"/>
  <c r="AR143" i="77"/>
  <c r="AT143" i="77"/>
  <c r="AK144" i="77"/>
  <c r="AN144" i="77"/>
  <c r="AO144" i="77"/>
  <c r="AH145" i="77"/>
  <c r="AP144" i="77"/>
  <c r="AR144" i="77"/>
  <c r="AT144" i="77"/>
  <c r="AK145" i="77"/>
  <c r="AN145" i="77"/>
  <c r="AO145" i="77"/>
  <c r="AH146" i="77"/>
  <c r="AP145" i="77"/>
  <c r="AR145" i="77"/>
  <c r="AT145" i="77"/>
  <c r="AK146" i="77"/>
  <c r="AN146" i="77"/>
  <c r="AO146" i="77"/>
  <c r="AH147" i="77"/>
  <c r="AP146" i="77"/>
  <c r="AR146" i="77"/>
  <c r="AT146" i="77"/>
  <c r="AK147" i="77"/>
  <c r="AN147" i="77"/>
  <c r="AO147" i="77"/>
  <c r="AH148" i="77"/>
  <c r="AP147" i="77"/>
  <c r="AR147" i="77"/>
  <c r="AT147" i="77"/>
  <c r="AK148" i="77"/>
  <c r="AN148" i="77"/>
  <c r="AO148" i="77"/>
  <c r="AH149" i="77"/>
  <c r="AP148" i="77"/>
  <c r="AR148" i="77"/>
  <c r="AT148" i="77"/>
  <c r="AK149" i="77"/>
  <c r="AN149" i="77"/>
  <c r="AO149" i="77"/>
  <c r="AH150" i="77"/>
  <c r="AP149" i="77"/>
  <c r="AR149" i="77"/>
  <c r="AT149" i="77"/>
  <c r="AK150" i="77"/>
  <c r="AN150" i="77"/>
  <c r="AO150" i="77"/>
  <c r="AH151" i="77"/>
  <c r="AP150" i="77"/>
  <c r="AR150" i="77"/>
  <c r="AT150" i="77"/>
  <c r="AK151" i="77"/>
  <c r="AN151" i="77"/>
  <c r="AO151" i="77"/>
  <c r="AH152" i="77"/>
  <c r="AP151" i="77"/>
  <c r="AR151" i="77"/>
  <c r="AT151" i="77"/>
  <c r="AK152" i="77"/>
  <c r="AN152" i="77"/>
  <c r="AO152" i="77"/>
  <c r="AH153" i="77"/>
  <c r="AP152" i="77"/>
  <c r="AR152" i="77"/>
  <c r="AT152" i="77"/>
  <c r="AK153" i="77"/>
  <c r="AN153" i="77"/>
  <c r="AO153" i="77"/>
  <c r="AH154" i="77"/>
  <c r="AP153" i="77"/>
  <c r="AR153" i="77"/>
  <c r="AT153" i="77"/>
  <c r="AK154" i="77"/>
  <c r="AN154" i="77"/>
  <c r="AO154" i="77"/>
  <c r="AH155" i="77"/>
  <c r="AP154" i="77"/>
  <c r="AR154" i="77"/>
  <c r="AT154" i="77"/>
  <c r="AK155" i="77"/>
  <c r="AN155" i="77"/>
  <c r="AO155" i="77"/>
  <c r="AH156" i="77"/>
  <c r="AP155" i="77"/>
  <c r="AR155" i="77"/>
  <c r="AT155" i="77"/>
  <c r="AK156" i="77"/>
  <c r="AN156" i="77"/>
  <c r="AO156" i="77"/>
  <c r="AH157" i="77"/>
  <c r="AP156" i="77"/>
  <c r="AR156" i="77"/>
  <c r="AT156" i="77"/>
  <c r="AK157" i="77"/>
  <c r="AN157" i="77"/>
  <c r="AO157" i="77"/>
  <c r="AH158" i="77"/>
  <c r="AP157" i="77"/>
  <c r="AR157" i="77"/>
  <c r="AT157" i="77"/>
  <c r="AK158" i="77"/>
  <c r="AN158" i="77"/>
  <c r="AO158" i="77"/>
  <c r="AH159" i="77"/>
  <c r="AP158" i="77"/>
  <c r="AR158" i="77"/>
  <c r="AT158" i="77"/>
  <c r="AK159" i="77"/>
  <c r="AN159" i="77"/>
  <c r="AO159" i="77"/>
  <c r="AH160" i="77"/>
  <c r="AP159" i="77"/>
  <c r="AR159" i="77"/>
  <c r="AT159" i="77"/>
  <c r="AK160" i="77"/>
  <c r="AN160" i="77"/>
  <c r="AO160" i="77"/>
  <c r="AH161" i="77"/>
  <c r="AP160" i="77"/>
  <c r="AR160" i="77"/>
  <c r="AT160" i="77"/>
  <c r="AK161" i="77"/>
  <c r="AN161" i="77"/>
  <c r="AO161" i="77"/>
  <c r="AH162" i="77"/>
  <c r="AP161" i="77"/>
  <c r="AR161" i="77"/>
  <c r="AT161" i="77"/>
  <c r="AK162" i="77"/>
  <c r="AN162" i="77"/>
  <c r="AO162" i="77"/>
  <c r="AH163" i="77"/>
  <c r="AP162" i="77"/>
  <c r="AR162" i="77"/>
  <c r="AT162" i="77"/>
  <c r="AK163" i="77"/>
  <c r="AN163" i="77"/>
  <c r="AO163" i="77"/>
  <c r="AH164" i="77"/>
  <c r="AP163" i="77"/>
  <c r="AR163" i="77"/>
  <c r="AT163" i="77"/>
  <c r="AK164" i="77"/>
  <c r="AN164" i="77"/>
  <c r="AO164" i="77"/>
  <c r="AH165" i="77"/>
  <c r="AP164" i="77"/>
  <c r="AR164" i="77"/>
  <c r="AT164" i="77"/>
  <c r="AK165" i="77"/>
  <c r="AN165" i="77"/>
  <c r="AO165" i="77"/>
  <c r="AH166" i="77"/>
  <c r="AP165" i="77"/>
  <c r="AR165" i="77"/>
  <c r="AT165" i="77"/>
  <c r="AK166" i="77"/>
  <c r="AN166" i="77"/>
  <c r="AO166" i="77"/>
  <c r="AH167" i="77"/>
  <c r="AP166" i="77"/>
  <c r="AR166" i="77"/>
  <c r="AT166" i="77"/>
  <c r="AK167" i="77"/>
  <c r="AN167" i="77"/>
  <c r="AO167" i="77"/>
  <c r="AH168" i="77"/>
  <c r="AP167" i="77"/>
  <c r="AR167" i="77"/>
  <c r="AT167" i="77"/>
  <c r="AK168" i="77"/>
  <c r="AN168" i="77"/>
  <c r="AO168" i="77"/>
  <c r="AH169" i="77"/>
  <c r="AP168" i="77"/>
  <c r="AR168" i="77"/>
  <c r="AT168" i="77"/>
  <c r="AK169" i="77"/>
  <c r="AN169" i="77"/>
  <c r="AO169" i="77"/>
  <c r="AH170" i="77"/>
  <c r="AP169" i="77"/>
  <c r="AR169" i="77"/>
  <c r="AT169" i="77"/>
  <c r="AK170" i="77"/>
  <c r="AN170" i="77"/>
  <c r="AO170" i="77"/>
  <c r="AH171" i="77"/>
  <c r="AP170" i="77"/>
  <c r="AR170" i="77"/>
  <c r="AT170" i="77"/>
  <c r="AK171" i="77"/>
  <c r="AN171" i="77"/>
  <c r="AO171" i="77"/>
  <c r="AH172" i="77"/>
  <c r="AP171" i="77"/>
  <c r="AR171" i="77"/>
  <c r="AT171" i="77"/>
  <c r="AK172" i="77"/>
  <c r="AN172" i="77"/>
  <c r="AO172" i="77"/>
  <c r="AH173" i="77"/>
  <c r="AP172" i="77"/>
  <c r="AR172" i="77"/>
  <c r="AT172" i="77"/>
  <c r="AK173" i="77"/>
  <c r="AN173" i="77"/>
  <c r="AO173" i="77"/>
  <c r="AH174" i="77"/>
  <c r="AP173" i="77"/>
  <c r="AR173" i="77"/>
  <c r="AT173" i="77"/>
  <c r="AK174" i="77"/>
  <c r="AN174" i="77"/>
  <c r="AO174" i="77"/>
  <c r="AH175" i="77"/>
  <c r="AP174" i="77"/>
  <c r="AR174" i="77"/>
  <c r="AT174" i="77"/>
  <c r="AK175" i="77"/>
  <c r="AN175" i="77"/>
  <c r="AO175" i="77"/>
  <c r="AH176" i="77"/>
  <c r="AP175" i="77"/>
  <c r="AR175" i="77"/>
  <c r="AT175" i="77"/>
  <c r="AK176" i="77"/>
  <c r="AN176" i="77"/>
  <c r="AO176" i="77"/>
  <c r="AH177" i="77"/>
  <c r="AP176" i="77"/>
  <c r="AR176" i="77"/>
  <c r="AT176" i="77"/>
  <c r="AK177" i="77"/>
  <c r="AN177" i="77"/>
  <c r="AO177" i="77"/>
  <c r="AH178" i="77"/>
  <c r="AP177" i="77"/>
  <c r="AR177" i="77"/>
  <c r="AT177" i="77"/>
  <c r="AK178" i="77"/>
  <c r="AN178" i="77"/>
  <c r="AO178" i="77"/>
  <c r="AH179" i="77"/>
  <c r="AP178" i="77"/>
  <c r="AR178" i="77"/>
  <c r="AT178" i="77"/>
  <c r="AK179" i="77"/>
  <c r="AN179" i="77"/>
  <c r="AO179" i="77"/>
  <c r="AH180" i="77"/>
  <c r="AP179" i="77"/>
  <c r="AR179" i="77"/>
  <c r="AT179" i="77"/>
  <c r="AK180" i="77"/>
  <c r="AN180" i="77"/>
  <c r="AO180" i="77"/>
  <c r="AH181" i="77"/>
  <c r="AP180" i="77"/>
  <c r="AR180" i="77"/>
  <c r="AT180" i="77"/>
  <c r="AK181" i="77"/>
  <c r="AN181" i="77"/>
  <c r="AO181" i="77"/>
  <c r="AH182" i="77"/>
  <c r="AP181" i="77"/>
  <c r="AR181" i="77"/>
  <c r="AT181" i="77"/>
  <c r="AK182" i="77"/>
  <c r="AN182" i="77"/>
  <c r="AO182" i="77"/>
  <c r="AH183" i="77"/>
  <c r="AP182" i="77"/>
  <c r="AR182" i="77"/>
  <c r="AT182" i="77"/>
  <c r="AK183" i="77"/>
  <c r="AN183" i="77"/>
  <c r="AO183" i="77"/>
  <c r="AH184" i="77"/>
  <c r="AP183" i="77"/>
  <c r="AR183" i="77"/>
  <c r="AT183" i="77"/>
  <c r="AK184" i="77"/>
  <c r="AN184" i="77"/>
  <c r="AO184" i="77"/>
  <c r="AH185" i="77"/>
  <c r="AP184" i="77"/>
  <c r="AR184" i="77"/>
  <c r="AT184" i="77"/>
  <c r="AK185" i="77"/>
  <c r="AN185" i="77"/>
  <c r="AO185" i="77"/>
  <c r="AH186" i="77"/>
  <c r="AP185" i="77"/>
  <c r="AR185" i="77"/>
  <c r="AT185" i="77"/>
  <c r="AK186" i="77"/>
  <c r="AN186" i="77"/>
  <c r="AO186" i="77"/>
  <c r="AH187" i="77"/>
  <c r="AP186" i="77"/>
  <c r="AR186" i="77"/>
  <c r="AT186" i="77"/>
  <c r="AK187" i="77"/>
  <c r="AN187" i="77"/>
  <c r="AO187" i="77"/>
  <c r="AH188" i="77"/>
  <c r="AP187" i="77"/>
  <c r="AR187" i="77"/>
  <c r="AT187" i="77"/>
  <c r="AK188" i="77"/>
  <c r="AN188" i="77"/>
  <c r="AO188" i="77"/>
  <c r="AH189" i="77"/>
  <c r="AP188" i="77"/>
  <c r="AR188" i="77"/>
  <c r="AT188" i="77"/>
  <c r="AK189" i="77"/>
  <c r="AN189" i="77"/>
  <c r="AO189" i="77"/>
  <c r="AH190" i="77"/>
  <c r="AP189" i="77"/>
  <c r="AR189" i="77"/>
  <c r="AT189" i="77"/>
  <c r="AK190" i="77"/>
  <c r="AN190" i="77"/>
  <c r="AO190" i="77"/>
  <c r="AH191" i="77"/>
  <c r="AP190" i="77"/>
  <c r="AR190" i="77"/>
  <c r="AT190" i="77"/>
  <c r="AK191" i="77"/>
  <c r="AN191" i="77"/>
  <c r="AO191" i="77"/>
  <c r="AH192" i="77"/>
  <c r="AP191" i="77"/>
  <c r="AR191" i="77"/>
  <c r="AT191" i="77"/>
  <c r="AK192" i="77"/>
  <c r="AN192" i="77"/>
  <c r="AO192" i="77"/>
  <c r="AH193" i="77"/>
  <c r="AP192" i="77"/>
  <c r="AR192" i="77"/>
  <c r="AT192" i="77"/>
  <c r="AK193" i="77"/>
  <c r="AN193" i="77"/>
  <c r="AO193" i="77"/>
  <c r="AH194" i="77"/>
  <c r="AP193" i="77"/>
  <c r="AR193" i="77"/>
  <c r="AT193" i="77"/>
  <c r="AK194" i="77"/>
  <c r="AN194" i="77"/>
  <c r="AO194" i="77"/>
  <c r="AH195" i="77"/>
  <c r="AP194" i="77"/>
  <c r="AR194" i="77"/>
  <c r="AT194" i="77"/>
  <c r="AK195" i="77"/>
  <c r="AN195" i="77"/>
  <c r="AO195" i="77"/>
  <c r="AH196" i="77"/>
  <c r="AP195" i="77"/>
  <c r="AR195" i="77"/>
  <c r="AT195" i="77"/>
  <c r="AK196" i="77"/>
  <c r="AN196" i="77"/>
  <c r="AO196" i="77"/>
  <c r="AH197" i="77"/>
  <c r="AP196" i="77"/>
  <c r="AR196" i="77"/>
  <c r="AT196" i="77"/>
  <c r="AK197" i="77"/>
  <c r="AN197" i="77"/>
  <c r="AO197" i="77"/>
  <c r="AH198" i="77"/>
  <c r="AP197" i="77"/>
  <c r="AR197" i="77"/>
  <c r="AT197" i="77"/>
  <c r="AK198" i="77"/>
  <c r="AN198" i="77"/>
  <c r="AO198" i="77"/>
  <c r="AH199" i="77"/>
  <c r="AP198" i="77"/>
  <c r="AR198" i="77"/>
  <c r="AT198" i="77"/>
  <c r="AK199" i="77"/>
  <c r="AN199" i="77"/>
  <c r="AO199" i="77"/>
  <c r="AH200" i="77"/>
  <c r="AP199" i="77"/>
  <c r="AR199" i="77"/>
  <c r="AT199" i="77"/>
  <c r="AK200" i="77"/>
  <c r="AN200" i="77"/>
  <c r="AO200" i="77"/>
  <c r="AH201" i="77"/>
  <c r="AP200" i="77"/>
  <c r="AR200" i="77"/>
  <c r="AT200" i="77"/>
  <c r="AK201" i="77"/>
  <c r="AN201" i="77"/>
  <c r="AO201" i="77"/>
  <c r="AH202" i="77"/>
  <c r="AP201" i="77"/>
  <c r="AR201" i="77"/>
  <c r="AT201" i="77"/>
  <c r="AK202" i="77"/>
  <c r="AN202" i="77"/>
  <c r="AO202" i="77"/>
  <c r="AH203" i="77"/>
  <c r="AP202" i="77"/>
  <c r="AR202" i="77"/>
  <c r="AT202" i="77"/>
  <c r="AK203" i="77"/>
  <c r="AN203" i="77"/>
  <c r="AO203" i="77"/>
  <c r="AH204" i="77"/>
  <c r="AP203" i="77"/>
  <c r="AR203" i="77"/>
  <c r="AT203" i="77"/>
  <c r="AK204" i="77"/>
  <c r="AN204" i="77"/>
  <c r="AO204" i="77"/>
  <c r="AH205" i="77"/>
  <c r="AP204" i="77"/>
  <c r="AR204" i="77"/>
  <c r="AT204" i="77"/>
  <c r="AK205" i="77"/>
  <c r="AN205" i="77"/>
  <c r="AO205" i="77"/>
  <c r="AH206" i="77"/>
  <c r="AP205" i="77"/>
  <c r="AR205" i="77"/>
  <c r="AT205" i="77"/>
  <c r="AK206" i="77"/>
  <c r="AN206" i="77"/>
  <c r="AO206" i="77"/>
  <c r="AH207" i="77"/>
  <c r="AP206" i="77"/>
  <c r="AR206" i="77"/>
  <c r="AT206" i="77"/>
  <c r="AK207" i="77"/>
  <c r="AN207" i="77"/>
  <c r="AO207" i="77"/>
  <c r="AH208" i="77"/>
  <c r="AP207" i="77"/>
  <c r="AR207" i="77"/>
  <c r="AT207" i="77"/>
  <c r="AK208" i="77"/>
  <c r="AN208" i="77"/>
  <c r="AO208" i="77"/>
  <c r="AH209" i="77"/>
  <c r="AP208" i="77"/>
  <c r="AR208" i="77"/>
  <c r="AT208" i="77"/>
  <c r="AK209" i="77"/>
  <c r="AN209" i="77"/>
  <c r="AO209" i="77"/>
  <c r="AH210" i="77"/>
  <c r="AP209" i="77"/>
  <c r="AR209" i="77"/>
  <c r="AT209" i="77"/>
  <c r="AK210" i="77"/>
  <c r="AN210" i="77"/>
  <c r="AO210" i="77"/>
  <c r="AH211" i="77"/>
  <c r="AP210" i="77"/>
  <c r="AR210" i="77"/>
  <c r="AT210" i="77"/>
  <c r="AK211" i="77"/>
  <c r="AN211" i="77"/>
  <c r="AO211" i="77"/>
  <c r="AH212" i="77"/>
  <c r="AP211" i="77"/>
  <c r="AR211" i="77"/>
  <c r="AT211" i="77"/>
  <c r="AK212" i="77"/>
  <c r="AN212" i="77"/>
  <c r="AO212" i="77"/>
  <c r="AH213" i="77"/>
  <c r="AP212" i="77"/>
  <c r="AR212" i="77"/>
  <c r="AT212" i="77"/>
  <c r="AK213" i="77"/>
  <c r="AN213" i="77"/>
  <c r="AO213" i="77"/>
  <c r="AH214" i="77"/>
  <c r="AP213" i="77"/>
  <c r="AR213" i="77"/>
  <c r="AT213" i="77"/>
  <c r="AK214" i="77"/>
  <c r="AN214" i="77"/>
  <c r="AO214" i="77"/>
  <c r="AH215" i="77"/>
  <c r="AP214" i="77"/>
  <c r="AR214" i="77"/>
  <c r="AT214" i="77"/>
  <c r="AK215" i="77"/>
  <c r="AN215" i="77"/>
  <c r="AO215" i="77"/>
  <c r="AH216" i="77"/>
  <c r="AP215" i="77"/>
  <c r="AR215" i="77"/>
  <c r="AT215" i="77"/>
  <c r="AK216" i="77"/>
  <c r="AN216" i="77"/>
  <c r="AO216" i="77"/>
  <c r="AH217" i="77"/>
  <c r="AP216" i="77"/>
  <c r="AR216" i="77"/>
  <c r="AT216" i="77"/>
  <c r="AK217" i="77"/>
  <c r="AN217" i="77"/>
  <c r="AO217" i="77"/>
  <c r="AH218" i="77"/>
  <c r="AP217" i="77"/>
  <c r="AR217" i="77"/>
  <c r="AT217" i="77"/>
  <c r="AK218" i="77"/>
  <c r="AN218" i="77"/>
  <c r="AO218" i="77"/>
  <c r="AH219" i="77"/>
  <c r="AP218" i="77"/>
  <c r="AR218" i="77"/>
  <c r="AT218" i="77"/>
  <c r="AK219" i="77"/>
  <c r="AN219" i="77"/>
  <c r="AO219" i="77"/>
  <c r="AH220" i="77"/>
  <c r="AP219" i="77"/>
  <c r="AR219" i="77"/>
  <c r="AT219" i="77"/>
  <c r="AK220" i="77"/>
  <c r="AN220" i="77"/>
  <c r="AO220" i="77"/>
  <c r="AH221" i="77"/>
  <c r="AP220" i="77"/>
  <c r="AR220" i="77"/>
  <c r="AT220" i="77"/>
  <c r="AK221" i="77"/>
  <c r="AN221" i="77"/>
  <c r="AO221" i="77"/>
  <c r="AH222" i="77"/>
  <c r="AP221" i="77"/>
  <c r="AR221" i="77"/>
  <c r="AT221" i="77"/>
  <c r="AK222" i="77"/>
  <c r="AN222" i="77"/>
  <c r="AO222" i="77"/>
  <c r="AH223" i="77"/>
  <c r="AP222" i="77"/>
  <c r="AR222" i="77"/>
  <c r="AT222" i="77"/>
  <c r="AK223" i="77"/>
  <c r="AN223" i="77"/>
  <c r="AO223" i="77"/>
  <c r="AH224" i="77"/>
  <c r="AP223" i="77"/>
  <c r="AR223" i="77"/>
  <c r="AT223" i="77"/>
  <c r="AK224" i="77"/>
  <c r="AN224" i="77"/>
  <c r="AO224" i="77"/>
  <c r="AH225" i="77"/>
  <c r="AP224" i="77"/>
  <c r="AR224" i="77"/>
  <c r="AT224" i="77"/>
  <c r="AK225" i="77"/>
  <c r="AN225" i="77"/>
  <c r="AO225" i="77"/>
  <c r="AH226" i="77"/>
  <c r="AP225" i="77"/>
  <c r="AR225" i="77"/>
  <c r="AT225" i="77"/>
  <c r="AK226" i="77"/>
  <c r="AN226" i="77"/>
  <c r="AO226" i="77"/>
  <c r="AH227" i="77"/>
  <c r="AP226" i="77"/>
  <c r="AR226" i="77"/>
  <c r="AT226" i="77"/>
  <c r="AK227" i="77"/>
  <c r="AN227" i="77"/>
  <c r="AO227" i="77"/>
  <c r="AH228" i="77"/>
  <c r="AP227" i="77"/>
  <c r="AR227" i="77"/>
  <c r="AT227" i="77"/>
  <c r="AK228" i="77"/>
  <c r="AN228" i="77"/>
  <c r="AO228" i="77"/>
  <c r="AH229" i="77"/>
  <c r="AP228" i="77"/>
  <c r="AR228" i="77"/>
  <c r="AT228" i="77"/>
  <c r="AK229" i="77"/>
  <c r="AN229" i="77"/>
  <c r="AO229" i="77"/>
  <c r="AH230" i="77"/>
  <c r="AP229" i="77"/>
  <c r="AR229" i="77"/>
  <c r="AT229" i="77"/>
  <c r="AK230" i="77"/>
  <c r="AN230" i="77"/>
  <c r="AO230" i="77"/>
  <c r="AH231" i="77"/>
  <c r="AP230" i="77"/>
  <c r="AR230" i="77"/>
  <c r="AT230" i="77"/>
  <c r="AK231" i="77"/>
  <c r="AN231" i="77"/>
  <c r="AO231" i="77"/>
  <c r="AH232" i="77"/>
  <c r="AP231" i="77"/>
  <c r="AR231" i="77"/>
  <c r="AT231" i="77"/>
  <c r="AK232" i="77"/>
  <c r="AN232" i="77"/>
  <c r="AO232" i="77"/>
  <c r="AH233" i="77"/>
  <c r="AP232" i="77"/>
  <c r="AR232" i="77"/>
  <c r="AT232" i="77"/>
  <c r="AK233" i="77"/>
  <c r="AN233" i="77"/>
  <c r="AO233" i="77"/>
  <c r="AH234" i="77"/>
  <c r="AP233" i="77"/>
  <c r="AR233" i="77"/>
  <c r="AT233" i="77"/>
  <c r="AK234" i="77"/>
  <c r="AN234" i="77"/>
  <c r="AO234" i="77"/>
  <c r="AH235" i="77"/>
  <c r="AP234" i="77"/>
  <c r="AR234" i="77"/>
  <c r="AT234" i="77"/>
  <c r="AK235" i="77"/>
  <c r="AN235" i="77"/>
  <c r="AO235" i="77"/>
  <c r="AH236" i="77"/>
  <c r="AP235" i="77"/>
  <c r="AR235" i="77"/>
  <c r="AT235" i="77"/>
  <c r="AK236" i="77"/>
  <c r="AN236" i="77"/>
  <c r="AO236" i="77"/>
  <c r="AH237" i="77"/>
  <c r="AP236" i="77"/>
  <c r="AR236" i="77"/>
  <c r="AT236" i="77"/>
  <c r="AK237" i="77"/>
  <c r="AN237" i="77"/>
  <c r="AO237" i="77"/>
  <c r="AH238" i="77"/>
  <c r="AP237" i="77"/>
  <c r="AR237" i="77"/>
  <c r="AT237" i="77"/>
  <c r="AK238" i="77"/>
  <c r="AN238" i="77"/>
  <c r="AO238" i="77"/>
  <c r="AH239" i="77"/>
  <c r="AP238" i="77"/>
  <c r="AR238" i="77"/>
  <c r="AT238" i="77"/>
  <c r="AK239" i="77"/>
  <c r="AN239" i="77"/>
  <c r="AO239" i="77"/>
  <c r="AH240" i="77"/>
  <c r="AP239" i="77"/>
  <c r="AR239" i="77"/>
  <c r="AT239" i="77"/>
  <c r="AK240" i="77"/>
  <c r="AN240" i="77"/>
  <c r="AO240" i="77"/>
  <c r="AH241" i="77"/>
  <c r="AP240" i="77"/>
  <c r="AR240" i="77"/>
  <c r="AT240" i="77"/>
  <c r="AK241" i="77"/>
  <c r="AN241" i="77"/>
  <c r="AO241" i="77"/>
  <c r="AH242" i="77"/>
  <c r="AP241" i="77"/>
  <c r="AR241" i="77"/>
  <c r="AT241" i="77"/>
  <c r="AK242" i="77"/>
  <c r="AN242" i="77"/>
  <c r="AO242" i="77"/>
  <c r="AH243" i="77"/>
  <c r="AP242" i="77"/>
  <c r="AR242" i="77"/>
  <c r="AT242" i="77"/>
  <c r="AK243" i="77"/>
  <c r="AN243" i="77"/>
  <c r="AO243" i="77"/>
  <c r="AH244" i="77"/>
  <c r="AP243" i="77"/>
  <c r="AR243" i="77"/>
  <c r="AT243" i="77"/>
  <c r="AK244" i="77"/>
  <c r="AN244" i="77"/>
  <c r="AO244" i="77"/>
  <c r="AH245" i="77"/>
  <c r="AP244" i="77"/>
  <c r="AR244" i="77"/>
  <c r="AT244" i="77"/>
  <c r="AK245" i="77"/>
  <c r="AN245" i="77"/>
  <c r="AO245" i="77"/>
  <c r="AH246" i="77"/>
  <c r="AP245" i="77"/>
  <c r="AR245" i="77"/>
  <c r="AT245" i="77"/>
  <c r="AK246" i="77"/>
  <c r="AN246" i="77"/>
  <c r="AO246" i="77"/>
  <c r="AH247" i="77"/>
  <c r="AP246" i="77"/>
  <c r="AR246" i="77"/>
  <c r="AT246" i="77"/>
  <c r="AK247" i="77"/>
  <c r="AN247" i="77"/>
  <c r="AO247" i="77"/>
  <c r="AH248" i="77"/>
  <c r="AP247" i="77"/>
  <c r="AR247" i="77"/>
  <c r="AT247" i="77"/>
  <c r="AK248" i="77"/>
  <c r="AN248" i="77"/>
  <c r="AO248" i="77"/>
  <c r="AH249" i="77"/>
  <c r="AP248" i="77"/>
  <c r="AR248" i="77"/>
  <c r="AT248" i="77"/>
  <c r="AK249" i="77"/>
  <c r="AN249" i="77"/>
  <c r="AO249" i="77"/>
  <c r="AH250" i="77"/>
  <c r="AP249" i="77"/>
  <c r="AR249" i="77"/>
  <c r="AT249" i="77"/>
  <c r="AK250" i="77"/>
  <c r="AN250" i="77"/>
  <c r="AO250" i="77"/>
  <c r="AH251" i="77"/>
  <c r="AP250" i="77"/>
  <c r="AR250" i="77"/>
  <c r="AT250" i="77"/>
  <c r="AK251" i="77"/>
  <c r="AN251" i="77"/>
  <c r="AO251" i="77"/>
  <c r="AH252" i="77"/>
  <c r="AP251" i="77"/>
  <c r="AR251" i="77"/>
  <c r="AT251" i="77"/>
  <c r="AK252" i="77"/>
  <c r="AN252" i="77"/>
  <c r="AO252" i="77"/>
  <c r="AH253" i="77"/>
  <c r="AP252" i="77"/>
  <c r="AR252" i="77"/>
  <c r="AT252" i="77"/>
  <c r="AK253" i="77"/>
  <c r="AN253" i="77"/>
  <c r="AO253" i="77"/>
  <c r="AH254" i="77"/>
  <c r="AP253" i="77"/>
  <c r="AR253" i="77"/>
  <c r="AT253" i="77"/>
  <c r="AK254" i="77"/>
  <c r="AN254" i="77"/>
  <c r="AO254" i="77"/>
  <c r="AH255" i="77"/>
  <c r="AP254" i="77"/>
  <c r="AR254" i="77"/>
  <c r="AT254" i="77"/>
  <c r="AK255" i="77"/>
  <c r="AN255" i="77"/>
  <c r="AO255" i="77"/>
  <c r="AH256" i="77"/>
  <c r="AP255" i="77"/>
  <c r="AR255" i="77"/>
  <c r="AT255" i="77"/>
  <c r="AK256" i="77"/>
  <c r="AN256" i="77"/>
  <c r="AO256" i="77"/>
  <c r="AH257" i="77"/>
  <c r="AP256" i="77"/>
  <c r="AR256" i="77"/>
  <c r="AT256" i="77"/>
  <c r="AK257" i="77"/>
  <c r="AN257" i="77"/>
  <c r="AO257" i="77"/>
  <c r="AH258" i="77"/>
  <c r="AP257" i="77"/>
  <c r="AR257" i="77"/>
  <c r="AT257" i="77"/>
  <c r="AK258" i="77"/>
  <c r="AN258" i="77"/>
  <c r="AO258" i="77"/>
  <c r="AH259" i="77"/>
  <c r="AP258" i="77"/>
  <c r="AR258" i="77"/>
  <c r="AT258" i="77"/>
  <c r="AK259" i="77"/>
  <c r="AN259" i="77"/>
  <c r="AO259" i="77"/>
  <c r="AH260" i="77"/>
  <c r="AP259" i="77"/>
  <c r="AR259" i="77"/>
  <c r="AT259" i="77"/>
  <c r="AK260" i="77"/>
  <c r="AN260" i="77"/>
  <c r="AO260" i="77"/>
  <c r="AH261" i="77"/>
  <c r="AP260" i="77"/>
  <c r="AR260" i="77"/>
  <c r="AT260" i="77"/>
  <c r="AK261" i="77"/>
  <c r="AN261" i="77"/>
  <c r="AO261" i="77"/>
  <c r="AH262" i="77"/>
  <c r="AP261" i="77"/>
  <c r="AR261" i="77"/>
  <c r="AT261" i="77"/>
  <c r="AK262" i="77"/>
  <c r="AN262" i="77"/>
  <c r="AO262" i="77"/>
  <c r="AH263" i="77"/>
  <c r="AP262" i="77"/>
  <c r="AR262" i="77"/>
  <c r="AT262" i="77"/>
  <c r="AK263" i="77"/>
  <c r="AN263" i="77"/>
  <c r="AO263" i="77"/>
  <c r="AH264" i="77"/>
  <c r="AP263" i="77"/>
  <c r="AR263" i="77"/>
  <c r="AT263" i="77"/>
  <c r="AK264" i="77"/>
  <c r="AN264" i="77"/>
  <c r="AO264" i="77"/>
  <c r="AH265" i="77"/>
  <c r="AP264" i="77"/>
  <c r="AR264" i="77"/>
  <c r="AT264" i="77"/>
  <c r="AK265" i="77"/>
  <c r="AN265" i="77"/>
  <c r="AO265" i="77"/>
  <c r="AH266" i="77"/>
  <c r="AP265" i="77"/>
  <c r="AR265" i="77"/>
  <c r="AT265" i="77"/>
  <c r="AK266" i="77"/>
  <c r="AN266" i="77"/>
  <c r="AO266" i="77"/>
  <c r="AH267" i="77"/>
  <c r="AP266" i="77"/>
  <c r="AR266" i="77"/>
  <c r="AT266" i="77"/>
  <c r="AK267" i="77"/>
  <c r="AN267" i="77"/>
  <c r="AO267" i="77"/>
  <c r="AH268" i="77"/>
  <c r="AP267" i="77"/>
  <c r="AR267" i="77"/>
  <c r="AT267" i="77"/>
  <c r="AK268" i="77"/>
  <c r="AN268" i="77"/>
  <c r="AO268" i="77"/>
  <c r="AH269" i="77"/>
  <c r="AP268" i="77"/>
  <c r="AR268" i="77"/>
  <c r="AT268" i="77"/>
  <c r="AK269" i="77"/>
  <c r="AN269" i="77"/>
  <c r="AO269" i="77"/>
  <c r="AH270" i="77"/>
  <c r="AP269" i="77"/>
  <c r="AR269" i="77"/>
  <c r="AT269" i="77"/>
  <c r="AK270" i="77"/>
  <c r="AN270" i="77"/>
  <c r="AO270" i="77"/>
  <c r="AH271" i="77"/>
  <c r="AP270" i="77"/>
  <c r="AR270" i="77"/>
  <c r="AT270" i="77"/>
  <c r="AK271" i="77"/>
  <c r="AN271" i="77"/>
  <c r="AO271" i="77"/>
  <c r="AH272" i="77"/>
  <c r="AP271" i="77"/>
  <c r="AR271" i="77"/>
  <c r="AT271" i="77"/>
  <c r="AK272" i="77"/>
  <c r="AN272" i="77"/>
  <c r="AO272" i="77"/>
  <c r="AH273" i="77"/>
  <c r="AP272" i="77"/>
  <c r="AR272" i="77"/>
  <c r="AT272" i="77"/>
  <c r="AK273" i="77"/>
  <c r="AN273" i="77"/>
  <c r="AO273" i="77"/>
  <c r="AH274" i="77"/>
  <c r="AP273" i="77"/>
  <c r="AR273" i="77"/>
  <c r="AT273" i="77"/>
  <c r="AK274" i="77"/>
  <c r="AN274" i="77"/>
  <c r="AO274" i="77"/>
  <c r="AH275" i="77"/>
  <c r="AP274" i="77"/>
  <c r="AR274" i="77"/>
  <c r="AT274" i="77"/>
  <c r="AK275" i="77"/>
  <c r="AN275" i="77"/>
  <c r="AO275" i="77"/>
  <c r="AH276" i="77"/>
  <c r="AP275" i="77"/>
  <c r="AR275" i="77"/>
  <c r="AT275" i="77"/>
  <c r="AK276" i="77"/>
  <c r="AN276" i="77"/>
  <c r="AO276" i="77"/>
  <c r="AH277" i="77"/>
  <c r="AP276" i="77"/>
  <c r="AR276" i="77"/>
  <c r="AT276" i="77"/>
  <c r="AK277" i="77"/>
  <c r="AN277" i="77"/>
  <c r="AO277" i="77"/>
  <c r="AH278" i="77"/>
  <c r="AP277" i="77"/>
  <c r="AR277" i="77"/>
  <c r="AT277" i="77"/>
  <c r="AK278" i="77"/>
  <c r="AN278" i="77"/>
  <c r="AO278" i="77"/>
  <c r="AH279" i="77"/>
  <c r="AP278" i="77"/>
  <c r="AR278" i="77"/>
  <c r="AT278" i="77"/>
  <c r="AK279" i="77"/>
  <c r="AN279" i="77"/>
  <c r="AO279" i="77"/>
  <c r="AH280" i="77"/>
  <c r="AP279" i="77"/>
  <c r="AR279" i="77"/>
  <c r="AT279" i="77"/>
  <c r="AK280" i="77"/>
  <c r="AN280" i="77"/>
  <c r="AO280" i="77"/>
  <c r="AH281" i="77"/>
  <c r="AP280" i="77"/>
  <c r="AR280" i="77"/>
  <c r="AT280" i="77"/>
  <c r="AK281" i="77"/>
  <c r="AN281" i="77"/>
  <c r="AO281" i="77"/>
  <c r="AH282" i="77"/>
  <c r="AP281" i="77"/>
  <c r="AR281" i="77"/>
  <c r="AT281" i="77"/>
  <c r="AK282" i="77"/>
  <c r="AN282" i="77"/>
  <c r="AO282" i="77"/>
  <c r="AH283" i="77"/>
  <c r="AP282" i="77"/>
  <c r="AR282" i="77"/>
  <c r="AT282" i="77"/>
  <c r="AK283" i="77"/>
  <c r="AN283" i="77"/>
  <c r="AO283" i="77"/>
  <c r="AH284" i="77"/>
  <c r="AP283" i="77"/>
  <c r="AR283" i="77"/>
  <c r="AT283" i="77"/>
  <c r="AK284" i="77"/>
  <c r="AN284" i="77"/>
  <c r="AO284" i="77"/>
  <c r="AH285" i="77"/>
  <c r="AP284" i="77"/>
  <c r="AR284" i="77"/>
  <c r="AT284" i="77"/>
  <c r="AK285" i="77"/>
  <c r="AN285" i="77"/>
  <c r="AO285" i="77"/>
  <c r="AH286" i="77"/>
  <c r="AP285" i="77"/>
  <c r="AR285" i="77"/>
  <c r="AT285" i="77"/>
  <c r="AK286" i="77"/>
  <c r="AN286" i="77"/>
  <c r="AO286" i="77"/>
  <c r="AH287" i="77"/>
  <c r="AP286" i="77"/>
  <c r="AR286" i="77"/>
  <c r="AT286" i="77"/>
  <c r="AK287" i="77"/>
  <c r="AN287" i="77"/>
  <c r="AO287" i="77"/>
  <c r="AH288" i="77"/>
  <c r="AP287" i="77"/>
  <c r="AR287" i="77"/>
  <c r="AT287" i="77"/>
  <c r="AK288" i="77"/>
  <c r="AN288" i="77"/>
  <c r="AO288" i="77"/>
  <c r="AH289" i="77"/>
  <c r="AP288" i="77"/>
  <c r="AR288" i="77"/>
  <c r="AT288" i="77"/>
  <c r="AK289" i="77"/>
  <c r="AN289" i="77"/>
  <c r="AO289" i="77"/>
  <c r="AH290" i="77"/>
  <c r="AP289" i="77"/>
  <c r="AR289" i="77"/>
  <c r="AT289" i="77"/>
  <c r="AK290" i="77"/>
  <c r="AN290" i="77"/>
  <c r="AO290" i="77"/>
  <c r="AH291" i="77"/>
  <c r="AP290" i="77"/>
  <c r="AR290" i="77"/>
  <c r="AT290" i="77"/>
  <c r="AK291" i="77"/>
  <c r="AN291" i="77"/>
  <c r="AO291" i="77"/>
  <c r="AH292" i="77"/>
  <c r="AP291" i="77"/>
  <c r="AR291" i="77"/>
  <c r="AT291" i="77"/>
  <c r="AK292" i="77"/>
  <c r="AN292" i="77"/>
  <c r="AO292" i="77"/>
  <c r="AH293" i="77"/>
  <c r="AP292" i="77"/>
  <c r="AR292" i="77"/>
  <c r="AT292" i="77"/>
  <c r="AK293" i="77"/>
  <c r="AN293" i="77"/>
  <c r="AO293" i="77"/>
  <c r="AH294" i="77"/>
  <c r="AP293" i="77"/>
  <c r="AR293" i="77"/>
  <c r="AT293" i="77"/>
  <c r="AK294" i="77"/>
  <c r="AN294" i="77"/>
  <c r="AO294" i="77"/>
  <c r="AH295" i="77"/>
  <c r="AP294" i="77"/>
  <c r="AR294" i="77"/>
  <c r="AT294" i="77"/>
  <c r="AK295" i="77"/>
  <c r="AN295" i="77"/>
  <c r="AO295" i="77"/>
  <c r="AH296" i="77"/>
  <c r="AP295" i="77"/>
  <c r="AR295" i="77"/>
  <c r="AT295" i="77"/>
  <c r="AK296" i="77"/>
  <c r="AN296" i="77"/>
  <c r="AO296" i="77"/>
  <c r="AH297" i="77"/>
  <c r="AP296" i="77"/>
  <c r="AR296" i="77"/>
  <c r="AT296" i="77"/>
  <c r="AK297" i="77"/>
  <c r="AN297" i="77"/>
  <c r="AO297" i="77"/>
  <c r="AH298" i="77"/>
  <c r="AP297" i="77"/>
  <c r="AR297" i="77"/>
  <c r="AT297" i="77"/>
  <c r="AK298" i="77"/>
  <c r="AN298" i="77"/>
  <c r="AO298" i="77"/>
  <c r="AH299" i="77"/>
  <c r="AP298" i="77"/>
  <c r="AR298" i="77"/>
  <c r="AT298" i="77"/>
  <c r="AK299" i="77"/>
  <c r="AN299" i="77"/>
  <c r="AO299" i="77"/>
  <c r="AH300" i="77"/>
  <c r="AP299" i="77"/>
  <c r="AR299" i="77"/>
  <c r="AT299" i="77"/>
  <c r="AK300" i="77"/>
  <c r="AN300" i="77"/>
  <c r="AO300" i="77"/>
  <c r="AH301" i="77"/>
  <c r="AP300" i="77"/>
  <c r="AR300" i="77"/>
  <c r="AT300" i="77"/>
  <c r="AK301" i="77"/>
  <c r="AN301" i="77"/>
  <c r="AO301" i="77"/>
  <c r="AH302" i="77"/>
  <c r="AP301" i="77"/>
  <c r="AR301" i="77"/>
  <c r="AT301" i="77"/>
  <c r="AK302" i="77"/>
  <c r="AN302" i="77"/>
  <c r="AO302" i="77"/>
  <c r="AH303" i="77"/>
  <c r="AP302" i="77"/>
  <c r="AR302" i="77"/>
  <c r="AT302" i="77"/>
  <c r="AK303" i="77"/>
  <c r="AN303" i="77"/>
  <c r="AO303" i="77"/>
  <c r="AH304" i="77"/>
  <c r="AP303" i="77"/>
  <c r="AR303" i="77"/>
  <c r="AT303" i="77"/>
  <c r="AK304" i="77"/>
  <c r="AN304" i="77"/>
  <c r="AO304" i="77"/>
  <c r="AH305" i="77"/>
  <c r="AP304" i="77"/>
  <c r="AR304" i="77"/>
  <c r="AT304" i="77"/>
  <c r="AK305" i="77"/>
  <c r="AN305" i="77"/>
  <c r="AO305" i="77"/>
  <c r="AH306" i="77"/>
  <c r="AP305" i="77"/>
  <c r="AR305" i="77"/>
  <c r="AT305" i="77"/>
  <c r="AK306" i="77"/>
  <c r="AN306" i="77"/>
  <c r="AO306" i="77"/>
  <c r="AH307" i="77"/>
  <c r="AP306" i="77"/>
  <c r="AR306" i="77"/>
  <c r="AT306" i="77"/>
  <c r="AK307" i="77"/>
  <c r="AN307" i="77"/>
  <c r="AO307" i="77"/>
  <c r="AH308" i="77"/>
  <c r="AP307" i="77"/>
  <c r="AR307" i="77"/>
  <c r="AT307" i="77"/>
  <c r="AK308" i="77"/>
  <c r="AN308" i="77"/>
  <c r="AO308" i="77"/>
  <c r="AH309" i="77"/>
  <c r="AP308" i="77"/>
  <c r="AR308" i="77"/>
  <c r="AT308" i="77"/>
  <c r="AK309" i="77"/>
  <c r="AN309" i="77"/>
  <c r="AO309" i="77"/>
  <c r="AH310" i="77"/>
  <c r="AP309" i="77"/>
  <c r="AR309" i="77"/>
  <c r="AT309" i="77"/>
  <c r="AK310" i="77"/>
  <c r="AN310" i="77"/>
  <c r="AO310" i="77"/>
  <c r="AH311" i="77"/>
  <c r="AP310" i="77"/>
  <c r="AR310" i="77"/>
  <c r="AT310" i="77"/>
  <c r="AK311" i="77"/>
  <c r="AN311" i="77"/>
  <c r="AO311" i="77"/>
  <c r="AH312" i="77"/>
  <c r="AP311" i="77"/>
  <c r="AR311" i="77"/>
  <c r="AT311" i="77"/>
  <c r="AK312" i="77"/>
  <c r="AN312" i="77"/>
  <c r="AO312" i="77"/>
  <c r="AH313" i="77"/>
  <c r="AP312" i="77"/>
  <c r="AR312" i="77"/>
  <c r="AT312" i="77"/>
  <c r="AK313" i="77"/>
  <c r="AN313" i="77"/>
  <c r="AO313" i="77"/>
  <c r="AH314" i="77"/>
  <c r="AP313" i="77"/>
  <c r="AR313" i="77"/>
  <c r="AT313" i="77"/>
  <c r="AK314" i="77"/>
  <c r="AN314" i="77"/>
  <c r="AO314" i="77"/>
  <c r="AH315" i="77"/>
  <c r="AP314" i="77"/>
  <c r="AR314" i="77"/>
  <c r="AT314" i="77"/>
  <c r="AK315" i="77"/>
  <c r="AN315" i="77"/>
  <c r="AO315" i="77"/>
  <c r="AH316" i="77"/>
  <c r="AP315" i="77"/>
  <c r="AR315" i="77"/>
  <c r="AT315" i="77"/>
  <c r="AK316" i="77"/>
  <c r="AN316" i="77"/>
  <c r="AO316" i="77"/>
  <c r="AH317" i="77"/>
  <c r="AP316" i="77"/>
  <c r="AR316" i="77"/>
  <c r="AT316" i="77"/>
  <c r="AK317" i="77"/>
  <c r="AN317" i="77"/>
  <c r="AO317" i="77"/>
  <c r="AH318" i="77"/>
  <c r="AP317" i="77"/>
  <c r="AR317" i="77"/>
  <c r="AT317" i="77"/>
  <c r="AK318" i="77"/>
  <c r="AN318" i="77"/>
  <c r="AO318" i="77"/>
  <c r="AH319" i="77"/>
  <c r="AP318" i="77"/>
  <c r="AR318" i="77"/>
  <c r="AT318" i="77"/>
  <c r="AK319" i="77"/>
  <c r="AN319" i="77"/>
  <c r="AO319" i="77"/>
  <c r="AH320" i="77"/>
  <c r="AP319" i="77"/>
  <c r="AR319" i="77"/>
  <c r="AT319" i="77"/>
  <c r="AK320" i="77"/>
  <c r="AN320" i="77"/>
  <c r="AO320" i="77"/>
  <c r="AH321" i="77"/>
  <c r="AP320" i="77"/>
  <c r="AR320" i="77"/>
  <c r="AT320" i="77"/>
  <c r="AK321" i="77"/>
  <c r="AN321" i="77"/>
  <c r="AO321" i="77"/>
  <c r="AH322" i="77"/>
  <c r="AP321" i="77"/>
  <c r="AR321" i="77"/>
  <c r="AT321" i="77"/>
  <c r="AK322" i="77"/>
  <c r="AN322" i="77"/>
  <c r="AO322" i="77"/>
  <c r="AH323" i="77"/>
  <c r="AP322" i="77"/>
  <c r="AR322" i="77"/>
  <c r="AT322" i="77"/>
  <c r="AK323" i="77"/>
  <c r="AN323" i="77"/>
  <c r="AO323" i="77"/>
  <c r="AH324" i="77"/>
  <c r="AP323" i="77"/>
  <c r="AR323" i="77"/>
  <c r="AT323" i="77"/>
  <c r="AK324" i="77"/>
  <c r="AN324" i="77"/>
  <c r="AO324" i="77"/>
  <c r="AH325" i="77"/>
  <c r="AP324" i="77"/>
  <c r="AR324" i="77"/>
  <c r="AT324" i="77"/>
  <c r="AK325" i="77"/>
  <c r="AN325" i="77"/>
  <c r="AO325" i="77"/>
  <c r="AH326" i="77"/>
  <c r="AP325" i="77"/>
  <c r="AR325" i="77"/>
  <c r="AT325" i="77"/>
  <c r="AK326" i="77"/>
  <c r="AN326" i="77"/>
  <c r="AO326" i="77"/>
  <c r="AH327" i="77"/>
  <c r="AP326" i="77"/>
  <c r="AR326" i="77"/>
  <c r="AT326" i="77"/>
  <c r="AK327" i="77"/>
  <c r="AN327" i="77"/>
  <c r="AO327" i="77"/>
  <c r="AH328" i="77"/>
  <c r="AP327" i="77"/>
  <c r="AR327" i="77"/>
  <c r="AT327" i="77"/>
  <c r="AK328" i="77"/>
  <c r="AN328" i="77"/>
  <c r="AO328" i="77"/>
  <c r="AH329" i="77"/>
  <c r="AP328" i="77"/>
  <c r="AR328" i="77"/>
  <c r="AT328" i="77"/>
  <c r="AK329" i="77"/>
  <c r="AN329" i="77"/>
  <c r="AO329" i="77"/>
  <c r="AH330" i="77"/>
  <c r="AP329" i="77"/>
  <c r="AR329" i="77"/>
  <c r="AT329" i="77"/>
  <c r="AK330" i="77"/>
  <c r="AN330" i="77"/>
  <c r="AO330" i="77"/>
  <c r="AH331" i="77"/>
  <c r="AP330" i="77"/>
  <c r="AR330" i="77"/>
  <c r="AT330" i="77"/>
  <c r="AK331" i="77"/>
  <c r="AN331" i="77"/>
  <c r="AO331" i="77"/>
  <c r="AH332" i="77"/>
  <c r="AP331" i="77"/>
  <c r="AR331" i="77"/>
  <c r="AT331" i="77"/>
  <c r="AK332" i="77"/>
  <c r="AN332" i="77"/>
  <c r="AO332" i="77"/>
  <c r="AH333" i="77"/>
  <c r="AP332" i="77"/>
  <c r="AR332" i="77"/>
  <c r="AT332" i="77"/>
  <c r="AK333" i="77"/>
  <c r="AN333" i="77"/>
  <c r="AO333" i="77"/>
  <c r="AH334" i="77"/>
  <c r="AP333" i="77"/>
  <c r="AR333" i="77"/>
  <c r="AT333" i="77"/>
  <c r="AK334" i="77"/>
  <c r="AN334" i="77"/>
  <c r="AO334" i="77"/>
  <c r="AH335" i="77"/>
  <c r="AP334" i="77"/>
  <c r="AR334" i="77"/>
  <c r="AT334" i="77"/>
  <c r="AK335" i="77"/>
  <c r="AN335" i="77"/>
  <c r="AO335" i="77"/>
  <c r="AH336" i="77"/>
  <c r="AP335" i="77"/>
  <c r="AR335" i="77"/>
  <c r="AT335" i="77"/>
  <c r="AK336" i="77"/>
  <c r="AN336" i="77"/>
  <c r="AO336" i="77"/>
  <c r="AH337" i="77"/>
  <c r="AP336" i="77"/>
  <c r="AR336" i="77"/>
  <c r="AT336" i="77"/>
  <c r="AK337" i="77"/>
  <c r="AN337" i="77"/>
  <c r="AO337" i="77"/>
  <c r="AH338" i="77"/>
  <c r="AP337" i="77"/>
  <c r="AR337" i="77"/>
  <c r="AT337" i="77"/>
  <c r="AK338" i="77"/>
  <c r="AN338" i="77"/>
  <c r="AO338" i="77"/>
  <c r="AH339" i="77"/>
  <c r="AP338" i="77"/>
  <c r="AR338" i="77"/>
  <c r="AT338" i="77"/>
  <c r="AK339" i="77"/>
  <c r="AN339" i="77"/>
  <c r="AO339" i="77"/>
  <c r="AH340" i="77"/>
  <c r="AP339" i="77"/>
  <c r="AR339" i="77"/>
  <c r="AT339" i="77"/>
  <c r="AK340" i="77"/>
  <c r="AN340" i="77"/>
  <c r="AO340" i="77"/>
  <c r="AH341" i="77"/>
  <c r="AP340" i="77"/>
  <c r="AR340" i="77"/>
  <c r="AT340" i="77"/>
  <c r="AK341" i="77"/>
  <c r="AN341" i="77"/>
  <c r="AO341" i="77"/>
  <c r="AH342" i="77"/>
  <c r="AP341" i="77"/>
  <c r="AR341" i="77"/>
  <c r="AT341" i="77"/>
  <c r="AK342" i="77"/>
  <c r="AN342" i="77"/>
  <c r="AO342" i="77"/>
  <c r="AH343" i="77"/>
  <c r="AP342" i="77"/>
  <c r="AR342" i="77"/>
  <c r="AT342" i="77"/>
  <c r="AK343" i="77"/>
  <c r="AN343" i="77"/>
  <c r="AO343" i="77"/>
  <c r="AH344" i="77"/>
  <c r="AP343" i="77"/>
  <c r="AR343" i="77"/>
  <c r="AT343" i="77"/>
  <c r="AK344" i="77"/>
  <c r="AN344" i="77"/>
  <c r="AO344" i="77"/>
  <c r="AH345" i="77"/>
  <c r="AP344" i="77"/>
  <c r="AR344" i="77"/>
  <c r="AT344" i="77"/>
  <c r="AK345" i="77"/>
  <c r="AN345" i="77"/>
  <c r="AO345" i="77"/>
  <c r="AH346" i="77"/>
  <c r="AP345" i="77"/>
  <c r="AR345" i="77"/>
  <c r="AT345" i="77"/>
  <c r="AK346" i="77"/>
  <c r="AN346" i="77"/>
  <c r="AO346" i="77"/>
  <c r="AH347" i="77"/>
  <c r="AP346" i="77"/>
  <c r="AR346" i="77"/>
  <c r="AT346" i="77"/>
  <c r="AK347" i="77"/>
  <c r="AN347" i="77"/>
  <c r="AO347" i="77"/>
  <c r="AH348" i="77"/>
  <c r="AP347" i="77"/>
  <c r="AR347" i="77"/>
  <c r="AT347" i="77"/>
  <c r="AK348" i="77"/>
  <c r="AN348" i="77"/>
  <c r="AO348" i="77"/>
  <c r="AH349" i="77"/>
  <c r="AP348" i="77"/>
  <c r="AR348" i="77"/>
  <c r="AT348" i="77"/>
  <c r="AK349" i="77"/>
  <c r="AN349" i="77"/>
  <c r="AO349" i="77"/>
  <c r="AH350" i="77"/>
  <c r="AP349" i="77"/>
  <c r="AR349" i="77"/>
  <c r="AT349" i="77"/>
  <c r="AK350" i="77"/>
  <c r="AN350" i="77"/>
  <c r="AO350" i="77"/>
  <c r="AH351" i="77"/>
  <c r="AP350" i="77"/>
  <c r="AR350" i="77"/>
  <c r="AT350" i="77"/>
  <c r="AK351" i="77"/>
  <c r="AN351" i="77"/>
  <c r="AO351" i="77"/>
  <c r="AH352" i="77"/>
  <c r="AP351" i="77"/>
  <c r="AR351" i="77"/>
  <c r="AT351" i="77"/>
  <c r="AK352" i="77"/>
  <c r="AN352" i="77"/>
  <c r="AO352" i="77"/>
  <c r="AH353" i="77"/>
  <c r="AP352" i="77"/>
  <c r="AR352" i="77"/>
  <c r="AT352" i="77"/>
  <c r="AK353" i="77"/>
  <c r="AN353" i="77"/>
  <c r="AO353" i="77"/>
  <c r="AH354" i="77"/>
  <c r="AP353" i="77"/>
  <c r="AR353" i="77"/>
  <c r="AT353" i="77"/>
  <c r="AK354" i="77"/>
  <c r="AN354" i="77"/>
  <c r="AO354" i="77"/>
  <c r="AH355" i="77"/>
  <c r="AP354" i="77"/>
  <c r="AR354" i="77"/>
  <c r="AT354" i="77"/>
  <c r="AK355" i="77"/>
  <c r="AN355" i="77"/>
  <c r="AO355" i="77"/>
  <c r="AH356" i="77"/>
  <c r="AP355" i="77"/>
  <c r="AR355" i="77"/>
  <c r="AT355" i="77"/>
  <c r="AK356" i="77"/>
  <c r="AN356" i="77"/>
  <c r="AO356" i="77"/>
  <c r="AH357" i="77"/>
  <c r="AP356" i="77"/>
  <c r="AR356" i="77"/>
  <c r="AT356" i="77"/>
  <c r="AK357" i="77"/>
  <c r="AN357" i="77"/>
  <c r="AO357" i="77"/>
  <c r="AH358" i="77"/>
  <c r="AP357" i="77"/>
  <c r="AR357" i="77"/>
  <c r="AT357" i="77"/>
  <c r="AK358" i="77"/>
  <c r="AN358" i="77"/>
  <c r="AO358" i="77"/>
  <c r="AH359" i="77"/>
  <c r="AP358" i="77"/>
  <c r="AR358" i="77"/>
  <c r="AT358" i="77"/>
  <c r="AK359" i="77"/>
  <c r="AN359" i="77"/>
  <c r="AO359" i="77"/>
  <c r="AH360" i="77"/>
  <c r="AP359" i="77"/>
  <c r="AR359" i="77"/>
  <c r="AT359" i="77"/>
  <c r="AK360" i="77"/>
  <c r="AN360" i="77"/>
  <c r="AO360" i="77"/>
  <c r="AH361" i="77"/>
  <c r="AP360" i="77"/>
  <c r="AR360" i="77"/>
  <c r="AT360" i="77"/>
  <c r="AK361" i="77"/>
  <c r="AN361" i="77"/>
  <c r="AO361" i="77"/>
  <c r="AH362" i="77"/>
  <c r="AP361" i="77"/>
  <c r="AR361" i="77"/>
  <c r="AT361" i="77"/>
  <c r="AK362" i="77"/>
  <c r="AN362" i="77"/>
  <c r="AO362" i="77"/>
  <c r="AH363" i="77"/>
  <c r="AP362" i="77"/>
  <c r="AR362" i="77"/>
  <c r="AT362" i="77"/>
  <c r="AK363" i="77"/>
  <c r="AN363" i="77"/>
  <c r="AO363" i="77"/>
  <c r="AH364" i="77"/>
  <c r="AP363" i="77"/>
  <c r="AR363" i="77"/>
  <c r="AT363" i="77"/>
  <c r="AK364" i="77"/>
  <c r="AN364" i="77"/>
  <c r="AO364" i="77"/>
  <c r="AH365" i="77"/>
  <c r="AP364" i="77"/>
  <c r="AR364" i="77"/>
  <c r="AT364" i="77"/>
  <c r="AK365" i="77"/>
  <c r="AN365" i="77"/>
  <c r="AO365" i="77"/>
  <c r="AH366" i="77"/>
  <c r="AP365" i="77"/>
  <c r="AR365" i="77"/>
  <c r="AT365" i="77"/>
  <c r="AK366" i="77"/>
  <c r="AN366" i="77"/>
  <c r="AO366" i="77"/>
  <c r="AH367" i="77"/>
  <c r="AP366" i="77"/>
  <c r="AR366" i="77"/>
  <c r="AT366" i="77"/>
  <c r="AK367" i="77"/>
  <c r="AN367" i="77"/>
  <c r="AO367" i="77"/>
  <c r="AH368" i="77"/>
  <c r="AP367" i="77"/>
  <c r="AR367" i="77"/>
  <c r="AT367" i="77"/>
  <c r="AK368" i="77"/>
  <c r="AN368" i="77"/>
  <c r="AO368" i="77"/>
  <c r="AH369" i="77"/>
  <c r="AP368" i="77"/>
  <c r="AR368" i="77"/>
  <c r="AT368" i="77"/>
  <c r="AK369" i="77"/>
  <c r="AN369" i="77"/>
  <c r="AO369" i="77"/>
  <c r="AH370" i="77"/>
  <c r="AP369" i="77"/>
  <c r="AR369" i="77"/>
  <c r="AT369" i="77"/>
  <c r="AK370" i="77"/>
  <c r="AN370" i="77"/>
  <c r="AO370" i="77"/>
  <c r="AH371" i="77"/>
  <c r="AP370" i="77"/>
  <c r="AR370" i="77"/>
  <c r="AT370" i="77"/>
  <c r="AK371" i="77"/>
  <c r="AN371" i="77"/>
  <c r="AO371" i="77"/>
  <c r="AH372" i="77"/>
  <c r="AP371" i="77"/>
  <c r="AR371" i="77"/>
  <c r="AT371" i="77"/>
  <c r="AK372" i="77"/>
  <c r="AN372" i="77"/>
  <c r="AO372" i="77"/>
  <c r="AH373" i="77"/>
  <c r="AP372" i="77"/>
  <c r="AR372" i="77"/>
  <c r="AT372" i="77"/>
  <c r="AK373" i="77"/>
  <c r="AN373" i="77"/>
  <c r="AO373" i="77"/>
  <c r="AH374" i="77"/>
  <c r="AP373" i="77"/>
  <c r="AR373" i="77"/>
  <c r="AT373" i="77"/>
  <c r="AK374" i="77"/>
  <c r="AN374" i="77"/>
  <c r="AO374" i="77"/>
  <c r="AH375" i="77"/>
  <c r="AP374" i="77"/>
  <c r="AR374" i="77"/>
  <c r="AT374" i="77"/>
  <c r="AK375" i="77"/>
  <c r="AN375" i="77"/>
  <c r="AO375" i="77"/>
  <c r="AH376" i="77"/>
  <c r="AP375" i="77"/>
  <c r="AR375" i="77"/>
  <c r="AT375" i="77"/>
  <c r="AK376" i="77"/>
  <c r="AN376" i="77"/>
  <c r="AO376" i="77"/>
  <c r="AH377" i="77"/>
  <c r="AP376" i="77"/>
  <c r="AR376" i="77"/>
  <c r="AT376" i="77"/>
  <c r="AK377" i="77"/>
  <c r="AN377" i="77"/>
  <c r="AO377" i="77"/>
  <c r="AH378" i="77"/>
  <c r="AP377" i="77"/>
  <c r="AR377" i="77"/>
  <c r="AT377" i="77"/>
  <c r="AK378" i="77"/>
  <c r="AN378" i="77"/>
  <c r="AO378" i="77"/>
  <c r="AH379" i="77"/>
  <c r="AP378" i="77"/>
  <c r="AR378" i="77"/>
  <c r="AT378" i="77"/>
  <c r="AK379" i="77"/>
  <c r="AN379" i="77"/>
  <c r="AO379" i="77"/>
  <c r="AH380" i="77"/>
  <c r="AP379" i="77"/>
  <c r="AR379" i="77"/>
  <c r="AT379" i="77"/>
  <c r="AK380" i="77"/>
  <c r="AN380" i="77"/>
  <c r="AO380" i="77"/>
  <c r="AH381" i="77"/>
  <c r="AP380" i="77"/>
  <c r="AR380" i="77"/>
  <c r="AT380" i="77"/>
  <c r="AK381" i="77"/>
  <c r="AN381" i="77"/>
  <c r="AO381" i="77"/>
  <c r="AH382" i="77"/>
  <c r="AP381" i="77"/>
  <c r="AR381" i="77"/>
  <c r="AT381" i="77"/>
  <c r="AK382" i="77"/>
  <c r="AN382" i="77"/>
  <c r="AO382" i="77"/>
  <c r="AH383" i="77"/>
  <c r="AP382" i="77"/>
  <c r="AR382" i="77"/>
  <c r="AT382" i="77"/>
  <c r="AK383" i="77"/>
  <c r="AN383" i="77"/>
  <c r="AO383" i="77"/>
  <c r="AH384" i="77"/>
  <c r="AP383" i="77"/>
  <c r="AR383" i="77"/>
  <c r="AT383" i="77"/>
  <c r="AK384" i="77"/>
  <c r="AN384" i="77"/>
  <c r="AO384" i="77"/>
  <c r="AH385" i="77"/>
  <c r="AP384" i="77"/>
  <c r="AR384" i="77"/>
  <c r="AT384" i="77"/>
  <c r="AK385" i="77"/>
  <c r="AN385" i="77"/>
  <c r="AO385" i="77"/>
  <c r="AH386" i="77"/>
  <c r="AP385" i="77"/>
  <c r="AR385" i="77"/>
  <c r="AT385" i="77"/>
  <c r="AK386" i="77"/>
  <c r="AN386" i="77"/>
  <c r="AO386" i="77"/>
  <c r="AH387" i="77"/>
  <c r="AP386" i="77"/>
  <c r="AR386" i="77"/>
  <c r="AT386" i="77"/>
  <c r="AK387" i="77"/>
  <c r="AN387" i="77"/>
  <c r="AO387" i="77"/>
  <c r="AH388" i="77"/>
  <c r="AP387" i="77"/>
  <c r="AR387" i="77"/>
  <c r="AT387" i="77"/>
  <c r="AK388" i="77"/>
  <c r="AN388" i="77"/>
  <c r="AO388" i="77"/>
  <c r="AH389" i="77"/>
  <c r="AP388" i="77"/>
  <c r="AR388" i="77"/>
  <c r="AT388" i="77"/>
  <c r="AK389" i="77"/>
  <c r="AN389" i="77"/>
  <c r="AO389" i="77"/>
  <c r="AH390" i="77"/>
  <c r="AP389" i="77"/>
  <c r="AR389" i="77"/>
  <c r="AT389" i="77"/>
  <c r="AK390" i="77"/>
  <c r="AN390" i="77"/>
  <c r="AO390" i="77"/>
  <c r="AH391" i="77"/>
  <c r="AP390" i="77"/>
  <c r="AR390" i="77"/>
  <c r="AT390" i="77"/>
  <c r="AK391" i="77"/>
  <c r="AN391" i="77"/>
  <c r="AO391" i="77"/>
  <c r="AH392" i="77"/>
  <c r="AP391" i="77"/>
  <c r="AR391" i="77"/>
  <c r="AT391" i="77"/>
  <c r="AK392" i="77"/>
  <c r="AN392" i="77"/>
  <c r="AO392" i="77"/>
  <c r="AH393" i="77"/>
  <c r="AP392" i="77"/>
  <c r="AR392" i="77"/>
  <c r="AT392" i="77"/>
  <c r="AK393" i="77"/>
  <c r="AN393" i="77"/>
  <c r="AO393" i="77"/>
  <c r="AH394" i="77"/>
  <c r="AP393" i="77"/>
  <c r="AR393" i="77"/>
  <c r="AT393" i="77"/>
  <c r="AK394" i="77"/>
  <c r="AN394" i="77"/>
  <c r="AO394" i="77"/>
  <c r="AH395" i="77"/>
  <c r="AP394" i="77"/>
  <c r="AR394" i="77"/>
  <c r="AT394" i="77"/>
  <c r="AK395" i="77"/>
  <c r="AN395" i="77"/>
  <c r="AO395" i="77"/>
  <c r="AH396" i="77"/>
  <c r="AP395" i="77"/>
  <c r="AR395" i="77"/>
  <c r="AT395" i="77"/>
  <c r="AK396" i="77"/>
  <c r="AN396" i="77"/>
  <c r="AO396" i="77"/>
  <c r="AH397" i="77"/>
  <c r="AP396" i="77"/>
  <c r="AR396" i="77"/>
  <c r="AT396" i="77"/>
  <c r="AK397" i="77"/>
  <c r="AN397" i="77"/>
  <c r="AO397" i="77"/>
  <c r="AH398" i="77"/>
  <c r="AP397" i="77"/>
  <c r="AR397" i="77"/>
  <c r="AT397" i="77"/>
  <c r="AK398" i="77"/>
  <c r="AN398" i="77"/>
  <c r="AO398" i="77"/>
  <c r="AH399" i="77"/>
  <c r="AP398" i="77"/>
  <c r="AR398" i="77"/>
  <c r="AT398" i="77"/>
  <c r="AK399" i="77"/>
  <c r="AN399" i="77"/>
  <c r="AO399" i="77"/>
  <c r="AH400" i="77"/>
  <c r="AP399" i="77"/>
  <c r="AR399" i="77"/>
  <c r="AT399" i="77"/>
  <c r="AK400" i="77"/>
  <c r="AN400" i="77"/>
  <c r="AO400" i="77"/>
  <c r="AH401" i="77"/>
  <c r="AP400" i="77"/>
  <c r="AR400" i="77"/>
  <c r="AT400" i="77"/>
  <c r="AK401" i="77"/>
  <c r="AN401" i="77"/>
  <c r="AO401" i="77"/>
  <c r="AH402" i="77"/>
  <c r="AP401" i="77"/>
  <c r="AR401" i="77"/>
  <c r="AT401" i="77"/>
  <c r="AK402" i="77"/>
  <c r="AN402" i="77"/>
  <c r="AO402" i="77"/>
  <c r="AH403" i="77"/>
  <c r="AP402" i="77"/>
  <c r="AR402" i="77"/>
  <c r="AT402" i="77"/>
  <c r="AK403" i="77"/>
  <c r="AN403" i="77"/>
  <c r="AO403" i="77"/>
  <c r="AH404" i="77"/>
  <c r="AP403" i="77"/>
  <c r="AR403" i="77"/>
  <c r="AT403" i="77"/>
  <c r="AK404" i="77"/>
  <c r="AN404" i="77"/>
  <c r="AO404" i="77"/>
  <c r="AH405" i="77"/>
  <c r="AP404" i="77"/>
  <c r="AR404" i="77"/>
  <c r="AT404" i="77"/>
  <c r="AK405" i="77"/>
  <c r="AN405" i="77"/>
  <c r="AO405" i="77"/>
  <c r="AH406" i="77"/>
  <c r="AP405" i="77"/>
  <c r="AR405" i="77"/>
  <c r="AT405" i="77"/>
  <c r="AK406" i="77"/>
  <c r="AN406" i="77"/>
  <c r="AO406" i="77"/>
  <c r="AH407" i="77"/>
  <c r="AP406" i="77"/>
  <c r="AR406" i="77"/>
  <c r="AT406" i="77"/>
  <c r="AK407" i="77"/>
  <c r="AN407" i="77"/>
  <c r="AO407" i="77"/>
  <c r="AH408" i="77"/>
  <c r="AP407" i="77"/>
  <c r="AR407" i="77"/>
  <c r="AT407" i="77"/>
  <c r="AK408" i="77"/>
  <c r="AN408" i="77"/>
  <c r="AO408" i="77"/>
  <c r="AH409" i="77"/>
  <c r="AP408" i="77"/>
  <c r="AR408" i="77"/>
  <c r="AT408" i="77"/>
  <c r="AK409" i="77"/>
  <c r="AN409" i="77"/>
  <c r="AO409" i="77"/>
  <c r="AH410" i="77"/>
  <c r="AP409" i="77"/>
  <c r="AR409" i="77"/>
  <c r="AT409" i="77"/>
  <c r="AK410" i="77"/>
  <c r="AN410" i="77"/>
  <c r="AO410" i="77"/>
  <c r="AH411" i="77"/>
  <c r="AP410" i="77"/>
  <c r="AR410" i="77"/>
  <c r="AT410" i="77"/>
  <c r="AK411" i="77"/>
  <c r="AN411" i="77"/>
  <c r="AO411" i="77"/>
  <c r="AH412" i="77"/>
  <c r="AP411" i="77"/>
  <c r="AR411" i="77"/>
  <c r="AT411" i="77"/>
  <c r="AK412" i="77"/>
  <c r="AN412" i="77"/>
  <c r="AO412" i="77"/>
  <c r="AH413" i="77"/>
  <c r="AP412" i="77"/>
  <c r="AR412" i="77"/>
  <c r="AT412" i="77"/>
  <c r="AK413" i="77"/>
  <c r="AN413" i="77"/>
  <c r="AO413" i="77"/>
  <c r="AH414" i="77"/>
  <c r="AP413" i="77"/>
  <c r="AR413" i="77"/>
  <c r="AT413" i="77"/>
  <c r="AK414" i="77"/>
  <c r="AN414" i="77"/>
  <c r="AO414" i="77"/>
  <c r="AH415" i="77"/>
  <c r="AP414" i="77"/>
  <c r="AR414" i="77"/>
  <c r="AT414" i="77"/>
  <c r="AK415" i="77"/>
  <c r="AN415" i="77"/>
  <c r="AO415" i="77"/>
  <c r="AH416" i="77"/>
  <c r="AP415" i="77"/>
  <c r="AR415" i="77"/>
  <c r="AT415" i="77"/>
  <c r="AK416" i="77"/>
  <c r="AN416" i="77"/>
  <c r="AO416" i="77"/>
  <c r="AH417" i="77"/>
  <c r="AP416" i="77"/>
  <c r="AR416" i="77"/>
  <c r="AT416" i="77"/>
  <c r="AK417" i="77"/>
  <c r="AN417" i="77"/>
  <c r="AO417" i="77"/>
  <c r="AH418" i="77"/>
  <c r="AP417" i="77"/>
  <c r="AR417" i="77"/>
  <c r="AT417" i="77"/>
  <c r="AK418" i="77"/>
  <c r="AN418" i="77"/>
  <c r="AO418" i="77"/>
  <c r="AH419" i="77"/>
  <c r="AP418" i="77"/>
  <c r="AR418" i="77"/>
  <c r="AT418" i="77"/>
  <c r="AK419" i="77"/>
  <c r="AN419" i="77"/>
  <c r="AO419" i="77"/>
  <c r="AH420" i="77"/>
  <c r="AP419" i="77"/>
  <c r="AR419" i="77"/>
  <c r="AT419" i="77"/>
  <c r="AK420" i="77"/>
  <c r="AN420" i="77"/>
  <c r="AO420" i="77"/>
  <c r="AH421" i="77"/>
  <c r="AP420" i="77"/>
  <c r="AR420" i="77"/>
  <c r="AT420" i="77"/>
  <c r="AK421" i="77"/>
  <c r="AN421" i="77"/>
  <c r="AO421" i="77"/>
  <c r="AH422" i="77"/>
  <c r="AP421" i="77"/>
  <c r="AR421" i="77"/>
  <c r="AT421" i="77"/>
  <c r="AK422" i="77"/>
  <c r="AN422" i="77"/>
  <c r="AO422" i="77"/>
  <c r="AH423" i="77"/>
  <c r="AP422" i="77"/>
  <c r="AR422" i="77"/>
  <c r="AT422" i="77"/>
  <c r="AK423" i="77"/>
  <c r="AN423" i="77"/>
  <c r="AO423" i="77"/>
  <c r="AH424" i="77"/>
  <c r="AP423" i="77"/>
  <c r="AR423" i="77"/>
  <c r="AT423" i="77"/>
  <c r="AK424" i="77"/>
  <c r="AN424" i="77"/>
  <c r="AO424" i="77"/>
  <c r="AH425" i="77"/>
  <c r="AP424" i="77"/>
  <c r="AR424" i="77"/>
  <c r="AT424" i="77"/>
  <c r="AK425" i="77"/>
  <c r="AN425" i="77"/>
  <c r="AO425" i="77"/>
  <c r="AH426" i="77"/>
  <c r="AP425" i="77"/>
  <c r="AR425" i="77"/>
  <c r="AT425" i="77"/>
  <c r="AK426" i="77"/>
  <c r="AN426" i="77"/>
  <c r="AO426" i="77"/>
  <c r="AH427" i="77"/>
  <c r="AP426" i="77"/>
  <c r="AR426" i="77"/>
  <c r="AT426" i="77"/>
  <c r="AK427" i="77"/>
  <c r="AN427" i="77"/>
  <c r="AO427" i="77"/>
  <c r="AH428" i="77"/>
  <c r="AP427" i="77"/>
  <c r="AR427" i="77"/>
  <c r="AT427" i="77"/>
  <c r="AK428" i="77"/>
  <c r="AN428" i="77"/>
  <c r="AO428" i="77"/>
  <c r="AH429" i="77"/>
  <c r="AP428" i="77"/>
  <c r="AR428" i="77"/>
  <c r="AT428" i="77"/>
  <c r="AK429" i="77"/>
  <c r="AN429" i="77"/>
  <c r="AO429" i="77"/>
  <c r="AH430" i="77"/>
  <c r="AP429" i="77"/>
  <c r="AR429" i="77"/>
  <c r="AT429" i="77"/>
  <c r="AK430" i="77"/>
  <c r="AN430" i="77"/>
  <c r="AO430" i="77"/>
  <c r="AH431" i="77"/>
  <c r="AP430" i="77"/>
  <c r="AR430" i="77"/>
  <c r="AT430" i="77"/>
  <c r="AK431" i="77"/>
  <c r="AN431" i="77"/>
  <c r="AO431" i="77"/>
  <c r="AH432" i="77"/>
  <c r="AP431" i="77"/>
  <c r="AR431" i="77"/>
  <c r="AT431" i="77"/>
  <c r="AK432" i="77"/>
  <c r="AN432" i="77"/>
  <c r="AO432" i="77"/>
  <c r="AH433" i="77"/>
  <c r="AP432" i="77"/>
  <c r="AR432" i="77"/>
  <c r="AT432" i="77"/>
  <c r="AK433" i="77"/>
  <c r="AN433" i="77"/>
  <c r="AO433" i="77"/>
  <c r="AH434" i="77"/>
  <c r="AP433" i="77"/>
  <c r="AR433" i="77"/>
  <c r="AT433" i="77"/>
  <c r="AK434" i="77"/>
  <c r="AN434" i="77"/>
  <c r="AO434" i="77"/>
  <c r="AH435" i="77"/>
  <c r="AP434" i="77"/>
  <c r="AR434" i="77"/>
  <c r="AT434" i="77"/>
  <c r="AK435" i="77"/>
  <c r="AN435" i="77"/>
  <c r="AO435" i="77"/>
  <c r="AH436" i="77"/>
  <c r="AP435" i="77"/>
  <c r="AR435" i="77"/>
  <c r="AT435" i="77"/>
  <c r="AK436" i="77"/>
  <c r="AN436" i="77"/>
  <c r="AO436" i="77"/>
  <c r="AH437" i="77"/>
  <c r="AP436" i="77"/>
  <c r="AR436" i="77"/>
  <c r="AT436" i="77"/>
  <c r="AK437" i="77"/>
  <c r="AN437" i="77"/>
  <c r="AO437" i="77"/>
  <c r="AH438" i="77"/>
  <c r="AP437" i="77"/>
  <c r="AR437" i="77"/>
  <c r="AT437" i="77"/>
  <c r="AK438" i="77"/>
  <c r="AN438" i="77"/>
  <c r="AO438" i="77"/>
  <c r="AH439" i="77"/>
  <c r="AP438" i="77"/>
  <c r="AR438" i="77"/>
  <c r="AT438" i="77"/>
  <c r="AK439" i="77"/>
  <c r="AN439" i="77"/>
  <c r="AO439" i="77"/>
  <c r="AH440" i="77"/>
  <c r="AP439" i="77"/>
  <c r="AR439" i="77"/>
  <c r="AT439" i="77"/>
  <c r="AK440" i="77"/>
  <c r="AN440" i="77"/>
  <c r="AO440" i="77"/>
  <c r="AH441" i="77"/>
  <c r="AP440" i="77"/>
  <c r="AR440" i="77"/>
  <c r="AT440" i="77"/>
  <c r="AK441" i="77"/>
  <c r="AN441" i="77"/>
  <c r="AO441" i="77"/>
  <c r="AH442" i="77"/>
  <c r="AP441" i="77"/>
  <c r="AR441" i="77"/>
  <c r="AT441" i="77"/>
  <c r="AK442" i="77"/>
  <c r="AN442" i="77"/>
  <c r="AO442" i="77"/>
  <c r="AH443" i="77"/>
  <c r="AP442" i="77"/>
  <c r="AR442" i="77"/>
  <c r="AT442" i="77"/>
  <c r="AK443" i="77"/>
  <c r="AN443" i="77"/>
  <c r="AO443" i="77"/>
  <c r="AH444" i="77"/>
  <c r="AP443" i="77"/>
  <c r="AR443" i="77"/>
  <c r="AT443" i="77"/>
  <c r="AK444" i="77"/>
  <c r="AN444" i="77"/>
  <c r="AO444" i="77"/>
  <c r="AH445" i="77"/>
  <c r="AP444" i="77"/>
  <c r="AR444" i="77"/>
  <c r="AT444" i="77"/>
  <c r="AK445" i="77"/>
  <c r="AN445" i="77"/>
  <c r="AO445" i="77"/>
  <c r="AH446" i="77"/>
  <c r="AP445" i="77"/>
  <c r="AR445" i="77"/>
  <c r="AT445" i="77"/>
  <c r="AK446" i="77"/>
  <c r="AN446" i="77"/>
  <c r="AO446" i="77"/>
  <c r="AH447" i="77"/>
  <c r="AP446" i="77"/>
  <c r="AR446" i="77"/>
  <c r="AT446" i="77"/>
  <c r="AK447" i="77"/>
  <c r="AN447" i="77"/>
  <c r="AO447" i="77"/>
  <c r="AH448" i="77"/>
  <c r="AP447" i="77"/>
  <c r="AR447" i="77"/>
  <c r="AT447" i="77"/>
  <c r="AK448" i="77"/>
  <c r="AN448" i="77"/>
  <c r="AO448" i="77"/>
  <c r="AH449" i="77"/>
  <c r="AP448" i="77"/>
  <c r="AR448" i="77"/>
  <c r="AT448" i="77"/>
  <c r="AK449" i="77"/>
  <c r="AN449" i="77"/>
  <c r="AO449" i="77"/>
  <c r="AH450" i="77"/>
  <c r="AP449" i="77"/>
  <c r="AR449" i="77"/>
  <c r="AT449" i="77"/>
  <c r="AK450" i="77"/>
  <c r="AN450" i="77"/>
  <c r="AO450" i="77"/>
  <c r="AH451" i="77"/>
  <c r="AP450" i="77"/>
  <c r="AR450" i="77"/>
  <c r="AT450" i="77"/>
  <c r="AK451" i="77"/>
  <c r="AN451" i="77"/>
  <c r="AO451" i="77"/>
  <c r="AH452" i="77"/>
  <c r="AP451" i="77"/>
  <c r="AR451" i="77"/>
  <c r="AT451" i="77"/>
  <c r="AK452" i="77"/>
  <c r="AN452" i="77"/>
  <c r="AO452" i="77"/>
  <c r="AH453" i="77"/>
  <c r="AP452" i="77"/>
  <c r="AR452" i="77"/>
  <c r="AT452" i="77"/>
  <c r="AK453" i="77"/>
  <c r="AN453" i="77"/>
  <c r="AO453" i="77"/>
  <c r="AH454" i="77"/>
  <c r="AP453" i="77"/>
  <c r="AR453" i="77"/>
  <c r="AT453" i="77"/>
  <c r="AK454" i="77"/>
  <c r="AN454" i="77"/>
  <c r="AO454" i="77"/>
  <c r="AH455" i="77"/>
  <c r="AP454" i="77"/>
  <c r="AR454" i="77"/>
  <c r="AT454" i="77"/>
  <c r="AK455" i="77"/>
  <c r="AN455" i="77"/>
  <c r="AO455" i="77"/>
  <c r="AH456" i="77"/>
  <c r="AP455" i="77"/>
  <c r="AR455" i="77"/>
  <c r="AT455" i="77"/>
  <c r="AK456" i="77"/>
  <c r="AN456" i="77"/>
  <c r="AO456" i="77"/>
  <c r="AH457" i="77"/>
  <c r="AP456" i="77"/>
  <c r="AR456" i="77"/>
  <c r="AT456" i="77"/>
  <c r="AK457" i="77"/>
  <c r="AN457" i="77"/>
  <c r="AO457" i="77"/>
  <c r="AH458" i="77"/>
  <c r="AP457" i="77"/>
  <c r="AR457" i="77"/>
  <c r="AT457" i="77"/>
  <c r="AK458" i="77"/>
  <c r="AN458" i="77"/>
  <c r="AO458" i="77"/>
  <c r="AH459" i="77"/>
  <c r="AP458" i="77"/>
  <c r="AR458" i="77"/>
  <c r="AT458" i="77"/>
  <c r="AK459" i="77"/>
  <c r="AN459" i="77"/>
  <c r="AO459" i="77"/>
  <c r="AH460" i="77"/>
  <c r="AP459" i="77"/>
  <c r="AR459" i="77"/>
  <c r="AT459" i="77"/>
  <c r="AK460" i="77"/>
  <c r="AN460" i="77"/>
  <c r="AO460" i="77"/>
  <c r="AH461" i="77"/>
  <c r="AP460" i="77"/>
  <c r="AR460" i="77"/>
  <c r="AT460" i="77"/>
  <c r="AK461" i="77"/>
  <c r="AN461" i="77"/>
  <c r="AO461" i="77"/>
  <c r="AH462" i="77"/>
  <c r="AP461" i="77"/>
  <c r="AR461" i="77"/>
  <c r="AT461" i="77"/>
  <c r="AK462" i="77"/>
  <c r="AN462" i="77"/>
  <c r="AO462" i="77"/>
  <c r="AH463" i="77"/>
  <c r="AP462" i="77"/>
  <c r="AR462" i="77"/>
  <c r="AT462" i="77"/>
  <c r="AK463" i="77"/>
  <c r="AN463" i="77"/>
  <c r="AO463" i="77"/>
  <c r="AH464" i="77"/>
  <c r="AP463" i="77"/>
  <c r="AR463" i="77"/>
  <c r="AT463" i="77"/>
  <c r="AK464" i="77"/>
  <c r="AN464" i="77"/>
  <c r="AO464" i="77"/>
  <c r="AH465" i="77"/>
  <c r="AP464" i="77"/>
  <c r="AR464" i="77"/>
  <c r="AT464" i="77"/>
  <c r="AK465" i="77"/>
  <c r="AN465" i="77"/>
  <c r="AO465" i="77"/>
  <c r="AH466" i="77"/>
  <c r="AP465" i="77"/>
  <c r="AR465" i="77"/>
  <c r="AT465" i="77"/>
  <c r="AK466" i="77"/>
  <c r="AN466" i="77"/>
  <c r="AO466" i="77"/>
  <c r="AH467" i="77"/>
  <c r="AP466" i="77"/>
  <c r="AR466" i="77"/>
  <c r="AT466" i="77"/>
  <c r="AK467" i="77"/>
  <c r="AN467" i="77"/>
  <c r="AO467" i="77"/>
  <c r="AH468" i="77"/>
  <c r="AP467" i="77"/>
  <c r="AR467" i="77"/>
  <c r="AT467" i="77"/>
  <c r="AK468" i="77"/>
  <c r="AN468" i="77"/>
  <c r="AO468" i="77"/>
  <c r="AH469" i="77"/>
  <c r="AP468" i="77"/>
  <c r="AR468" i="77"/>
  <c r="AT468" i="77"/>
  <c r="AK469" i="77"/>
  <c r="AN469" i="77"/>
  <c r="AO469" i="77"/>
  <c r="AH470" i="77"/>
  <c r="AP469" i="77"/>
  <c r="AR469" i="77"/>
  <c r="AT469" i="77"/>
  <c r="AK470" i="77"/>
  <c r="AN470" i="77"/>
  <c r="AO470" i="77"/>
  <c r="AH471" i="77"/>
  <c r="AP470" i="77"/>
  <c r="AR470" i="77"/>
  <c r="AT470" i="77"/>
  <c r="AK471" i="77"/>
  <c r="AN471" i="77"/>
  <c r="AO471" i="77"/>
  <c r="AH472" i="77"/>
  <c r="AP471" i="77"/>
  <c r="AR471" i="77"/>
  <c r="AT471" i="77"/>
  <c r="AK472" i="77"/>
  <c r="AN472" i="77"/>
  <c r="AO472" i="77"/>
  <c r="AH473" i="77"/>
  <c r="AP472" i="77"/>
  <c r="AR472" i="77"/>
  <c r="AT472" i="77"/>
  <c r="AK473" i="77"/>
  <c r="AN473" i="77"/>
  <c r="AO473" i="77"/>
  <c r="AH474" i="77"/>
  <c r="AP473" i="77"/>
  <c r="AR473" i="77"/>
  <c r="AT473" i="77"/>
  <c r="AK474" i="77"/>
  <c r="AN474" i="77"/>
  <c r="AO474" i="77"/>
  <c r="AH475" i="77"/>
  <c r="AP474" i="77"/>
  <c r="AR474" i="77"/>
  <c r="AT474" i="77"/>
  <c r="AK475" i="77"/>
  <c r="AN475" i="77"/>
  <c r="AO475" i="77"/>
  <c r="AH476" i="77"/>
  <c r="AP475" i="77"/>
  <c r="AR475" i="77"/>
  <c r="AT475" i="77"/>
  <c r="AK476" i="77"/>
  <c r="AN476" i="77"/>
  <c r="AO476" i="77"/>
  <c r="AH477" i="77"/>
  <c r="AP476" i="77"/>
  <c r="AR476" i="77"/>
  <c r="AT476" i="77"/>
  <c r="AK477" i="77"/>
  <c r="AN477" i="77"/>
  <c r="AO477" i="77"/>
  <c r="AH478" i="77"/>
  <c r="AP477" i="77"/>
  <c r="AR477" i="77"/>
  <c r="AT477" i="77"/>
  <c r="AK478" i="77"/>
  <c r="AN478" i="77"/>
  <c r="AO478" i="77"/>
  <c r="AH479" i="77"/>
  <c r="AP478" i="77"/>
  <c r="AR478" i="77"/>
  <c r="AT478" i="77"/>
  <c r="AK479" i="77"/>
  <c r="AN479" i="77"/>
  <c r="AO479" i="77"/>
  <c r="AH480" i="77"/>
  <c r="AP479" i="77"/>
  <c r="AR479" i="77"/>
  <c r="AT479" i="77"/>
  <c r="AK480" i="77"/>
  <c r="AN480" i="77"/>
  <c r="AO480" i="77"/>
  <c r="AH481" i="77"/>
  <c r="AP480" i="77"/>
  <c r="AR480" i="77"/>
  <c r="AT480" i="77"/>
  <c r="AK481" i="77"/>
  <c r="AN481" i="77"/>
  <c r="AO481" i="77"/>
  <c r="AH482" i="77"/>
  <c r="AP481" i="77"/>
  <c r="AR481" i="77"/>
  <c r="AT481" i="77"/>
  <c r="AK482" i="77"/>
  <c r="AN482" i="77"/>
  <c r="AO482" i="77"/>
  <c r="AH483" i="77"/>
  <c r="AP482" i="77"/>
  <c r="AR482" i="77"/>
  <c r="AT482" i="77"/>
  <c r="AK483" i="77"/>
  <c r="AN483" i="77"/>
  <c r="AO483" i="77"/>
  <c r="AH484" i="77"/>
  <c r="AP483" i="77"/>
  <c r="AR483" i="77"/>
  <c r="AT483" i="77"/>
  <c r="AK484" i="77"/>
  <c r="AN484" i="77"/>
  <c r="AO484" i="77"/>
  <c r="AH485" i="77"/>
  <c r="AP484" i="77"/>
  <c r="AR484" i="77"/>
  <c r="AT484" i="77"/>
  <c r="AK485" i="77"/>
  <c r="AN485" i="77"/>
  <c r="AO485" i="77"/>
  <c r="AH486" i="77"/>
  <c r="AP485" i="77"/>
  <c r="AR485" i="77"/>
  <c r="AT485" i="77"/>
  <c r="AK486" i="77"/>
  <c r="AN486" i="77"/>
  <c r="AO486" i="77"/>
  <c r="AH487" i="77"/>
  <c r="AP486" i="77"/>
  <c r="AR486" i="77"/>
  <c r="AT486" i="77"/>
  <c r="AK487" i="77"/>
  <c r="AN487" i="77"/>
  <c r="AO487" i="77"/>
  <c r="AH488" i="77"/>
  <c r="AP487" i="77"/>
  <c r="AR487" i="77"/>
  <c r="AT487" i="77"/>
  <c r="AK488" i="77"/>
  <c r="AN488" i="77"/>
  <c r="AO488" i="77"/>
  <c r="AH489" i="77"/>
  <c r="AP488" i="77"/>
  <c r="AR488" i="77"/>
  <c r="AT488" i="77"/>
  <c r="AK489" i="77"/>
  <c r="AN489" i="77"/>
  <c r="AO489" i="77"/>
  <c r="AH490" i="77"/>
  <c r="AP489" i="77"/>
  <c r="AR489" i="77"/>
  <c r="AT489" i="77"/>
  <c r="AK490" i="77"/>
  <c r="AN490" i="77"/>
  <c r="AO490" i="77"/>
  <c r="AH491" i="77"/>
  <c r="AP490" i="77"/>
  <c r="AR490" i="77"/>
  <c r="AT490" i="77"/>
  <c r="AK491" i="77"/>
  <c r="AN491" i="77"/>
  <c r="AO491" i="77"/>
  <c r="AH492" i="77"/>
  <c r="AP491" i="77"/>
  <c r="AR491" i="77"/>
  <c r="AT491" i="77"/>
  <c r="AK492" i="77"/>
  <c r="AN492" i="77"/>
  <c r="AO492" i="77"/>
  <c r="AH493" i="77"/>
  <c r="AP492" i="77"/>
  <c r="AR492" i="77"/>
  <c r="AT492" i="77"/>
  <c r="AK493" i="77"/>
  <c r="AN493" i="77"/>
  <c r="AO493" i="77"/>
  <c r="AH494" i="77"/>
  <c r="AP493" i="77"/>
  <c r="AR493" i="77"/>
  <c r="AT493" i="77"/>
  <c r="AK494" i="77"/>
  <c r="AN494" i="77"/>
  <c r="AO494" i="77"/>
  <c r="AH495" i="77"/>
  <c r="AP494" i="77"/>
  <c r="AR494" i="77"/>
  <c r="AT494" i="77"/>
  <c r="AK495" i="77"/>
  <c r="AN495" i="77"/>
  <c r="AO495" i="77"/>
  <c r="AH496" i="77"/>
  <c r="AP495" i="77"/>
  <c r="AR495" i="77"/>
  <c r="AT495" i="77"/>
  <c r="AK496" i="77"/>
  <c r="AN496" i="77"/>
  <c r="AO496" i="77"/>
  <c r="AH497" i="77"/>
  <c r="AP496" i="77"/>
  <c r="AR496" i="77"/>
  <c r="AT496" i="77"/>
  <c r="AK497" i="77"/>
  <c r="AN497" i="77"/>
  <c r="AO497" i="77"/>
  <c r="AH498" i="77"/>
  <c r="AP497" i="77"/>
  <c r="AR497" i="77"/>
  <c r="AT497" i="77"/>
  <c r="AK498" i="77"/>
  <c r="AN498" i="77"/>
  <c r="AO498" i="77"/>
  <c r="AH499" i="77"/>
  <c r="AP498" i="77"/>
  <c r="AR498" i="77"/>
  <c r="AT498" i="77"/>
  <c r="AK499" i="77"/>
  <c r="AN499" i="77"/>
  <c r="AO499" i="77"/>
  <c r="AH500" i="77"/>
  <c r="AP499" i="77"/>
  <c r="AR499" i="77"/>
  <c r="AT499" i="77"/>
  <c r="AK500" i="77"/>
  <c r="AN500" i="77"/>
  <c r="AO500" i="77"/>
  <c r="AH501" i="77"/>
  <c r="AP500" i="77"/>
  <c r="AR500" i="77"/>
  <c r="AT500" i="77"/>
  <c r="AK501" i="77"/>
  <c r="AN501" i="77"/>
  <c r="AO501" i="77"/>
  <c r="AH502" i="77"/>
  <c r="AP501" i="77"/>
  <c r="AR501" i="77"/>
  <c r="AT501" i="77"/>
  <c r="AK502" i="77"/>
  <c r="AN502" i="77"/>
  <c r="AO502" i="77"/>
  <c r="AH503" i="77"/>
  <c r="AP502" i="77"/>
  <c r="AR502" i="77"/>
  <c r="AT502" i="77"/>
  <c r="AK503" i="77"/>
  <c r="AN503" i="77"/>
  <c r="AO503" i="77"/>
  <c r="AH504" i="77"/>
  <c r="AP503" i="77"/>
  <c r="AR503" i="77"/>
  <c r="AT503" i="77"/>
  <c r="AK504" i="77"/>
  <c r="AN504" i="77"/>
  <c r="AO504" i="77"/>
  <c r="AH505" i="77"/>
  <c r="AP504" i="77"/>
  <c r="AR504" i="77"/>
  <c r="AT504" i="77"/>
  <c r="AK505" i="77"/>
  <c r="AN505" i="77"/>
  <c r="AO505" i="77"/>
  <c r="AH506" i="77"/>
  <c r="AP505" i="77"/>
  <c r="AR505" i="77"/>
  <c r="AT505" i="77"/>
  <c r="AK506" i="77"/>
  <c r="AN506" i="77"/>
  <c r="AO506" i="77"/>
  <c r="AH507" i="77"/>
  <c r="AP506" i="77"/>
  <c r="AR506" i="77"/>
  <c r="AT506" i="77"/>
  <c r="AK507" i="77"/>
  <c r="AN507" i="77"/>
  <c r="AO507" i="77"/>
  <c r="AH508" i="77"/>
  <c r="AP507" i="77"/>
  <c r="AR507" i="77"/>
  <c r="AT507" i="77"/>
  <c r="AK508" i="77"/>
  <c r="AN508" i="77"/>
  <c r="AO508" i="77"/>
  <c r="AH509" i="77"/>
  <c r="AP508" i="77"/>
  <c r="AR508" i="77"/>
  <c r="AT508" i="77"/>
  <c r="AK509" i="77"/>
  <c r="AN509" i="77"/>
  <c r="AO509" i="77"/>
  <c r="AH510" i="77"/>
  <c r="AP509" i="77"/>
  <c r="AR509" i="77"/>
  <c r="AT509" i="77"/>
  <c r="AK510" i="77"/>
  <c r="AN510" i="77"/>
  <c r="AO510" i="77"/>
  <c r="AH511" i="77"/>
  <c r="AP510" i="77"/>
  <c r="AR510" i="77"/>
  <c r="AT510" i="77"/>
  <c r="AK511" i="77"/>
  <c r="AN511" i="77"/>
  <c r="AO511" i="77"/>
  <c r="AH512" i="77"/>
  <c r="AP511" i="77"/>
  <c r="AR511" i="77"/>
  <c r="AT511" i="77"/>
  <c r="AK512" i="77"/>
  <c r="AN512" i="77"/>
  <c r="AO512" i="77"/>
  <c r="AH513" i="77"/>
  <c r="AP512" i="77"/>
  <c r="AR512" i="77"/>
  <c r="AT512" i="77"/>
  <c r="AK513" i="77"/>
  <c r="AN513" i="77"/>
  <c r="AO513" i="77"/>
  <c r="AH514" i="77"/>
  <c r="AP513" i="77"/>
  <c r="AR513" i="77"/>
  <c r="AT513" i="77"/>
  <c r="AK514" i="77"/>
  <c r="AN514" i="77"/>
  <c r="AO514" i="77"/>
  <c r="AH515" i="77"/>
  <c r="AP514" i="77"/>
  <c r="AR514" i="77"/>
  <c r="AT514" i="77"/>
  <c r="AK515" i="77"/>
  <c r="AN515" i="77"/>
  <c r="AO515" i="77"/>
  <c r="AH516" i="77"/>
  <c r="AP515" i="77"/>
  <c r="AR515" i="77"/>
  <c r="AT515" i="77"/>
  <c r="AK516" i="77"/>
  <c r="AN516" i="77"/>
  <c r="AO516" i="77"/>
  <c r="AH517" i="77"/>
  <c r="AP516" i="77"/>
  <c r="AR516" i="77"/>
  <c r="AT516" i="77"/>
  <c r="AK517" i="77"/>
  <c r="AN517" i="77"/>
  <c r="AO517" i="77"/>
  <c r="AH518" i="77"/>
  <c r="AP517" i="77"/>
  <c r="AR517" i="77"/>
  <c r="AT517" i="77"/>
  <c r="AK518" i="77"/>
  <c r="AN518" i="77"/>
  <c r="AO518" i="77"/>
  <c r="AH519" i="77"/>
  <c r="AP518" i="77"/>
  <c r="AR518" i="77"/>
  <c r="AT518" i="77"/>
  <c r="AK519" i="77"/>
  <c r="AN519" i="77"/>
  <c r="AO519" i="77"/>
  <c r="AH520" i="77"/>
  <c r="AP519" i="77"/>
  <c r="AR519" i="77"/>
  <c r="AT519" i="77"/>
  <c r="AK520" i="77"/>
  <c r="AN520" i="77"/>
  <c r="AO520" i="77"/>
  <c r="AH521" i="77"/>
  <c r="AP520" i="77"/>
  <c r="AR520" i="77"/>
  <c r="AT520" i="77"/>
  <c r="AK521" i="77"/>
  <c r="AN521" i="77"/>
  <c r="AO521" i="77"/>
  <c r="AH522" i="77"/>
  <c r="AP521" i="77"/>
  <c r="AR521" i="77"/>
  <c r="AT521" i="77"/>
  <c r="AK522" i="77"/>
  <c r="AN522" i="77"/>
  <c r="AO522" i="77"/>
  <c r="AH523" i="77"/>
  <c r="AP522" i="77"/>
  <c r="AR522" i="77"/>
  <c r="AT522" i="77"/>
  <c r="AK523" i="77"/>
  <c r="AN523" i="77"/>
  <c r="AO523" i="77"/>
  <c r="AH524" i="77"/>
  <c r="AP523" i="77"/>
  <c r="AR523" i="77"/>
  <c r="AT523" i="77"/>
  <c r="AK524" i="77"/>
  <c r="AN524" i="77"/>
  <c r="AO524" i="77"/>
  <c r="AH525" i="77"/>
  <c r="AP524" i="77"/>
  <c r="AR524" i="77"/>
  <c r="AT524" i="77"/>
  <c r="AK525" i="77"/>
  <c r="AN525" i="77"/>
  <c r="AO525" i="77"/>
  <c r="AH526" i="77"/>
  <c r="AP525" i="77"/>
  <c r="AR525" i="77"/>
  <c r="AT525" i="77"/>
  <c r="AK526" i="77"/>
  <c r="AN526" i="77"/>
  <c r="AO526" i="77"/>
  <c r="AH527" i="77"/>
  <c r="AP526" i="77"/>
  <c r="AR526" i="77"/>
  <c r="AT526" i="77"/>
  <c r="AK527" i="77"/>
  <c r="AN527" i="77"/>
  <c r="AO527" i="77"/>
  <c r="AH528" i="77"/>
  <c r="AP527" i="77"/>
  <c r="AR527" i="77"/>
  <c r="AT527" i="77"/>
  <c r="AK528" i="77"/>
  <c r="AN528" i="77"/>
  <c r="AO528" i="77"/>
  <c r="AH529" i="77"/>
  <c r="AP528" i="77"/>
  <c r="AR528" i="77"/>
  <c r="AT528" i="77"/>
  <c r="AK529" i="77"/>
  <c r="AN529" i="77"/>
  <c r="AO529" i="77"/>
  <c r="AH530" i="77"/>
  <c r="AP529" i="77"/>
  <c r="AR529" i="77"/>
  <c r="AT529" i="77"/>
  <c r="AK530" i="77"/>
  <c r="AN530" i="77"/>
  <c r="AO530" i="77"/>
  <c r="AH531" i="77"/>
  <c r="AP530" i="77"/>
  <c r="AR530" i="77"/>
  <c r="AT530" i="77"/>
  <c r="AK531" i="77"/>
  <c r="AN531" i="77"/>
  <c r="AO531" i="77"/>
  <c r="AH532" i="77"/>
  <c r="AP531" i="77"/>
  <c r="AR531" i="77"/>
  <c r="AT531" i="77"/>
  <c r="AK532" i="77"/>
  <c r="AN532" i="77"/>
  <c r="AO532" i="77"/>
  <c r="AH533" i="77"/>
  <c r="AP532" i="77"/>
  <c r="AR532" i="77"/>
  <c r="AT532" i="77"/>
  <c r="AK533" i="77"/>
  <c r="AN533" i="77"/>
  <c r="AO533" i="77"/>
  <c r="AH534" i="77"/>
  <c r="AP533" i="77"/>
  <c r="AR533" i="77"/>
  <c r="AT533" i="77"/>
  <c r="AK534" i="77"/>
  <c r="AN534" i="77"/>
  <c r="AO534" i="77"/>
  <c r="AH535" i="77"/>
  <c r="AP534" i="77"/>
  <c r="AR534" i="77"/>
  <c r="AT534" i="77"/>
  <c r="AK535" i="77"/>
  <c r="AN535" i="77"/>
  <c r="AO535" i="77"/>
  <c r="AH536" i="77"/>
  <c r="AP535" i="77"/>
  <c r="AR535" i="77"/>
  <c r="AT535" i="77"/>
  <c r="AK536" i="77"/>
  <c r="AN536" i="77"/>
  <c r="AO536" i="77"/>
  <c r="AH537" i="77"/>
  <c r="AP536" i="77"/>
  <c r="AR536" i="77"/>
  <c r="AT536" i="77"/>
  <c r="AK537" i="77"/>
  <c r="AN537" i="77"/>
  <c r="AO537" i="77"/>
  <c r="AH538" i="77"/>
  <c r="AP537" i="77"/>
  <c r="AR537" i="77"/>
  <c r="AT537" i="77"/>
  <c r="AK538" i="77"/>
  <c r="AN538" i="77"/>
  <c r="AO538" i="77"/>
  <c r="AH539" i="77"/>
  <c r="AP538" i="77"/>
  <c r="AR538" i="77"/>
  <c r="AT538" i="77"/>
  <c r="AK539" i="77"/>
  <c r="AN539" i="77"/>
  <c r="AO539" i="77"/>
  <c r="AH540" i="77"/>
  <c r="AP539" i="77"/>
  <c r="AR539" i="77"/>
  <c r="AT539" i="77"/>
  <c r="AK540" i="77"/>
  <c r="AN540" i="77"/>
  <c r="AO540" i="77"/>
  <c r="AH541" i="77"/>
  <c r="AP540" i="77"/>
  <c r="AR540" i="77"/>
  <c r="AT540" i="77"/>
  <c r="AK541" i="77"/>
  <c r="AN541" i="77"/>
  <c r="AO541" i="77"/>
  <c r="AH542" i="77"/>
  <c r="AP541" i="77"/>
  <c r="AR541" i="77"/>
  <c r="AT541" i="77"/>
  <c r="AK542" i="77"/>
  <c r="AN542" i="77"/>
  <c r="AO542" i="77"/>
  <c r="AH543" i="77"/>
  <c r="AP542" i="77"/>
  <c r="AR542" i="77"/>
  <c r="AT542" i="77"/>
  <c r="AK543" i="77"/>
  <c r="AN543" i="77"/>
  <c r="AO543" i="77"/>
  <c r="AH544" i="77"/>
  <c r="AP543" i="77"/>
  <c r="AR543" i="77"/>
  <c r="AT543" i="77"/>
  <c r="AK544" i="77"/>
  <c r="AN544" i="77"/>
  <c r="AO544" i="77"/>
  <c r="AH545" i="77"/>
  <c r="AP544" i="77"/>
  <c r="AR544" i="77"/>
  <c r="AT544" i="77"/>
  <c r="AK545" i="77"/>
  <c r="AN545" i="77"/>
  <c r="AO545" i="77"/>
  <c r="AH546" i="77"/>
  <c r="AP545" i="77"/>
  <c r="AR545" i="77"/>
  <c r="AT545" i="77"/>
  <c r="AK546" i="77"/>
  <c r="AN546" i="77"/>
  <c r="AO546" i="77"/>
  <c r="AH547" i="77"/>
  <c r="AP546" i="77"/>
  <c r="AR546" i="77"/>
  <c r="AT546" i="77"/>
  <c r="AK547" i="77"/>
  <c r="AN547" i="77"/>
  <c r="AO547" i="77"/>
  <c r="AH548" i="77"/>
  <c r="AP547" i="77"/>
  <c r="AR547" i="77"/>
  <c r="AT547" i="77"/>
  <c r="AK548" i="77"/>
  <c r="AN548" i="77"/>
  <c r="AO548" i="77"/>
  <c r="AH549" i="77"/>
  <c r="AP548" i="77"/>
  <c r="AR548" i="77"/>
  <c r="AT548" i="77"/>
  <c r="AK549" i="77"/>
  <c r="AN549" i="77"/>
  <c r="AO549" i="77"/>
  <c r="AH550" i="77"/>
  <c r="AP549" i="77"/>
  <c r="AR549" i="77"/>
  <c r="AT549" i="77"/>
  <c r="AK550" i="77"/>
  <c r="AN550" i="77"/>
  <c r="AO550" i="77"/>
  <c r="AH551" i="77"/>
  <c r="AP550" i="77"/>
  <c r="AR550" i="77"/>
  <c r="AT550" i="77"/>
  <c r="AK551" i="77"/>
  <c r="AN551" i="77"/>
  <c r="AO551" i="77"/>
  <c r="AH552" i="77"/>
  <c r="AP551" i="77"/>
  <c r="AR551" i="77"/>
  <c r="AT551" i="77"/>
  <c r="AK552" i="77"/>
  <c r="AN552" i="77"/>
  <c r="AO552" i="77"/>
  <c r="AH553" i="77"/>
  <c r="AP552" i="77"/>
  <c r="AR552" i="77"/>
  <c r="AT552" i="77"/>
  <c r="AK553" i="77"/>
  <c r="AN553" i="77"/>
  <c r="AO553" i="77"/>
  <c r="AH554" i="77"/>
  <c r="AP553" i="77"/>
  <c r="AR553" i="77"/>
  <c r="AT553" i="77"/>
  <c r="AK554" i="77"/>
  <c r="AN554" i="77"/>
  <c r="AO554" i="77"/>
  <c r="AH555" i="77"/>
  <c r="AP554" i="77"/>
  <c r="AR554" i="77"/>
  <c r="AT554" i="77"/>
  <c r="AK555" i="77"/>
  <c r="AN555" i="77"/>
  <c r="AO555" i="77"/>
  <c r="AH556" i="77"/>
  <c r="AP555" i="77"/>
  <c r="AR555" i="77"/>
  <c r="AT555" i="77"/>
  <c r="AK556" i="77"/>
  <c r="AN556" i="77"/>
  <c r="AO556" i="77"/>
  <c r="AH557" i="77"/>
  <c r="AP556" i="77"/>
  <c r="AR556" i="77"/>
  <c r="AT556" i="77"/>
  <c r="AK557" i="77"/>
  <c r="AN557" i="77"/>
  <c r="AO557" i="77"/>
  <c r="AH558" i="77"/>
  <c r="AP557" i="77"/>
  <c r="AR557" i="77"/>
  <c r="AT557" i="77"/>
  <c r="AK558" i="77"/>
  <c r="AN558" i="77"/>
  <c r="AO558" i="77"/>
  <c r="AH559" i="77"/>
  <c r="AP558" i="77"/>
  <c r="AR558" i="77"/>
  <c r="AT558" i="77"/>
  <c r="AK559" i="77"/>
  <c r="AN559" i="77"/>
  <c r="AO559" i="77"/>
  <c r="AH560" i="77"/>
  <c r="AP559" i="77"/>
  <c r="AR559" i="77"/>
  <c r="AT559" i="77"/>
  <c r="AK560" i="77"/>
  <c r="AN560" i="77"/>
  <c r="AO560" i="77"/>
  <c r="AH561" i="77"/>
  <c r="AP560" i="77"/>
  <c r="AR560" i="77"/>
  <c r="AT560" i="77"/>
  <c r="AK561" i="77"/>
  <c r="AN561" i="77"/>
  <c r="AO561" i="77"/>
  <c r="AH562" i="77"/>
  <c r="AP561" i="77"/>
  <c r="AR561" i="77"/>
  <c r="AT561" i="77"/>
  <c r="AK562" i="77"/>
  <c r="AN562" i="77"/>
  <c r="AO562" i="77"/>
  <c r="AH563" i="77"/>
  <c r="AP562" i="77"/>
  <c r="AR562" i="77"/>
  <c r="AT562" i="77"/>
  <c r="AK563" i="77"/>
  <c r="AN563" i="77"/>
  <c r="AO563" i="77"/>
  <c r="AH564" i="77"/>
  <c r="AP563" i="77"/>
  <c r="AR563" i="77"/>
  <c r="AT563" i="77"/>
  <c r="AK564" i="77"/>
  <c r="AN564" i="77"/>
  <c r="AO564" i="77"/>
  <c r="AH565" i="77"/>
  <c r="AP564" i="77"/>
  <c r="AR564" i="77"/>
  <c r="AT564" i="77"/>
  <c r="AK565" i="77"/>
  <c r="AN565" i="77"/>
  <c r="AO565" i="77"/>
  <c r="AH566" i="77"/>
  <c r="AP565" i="77"/>
  <c r="AR565" i="77"/>
  <c r="AT565" i="77"/>
  <c r="AK566" i="77"/>
  <c r="AN566" i="77"/>
  <c r="AO566" i="77"/>
  <c r="AH567" i="77"/>
  <c r="AP566" i="77"/>
  <c r="AR566" i="77"/>
  <c r="AT566" i="77"/>
  <c r="AK567" i="77"/>
  <c r="AN567" i="77"/>
  <c r="AO567" i="77"/>
  <c r="AH568" i="77"/>
  <c r="AP567" i="77"/>
  <c r="AR567" i="77"/>
  <c r="AT567" i="77"/>
  <c r="AK568" i="77"/>
  <c r="AN568" i="77"/>
  <c r="AO568" i="77"/>
  <c r="AH569" i="77"/>
  <c r="AP568" i="77"/>
  <c r="AR568" i="77"/>
  <c r="AT568" i="77"/>
  <c r="AK569" i="77"/>
  <c r="AN569" i="77"/>
  <c r="AO569" i="77"/>
  <c r="AH570" i="77"/>
  <c r="AP569" i="77"/>
  <c r="AR569" i="77"/>
  <c r="AT569" i="77"/>
  <c r="AK570" i="77"/>
  <c r="AN570" i="77"/>
  <c r="AO570" i="77"/>
  <c r="AH571" i="77"/>
  <c r="AP570" i="77"/>
  <c r="AR570" i="77"/>
  <c r="AT570" i="77"/>
  <c r="AK571" i="77"/>
  <c r="AN571" i="77"/>
  <c r="AO571" i="77"/>
  <c r="AH572" i="77"/>
  <c r="AP571" i="77"/>
  <c r="AR571" i="77"/>
  <c r="AT571" i="77"/>
  <c r="AK572" i="77"/>
  <c r="AN572" i="77"/>
  <c r="AO572" i="77"/>
  <c r="AH573" i="77"/>
  <c r="AP572" i="77"/>
  <c r="AR572" i="77"/>
  <c r="AT572" i="77"/>
  <c r="AK573" i="77"/>
  <c r="AN573" i="77"/>
  <c r="AO573" i="77"/>
  <c r="AH574" i="77"/>
  <c r="AP573" i="77"/>
  <c r="AR573" i="77"/>
  <c r="AT573" i="77"/>
  <c r="AK574" i="77"/>
  <c r="AN574" i="77"/>
  <c r="AO574" i="77"/>
  <c r="AH575" i="77"/>
  <c r="AP574" i="77"/>
  <c r="AR574" i="77"/>
  <c r="AT574" i="77"/>
  <c r="AK575" i="77"/>
  <c r="AN575" i="77"/>
  <c r="AO575" i="77"/>
  <c r="AH576" i="77"/>
  <c r="AP575" i="77"/>
  <c r="AR575" i="77"/>
  <c r="AT575" i="77"/>
  <c r="AK576" i="77"/>
  <c r="AN576" i="77"/>
  <c r="AO576" i="77"/>
  <c r="AH577" i="77"/>
  <c r="AP576" i="77"/>
  <c r="AR576" i="77"/>
  <c r="AT576" i="77"/>
  <c r="AK577" i="77"/>
  <c r="AN577" i="77"/>
  <c r="AO577" i="77"/>
  <c r="AH578" i="77"/>
  <c r="AP577" i="77"/>
  <c r="AR577" i="77"/>
  <c r="AT577" i="77"/>
  <c r="AK578" i="77"/>
  <c r="AN578" i="77"/>
  <c r="AO578" i="77"/>
  <c r="AH579" i="77"/>
  <c r="AP578" i="77"/>
  <c r="AR578" i="77"/>
  <c r="AT578" i="77"/>
  <c r="AK579" i="77"/>
  <c r="AN579" i="77"/>
  <c r="AO579" i="77"/>
  <c r="AH580" i="77"/>
  <c r="AP579" i="77"/>
  <c r="AR579" i="77"/>
  <c r="AT579" i="77"/>
  <c r="AK580" i="77"/>
  <c r="AN580" i="77"/>
  <c r="AO580" i="77"/>
  <c r="AH581" i="77"/>
  <c r="AP580" i="77"/>
  <c r="AR580" i="77"/>
  <c r="AT580" i="77"/>
  <c r="AK581" i="77"/>
  <c r="AN581" i="77"/>
  <c r="AO581" i="77"/>
  <c r="AH582" i="77"/>
  <c r="AP581" i="77"/>
  <c r="AR581" i="77"/>
  <c r="AT581" i="77"/>
  <c r="AK582" i="77"/>
  <c r="AN582" i="77"/>
  <c r="AO582" i="77"/>
  <c r="AH583" i="77"/>
  <c r="AP582" i="77"/>
  <c r="AR582" i="77"/>
  <c r="AT582" i="77"/>
  <c r="AK583" i="77"/>
  <c r="AN583" i="77"/>
  <c r="AO583" i="77"/>
  <c r="AH584" i="77"/>
  <c r="AP583" i="77"/>
  <c r="AR583" i="77"/>
  <c r="AT583" i="77"/>
  <c r="AK584" i="77"/>
  <c r="AN584" i="77"/>
  <c r="AO584" i="77"/>
  <c r="AH585" i="77"/>
  <c r="AP584" i="77"/>
  <c r="AR584" i="77"/>
  <c r="AT584" i="77"/>
  <c r="AK585" i="77"/>
  <c r="AN585" i="77"/>
  <c r="AO585" i="77"/>
  <c r="AH586" i="77"/>
  <c r="AP585" i="77"/>
  <c r="AR585" i="77"/>
  <c r="AT585" i="77"/>
  <c r="AK586" i="77"/>
  <c r="AN586" i="77"/>
  <c r="AO586" i="77"/>
  <c r="AH587" i="77"/>
  <c r="AP586" i="77"/>
  <c r="AR586" i="77"/>
  <c r="AT586" i="77"/>
  <c r="AK587" i="77"/>
  <c r="AN587" i="77"/>
  <c r="AO587" i="77"/>
  <c r="AH588" i="77"/>
  <c r="AP587" i="77"/>
  <c r="AR587" i="77"/>
  <c r="AT587" i="77"/>
  <c r="AK588" i="77"/>
  <c r="AN588" i="77"/>
  <c r="AO588" i="77"/>
  <c r="AH589" i="77"/>
  <c r="AP588" i="77"/>
  <c r="AR588" i="77"/>
  <c r="AT588" i="77"/>
  <c r="AK589" i="77"/>
  <c r="AN589" i="77"/>
  <c r="AO589" i="77"/>
  <c r="AH590" i="77"/>
  <c r="AP589" i="77"/>
  <c r="AR589" i="77"/>
  <c r="AT589" i="77"/>
  <c r="AK590" i="77"/>
  <c r="AN590" i="77"/>
  <c r="AO590" i="77"/>
  <c r="AH591" i="77"/>
  <c r="AP590" i="77"/>
  <c r="AR590" i="77"/>
  <c r="AT590" i="77"/>
  <c r="AK591" i="77"/>
  <c r="AN591" i="77"/>
  <c r="AO591" i="77"/>
  <c r="AH592" i="77"/>
  <c r="AP591" i="77"/>
  <c r="AR591" i="77"/>
  <c r="AT591" i="77"/>
  <c r="AK592" i="77"/>
  <c r="AN592" i="77"/>
  <c r="AO592" i="77"/>
  <c r="AH593" i="77"/>
  <c r="AP592" i="77"/>
  <c r="AR592" i="77"/>
  <c r="AT592" i="77"/>
  <c r="AK593" i="77"/>
  <c r="AN593" i="77"/>
  <c r="AO593" i="77"/>
  <c r="AH594" i="77"/>
  <c r="AP593" i="77"/>
  <c r="AR593" i="77"/>
  <c r="AT593" i="77"/>
  <c r="AK594" i="77"/>
  <c r="AN594" i="77"/>
  <c r="AO594" i="77"/>
  <c r="AH595" i="77"/>
  <c r="AP594" i="77"/>
  <c r="AR594" i="77"/>
  <c r="AT594" i="77"/>
  <c r="AK595" i="77"/>
  <c r="AN595" i="77"/>
  <c r="AO595" i="77"/>
  <c r="AH596" i="77"/>
  <c r="AP595" i="77"/>
  <c r="AR595" i="77"/>
  <c r="AT595" i="77"/>
  <c r="AK596" i="77"/>
  <c r="AN596" i="77"/>
  <c r="AO596" i="77"/>
  <c r="AH597" i="77"/>
  <c r="AP596" i="77"/>
  <c r="AR596" i="77"/>
  <c r="AT596" i="77"/>
  <c r="AK597" i="77"/>
  <c r="AN597" i="77"/>
  <c r="AO597" i="77"/>
  <c r="AH598" i="77"/>
  <c r="AP597" i="77"/>
  <c r="AR597" i="77"/>
  <c r="AT597" i="77"/>
  <c r="AK598" i="77"/>
  <c r="AN598" i="77"/>
  <c r="AO598" i="77"/>
  <c r="AH599" i="77"/>
  <c r="AP598" i="77"/>
  <c r="AR598" i="77"/>
  <c r="AT598" i="77"/>
  <c r="AK599" i="77"/>
  <c r="AN599" i="77"/>
  <c r="AO599" i="77"/>
  <c r="AH600" i="77"/>
  <c r="AP599" i="77"/>
  <c r="AR599" i="77"/>
  <c r="AT599" i="77"/>
  <c r="AK600" i="77"/>
  <c r="AN600" i="77"/>
  <c r="AO600" i="77"/>
  <c r="AH601" i="77"/>
  <c r="AP600" i="77"/>
  <c r="AR600" i="77"/>
  <c r="AT600" i="77"/>
  <c r="AK601" i="77"/>
  <c r="AN601" i="77"/>
  <c r="AO601" i="77"/>
  <c r="AH602" i="77"/>
  <c r="AP601" i="77"/>
  <c r="AR601" i="77"/>
  <c r="AT601" i="77"/>
  <c r="AK602" i="77"/>
  <c r="AN602" i="77"/>
  <c r="AO602" i="77"/>
  <c r="AH603" i="77"/>
  <c r="AP602" i="77"/>
  <c r="AR602" i="77"/>
  <c r="AT602" i="77"/>
  <c r="AK603" i="77"/>
  <c r="AN603" i="77"/>
  <c r="AO603" i="77"/>
  <c r="AH604" i="77"/>
  <c r="AP603" i="77"/>
  <c r="AR603" i="77"/>
  <c r="AT603" i="77"/>
  <c r="AK604" i="77"/>
  <c r="AN604" i="77"/>
  <c r="AO604" i="77"/>
  <c r="AH605" i="77"/>
  <c r="AP604" i="77"/>
  <c r="AR604" i="77"/>
  <c r="AT604" i="77"/>
  <c r="AK605" i="77"/>
  <c r="AN605" i="77"/>
  <c r="AO605" i="77"/>
  <c r="AH606" i="77"/>
  <c r="AP605" i="77"/>
  <c r="AR605" i="77"/>
  <c r="AT605" i="77"/>
  <c r="AK606" i="77"/>
  <c r="AN606" i="77"/>
  <c r="AO606" i="77"/>
  <c r="AH607" i="77"/>
  <c r="AP606" i="77"/>
  <c r="AR606" i="77"/>
  <c r="AT606" i="77"/>
  <c r="AK607" i="77"/>
  <c r="AN607" i="77"/>
  <c r="AO607" i="77"/>
  <c r="AH608" i="77"/>
  <c r="AP607" i="77"/>
  <c r="AR607" i="77"/>
  <c r="AT607" i="77"/>
  <c r="AK608" i="77"/>
  <c r="AN608" i="77"/>
  <c r="AO608" i="77"/>
  <c r="AH609" i="77"/>
  <c r="AP608" i="77"/>
  <c r="AR608" i="77"/>
  <c r="AT608" i="77"/>
  <c r="AK609" i="77"/>
  <c r="AN609" i="77"/>
  <c r="AO609" i="77"/>
  <c r="AH610" i="77"/>
  <c r="AP609" i="77"/>
  <c r="AR609" i="77"/>
  <c r="AT609" i="77"/>
  <c r="AK610" i="77"/>
  <c r="AN610" i="77"/>
  <c r="AO610" i="77"/>
  <c r="AH611" i="77"/>
  <c r="AP610" i="77"/>
  <c r="AR610" i="77"/>
  <c r="AT610" i="77"/>
  <c r="AK611" i="77"/>
  <c r="AN611" i="77"/>
  <c r="AO611" i="77"/>
  <c r="AH612" i="77"/>
  <c r="AP611" i="77"/>
  <c r="AR611" i="77"/>
  <c r="AT611" i="77"/>
  <c r="AK612" i="77"/>
  <c r="AN612" i="77"/>
  <c r="AO612" i="77"/>
  <c r="AH613" i="77"/>
  <c r="AP612" i="77"/>
  <c r="AR612" i="77"/>
  <c r="AT612" i="77"/>
  <c r="AK613" i="77"/>
  <c r="AN613" i="77"/>
  <c r="AO613" i="77"/>
  <c r="AH614" i="77"/>
  <c r="AP613" i="77"/>
  <c r="AR613" i="77"/>
  <c r="AT613" i="77"/>
  <c r="AN614" i="77"/>
  <c r="AO614" i="77"/>
  <c r="AP614" i="77"/>
  <c r="AR614" i="77"/>
  <c r="AT614" i="77"/>
  <c r="AT5" i="77"/>
  <c r="C21" i="80"/>
  <c r="AI9" i="77"/>
  <c r="AI8" i="77"/>
  <c r="AQ8" i="77"/>
  <c r="AS8" i="77"/>
  <c r="AU8" i="77"/>
  <c r="AI10" i="77"/>
  <c r="AQ9" i="77"/>
  <c r="AS9" i="77"/>
  <c r="AU9" i="77"/>
  <c r="AI11" i="77"/>
  <c r="AQ10" i="77"/>
  <c r="AS10" i="77"/>
  <c r="AU10" i="77"/>
  <c r="AI12" i="77"/>
  <c r="AQ11" i="77"/>
  <c r="AS11" i="77"/>
  <c r="AU11" i="77"/>
  <c r="AI13" i="77"/>
  <c r="AQ12" i="77"/>
  <c r="AS12" i="77"/>
  <c r="AU12" i="77"/>
  <c r="AI14" i="77"/>
  <c r="AQ13" i="77"/>
  <c r="AS13" i="77"/>
  <c r="AU13" i="77"/>
  <c r="AI15" i="77"/>
  <c r="AQ14" i="77"/>
  <c r="AS14" i="77"/>
  <c r="AU14" i="77"/>
  <c r="AI16" i="77"/>
  <c r="AQ15" i="77"/>
  <c r="AS15" i="77"/>
  <c r="AU15" i="77"/>
  <c r="AI17" i="77"/>
  <c r="AQ16" i="77"/>
  <c r="AS16" i="77"/>
  <c r="AU16" i="77"/>
  <c r="AI18" i="77"/>
  <c r="AQ17" i="77"/>
  <c r="AS17" i="77"/>
  <c r="AU17" i="77"/>
  <c r="AI19" i="77"/>
  <c r="AQ18" i="77"/>
  <c r="AS18" i="77"/>
  <c r="AU18" i="77"/>
  <c r="AI20" i="77"/>
  <c r="AQ19" i="77"/>
  <c r="AS19" i="77"/>
  <c r="AU19" i="77"/>
  <c r="AI21" i="77"/>
  <c r="AQ20" i="77"/>
  <c r="AS20" i="77"/>
  <c r="AU20" i="77"/>
  <c r="AI22" i="77"/>
  <c r="AQ21" i="77"/>
  <c r="AS21" i="77"/>
  <c r="AU21" i="77"/>
  <c r="AI23" i="77"/>
  <c r="AQ22" i="77"/>
  <c r="AS22" i="77"/>
  <c r="AU22" i="77"/>
  <c r="AI24" i="77"/>
  <c r="AQ23" i="77"/>
  <c r="AS23" i="77"/>
  <c r="AU23" i="77"/>
  <c r="AI25" i="77"/>
  <c r="AQ24" i="77"/>
  <c r="AS24" i="77"/>
  <c r="AU24" i="77"/>
  <c r="AI26" i="77"/>
  <c r="AQ25" i="77"/>
  <c r="AS25" i="77"/>
  <c r="AU25" i="77"/>
  <c r="AI27" i="77"/>
  <c r="AQ26" i="77"/>
  <c r="AS26" i="77"/>
  <c r="AU26" i="77"/>
  <c r="AI28" i="77"/>
  <c r="AQ27" i="77"/>
  <c r="AS27" i="77"/>
  <c r="AU27" i="77"/>
  <c r="AI29" i="77"/>
  <c r="AQ28" i="77"/>
  <c r="AS28" i="77"/>
  <c r="AU28" i="77"/>
  <c r="AI30" i="77"/>
  <c r="AQ29" i="77"/>
  <c r="AS29" i="77"/>
  <c r="AU29" i="77"/>
  <c r="AI31" i="77"/>
  <c r="AQ30" i="77"/>
  <c r="AS30" i="77"/>
  <c r="AU30" i="77"/>
  <c r="AI32" i="77"/>
  <c r="AQ31" i="77"/>
  <c r="AS31" i="77"/>
  <c r="AU31" i="77"/>
  <c r="AI33" i="77"/>
  <c r="AQ32" i="77"/>
  <c r="AS32" i="77"/>
  <c r="AU32" i="77"/>
  <c r="AI34" i="77"/>
  <c r="AQ33" i="77"/>
  <c r="AS33" i="77"/>
  <c r="AU33" i="77"/>
  <c r="AI35" i="77"/>
  <c r="AQ34" i="77"/>
  <c r="AS34" i="77"/>
  <c r="AU34" i="77"/>
  <c r="AI36" i="77"/>
  <c r="AQ35" i="77"/>
  <c r="AS35" i="77"/>
  <c r="AU35" i="77"/>
  <c r="AI37" i="77"/>
  <c r="AQ36" i="77"/>
  <c r="AS36" i="77"/>
  <c r="AU36" i="77"/>
  <c r="AI38" i="77"/>
  <c r="AQ37" i="77"/>
  <c r="AS37" i="77"/>
  <c r="AU37" i="77"/>
  <c r="AI39" i="77"/>
  <c r="AQ38" i="77"/>
  <c r="AS38" i="77"/>
  <c r="AU38" i="77"/>
  <c r="AI40" i="77"/>
  <c r="AQ39" i="77"/>
  <c r="AS39" i="77"/>
  <c r="AU39" i="77"/>
  <c r="AI41" i="77"/>
  <c r="AQ40" i="77"/>
  <c r="AS40" i="77"/>
  <c r="AU40" i="77"/>
  <c r="AI42" i="77"/>
  <c r="AQ41" i="77"/>
  <c r="AS41" i="77"/>
  <c r="AU41" i="77"/>
  <c r="AI43" i="77"/>
  <c r="AQ42" i="77"/>
  <c r="AS42" i="77"/>
  <c r="AU42" i="77"/>
  <c r="AI44" i="77"/>
  <c r="AQ43" i="77"/>
  <c r="AS43" i="77"/>
  <c r="AU43" i="77"/>
  <c r="AI45" i="77"/>
  <c r="AQ44" i="77"/>
  <c r="AS44" i="77"/>
  <c r="AU44" i="77"/>
  <c r="AI46" i="77"/>
  <c r="AQ45" i="77"/>
  <c r="AS45" i="77"/>
  <c r="AU45" i="77"/>
  <c r="AI47" i="77"/>
  <c r="AQ46" i="77"/>
  <c r="AS46" i="77"/>
  <c r="AU46" i="77"/>
  <c r="AI48" i="77"/>
  <c r="AQ47" i="77"/>
  <c r="AS47" i="77"/>
  <c r="AU47" i="77"/>
  <c r="AI49" i="77"/>
  <c r="AQ48" i="77"/>
  <c r="AS48" i="77"/>
  <c r="AU48" i="77"/>
  <c r="AI50" i="77"/>
  <c r="AQ49" i="77"/>
  <c r="AS49" i="77"/>
  <c r="AU49" i="77"/>
  <c r="AI51" i="77"/>
  <c r="AQ50" i="77"/>
  <c r="AS50" i="77"/>
  <c r="AU50" i="77"/>
  <c r="AI52" i="77"/>
  <c r="AQ51" i="77"/>
  <c r="AS51" i="77"/>
  <c r="AU51" i="77"/>
  <c r="AI53" i="77"/>
  <c r="AQ52" i="77"/>
  <c r="AS52" i="77"/>
  <c r="AU52" i="77"/>
  <c r="AI54" i="77"/>
  <c r="AQ53" i="77"/>
  <c r="AS53" i="77"/>
  <c r="AU53" i="77"/>
  <c r="AI55" i="77"/>
  <c r="AQ54" i="77"/>
  <c r="AS54" i="77"/>
  <c r="AU54" i="77"/>
  <c r="AI56" i="77"/>
  <c r="AQ55" i="77"/>
  <c r="AS55" i="77"/>
  <c r="AU55" i="77"/>
  <c r="AI57" i="77"/>
  <c r="AQ56" i="77"/>
  <c r="AS56" i="77"/>
  <c r="AU56" i="77"/>
  <c r="AI58" i="77"/>
  <c r="AQ57" i="77"/>
  <c r="AS57" i="77"/>
  <c r="AU57" i="77"/>
  <c r="AI59" i="77"/>
  <c r="AQ58" i="77"/>
  <c r="AS58" i="77"/>
  <c r="AU58" i="77"/>
  <c r="AI60" i="77"/>
  <c r="AQ59" i="77"/>
  <c r="AS59" i="77"/>
  <c r="AU59" i="77"/>
  <c r="AI61" i="77"/>
  <c r="AQ60" i="77"/>
  <c r="AS60" i="77"/>
  <c r="AU60" i="77"/>
  <c r="AI62" i="77"/>
  <c r="AQ61" i="77"/>
  <c r="AS61" i="77"/>
  <c r="AU61" i="77"/>
  <c r="AI63" i="77"/>
  <c r="AQ62" i="77"/>
  <c r="AS62" i="77"/>
  <c r="AU62" i="77"/>
  <c r="AI64" i="77"/>
  <c r="AQ63" i="77"/>
  <c r="AS63" i="77"/>
  <c r="AU63" i="77"/>
  <c r="AI65" i="77"/>
  <c r="AQ64" i="77"/>
  <c r="AS64" i="77"/>
  <c r="AU64" i="77"/>
  <c r="AI66" i="77"/>
  <c r="AQ65" i="77"/>
  <c r="AS65" i="77"/>
  <c r="AU65" i="77"/>
  <c r="AI67" i="77"/>
  <c r="AQ66" i="77"/>
  <c r="AS66" i="77"/>
  <c r="AU66" i="77"/>
  <c r="AI68" i="77"/>
  <c r="AQ67" i="77"/>
  <c r="AS67" i="77"/>
  <c r="AU67" i="77"/>
  <c r="AI69" i="77"/>
  <c r="AQ68" i="77"/>
  <c r="AS68" i="77"/>
  <c r="AU68" i="77"/>
  <c r="AI70" i="77"/>
  <c r="AQ69" i="77"/>
  <c r="AS69" i="77"/>
  <c r="AU69" i="77"/>
  <c r="AI71" i="77"/>
  <c r="AQ70" i="77"/>
  <c r="AS70" i="77"/>
  <c r="AU70" i="77"/>
  <c r="AI72" i="77"/>
  <c r="AQ71" i="77"/>
  <c r="AS71" i="77"/>
  <c r="AU71" i="77"/>
  <c r="AI73" i="77"/>
  <c r="AQ72" i="77"/>
  <c r="AS72" i="77"/>
  <c r="AU72" i="77"/>
  <c r="AI74" i="77"/>
  <c r="AQ73" i="77"/>
  <c r="AS73" i="77"/>
  <c r="AU73" i="77"/>
  <c r="AI75" i="77"/>
  <c r="AQ74" i="77"/>
  <c r="AS74" i="77"/>
  <c r="AU74" i="77"/>
  <c r="AI76" i="77"/>
  <c r="AQ75" i="77"/>
  <c r="AS75" i="77"/>
  <c r="AU75" i="77"/>
  <c r="AI77" i="77"/>
  <c r="AQ76" i="77"/>
  <c r="AS76" i="77"/>
  <c r="AU76" i="77"/>
  <c r="AI78" i="77"/>
  <c r="AQ77" i="77"/>
  <c r="AS77" i="77"/>
  <c r="AU77" i="77"/>
  <c r="AI79" i="77"/>
  <c r="AQ78" i="77"/>
  <c r="AS78" i="77"/>
  <c r="AU78" i="77"/>
  <c r="AI80" i="77"/>
  <c r="AQ79" i="77"/>
  <c r="AS79" i="77"/>
  <c r="AU79" i="77"/>
  <c r="AI81" i="77"/>
  <c r="AQ80" i="77"/>
  <c r="AS80" i="77"/>
  <c r="AU80" i="77"/>
  <c r="AI82" i="77"/>
  <c r="AQ81" i="77"/>
  <c r="AS81" i="77"/>
  <c r="AU81" i="77"/>
  <c r="AI83" i="77"/>
  <c r="AQ82" i="77"/>
  <c r="AS82" i="77"/>
  <c r="AU82" i="77"/>
  <c r="AI84" i="77"/>
  <c r="AQ83" i="77"/>
  <c r="AS83" i="77"/>
  <c r="AU83" i="77"/>
  <c r="AI85" i="77"/>
  <c r="AQ84" i="77"/>
  <c r="AS84" i="77"/>
  <c r="AU84" i="77"/>
  <c r="AI86" i="77"/>
  <c r="AQ85" i="77"/>
  <c r="AS85" i="77"/>
  <c r="AU85" i="77"/>
  <c r="AI87" i="77"/>
  <c r="AQ86" i="77"/>
  <c r="AS86" i="77"/>
  <c r="AU86" i="77"/>
  <c r="AI88" i="77"/>
  <c r="AQ87" i="77"/>
  <c r="AS87" i="77"/>
  <c r="AU87" i="77"/>
  <c r="AI89" i="77"/>
  <c r="AQ88" i="77"/>
  <c r="AS88" i="77"/>
  <c r="AU88" i="77"/>
  <c r="AI90" i="77"/>
  <c r="AQ89" i="77"/>
  <c r="AS89" i="77"/>
  <c r="AU89" i="77"/>
  <c r="AI91" i="77"/>
  <c r="AQ90" i="77"/>
  <c r="AS90" i="77"/>
  <c r="AU90" i="77"/>
  <c r="AI92" i="77"/>
  <c r="AQ91" i="77"/>
  <c r="AS91" i="77"/>
  <c r="AU91" i="77"/>
  <c r="AI93" i="77"/>
  <c r="AQ92" i="77"/>
  <c r="AS92" i="77"/>
  <c r="AU92" i="77"/>
  <c r="AI94" i="77"/>
  <c r="AQ93" i="77"/>
  <c r="AS93" i="77"/>
  <c r="AU93" i="77"/>
  <c r="AI95" i="77"/>
  <c r="AQ94" i="77"/>
  <c r="AS94" i="77"/>
  <c r="AU94" i="77"/>
  <c r="AI96" i="77"/>
  <c r="AQ95" i="77"/>
  <c r="AS95" i="77"/>
  <c r="AU95" i="77"/>
  <c r="AI97" i="77"/>
  <c r="AQ96" i="77"/>
  <c r="AS96" i="77"/>
  <c r="AU96" i="77"/>
  <c r="AI98" i="77"/>
  <c r="AQ97" i="77"/>
  <c r="AS97" i="77"/>
  <c r="AU97" i="77"/>
  <c r="AI99" i="77"/>
  <c r="AQ98" i="77"/>
  <c r="AS98" i="77"/>
  <c r="AU98" i="77"/>
  <c r="AI100" i="77"/>
  <c r="AQ99" i="77"/>
  <c r="AS99" i="77"/>
  <c r="AU99" i="77"/>
  <c r="AI101" i="77"/>
  <c r="AQ100" i="77"/>
  <c r="AS100" i="77"/>
  <c r="AU100" i="77"/>
  <c r="AI102" i="77"/>
  <c r="AQ101" i="77"/>
  <c r="AS101" i="77"/>
  <c r="AU101" i="77"/>
  <c r="AI103" i="77"/>
  <c r="AQ102" i="77"/>
  <c r="AS102" i="77"/>
  <c r="AU102" i="77"/>
  <c r="AI104" i="77"/>
  <c r="AQ103" i="77"/>
  <c r="AS103" i="77"/>
  <c r="AU103" i="77"/>
  <c r="AI105" i="77"/>
  <c r="AQ104" i="77"/>
  <c r="AS104" i="77"/>
  <c r="AU104" i="77"/>
  <c r="AI106" i="77"/>
  <c r="AQ105" i="77"/>
  <c r="AS105" i="77"/>
  <c r="AU105" i="77"/>
  <c r="AI107" i="77"/>
  <c r="AQ106" i="77"/>
  <c r="AS106" i="77"/>
  <c r="AU106" i="77"/>
  <c r="AI108" i="77"/>
  <c r="AQ107" i="77"/>
  <c r="AS107" i="77"/>
  <c r="AU107" i="77"/>
  <c r="AI109" i="77"/>
  <c r="AQ108" i="77"/>
  <c r="AS108" i="77"/>
  <c r="AU108" i="77"/>
  <c r="AI110" i="77"/>
  <c r="AQ109" i="77"/>
  <c r="AS109" i="77"/>
  <c r="AU109" i="77"/>
  <c r="AI111" i="77"/>
  <c r="AQ110" i="77"/>
  <c r="AS110" i="77"/>
  <c r="AU110" i="77"/>
  <c r="AI112" i="77"/>
  <c r="AQ111" i="77"/>
  <c r="AS111" i="77"/>
  <c r="AU111" i="77"/>
  <c r="AI113" i="77"/>
  <c r="AQ112" i="77"/>
  <c r="AS112" i="77"/>
  <c r="AU112" i="77"/>
  <c r="AI114" i="77"/>
  <c r="AQ113" i="77"/>
  <c r="AS113" i="77"/>
  <c r="AU113" i="77"/>
  <c r="AI115" i="77"/>
  <c r="AQ114" i="77"/>
  <c r="AS114" i="77"/>
  <c r="AU114" i="77"/>
  <c r="AI116" i="77"/>
  <c r="AQ115" i="77"/>
  <c r="AS115" i="77"/>
  <c r="AU115" i="77"/>
  <c r="AI117" i="77"/>
  <c r="AQ116" i="77"/>
  <c r="AS116" i="77"/>
  <c r="AU116" i="77"/>
  <c r="AI118" i="77"/>
  <c r="AQ117" i="77"/>
  <c r="AS117" i="77"/>
  <c r="AU117" i="77"/>
  <c r="AI119" i="77"/>
  <c r="AQ118" i="77"/>
  <c r="AS118" i="77"/>
  <c r="AU118" i="77"/>
  <c r="AI120" i="77"/>
  <c r="AQ119" i="77"/>
  <c r="AS119" i="77"/>
  <c r="AU119" i="77"/>
  <c r="AI121" i="77"/>
  <c r="AQ120" i="77"/>
  <c r="AS120" i="77"/>
  <c r="AU120" i="77"/>
  <c r="AI122" i="77"/>
  <c r="AQ121" i="77"/>
  <c r="AS121" i="77"/>
  <c r="AU121" i="77"/>
  <c r="AI123" i="77"/>
  <c r="AQ122" i="77"/>
  <c r="AS122" i="77"/>
  <c r="AU122" i="77"/>
  <c r="AI124" i="77"/>
  <c r="AQ123" i="77"/>
  <c r="AS123" i="77"/>
  <c r="AU123" i="77"/>
  <c r="AI125" i="77"/>
  <c r="AQ124" i="77"/>
  <c r="AS124" i="77"/>
  <c r="AU124" i="77"/>
  <c r="AI126" i="77"/>
  <c r="AQ125" i="77"/>
  <c r="AS125" i="77"/>
  <c r="AU125" i="77"/>
  <c r="AI127" i="77"/>
  <c r="AQ126" i="77"/>
  <c r="AS126" i="77"/>
  <c r="AU126" i="77"/>
  <c r="AI128" i="77"/>
  <c r="AQ127" i="77"/>
  <c r="AS127" i="77"/>
  <c r="AU127" i="77"/>
  <c r="AI129" i="77"/>
  <c r="AQ128" i="77"/>
  <c r="AS128" i="77"/>
  <c r="AU128" i="77"/>
  <c r="AI130" i="77"/>
  <c r="AQ129" i="77"/>
  <c r="AS129" i="77"/>
  <c r="AU129" i="77"/>
  <c r="AI131" i="77"/>
  <c r="AQ130" i="77"/>
  <c r="AS130" i="77"/>
  <c r="AU130" i="77"/>
  <c r="AI132" i="77"/>
  <c r="AQ131" i="77"/>
  <c r="AS131" i="77"/>
  <c r="AU131" i="77"/>
  <c r="AI133" i="77"/>
  <c r="AQ132" i="77"/>
  <c r="AS132" i="77"/>
  <c r="AU132" i="77"/>
  <c r="AI134" i="77"/>
  <c r="AQ133" i="77"/>
  <c r="AS133" i="77"/>
  <c r="AU133" i="77"/>
  <c r="AI135" i="77"/>
  <c r="AQ134" i="77"/>
  <c r="AS134" i="77"/>
  <c r="AU134" i="77"/>
  <c r="AI136" i="77"/>
  <c r="AQ135" i="77"/>
  <c r="AS135" i="77"/>
  <c r="AU135" i="77"/>
  <c r="AI137" i="77"/>
  <c r="AQ136" i="77"/>
  <c r="AS136" i="77"/>
  <c r="AU136" i="77"/>
  <c r="AI138" i="77"/>
  <c r="AQ137" i="77"/>
  <c r="AS137" i="77"/>
  <c r="AU137" i="77"/>
  <c r="AI139" i="77"/>
  <c r="AQ138" i="77"/>
  <c r="AS138" i="77"/>
  <c r="AU138" i="77"/>
  <c r="AI140" i="77"/>
  <c r="AQ139" i="77"/>
  <c r="AS139" i="77"/>
  <c r="AU139" i="77"/>
  <c r="AI141" i="77"/>
  <c r="AQ140" i="77"/>
  <c r="AS140" i="77"/>
  <c r="AU140" i="77"/>
  <c r="AI142" i="77"/>
  <c r="AQ141" i="77"/>
  <c r="AS141" i="77"/>
  <c r="AU141" i="77"/>
  <c r="AI143" i="77"/>
  <c r="AQ142" i="77"/>
  <c r="AS142" i="77"/>
  <c r="AU142" i="77"/>
  <c r="AI144" i="77"/>
  <c r="AQ143" i="77"/>
  <c r="AS143" i="77"/>
  <c r="AU143" i="77"/>
  <c r="AI145" i="77"/>
  <c r="AQ144" i="77"/>
  <c r="AS144" i="77"/>
  <c r="AU144" i="77"/>
  <c r="AI146" i="77"/>
  <c r="AQ145" i="77"/>
  <c r="AS145" i="77"/>
  <c r="AU145" i="77"/>
  <c r="AI147" i="77"/>
  <c r="AQ146" i="77"/>
  <c r="AS146" i="77"/>
  <c r="AU146" i="77"/>
  <c r="AI148" i="77"/>
  <c r="AQ147" i="77"/>
  <c r="AS147" i="77"/>
  <c r="AU147" i="77"/>
  <c r="AI149" i="77"/>
  <c r="AQ148" i="77"/>
  <c r="AS148" i="77"/>
  <c r="AU148" i="77"/>
  <c r="AI150" i="77"/>
  <c r="AQ149" i="77"/>
  <c r="AS149" i="77"/>
  <c r="AU149" i="77"/>
  <c r="AI151" i="77"/>
  <c r="AQ150" i="77"/>
  <c r="AS150" i="77"/>
  <c r="AU150" i="77"/>
  <c r="AI152" i="77"/>
  <c r="AQ151" i="77"/>
  <c r="AS151" i="77"/>
  <c r="AU151" i="77"/>
  <c r="AI153" i="77"/>
  <c r="AQ152" i="77"/>
  <c r="AS152" i="77"/>
  <c r="AU152" i="77"/>
  <c r="AI154" i="77"/>
  <c r="AQ153" i="77"/>
  <c r="AS153" i="77"/>
  <c r="AU153" i="77"/>
  <c r="AI155" i="77"/>
  <c r="AQ154" i="77"/>
  <c r="AS154" i="77"/>
  <c r="AU154" i="77"/>
  <c r="AI156" i="77"/>
  <c r="AQ155" i="77"/>
  <c r="AS155" i="77"/>
  <c r="AU155" i="77"/>
  <c r="AI157" i="77"/>
  <c r="AQ156" i="77"/>
  <c r="AS156" i="77"/>
  <c r="AU156" i="77"/>
  <c r="AI158" i="77"/>
  <c r="AQ157" i="77"/>
  <c r="AS157" i="77"/>
  <c r="AU157" i="77"/>
  <c r="AI159" i="77"/>
  <c r="AQ158" i="77"/>
  <c r="AS158" i="77"/>
  <c r="AU158" i="77"/>
  <c r="AI160" i="77"/>
  <c r="AQ159" i="77"/>
  <c r="AS159" i="77"/>
  <c r="AU159" i="77"/>
  <c r="AI161" i="77"/>
  <c r="AQ160" i="77"/>
  <c r="AS160" i="77"/>
  <c r="AU160" i="77"/>
  <c r="AI162" i="77"/>
  <c r="AQ161" i="77"/>
  <c r="AS161" i="77"/>
  <c r="AU161" i="77"/>
  <c r="AI163" i="77"/>
  <c r="AQ162" i="77"/>
  <c r="AS162" i="77"/>
  <c r="AU162" i="77"/>
  <c r="AI164" i="77"/>
  <c r="AQ163" i="77"/>
  <c r="AS163" i="77"/>
  <c r="AU163" i="77"/>
  <c r="AI165" i="77"/>
  <c r="AQ164" i="77"/>
  <c r="AS164" i="77"/>
  <c r="AU164" i="77"/>
  <c r="AI166" i="77"/>
  <c r="AQ165" i="77"/>
  <c r="AS165" i="77"/>
  <c r="AU165" i="77"/>
  <c r="AI167" i="77"/>
  <c r="AQ166" i="77"/>
  <c r="AS166" i="77"/>
  <c r="AU166" i="77"/>
  <c r="AI168" i="77"/>
  <c r="AQ167" i="77"/>
  <c r="AS167" i="77"/>
  <c r="AU167" i="77"/>
  <c r="AI169" i="77"/>
  <c r="AQ168" i="77"/>
  <c r="AS168" i="77"/>
  <c r="AU168" i="77"/>
  <c r="AI170" i="77"/>
  <c r="AQ169" i="77"/>
  <c r="AS169" i="77"/>
  <c r="AU169" i="77"/>
  <c r="AI171" i="77"/>
  <c r="AQ170" i="77"/>
  <c r="AS170" i="77"/>
  <c r="AU170" i="77"/>
  <c r="AI172" i="77"/>
  <c r="AQ171" i="77"/>
  <c r="AS171" i="77"/>
  <c r="AU171" i="77"/>
  <c r="AI173" i="77"/>
  <c r="AQ172" i="77"/>
  <c r="AS172" i="77"/>
  <c r="AU172" i="77"/>
  <c r="AI174" i="77"/>
  <c r="AQ173" i="77"/>
  <c r="AS173" i="77"/>
  <c r="AU173" i="77"/>
  <c r="AI175" i="77"/>
  <c r="AQ174" i="77"/>
  <c r="AS174" i="77"/>
  <c r="AU174" i="77"/>
  <c r="AI176" i="77"/>
  <c r="AQ175" i="77"/>
  <c r="AS175" i="77"/>
  <c r="AU175" i="77"/>
  <c r="AI177" i="77"/>
  <c r="AQ176" i="77"/>
  <c r="AS176" i="77"/>
  <c r="AU176" i="77"/>
  <c r="AI178" i="77"/>
  <c r="AQ177" i="77"/>
  <c r="AS177" i="77"/>
  <c r="AU177" i="77"/>
  <c r="AI179" i="77"/>
  <c r="AQ178" i="77"/>
  <c r="AS178" i="77"/>
  <c r="AU178" i="77"/>
  <c r="AI180" i="77"/>
  <c r="AQ179" i="77"/>
  <c r="AS179" i="77"/>
  <c r="AU179" i="77"/>
  <c r="AI181" i="77"/>
  <c r="AQ180" i="77"/>
  <c r="AS180" i="77"/>
  <c r="AU180" i="77"/>
  <c r="AI182" i="77"/>
  <c r="AQ181" i="77"/>
  <c r="AS181" i="77"/>
  <c r="AU181" i="77"/>
  <c r="AI183" i="77"/>
  <c r="AQ182" i="77"/>
  <c r="AS182" i="77"/>
  <c r="AU182" i="77"/>
  <c r="AI184" i="77"/>
  <c r="AQ183" i="77"/>
  <c r="AS183" i="77"/>
  <c r="AU183" i="77"/>
  <c r="AI185" i="77"/>
  <c r="AQ184" i="77"/>
  <c r="AS184" i="77"/>
  <c r="AU184" i="77"/>
  <c r="AI186" i="77"/>
  <c r="AQ185" i="77"/>
  <c r="AS185" i="77"/>
  <c r="AU185" i="77"/>
  <c r="AI187" i="77"/>
  <c r="AQ186" i="77"/>
  <c r="AS186" i="77"/>
  <c r="AU186" i="77"/>
  <c r="AI188" i="77"/>
  <c r="AQ187" i="77"/>
  <c r="AS187" i="77"/>
  <c r="AU187" i="77"/>
  <c r="AI189" i="77"/>
  <c r="AQ188" i="77"/>
  <c r="AS188" i="77"/>
  <c r="AU188" i="77"/>
  <c r="AI190" i="77"/>
  <c r="AQ189" i="77"/>
  <c r="AS189" i="77"/>
  <c r="AU189" i="77"/>
  <c r="AI191" i="77"/>
  <c r="AQ190" i="77"/>
  <c r="AS190" i="77"/>
  <c r="AU190" i="77"/>
  <c r="AI192" i="77"/>
  <c r="AQ191" i="77"/>
  <c r="AS191" i="77"/>
  <c r="AU191" i="77"/>
  <c r="AI193" i="77"/>
  <c r="AQ192" i="77"/>
  <c r="AS192" i="77"/>
  <c r="AU192" i="77"/>
  <c r="AI194" i="77"/>
  <c r="AQ193" i="77"/>
  <c r="AS193" i="77"/>
  <c r="AU193" i="77"/>
  <c r="AI195" i="77"/>
  <c r="AQ194" i="77"/>
  <c r="AS194" i="77"/>
  <c r="AU194" i="77"/>
  <c r="AI196" i="77"/>
  <c r="AQ195" i="77"/>
  <c r="AS195" i="77"/>
  <c r="AU195" i="77"/>
  <c r="AI197" i="77"/>
  <c r="AQ196" i="77"/>
  <c r="AS196" i="77"/>
  <c r="AU196" i="77"/>
  <c r="AI198" i="77"/>
  <c r="AQ197" i="77"/>
  <c r="AS197" i="77"/>
  <c r="AU197" i="77"/>
  <c r="AI199" i="77"/>
  <c r="AQ198" i="77"/>
  <c r="AS198" i="77"/>
  <c r="AU198" i="77"/>
  <c r="AI200" i="77"/>
  <c r="AQ199" i="77"/>
  <c r="AS199" i="77"/>
  <c r="AU199" i="77"/>
  <c r="AI201" i="77"/>
  <c r="AQ200" i="77"/>
  <c r="AS200" i="77"/>
  <c r="AU200" i="77"/>
  <c r="AI202" i="77"/>
  <c r="AQ201" i="77"/>
  <c r="AS201" i="77"/>
  <c r="AU201" i="77"/>
  <c r="AI203" i="77"/>
  <c r="AQ202" i="77"/>
  <c r="AS202" i="77"/>
  <c r="AU202" i="77"/>
  <c r="AI204" i="77"/>
  <c r="AQ203" i="77"/>
  <c r="AS203" i="77"/>
  <c r="AU203" i="77"/>
  <c r="AI205" i="77"/>
  <c r="AQ204" i="77"/>
  <c r="AS204" i="77"/>
  <c r="AU204" i="77"/>
  <c r="AI206" i="77"/>
  <c r="AQ205" i="77"/>
  <c r="AS205" i="77"/>
  <c r="AU205" i="77"/>
  <c r="AI207" i="77"/>
  <c r="AQ206" i="77"/>
  <c r="AS206" i="77"/>
  <c r="AU206" i="77"/>
  <c r="AI208" i="77"/>
  <c r="AQ207" i="77"/>
  <c r="AS207" i="77"/>
  <c r="AU207" i="77"/>
  <c r="AI209" i="77"/>
  <c r="AQ208" i="77"/>
  <c r="AS208" i="77"/>
  <c r="AU208" i="77"/>
  <c r="AI210" i="77"/>
  <c r="AQ209" i="77"/>
  <c r="AS209" i="77"/>
  <c r="AU209" i="77"/>
  <c r="AI211" i="77"/>
  <c r="AQ210" i="77"/>
  <c r="AS210" i="77"/>
  <c r="AU210" i="77"/>
  <c r="AI212" i="77"/>
  <c r="AQ211" i="77"/>
  <c r="AS211" i="77"/>
  <c r="AU211" i="77"/>
  <c r="AI213" i="77"/>
  <c r="AQ212" i="77"/>
  <c r="AS212" i="77"/>
  <c r="AU212" i="77"/>
  <c r="AI214" i="77"/>
  <c r="AQ213" i="77"/>
  <c r="AS213" i="77"/>
  <c r="AU213" i="77"/>
  <c r="AI215" i="77"/>
  <c r="AQ214" i="77"/>
  <c r="AS214" i="77"/>
  <c r="AU214" i="77"/>
  <c r="AI216" i="77"/>
  <c r="AQ215" i="77"/>
  <c r="AS215" i="77"/>
  <c r="AU215" i="77"/>
  <c r="AI217" i="77"/>
  <c r="AQ216" i="77"/>
  <c r="AS216" i="77"/>
  <c r="AU216" i="77"/>
  <c r="AI218" i="77"/>
  <c r="AQ217" i="77"/>
  <c r="AS217" i="77"/>
  <c r="AU217" i="77"/>
  <c r="AI219" i="77"/>
  <c r="AQ218" i="77"/>
  <c r="AS218" i="77"/>
  <c r="AU218" i="77"/>
  <c r="AI220" i="77"/>
  <c r="AQ219" i="77"/>
  <c r="AS219" i="77"/>
  <c r="AU219" i="77"/>
  <c r="AI221" i="77"/>
  <c r="AQ220" i="77"/>
  <c r="AS220" i="77"/>
  <c r="AU220" i="77"/>
  <c r="AI222" i="77"/>
  <c r="AQ221" i="77"/>
  <c r="AS221" i="77"/>
  <c r="AU221" i="77"/>
  <c r="AI223" i="77"/>
  <c r="AQ222" i="77"/>
  <c r="AS222" i="77"/>
  <c r="AU222" i="77"/>
  <c r="AI224" i="77"/>
  <c r="AQ223" i="77"/>
  <c r="AS223" i="77"/>
  <c r="AU223" i="77"/>
  <c r="AI225" i="77"/>
  <c r="AQ224" i="77"/>
  <c r="AS224" i="77"/>
  <c r="AU224" i="77"/>
  <c r="AI226" i="77"/>
  <c r="AQ225" i="77"/>
  <c r="AS225" i="77"/>
  <c r="AU225" i="77"/>
  <c r="AI227" i="77"/>
  <c r="AQ226" i="77"/>
  <c r="AS226" i="77"/>
  <c r="AU226" i="77"/>
  <c r="AI228" i="77"/>
  <c r="AQ227" i="77"/>
  <c r="AS227" i="77"/>
  <c r="AU227" i="77"/>
  <c r="AI229" i="77"/>
  <c r="AQ228" i="77"/>
  <c r="AS228" i="77"/>
  <c r="AU228" i="77"/>
  <c r="AI230" i="77"/>
  <c r="AQ229" i="77"/>
  <c r="AS229" i="77"/>
  <c r="AU229" i="77"/>
  <c r="AI231" i="77"/>
  <c r="AQ230" i="77"/>
  <c r="AS230" i="77"/>
  <c r="AU230" i="77"/>
  <c r="AI232" i="77"/>
  <c r="AQ231" i="77"/>
  <c r="AS231" i="77"/>
  <c r="AU231" i="77"/>
  <c r="AI233" i="77"/>
  <c r="AQ232" i="77"/>
  <c r="AS232" i="77"/>
  <c r="AU232" i="77"/>
  <c r="AI234" i="77"/>
  <c r="AQ233" i="77"/>
  <c r="AS233" i="77"/>
  <c r="AU233" i="77"/>
  <c r="AI235" i="77"/>
  <c r="AQ234" i="77"/>
  <c r="AS234" i="77"/>
  <c r="AU234" i="77"/>
  <c r="AI236" i="77"/>
  <c r="AQ235" i="77"/>
  <c r="AS235" i="77"/>
  <c r="AU235" i="77"/>
  <c r="AI237" i="77"/>
  <c r="AQ236" i="77"/>
  <c r="AS236" i="77"/>
  <c r="AU236" i="77"/>
  <c r="AI238" i="77"/>
  <c r="AQ237" i="77"/>
  <c r="AS237" i="77"/>
  <c r="AU237" i="77"/>
  <c r="AI239" i="77"/>
  <c r="AQ238" i="77"/>
  <c r="AS238" i="77"/>
  <c r="AU238" i="77"/>
  <c r="AI240" i="77"/>
  <c r="AQ239" i="77"/>
  <c r="AS239" i="77"/>
  <c r="AU239" i="77"/>
  <c r="AI241" i="77"/>
  <c r="AQ240" i="77"/>
  <c r="AS240" i="77"/>
  <c r="AU240" i="77"/>
  <c r="AI242" i="77"/>
  <c r="AQ241" i="77"/>
  <c r="AS241" i="77"/>
  <c r="AU241" i="77"/>
  <c r="AI243" i="77"/>
  <c r="AQ242" i="77"/>
  <c r="AS242" i="77"/>
  <c r="AU242" i="77"/>
  <c r="AI244" i="77"/>
  <c r="AQ243" i="77"/>
  <c r="AS243" i="77"/>
  <c r="AU243" i="77"/>
  <c r="AI245" i="77"/>
  <c r="AQ244" i="77"/>
  <c r="AS244" i="77"/>
  <c r="AU244" i="77"/>
  <c r="AI246" i="77"/>
  <c r="AQ245" i="77"/>
  <c r="AS245" i="77"/>
  <c r="AU245" i="77"/>
  <c r="AI247" i="77"/>
  <c r="AQ246" i="77"/>
  <c r="AS246" i="77"/>
  <c r="AU246" i="77"/>
  <c r="AI248" i="77"/>
  <c r="AQ247" i="77"/>
  <c r="AS247" i="77"/>
  <c r="AU247" i="77"/>
  <c r="AI249" i="77"/>
  <c r="AQ248" i="77"/>
  <c r="AS248" i="77"/>
  <c r="AU248" i="77"/>
  <c r="AI250" i="77"/>
  <c r="AQ249" i="77"/>
  <c r="AS249" i="77"/>
  <c r="AU249" i="77"/>
  <c r="AI251" i="77"/>
  <c r="AQ250" i="77"/>
  <c r="AS250" i="77"/>
  <c r="AU250" i="77"/>
  <c r="AI252" i="77"/>
  <c r="AQ251" i="77"/>
  <c r="AS251" i="77"/>
  <c r="AU251" i="77"/>
  <c r="AI253" i="77"/>
  <c r="AQ252" i="77"/>
  <c r="AS252" i="77"/>
  <c r="AU252" i="77"/>
  <c r="AI254" i="77"/>
  <c r="AQ253" i="77"/>
  <c r="AS253" i="77"/>
  <c r="AU253" i="77"/>
  <c r="AI255" i="77"/>
  <c r="AQ254" i="77"/>
  <c r="AS254" i="77"/>
  <c r="AU254" i="77"/>
  <c r="AI256" i="77"/>
  <c r="AQ255" i="77"/>
  <c r="AS255" i="77"/>
  <c r="AU255" i="77"/>
  <c r="AI257" i="77"/>
  <c r="AQ256" i="77"/>
  <c r="AS256" i="77"/>
  <c r="AU256" i="77"/>
  <c r="AI258" i="77"/>
  <c r="AQ257" i="77"/>
  <c r="AS257" i="77"/>
  <c r="AU257" i="77"/>
  <c r="AI259" i="77"/>
  <c r="AQ258" i="77"/>
  <c r="AS258" i="77"/>
  <c r="AU258" i="77"/>
  <c r="AI260" i="77"/>
  <c r="AQ259" i="77"/>
  <c r="AS259" i="77"/>
  <c r="AU259" i="77"/>
  <c r="AI261" i="77"/>
  <c r="AQ260" i="77"/>
  <c r="AS260" i="77"/>
  <c r="AU260" i="77"/>
  <c r="AI262" i="77"/>
  <c r="AQ261" i="77"/>
  <c r="AS261" i="77"/>
  <c r="AU261" i="77"/>
  <c r="AI263" i="77"/>
  <c r="AQ262" i="77"/>
  <c r="AS262" i="77"/>
  <c r="AU262" i="77"/>
  <c r="AI264" i="77"/>
  <c r="AQ263" i="77"/>
  <c r="AS263" i="77"/>
  <c r="AU263" i="77"/>
  <c r="AI265" i="77"/>
  <c r="AQ264" i="77"/>
  <c r="AS264" i="77"/>
  <c r="AU264" i="77"/>
  <c r="AI266" i="77"/>
  <c r="AQ265" i="77"/>
  <c r="AS265" i="77"/>
  <c r="AU265" i="77"/>
  <c r="AI267" i="77"/>
  <c r="AQ266" i="77"/>
  <c r="AS266" i="77"/>
  <c r="AU266" i="77"/>
  <c r="AI268" i="77"/>
  <c r="AQ267" i="77"/>
  <c r="AS267" i="77"/>
  <c r="AU267" i="77"/>
  <c r="AI269" i="77"/>
  <c r="AQ268" i="77"/>
  <c r="AS268" i="77"/>
  <c r="AU268" i="77"/>
  <c r="AI270" i="77"/>
  <c r="AQ269" i="77"/>
  <c r="AS269" i="77"/>
  <c r="AU269" i="77"/>
  <c r="AI271" i="77"/>
  <c r="AQ270" i="77"/>
  <c r="AS270" i="77"/>
  <c r="AU270" i="77"/>
  <c r="AI272" i="77"/>
  <c r="AQ271" i="77"/>
  <c r="AS271" i="77"/>
  <c r="AU271" i="77"/>
  <c r="AI273" i="77"/>
  <c r="AQ272" i="77"/>
  <c r="AS272" i="77"/>
  <c r="AU272" i="77"/>
  <c r="AI274" i="77"/>
  <c r="AQ273" i="77"/>
  <c r="AS273" i="77"/>
  <c r="AU273" i="77"/>
  <c r="AI275" i="77"/>
  <c r="AQ274" i="77"/>
  <c r="AS274" i="77"/>
  <c r="AU274" i="77"/>
  <c r="AI276" i="77"/>
  <c r="AQ275" i="77"/>
  <c r="AS275" i="77"/>
  <c r="AU275" i="77"/>
  <c r="AI277" i="77"/>
  <c r="AQ276" i="77"/>
  <c r="AS276" i="77"/>
  <c r="AU276" i="77"/>
  <c r="AI278" i="77"/>
  <c r="AQ277" i="77"/>
  <c r="AS277" i="77"/>
  <c r="AU277" i="77"/>
  <c r="AI279" i="77"/>
  <c r="AQ278" i="77"/>
  <c r="AS278" i="77"/>
  <c r="AU278" i="77"/>
  <c r="AI280" i="77"/>
  <c r="AQ279" i="77"/>
  <c r="AS279" i="77"/>
  <c r="AU279" i="77"/>
  <c r="AI281" i="77"/>
  <c r="AQ280" i="77"/>
  <c r="AS280" i="77"/>
  <c r="AU280" i="77"/>
  <c r="AI282" i="77"/>
  <c r="AQ281" i="77"/>
  <c r="AS281" i="77"/>
  <c r="AU281" i="77"/>
  <c r="AI283" i="77"/>
  <c r="AQ282" i="77"/>
  <c r="AS282" i="77"/>
  <c r="AU282" i="77"/>
  <c r="AI284" i="77"/>
  <c r="AQ283" i="77"/>
  <c r="AS283" i="77"/>
  <c r="AU283" i="77"/>
  <c r="AI285" i="77"/>
  <c r="AQ284" i="77"/>
  <c r="AS284" i="77"/>
  <c r="AU284" i="77"/>
  <c r="AI286" i="77"/>
  <c r="AQ285" i="77"/>
  <c r="AS285" i="77"/>
  <c r="AU285" i="77"/>
  <c r="AI287" i="77"/>
  <c r="AQ286" i="77"/>
  <c r="AS286" i="77"/>
  <c r="AU286" i="77"/>
  <c r="AI288" i="77"/>
  <c r="AQ287" i="77"/>
  <c r="AS287" i="77"/>
  <c r="AU287" i="77"/>
  <c r="AI289" i="77"/>
  <c r="AQ288" i="77"/>
  <c r="AS288" i="77"/>
  <c r="AU288" i="77"/>
  <c r="AI290" i="77"/>
  <c r="AQ289" i="77"/>
  <c r="AS289" i="77"/>
  <c r="AU289" i="77"/>
  <c r="AI291" i="77"/>
  <c r="AQ290" i="77"/>
  <c r="AS290" i="77"/>
  <c r="AU290" i="77"/>
  <c r="AI292" i="77"/>
  <c r="AQ291" i="77"/>
  <c r="AS291" i="77"/>
  <c r="AU291" i="77"/>
  <c r="AI293" i="77"/>
  <c r="AQ292" i="77"/>
  <c r="AS292" i="77"/>
  <c r="AU292" i="77"/>
  <c r="AI294" i="77"/>
  <c r="AQ293" i="77"/>
  <c r="AS293" i="77"/>
  <c r="AU293" i="77"/>
  <c r="AI295" i="77"/>
  <c r="AQ294" i="77"/>
  <c r="AS294" i="77"/>
  <c r="AU294" i="77"/>
  <c r="AI296" i="77"/>
  <c r="AQ295" i="77"/>
  <c r="AS295" i="77"/>
  <c r="AU295" i="77"/>
  <c r="AI297" i="77"/>
  <c r="AQ296" i="77"/>
  <c r="AS296" i="77"/>
  <c r="AU296" i="77"/>
  <c r="AI298" i="77"/>
  <c r="AQ297" i="77"/>
  <c r="AS297" i="77"/>
  <c r="AU297" i="77"/>
  <c r="AI299" i="77"/>
  <c r="AQ298" i="77"/>
  <c r="AS298" i="77"/>
  <c r="AU298" i="77"/>
  <c r="AI300" i="77"/>
  <c r="AQ299" i="77"/>
  <c r="AS299" i="77"/>
  <c r="AU299" i="77"/>
  <c r="AI301" i="77"/>
  <c r="AQ300" i="77"/>
  <c r="AS300" i="77"/>
  <c r="AU300" i="77"/>
  <c r="AI302" i="77"/>
  <c r="AQ301" i="77"/>
  <c r="AS301" i="77"/>
  <c r="AU301" i="77"/>
  <c r="AI303" i="77"/>
  <c r="AQ302" i="77"/>
  <c r="AS302" i="77"/>
  <c r="AU302" i="77"/>
  <c r="AI304" i="77"/>
  <c r="AQ303" i="77"/>
  <c r="AS303" i="77"/>
  <c r="AU303" i="77"/>
  <c r="AI305" i="77"/>
  <c r="AQ304" i="77"/>
  <c r="AS304" i="77"/>
  <c r="AU304" i="77"/>
  <c r="AI306" i="77"/>
  <c r="AQ305" i="77"/>
  <c r="AS305" i="77"/>
  <c r="AU305" i="77"/>
  <c r="AI307" i="77"/>
  <c r="AQ306" i="77"/>
  <c r="AS306" i="77"/>
  <c r="AU306" i="77"/>
  <c r="AI308" i="77"/>
  <c r="AQ307" i="77"/>
  <c r="AS307" i="77"/>
  <c r="AU307" i="77"/>
  <c r="AI309" i="77"/>
  <c r="AQ308" i="77"/>
  <c r="AS308" i="77"/>
  <c r="AU308" i="77"/>
  <c r="AI310" i="77"/>
  <c r="AQ309" i="77"/>
  <c r="AS309" i="77"/>
  <c r="AU309" i="77"/>
  <c r="AI311" i="77"/>
  <c r="AQ310" i="77"/>
  <c r="AS310" i="77"/>
  <c r="AU310" i="77"/>
  <c r="AI312" i="77"/>
  <c r="AQ311" i="77"/>
  <c r="AS311" i="77"/>
  <c r="AU311" i="77"/>
  <c r="AI313" i="77"/>
  <c r="AQ312" i="77"/>
  <c r="AS312" i="77"/>
  <c r="AU312" i="77"/>
  <c r="AI314" i="77"/>
  <c r="AQ313" i="77"/>
  <c r="AS313" i="77"/>
  <c r="AU313" i="77"/>
  <c r="AI315" i="77"/>
  <c r="AQ314" i="77"/>
  <c r="AS314" i="77"/>
  <c r="AU314" i="77"/>
  <c r="AI316" i="77"/>
  <c r="AQ315" i="77"/>
  <c r="AS315" i="77"/>
  <c r="AU315" i="77"/>
  <c r="AI317" i="77"/>
  <c r="AQ316" i="77"/>
  <c r="AS316" i="77"/>
  <c r="AU316" i="77"/>
  <c r="AI318" i="77"/>
  <c r="AQ317" i="77"/>
  <c r="AS317" i="77"/>
  <c r="AU317" i="77"/>
  <c r="AI319" i="77"/>
  <c r="AQ318" i="77"/>
  <c r="AS318" i="77"/>
  <c r="AU318" i="77"/>
  <c r="AI320" i="77"/>
  <c r="AQ319" i="77"/>
  <c r="AS319" i="77"/>
  <c r="AU319" i="77"/>
  <c r="AI321" i="77"/>
  <c r="AQ320" i="77"/>
  <c r="AS320" i="77"/>
  <c r="AU320" i="77"/>
  <c r="AI322" i="77"/>
  <c r="AQ321" i="77"/>
  <c r="AS321" i="77"/>
  <c r="AU321" i="77"/>
  <c r="AI323" i="77"/>
  <c r="AQ322" i="77"/>
  <c r="AS322" i="77"/>
  <c r="AU322" i="77"/>
  <c r="AI324" i="77"/>
  <c r="AQ323" i="77"/>
  <c r="AS323" i="77"/>
  <c r="AU323" i="77"/>
  <c r="AI325" i="77"/>
  <c r="AQ324" i="77"/>
  <c r="AS324" i="77"/>
  <c r="AU324" i="77"/>
  <c r="AI326" i="77"/>
  <c r="AQ325" i="77"/>
  <c r="AS325" i="77"/>
  <c r="AU325" i="77"/>
  <c r="AI327" i="77"/>
  <c r="AQ326" i="77"/>
  <c r="AS326" i="77"/>
  <c r="AU326" i="77"/>
  <c r="AI328" i="77"/>
  <c r="AQ327" i="77"/>
  <c r="AS327" i="77"/>
  <c r="AU327" i="77"/>
  <c r="AI329" i="77"/>
  <c r="AQ328" i="77"/>
  <c r="AS328" i="77"/>
  <c r="AU328" i="77"/>
  <c r="AI330" i="77"/>
  <c r="AQ329" i="77"/>
  <c r="AS329" i="77"/>
  <c r="AU329" i="77"/>
  <c r="AI331" i="77"/>
  <c r="AQ330" i="77"/>
  <c r="AS330" i="77"/>
  <c r="AU330" i="77"/>
  <c r="AI332" i="77"/>
  <c r="AQ331" i="77"/>
  <c r="AS331" i="77"/>
  <c r="AU331" i="77"/>
  <c r="AI333" i="77"/>
  <c r="AQ332" i="77"/>
  <c r="AS332" i="77"/>
  <c r="AU332" i="77"/>
  <c r="AI334" i="77"/>
  <c r="AQ333" i="77"/>
  <c r="AS333" i="77"/>
  <c r="AU333" i="77"/>
  <c r="AI335" i="77"/>
  <c r="AQ334" i="77"/>
  <c r="AS334" i="77"/>
  <c r="AU334" i="77"/>
  <c r="AI336" i="77"/>
  <c r="AQ335" i="77"/>
  <c r="AS335" i="77"/>
  <c r="AU335" i="77"/>
  <c r="AI337" i="77"/>
  <c r="AQ336" i="77"/>
  <c r="AS336" i="77"/>
  <c r="AU336" i="77"/>
  <c r="AI338" i="77"/>
  <c r="AQ337" i="77"/>
  <c r="AS337" i="77"/>
  <c r="AU337" i="77"/>
  <c r="AI339" i="77"/>
  <c r="AQ338" i="77"/>
  <c r="AS338" i="77"/>
  <c r="AU338" i="77"/>
  <c r="AI340" i="77"/>
  <c r="AQ339" i="77"/>
  <c r="AS339" i="77"/>
  <c r="AU339" i="77"/>
  <c r="AI341" i="77"/>
  <c r="AQ340" i="77"/>
  <c r="AS340" i="77"/>
  <c r="AU340" i="77"/>
  <c r="AI342" i="77"/>
  <c r="AQ341" i="77"/>
  <c r="AS341" i="77"/>
  <c r="AU341" i="77"/>
  <c r="AI343" i="77"/>
  <c r="AQ342" i="77"/>
  <c r="AS342" i="77"/>
  <c r="AU342" i="77"/>
  <c r="AI344" i="77"/>
  <c r="AQ343" i="77"/>
  <c r="AS343" i="77"/>
  <c r="AU343" i="77"/>
  <c r="AI345" i="77"/>
  <c r="AQ344" i="77"/>
  <c r="AS344" i="77"/>
  <c r="AU344" i="77"/>
  <c r="AI346" i="77"/>
  <c r="AQ345" i="77"/>
  <c r="AS345" i="77"/>
  <c r="AU345" i="77"/>
  <c r="AI347" i="77"/>
  <c r="AQ346" i="77"/>
  <c r="AS346" i="77"/>
  <c r="AU346" i="77"/>
  <c r="AI348" i="77"/>
  <c r="AQ347" i="77"/>
  <c r="AS347" i="77"/>
  <c r="AU347" i="77"/>
  <c r="AI349" i="77"/>
  <c r="AQ348" i="77"/>
  <c r="AS348" i="77"/>
  <c r="AU348" i="77"/>
  <c r="AI350" i="77"/>
  <c r="AQ349" i="77"/>
  <c r="AS349" i="77"/>
  <c r="AU349" i="77"/>
  <c r="AI351" i="77"/>
  <c r="AQ350" i="77"/>
  <c r="AS350" i="77"/>
  <c r="AU350" i="77"/>
  <c r="AI352" i="77"/>
  <c r="AQ351" i="77"/>
  <c r="AS351" i="77"/>
  <c r="AU351" i="77"/>
  <c r="AI353" i="77"/>
  <c r="AQ352" i="77"/>
  <c r="AS352" i="77"/>
  <c r="AU352" i="77"/>
  <c r="AI354" i="77"/>
  <c r="AQ353" i="77"/>
  <c r="AS353" i="77"/>
  <c r="AU353" i="77"/>
  <c r="AI355" i="77"/>
  <c r="AQ354" i="77"/>
  <c r="AS354" i="77"/>
  <c r="AU354" i="77"/>
  <c r="AI356" i="77"/>
  <c r="AQ355" i="77"/>
  <c r="AS355" i="77"/>
  <c r="AU355" i="77"/>
  <c r="AI357" i="77"/>
  <c r="AQ356" i="77"/>
  <c r="AS356" i="77"/>
  <c r="AU356" i="77"/>
  <c r="AI358" i="77"/>
  <c r="AQ357" i="77"/>
  <c r="AS357" i="77"/>
  <c r="AU357" i="77"/>
  <c r="AI359" i="77"/>
  <c r="AQ358" i="77"/>
  <c r="AS358" i="77"/>
  <c r="AU358" i="77"/>
  <c r="AI360" i="77"/>
  <c r="AQ359" i="77"/>
  <c r="AS359" i="77"/>
  <c r="AU359" i="77"/>
  <c r="AI361" i="77"/>
  <c r="AQ360" i="77"/>
  <c r="AS360" i="77"/>
  <c r="AU360" i="77"/>
  <c r="AI362" i="77"/>
  <c r="AQ361" i="77"/>
  <c r="AS361" i="77"/>
  <c r="AU361" i="77"/>
  <c r="AI363" i="77"/>
  <c r="AQ362" i="77"/>
  <c r="AS362" i="77"/>
  <c r="AU362" i="77"/>
  <c r="AI364" i="77"/>
  <c r="AQ363" i="77"/>
  <c r="AS363" i="77"/>
  <c r="AU363" i="77"/>
  <c r="AI365" i="77"/>
  <c r="AQ364" i="77"/>
  <c r="AS364" i="77"/>
  <c r="AU364" i="77"/>
  <c r="AI366" i="77"/>
  <c r="AQ365" i="77"/>
  <c r="AS365" i="77"/>
  <c r="AU365" i="77"/>
  <c r="AI367" i="77"/>
  <c r="AQ366" i="77"/>
  <c r="AS366" i="77"/>
  <c r="AU366" i="77"/>
  <c r="AI368" i="77"/>
  <c r="AQ367" i="77"/>
  <c r="AS367" i="77"/>
  <c r="AU367" i="77"/>
  <c r="AI369" i="77"/>
  <c r="AQ368" i="77"/>
  <c r="AS368" i="77"/>
  <c r="AU368" i="77"/>
  <c r="AI370" i="77"/>
  <c r="AQ369" i="77"/>
  <c r="AS369" i="77"/>
  <c r="AU369" i="77"/>
  <c r="AI371" i="77"/>
  <c r="AQ370" i="77"/>
  <c r="AS370" i="77"/>
  <c r="AU370" i="77"/>
  <c r="AI372" i="77"/>
  <c r="AQ371" i="77"/>
  <c r="AS371" i="77"/>
  <c r="AU371" i="77"/>
  <c r="AI373" i="77"/>
  <c r="AQ372" i="77"/>
  <c r="AS372" i="77"/>
  <c r="AU372" i="77"/>
  <c r="AI374" i="77"/>
  <c r="AQ373" i="77"/>
  <c r="AS373" i="77"/>
  <c r="AU373" i="77"/>
  <c r="AI375" i="77"/>
  <c r="AQ374" i="77"/>
  <c r="AS374" i="77"/>
  <c r="AU374" i="77"/>
  <c r="AI376" i="77"/>
  <c r="AQ375" i="77"/>
  <c r="AS375" i="77"/>
  <c r="AU375" i="77"/>
  <c r="AI377" i="77"/>
  <c r="AQ376" i="77"/>
  <c r="AS376" i="77"/>
  <c r="AU376" i="77"/>
  <c r="AI378" i="77"/>
  <c r="AQ377" i="77"/>
  <c r="AS377" i="77"/>
  <c r="AU377" i="77"/>
  <c r="AI379" i="77"/>
  <c r="AQ378" i="77"/>
  <c r="AS378" i="77"/>
  <c r="AU378" i="77"/>
  <c r="AI380" i="77"/>
  <c r="AQ379" i="77"/>
  <c r="AS379" i="77"/>
  <c r="AU379" i="77"/>
  <c r="AI381" i="77"/>
  <c r="AQ380" i="77"/>
  <c r="AS380" i="77"/>
  <c r="AU380" i="77"/>
  <c r="AI382" i="77"/>
  <c r="AQ381" i="77"/>
  <c r="AS381" i="77"/>
  <c r="AU381" i="77"/>
  <c r="AI383" i="77"/>
  <c r="AQ382" i="77"/>
  <c r="AS382" i="77"/>
  <c r="AU382" i="77"/>
  <c r="AI384" i="77"/>
  <c r="AQ383" i="77"/>
  <c r="AS383" i="77"/>
  <c r="AU383" i="77"/>
  <c r="AI385" i="77"/>
  <c r="AQ384" i="77"/>
  <c r="AS384" i="77"/>
  <c r="AU384" i="77"/>
  <c r="AI386" i="77"/>
  <c r="AQ385" i="77"/>
  <c r="AS385" i="77"/>
  <c r="AU385" i="77"/>
  <c r="AI387" i="77"/>
  <c r="AQ386" i="77"/>
  <c r="AS386" i="77"/>
  <c r="AU386" i="77"/>
  <c r="AI388" i="77"/>
  <c r="AQ387" i="77"/>
  <c r="AS387" i="77"/>
  <c r="AU387" i="77"/>
  <c r="AI389" i="77"/>
  <c r="AQ388" i="77"/>
  <c r="AS388" i="77"/>
  <c r="AU388" i="77"/>
  <c r="AI390" i="77"/>
  <c r="AQ389" i="77"/>
  <c r="AS389" i="77"/>
  <c r="AU389" i="77"/>
  <c r="AI391" i="77"/>
  <c r="AQ390" i="77"/>
  <c r="AS390" i="77"/>
  <c r="AU390" i="77"/>
  <c r="AI392" i="77"/>
  <c r="AQ391" i="77"/>
  <c r="AS391" i="77"/>
  <c r="AU391" i="77"/>
  <c r="AI393" i="77"/>
  <c r="AQ392" i="77"/>
  <c r="AS392" i="77"/>
  <c r="AU392" i="77"/>
  <c r="AI394" i="77"/>
  <c r="AQ393" i="77"/>
  <c r="AS393" i="77"/>
  <c r="AU393" i="77"/>
  <c r="AI395" i="77"/>
  <c r="AQ394" i="77"/>
  <c r="AS394" i="77"/>
  <c r="AU394" i="77"/>
  <c r="AI396" i="77"/>
  <c r="AQ395" i="77"/>
  <c r="AS395" i="77"/>
  <c r="AU395" i="77"/>
  <c r="AI397" i="77"/>
  <c r="AQ396" i="77"/>
  <c r="AS396" i="77"/>
  <c r="AU396" i="77"/>
  <c r="AI398" i="77"/>
  <c r="AQ397" i="77"/>
  <c r="AS397" i="77"/>
  <c r="AU397" i="77"/>
  <c r="AI399" i="77"/>
  <c r="AQ398" i="77"/>
  <c r="AS398" i="77"/>
  <c r="AU398" i="77"/>
  <c r="AI400" i="77"/>
  <c r="AQ399" i="77"/>
  <c r="AS399" i="77"/>
  <c r="AU399" i="77"/>
  <c r="AI401" i="77"/>
  <c r="AQ400" i="77"/>
  <c r="AS400" i="77"/>
  <c r="AU400" i="77"/>
  <c r="AI402" i="77"/>
  <c r="AQ401" i="77"/>
  <c r="AS401" i="77"/>
  <c r="AU401" i="77"/>
  <c r="AI403" i="77"/>
  <c r="AQ402" i="77"/>
  <c r="AS402" i="77"/>
  <c r="AU402" i="77"/>
  <c r="AI404" i="77"/>
  <c r="AQ403" i="77"/>
  <c r="AS403" i="77"/>
  <c r="AU403" i="77"/>
  <c r="AI405" i="77"/>
  <c r="AQ404" i="77"/>
  <c r="AS404" i="77"/>
  <c r="AU404" i="77"/>
  <c r="AI406" i="77"/>
  <c r="AQ405" i="77"/>
  <c r="AS405" i="77"/>
  <c r="AU405" i="77"/>
  <c r="AI407" i="77"/>
  <c r="AQ406" i="77"/>
  <c r="AS406" i="77"/>
  <c r="AU406" i="77"/>
  <c r="AI408" i="77"/>
  <c r="AQ407" i="77"/>
  <c r="AS407" i="77"/>
  <c r="AU407" i="77"/>
  <c r="AI409" i="77"/>
  <c r="AQ408" i="77"/>
  <c r="AS408" i="77"/>
  <c r="AU408" i="77"/>
  <c r="AI410" i="77"/>
  <c r="AQ409" i="77"/>
  <c r="AS409" i="77"/>
  <c r="AU409" i="77"/>
  <c r="AI411" i="77"/>
  <c r="AQ410" i="77"/>
  <c r="AS410" i="77"/>
  <c r="AU410" i="77"/>
  <c r="AI412" i="77"/>
  <c r="AQ411" i="77"/>
  <c r="AS411" i="77"/>
  <c r="AU411" i="77"/>
  <c r="AI413" i="77"/>
  <c r="AQ412" i="77"/>
  <c r="AS412" i="77"/>
  <c r="AU412" i="77"/>
  <c r="AI414" i="77"/>
  <c r="AQ413" i="77"/>
  <c r="AS413" i="77"/>
  <c r="AU413" i="77"/>
  <c r="AI415" i="77"/>
  <c r="AQ414" i="77"/>
  <c r="AS414" i="77"/>
  <c r="AU414" i="77"/>
  <c r="AI416" i="77"/>
  <c r="AQ415" i="77"/>
  <c r="AS415" i="77"/>
  <c r="AU415" i="77"/>
  <c r="AI417" i="77"/>
  <c r="AQ416" i="77"/>
  <c r="AS416" i="77"/>
  <c r="AU416" i="77"/>
  <c r="AI418" i="77"/>
  <c r="AQ417" i="77"/>
  <c r="AS417" i="77"/>
  <c r="AU417" i="77"/>
  <c r="AI419" i="77"/>
  <c r="AQ418" i="77"/>
  <c r="AS418" i="77"/>
  <c r="AU418" i="77"/>
  <c r="AI420" i="77"/>
  <c r="AQ419" i="77"/>
  <c r="AS419" i="77"/>
  <c r="AU419" i="77"/>
  <c r="AI421" i="77"/>
  <c r="AQ420" i="77"/>
  <c r="AS420" i="77"/>
  <c r="AU420" i="77"/>
  <c r="AI422" i="77"/>
  <c r="AQ421" i="77"/>
  <c r="AS421" i="77"/>
  <c r="AU421" i="77"/>
  <c r="AI423" i="77"/>
  <c r="AQ422" i="77"/>
  <c r="AS422" i="77"/>
  <c r="AU422" i="77"/>
  <c r="AI424" i="77"/>
  <c r="AQ423" i="77"/>
  <c r="AS423" i="77"/>
  <c r="AU423" i="77"/>
  <c r="AI425" i="77"/>
  <c r="AQ424" i="77"/>
  <c r="AS424" i="77"/>
  <c r="AU424" i="77"/>
  <c r="AI426" i="77"/>
  <c r="AQ425" i="77"/>
  <c r="AS425" i="77"/>
  <c r="AU425" i="77"/>
  <c r="AI427" i="77"/>
  <c r="AQ426" i="77"/>
  <c r="AS426" i="77"/>
  <c r="AU426" i="77"/>
  <c r="AI428" i="77"/>
  <c r="AQ427" i="77"/>
  <c r="AS427" i="77"/>
  <c r="AU427" i="77"/>
  <c r="AI429" i="77"/>
  <c r="AQ428" i="77"/>
  <c r="AS428" i="77"/>
  <c r="AU428" i="77"/>
  <c r="AI430" i="77"/>
  <c r="AQ429" i="77"/>
  <c r="AS429" i="77"/>
  <c r="AU429" i="77"/>
  <c r="AI431" i="77"/>
  <c r="AQ430" i="77"/>
  <c r="AS430" i="77"/>
  <c r="AU430" i="77"/>
  <c r="AI432" i="77"/>
  <c r="AQ431" i="77"/>
  <c r="AS431" i="77"/>
  <c r="AU431" i="77"/>
  <c r="AI433" i="77"/>
  <c r="AQ432" i="77"/>
  <c r="AS432" i="77"/>
  <c r="AU432" i="77"/>
  <c r="AI434" i="77"/>
  <c r="AQ433" i="77"/>
  <c r="AS433" i="77"/>
  <c r="AU433" i="77"/>
  <c r="AI435" i="77"/>
  <c r="AQ434" i="77"/>
  <c r="AS434" i="77"/>
  <c r="AU434" i="77"/>
  <c r="AI436" i="77"/>
  <c r="AQ435" i="77"/>
  <c r="AS435" i="77"/>
  <c r="AU435" i="77"/>
  <c r="AI437" i="77"/>
  <c r="AQ436" i="77"/>
  <c r="AS436" i="77"/>
  <c r="AU436" i="77"/>
  <c r="AI438" i="77"/>
  <c r="AQ437" i="77"/>
  <c r="AS437" i="77"/>
  <c r="AU437" i="77"/>
  <c r="AI439" i="77"/>
  <c r="AQ438" i="77"/>
  <c r="AS438" i="77"/>
  <c r="AU438" i="77"/>
  <c r="AI440" i="77"/>
  <c r="AQ439" i="77"/>
  <c r="AS439" i="77"/>
  <c r="AU439" i="77"/>
  <c r="AI441" i="77"/>
  <c r="AQ440" i="77"/>
  <c r="AS440" i="77"/>
  <c r="AU440" i="77"/>
  <c r="AI442" i="77"/>
  <c r="AQ441" i="77"/>
  <c r="AS441" i="77"/>
  <c r="AU441" i="77"/>
  <c r="AI443" i="77"/>
  <c r="AQ442" i="77"/>
  <c r="AS442" i="77"/>
  <c r="AU442" i="77"/>
  <c r="AI444" i="77"/>
  <c r="AQ443" i="77"/>
  <c r="AS443" i="77"/>
  <c r="AU443" i="77"/>
  <c r="AI445" i="77"/>
  <c r="AQ444" i="77"/>
  <c r="AS444" i="77"/>
  <c r="AU444" i="77"/>
  <c r="AI446" i="77"/>
  <c r="AQ445" i="77"/>
  <c r="AS445" i="77"/>
  <c r="AU445" i="77"/>
  <c r="AI447" i="77"/>
  <c r="AQ446" i="77"/>
  <c r="AS446" i="77"/>
  <c r="AU446" i="77"/>
  <c r="AI448" i="77"/>
  <c r="AQ447" i="77"/>
  <c r="AS447" i="77"/>
  <c r="AU447" i="77"/>
  <c r="AI449" i="77"/>
  <c r="AQ448" i="77"/>
  <c r="AS448" i="77"/>
  <c r="AU448" i="77"/>
  <c r="AI450" i="77"/>
  <c r="AQ449" i="77"/>
  <c r="AS449" i="77"/>
  <c r="AU449" i="77"/>
  <c r="AI451" i="77"/>
  <c r="AQ450" i="77"/>
  <c r="AS450" i="77"/>
  <c r="AU450" i="77"/>
  <c r="AI452" i="77"/>
  <c r="AQ451" i="77"/>
  <c r="AS451" i="77"/>
  <c r="AU451" i="77"/>
  <c r="AI453" i="77"/>
  <c r="AQ452" i="77"/>
  <c r="AS452" i="77"/>
  <c r="AU452" i="77"/>
  <c r="AI454" i="77"/>
  <c r="AQ453" i="77"/>
  <c r="AS453" i="77"/>
  <c r="AU453" i="77"/>
  <c r="AI455" i="77"/>
  <c r="AQ454" i="77"/>
  <c r="AS454" i="77"/>
  <c r="AU454" i="77"/>
  <c r="AI456" i="77"/>
  <c r="AQ455" i="77"/>
  <c r="AS455" i="77"/>
  <c r="AU455" i="77"/>
  <c r="AI457" i="77"/>
  <c r="AQ456" i="77"/>
  <c r="AS456" i="77"/>
  <c r="AU456" i="77"/>
  <c r="AI458" i="77"/>
  <c r="AQ457" i="77"/>
  <c r="AS457" i="77"/>
  <c r="AU457" i="77"/>
  <c r="AI459" i="77"/>
  <c r="AQ458" i="77"/>
  <c r="AS458" i="77"/>
  <c r="AU458" i="77"/>
  <c r="AI460" i="77"/>
  <c r="AQ459" i="77"/>
  <c r="AS459" i="77"/>
  <c r="AU459" i="77"/>
  <c r="AI461" i="77"/>
  <c r="AQ460" i="77"/>
  <c r="AS460" i="77"/>
  <c r="AU460" i="77"/>
  <c r="AI462" i="77"/>
  <c r="AQ461" i="77"/>
  <c r="AS461" i="77"/>
  <c r="AU461" i="77"/>
  <c r="AI463" i="77"/>
  <c r="AQ462" i="77"/>
  <c r="AS462" i="77"/>
  <c r="AU462" i="77"/>
  <c r="AI464" i="77"/>
  <c r="AQ463" i="77"/>
  <c r="AS463" i="77"/>
  <c r="AU463" i="77"/>
  <c r="AI465" i="77"/>
  <c r="AQ464" i="77"/>
  <c r="AS464" i="77"/>
  <c r="AU464" i="77"/>
  <c r="AI466" i="77"/>
  <c r="AQ465" i="77"/>
  <c r="AS465" i="77"/>
  <c r="AU465" i="77"/>
  <c r="AI467" i="77"/>
  <c r="AQ466" i="77"/>
  <c r="AS466" i="77"/>
  <c r="AU466" i="77"/>
  <c r="AI468" i="77"/>
  <c r="AQ467" i="77"/>
  <c r="AS467" i="77"/>
  <c r="AU467" i="77"/>
  <c r="AI469" i="77"/>
  <c r="AQ468" i="77"/>
  <c r="AS468" i="77"/>
  <c r="AU468" i="77"/>
  <c r="AI470" i="77"/>
  <c r="AQ469" i="77"/>
  <c r="AS469" i="77"/>
  <c r="AU469" i="77"/>
  <c r="AI471" i="77"/>
  <c r="AQ470" i="77"/>
  <c r="AS470" i="77"/>
  <c r="AU470" i="77"/>
  <c r="AI472" i="77"/>
  <c r="AQ471" i="77"/>
  <c r="AS471" i="77"/>
  <c r="AU471" i="77"/>
  <c r="AI473" i="77"/>
  <c r="AQ472" i="77"/>
  <c r="AS472" i="77"/>
  <c r="AU472" i="77"/>
  <c r="AI474" i="77"/>
  <c r="AQ473" i="77"/>
  <c r="AS473" i="77"/>
  <c r="AU473" i="77"/>
  <c r="AI475" i="77"/>
  <c r="AQ474" i="77"/>
  <c r="AS474" i="77"/>
  <c r="AU474" i="77"/>
  <c r="AI476" i="77"/>
  <c r="AQ475" i="77"/>
  <c r="AS475" i="77"/>
  <c r="AU475" i="77"/>
  <c r="AI477" i="77"/>
  <c r="AQ476" i="77"/>
  <c r="AS476" i="77"/>
  <c r="AU476" i="77"/>
  <c r="AI478" i="77"/>
  <c r="AQ477" i="77"/>
  <c r="AS477" i="77"/>
  <c r="AU477" i="77"/>
  <c r="AI479" i="77"/>
  <c r="AQ478" i="77"/>
  <c r="AS478" i="77"/>
  <c r="AU478" i="77"/>
  <c r="AI480" i="77"/>
  <c r="AQ479" i="77"/>
  <c r="AS479" i="77"/>
  <c r="AU479" i="77"/>
  <c r="AI481" i="77"/>
  <c r="AQ480" i="77"/>
  <c r="AS480" i="77"/>
  <c r="AU480" i="77"/>
  <c r="AI482" i="77"/>
  <c r="AQ481" i="77"/>
  <c r="AS481" i="77"/>
  <c r="AU481" i="77"/>
  <c r="AI483" i="77"/>
  <c r="AQ482" i="77"/>
  <c r="AS482" i="77"/>
  <c r="AU482" i="77"/>
  <c r="AI484" i="77"/>
  <c r="AQ483" i="77"/>
  <c r="AS483" i="77"/>
  <c r="AU483" i="77"/>
  <c r="AI485" i="77"/>
  <c r="AQ484" i="77"/>
  <c r="AS484" i="77"/>
  <c r="AU484" i="77"/>
  <c r="AI486" i="77"/>
  <c r="AQ485" i="77"/>
  <c r="AS485" i="77"/>
  <c r="AU485" i="77"/>
  <c r="AI487" i="77"/>
  <c r="AQ486" i="77"/>
  <c r="AS486" i="77"/>
  <c r="AU486" i="77"/>
  <c r="AI488" i="77"/>
  <c r="AQ487" i="77"/>
  <c r="AS487" i="77"/>
  <c r="AU487" i="77"/>
  <c r="AI489" i="77"/>
  <c r="AQ488" i="77"/>
  <c r="AS488" i="77"/>
  <c r="AU488" i="77"/>
  <c r="AI490" i="77"/>
  <c r="AQ489" i="77"/>
  <c r="AS489" i="77"/>
  <c r="AU489" i="77"/>
  <c r="AI491" i="77"/>
  <c r="AQ490" i="77"/>
  <c r="AS490" i="77"/>
  <c r="AU490" i="77"/>
  <c r="AI492" i="77"/>
  <c r="AQ491" i="77"/>
  <c r="AS491" i="77"/>
  <c r="AU491" i="77"/>
  <c r="AI493" i="77"/>
  <c r="AQ492" i="77"/>
  <c r="AS492" i="77"/>
  <c r="AU492" i="77"/>
  <c r="AI494" i="77"/>
  <c r="AQ493" i="77"/>
  <c r="AS493" i="77"/>
  <c r="AU493" i="77"/>
  <c r="AI495" i="77"/>
  <c r="AQ494" i="77"/>
  <c r="AS494" i="77"/>
  <c r="AU494" i="77"/>
  <c r="AI496" i="77"/>
  <c r="AQ495" i="77"/>
  <c r="AS495" i="77"/>
  <c r="AU495" i="77"/>
  <c r="AI497" i="77"/>
  <c r="AQ496" i="77"/>
  <c r="AS496" i="77"/>
  <c r="AU496" i="77"/>
  <c r="AI498" i="77"/>
  <c r="AQ497" i="77"/>
  <c r="AS497" i="77"/>
  <c r="AU497" i="77"/>
  <c r="AI499" i="77"/>
  <c r="AQ498" i="77"/>
  <c r="AS498" i="77"/>
  <c r="AU498" i="77"/>
  <c r="AI500" i="77"/>
  <c r="AQ499" i="77"/>
  <c r="AS499" i="77"/>
  <c r="AU499" i="77"/>
  <c r="AI501" i="77"/>
  <c r="AQ500" i="77"/>
  <c r="AS500" i="77"/>
  <c r="AU500" i="77"/>
  <c r="AI502" i="77"/>
  <c r="AQ501" i="77"/>
  <c r="AS501" i="77"/>
  <c r="AU501" i="77"/>
  <c r="AI503" i="77"/>
  <c r="AQ502" i="77"/>
  <c r="AS502" i="77"/>
  <c r="AU502" i="77"/>
  <c r="AI504" i="77"/>
  <c r="AQ503" i="77"/>
  <c r="AS503" i="77"/>
  <c r="AU503" i="77"/>
  <c r="AI505" i="77"/>
  <c r="AQ504" i="77"/>
  <c r="AS504" i="77"/>
  <c r="AU504" i="77"/>
  <c r="AI506" i="77"/>
  <c r="AQ505" i="77"/>
  <c r="AS505" i="77"/>
  <c r="AU505" i="77"/>
  <c r="AI507" i="77"/>
  <c r="AQ506" i="77"/>
  <c r="AS506" i="77"/>
  <c r="AU506" i="77"/>
  <c r="AI508" i="77"/>
  <c r="AQ507" i="77"/>
  <c r="AS507" i="77"/>
  <c r="AU507" i="77"/>
  <c r="AI509" i="77"/>
  <c r="AQ508" i="77"/>
  <c r="AS508" i="77"/>
  <c r="AU508" i="77"/>
  <c r="AI510" i="77"/>
  <c r="AQ509" i="77"/>
  <c r="AS509" i="77"/>
  <c r="AU509" i="77"/>
  <c r="AI511" i="77"/>
  <c r="AQ510" i="77"/>
  <c r="AS510" i="77"/>
  <c r="AU510" i="77"/>
  <c r="AI512" i="77"/>
  <c r="AQ511" i="77"/>
  <c r="AS511" i="77"/>
  <c r="AU511" i="77"/>
  <c r="AI513" i="77"/>
  <c r="AQ512" i="77"/>
  <c r="AS512" i="77"/>
  <c r="AU512" i="77"/>
  <c r="AI514" i="77"/>
  <c r="AQ513" i="77"/>
  <c r="AS513" i="77"/>
  <c r="AU513" i="77"/>
  <c r="AI515" i="77"/>
  <c r="AQ514" i="77"/>
  <c r="AS514" i="77"/>
  <c r="AU514" i="77"/>
  <c r="AI516" i="77"/>
  <c r="AQ515" i="77"/>
  <c r="AS515" i="77"/>
  <c r="AU515" i="77"/>
  <c r="AI517" i="77"/>
  <c r="AQ516" i="77"/>
  <c r="AS516" i="77"/>
  <c r="AU516" i="77"/>
  <c r="AI518" i="77"/>
  <c r="AQ517" i="77"/>
  <c r="AS517" i="77"/>
  <c r="AU517" i="77"/>
  <c r="AI519" i="77"/>
  <c r="AQ518" i="77"/>
  <c r="AS518" i="77"/>
  <c r="AU518" i="77"/>
  <c r="AI520" i="77"/>
  <c r="AQ519" i="77"/>
  <c r="AS519" i="77"/>
  <c r="AU519" i="77"/>
  <c r="AI521" i="77"/>
  <c r="AQ520" i="77"/>
  <c r="AS520" i="77"/>
  <c r="AU520" i="77"/>
  <c r="AI522" i="77"/>
  <c r="AQ521" i="77"/>
  <c r="AS521" i="77"/>
  <c r="AU521" i="77"/>
  <c r="AI523" i="77"/>
  <c r="AQ522" i="77"/>
  <c r="AS522" i="77"/>
  <c r="AU522" i="77"/>
  <c r="AI524" i="77"/>
  <c r="AQ523" i="77"/>
  <c r="AS523" i="77"/>
  <c r="AU523" i="77"/>
  <c r="AI525" i="77"/>
  <c r="AQ524" i="77"/>
  <c r="AS524" i="77"/>
  <c r="AU524" i="77"/>
  <c r="AI526" i="77"/>
  <c r="AQ525" i="77"/>
  <c r="AS525" i="77"/>
  <c r="AU525" i="77"/>
  <c r="AI527" i="77"/>
  <c r="AQ526" i="77"/>
  <c r="AS526" i="77"/>
  <c r="AU526" i="77"/>
  <c r="AI528" i="77"/>
  <c r="AQ527" i="77"/>
  <c r="AS527" i="77"/>
  <c r="AU527" i="77"/>
  <c r="AI529" i="77"/>
  <c r="AQ528" i="77"/>
  <c r="AS528" i="77"/>
  <c r="AU528" i="77"/>
  <c r="AI530" i="77"/>
  <c r="AQ529" i="77"/>
  <c r="AS529" i="77"/>
  <c r="AU529" i="77"/>
  <c r="AI531" i="77"/>
  <c r="AQ530" i="77"/>
  <c r="AS530" i="77"/>
  <c r="AU530" i="77"/>
  <c r="AI532" i="77"/>
  <c r="AQ531" i="77"/>
  <c r="AS531" i="77"/>
  <c r="AU531" i="77"/>
  <c r="AI533" i="77"/>
  <c r="AQ532" i="77"/>
  <c r="AS532" i="77"/>
  <c r="AU532" i="77"/>
  <c r="AI534" i="77"/>
  <c r="AQ533" i="77"/>
  <c r="AS533" i="77"/>
  <c r="AU533" i="77"/>
  <c r="AI535" i="77"/>
  <c r="AQ534" i="77"/>
  <c r="AS534" i="77"/>
  <c r="AU534" i="77"/>
  <c r="AI536" i="77"/>
  <c r="AQ535" i="77"/>
  <c r="AS535" i="77"/>
  <c r="AU535" i="77"/>
  <c r="AI537" i="77"/>
  <c r="AQ536" i="77"/>
  <c r="AS536" i="77"/>
  <c r="AU536" i="77"/>
  <c r="AI538" i="77"/>
  <c r="AQ537" i="77"/>
  <c r="AS537" i="77"/>
  <c r="AU537" i="77"/>
  <c r="AI539" i="77"/>
  <c r="AQ538" i="77"/>
  <c r="AS538" i="77"/>
  <c r="AU538" i="77"/>
  <c r="AI540" i="77"/>
  <c r="AQ539" i="77"/>
  <c r="AS539" i="77"/>
  <c r="AU539" i="77"/>
  <c r="AI541" i="77"/>
  <c r="AQ540" i="77"/>
  <c r="AS540" i="77"/>
  <c r="AU540" i="77"/>
  <c r="AI542" i="77"/>
  <c r="AQ541" i="77"/>
  <c r="AS541" i="77"/>
  <c r="AU541" i="77"/>
  <c r="AI543" i="77"/>
  <c r="AQ542" i="77"/>
  <c r="AS542" i="77"/>
  <c r="AU542" i="77"/>
  <c r="AI544" i="77"/>
  <c r="AQ543" i="77"/>
  <c r="AS543" i="77"/>
  <c r="AU543" i="77"/>
  <c r="AI545" i="77"/>
  <c r="AQ544" i="77"/>
  <c r="AS544" i="77"/>
  <c r="AU544" i="77"/>
  <c r="AI546" i="77"/>
  <c r="AQ545" i="77"/>
  <c r="AS545" i="77"/>
  <c r="AU545" i="77"/>
  <c r="AI547" i="77"/>
  <c r="AQ546" i="77"/>
  <c r="AS546" i="77"/>
  <c r="AU546" i="77"/>
  <c r="AI548" i="77"/>
  <c r="AQ547" i="77"/>
  <c r="AS547" i="77"/>
  <c r="AU547" i="77"/>
  <c r="AI549" i="77"/>
  <c r="AQ548" i="77"/>
  <c r="AS548" i="77"/>
  <c r="AU548" i="77"/>
  <c r="AI550" i="77"/>
  <c r="AQ549" i="77"/>
  <c r="AS549" i="77"/>
  <c r="AU549" i="77"/>
  <c r="AI551" i="77"/>
  <c r="AQ550" i="77"/>
  <c r="AS550" i="77"/>
  <c r="AU550" i="77"/>
  <c r="AI552" i="77"/>
  <c r="AQ551" i="77"/>
  <c r="AS551" i="77"/>
  <c r="AU551" i="77"/>
  <c r="AI553" i="77"/>
  <c r="AQ552" i="77"/>
  <c r="AS552" i="77"/>
  <c r="AU552" i="77"/>
  <c r="AI554" i="77"/>
  <c r="AQ553" i="77"/>
  <c r="AS553" i="77"/>
  <c r="AU553" i="77"/>
  <c r="AI555" i="77"/>
  <c r="AQ554" i="77"/>
  <c r="AS554" i="77"/>
  <c r="AU554" i="77"/>
  <c r="AI556" i="77"/>
  <c r="AQ555" i="77"/>
  <c r="AS555" i="77"/>
  <c r="AU555" i="77"/>
  <c r="AI557" i="77"/>
  <c r="AQ556" i="77"/>
  <c r="AS556" i="77"/>
  <c r="AU556" i="77"/>
  <c r="AI558" i="77"/>
  <c r="AQ557" i="77"/>
  <c r="AS557" i="77"/>
  <c r="AU557" i="77"/>
  <c r="AI559" i="77"/>
  <c r="AQ558" i="77"/>
  <c r="AS558" i="77"/>
  <c r="AU558" i="77"/>
  <c r="AI560" i="77"/>
  <c r="AQ559" i="77"/>
  <c r="AS559" i="77"/>
  <c r="AU559" i="77"/>
  <c r="AI561" i="77"/>
  <c r="AQ560" i="77"/>
  <c r="AS560" i="77"/>
  <c r="AU560" i="77"/>
  <c r="AI562" i="77"/>
  <c r="AQ561" i="77"/>
  <c r="AS561" i="77"/>
  <c r="AU561" i="77"/>
  <c r="AI563" i="77"/>
  <c r="AQ562" i="77"/>
  <c r="AS562" i="77"/>
  <c r="AU562" i="77"/>
  <c r="AI564" i="77"/>
  <c r="AQ563" i="77"/>
  <c r="AS563" i="77"/>
  <c r="AU563" i="77"/>
  <c r="AI565" i="77"/>
  <c r="AQ564" i="77"/>
  <c r="AS564" i="77"/>
  <c r="AU564" i="77"/>
  <c r="AI566" i="77"/>
  <c r="AQ565" i="77"/>
  <c r="AS565" i="77"/>
  <c r="AU565" i="77"/>
  <c r="AI567" i="77"/>
  <c r="AQ566" i="77"/>
  <c r="AS566" i="77"/>
  <c r="AU566" i="77"/>
  <c r="AI568" i="77"/>
  <c r="AQ567" i="77"/>
  <c r="AS567" i="77"/>
  <c r="AU567" i="77"/>
  <c r="AI569" i="77"/>
  <c r="AQ568" i="77"/>
  <c r="AS568" i="77"/>
  <c r="AU568" i="77"/>
  <c r="AI570" i="77"/>
  <c r="AQ569" i="77"/>
  <c r="AS569" i="77"/>
  <c r="AU569" i="77"/>
  <c r="AI571" i="77"/>
  <c r="AQ570" i="77"/>
  <c r="AS570" i="77"/>
  <c r="AU570" i="77"/>
  <c r="AI572" i="77"/>
  <c r="AQ571" i="77"/>
  <c r="AS571" i="77"/>
  <c r="AU571" i="77"/>
  <c r="AI573" i="77"/>
  <c r="AQ572" i="77"/>
  <c r="AS572" i="77"/>
  <c r="AU572" i="77"/>
  <c r="AI574" i="77"/>
  <c r="AQ573" i="77"/>
  <c r="AS573" i="77"/>
  <c r="AU573" i="77"/>
  <c r="AI575" i="77"/>
  <c r="AQ574" i="77"/>
  <c r="AS574" i="77"/>
  <c r="AU574" i="77"/>
  <c r="AI576" i="77"/>
  <c r="AQ575" i="77"/>
  <c r="AS575" i="77"/>
  <c r="AU575" i="77"/>
  <c r="AI577" i="77"/>
  <c r="AQ576" i="77"/>
  <c r="AS576" i="77"/>
  <c r="AU576" i="77"/>
  <c r="AI578" i="77"/>
  <c r="AQ577" i="77"/>
  <c r="AS577" i="77"/>
  <c r="AU577" i="77"/>
  <c r="AI579" i="77"/>
  <c r="AQ578" i="77"/>
  <c r="AS578" i="77"/>
  <c r="AU578" i="77"/>
  <c r="AI580" i="77"/>
  <c r="AQ579" i="77"/>
  <c r="AS579" i="77"/>
  <c r="AU579" i="77"/>
  <c r="AI581" i="77"/>
  <c r="AQ580" i="77"/>
  <c r="AS580" i="77"/>
  <c r="AU580" i="77"/>
  <c r="AI582" i="77"/>
  <c r="AQ581" i="77"/>
  <c r="AS581" i="77"/>
  <c r="AU581" i="77"/>
  <c r="AI583" i="77"/>
  <c r="AQ582" i="77"/>
  <c r="AS582" i="77"/>
  <c r="AU582" i="77"/>
  <c r="AI584" i="77"/>
  <c r="AQ583" i="77"/>
  <c r="AS583" i="77"/>
  <c r="AU583" i="77"/>
  <c r="AI585" i="77"/>
  <c r="AQ584" i="77"/>
  <c r="AS584" i="77"/>
  <c r="AU584" i="77"/>
  <c r="AI586" i="77"/>
  <c r="AQ585" i="77"/>
  <c r="AS585" i="77"/>
  <c r="AU585" i="77"/>
  <c r="AI587" i="77"/>
  <c r="AQ586" i="77"/>
  <c r="AS586" i="77"/>
  <c r="AU586" i="77"/>
  <c r="AI588" i="77"/>
  <c r="AQ587" i="77"/>
  <c r="AS587" i="77"/>
  <c r="AU587" i="77"/>
  <c r="AI589" i="77"/>
  <c r="AQ588" i="77"/>
  <c r="AS588" i="77"/>
  <c r="AU588" i="77"/>
  <c r="AI590" i="77"/>
  <c r="AQ589" i="77"/>
  <c r="AS589" i="77"/>
  <c r="AU589" i="77"/>
  <c r="AI591" i="77"/>
  <c r="AQ590" i="77"/>
  <c r="AS590" i="77"/>
  <c r="AU590" i="77"/>
  <c r="AI592" i="77"/>
  <c r="AQ591" i="77"/>
  <c r="AS591" i="77"/>
  <c r="AU591" i="77"/>
  <c r="AI593" i="77"/>
  <c r="AQ592" i="77"/>
  <c r="AS592" i="77"/>
  <c r="AU592" i="77"/>
  <c r="AI594" i="77"/>
  <c r="AQ593" i="77"/>
  <c r="AS593" i="77"/>
  <c r="AU593" i="77"/>
  <c r="AI595" i="77"/>
  <c r="AQ594" i="77"/>
  <c r="AS594" i="77"/>
  <c r="AU594" i="77"/>
  <c r="AI596" i="77"/>
  <c r="AQ595" i="77"/>
  <c r="AS595" i="77"/>
  <c r="AU595" i="77"/>
  <c r="AI597" i="77"/>
  <c r="AQ596" i="77"/>
  <c r="AS596" i="77"/>
  <c r="AU596" i="77"/>
  <c r="AI598" i="77"/>
  <c r="AQ597" i="77"/>
  <c r="AS597" i="77"/>
  <c r="AU597" i="77"/>
  <c r="AI599" i="77"/>
  <c r="AQ598" i="77"/>
  <c r="AS598" i="77"/>
  <c r="AU598" i="77"/>
  <c r="AI600" i="77"/>
  <c r="AQ599" i="77"/>
  <c r="AS599" i="77"/>
  <c r="AU599" i="77"/>
  <c r="AI601" i="77"/>
  <c r="AQ600" i="77"/>
  <c r="AS600" i="77"/>
  <c r="AU600" i="77"/>
  <c r="AI602" i="77"/>
  <c r="AQ601" i="77"/>
  <c r="AS601" i="77"/>
  <c r="AU601" i="77"/>
  <c r="AI603" i="77"/>
  <c r="AQ602" i="77"/>
  <c r="AS602" i="77"/>
  <c r="AU602" i="77"/>
  <c r="AI604" i="77"/>
  <c r="AQ603" i="77"/>
  <c r="AS603" i="77"/>
  <c r="AU603" i="77"/>
  <c r="AI605" i="77"/>
  <c r="AQ604" i="77"/>
  <c r="AS604" i="77"/>
  <c r="AU604" i="77"/>
  <c r="AI606" i="77"/>
  <c r="AQ605" i="77"/>
  <c r="AS605" i="77"/>
  <c r="AU605" i="77"/>
  <c r="AI607" i="77"/>
  <c r="AQ606" i="77"/>
  <c r="AS606" i="77"/>
  <c r="AU606" i="77"/>
  <c r="AI608" i="77"/>
  <c r="AQ607" i="77"/>
  <c r="AS607" i="77"/>
  <c r="AU607" i="77"/>
  <c r="AI609" i="77"/>
  <c r="AQ608" i="77"/>
  <c r="AS608" i="77"/>
  <c r="AU608" i="77"/>
  <c r="AI610" i="77"/>
  <c r="AQ609" i="77"/>
  <c r="AS609" i="77"/>
  <c r="AU609" i="77"/>
  <c r="AI611" i="77"/>
  <c r="AQ610" i="77"/>
  <c r="AS610" i="77"/>
  <c r="AU610" i="77"/>
  <c r="AI612" i="77"/>
  <c r="AQ611" i="77"/>
  <c r="AS611" i="77"/>
  <c r="AU611" i="77"/>
  <c r="AI613" i="77"/>
  <c r="AQ612" i="77"/>
  <c r="AS612" i="77"/>
  <c r="AU612" i="77"/>
  <c r="AI614" i="77"/>
  <c r="AQ613" i="77"/>
  <c r="AS613" i="77"/>
  <c r="AU613" i="77"/>
  <c r="AQ614" i="77"/>
  <c r="AS614" i="77"/>
  <c r="AU614" i="77"/>
  <c r="AU5" i="77"/>
  <c r="D21" i="80"/>
  <c r="E21" i="80"/>
  <c r="AT4" i="77"/>
  <c r="C20" i="80"/>
  <c r="AU4" i="77"/>
  <c r="D20" i="80"/>
  <c r="E20" i="80"/>
  <c r="AT3" i="77"/>
  <c r="C19" i="80"/>
  <c r="AU3" i="77"/>
  <c r="D19" i="80"/>
  <c r="E19" i="80"/>
  <c r="AT2" i="77"/>
  <c r="C18" i="80"/>
  <c r="AU2" i="77"/>
  <c r="D18" i="80"/>
  <c r="E18" i="80"/>
  <c r="F17" i="80"/>
  <c r="G17" i="80"/>
  <c r="CR5" i="77"/>
  <c r="CR6" i="77"/>
  <c r="CR7" i="77"/>
  <c r="CR8" i="77"/>
  <c r="C67" i="80"/>
  <c r="CR9" i="77"/>
  <c r="C68" i="80"/>
  <c r="CR10" i="77"/>
  <c r="CR11" i="77"/>
  <c r="C70" i="80"/>
  <c r="CR12" i="77"/>
  <c r="C71" i="80"/>
  <c r="CR13" i="77"/>
  <c r="CR16" i="77"/>
  <c r="C75" i="80"/>
  <c r="CR17" i="77"/>
  <c r="C76" i="80"/>
  <c r="CR18" i="77"/>
  <c r="C78" i="80"/>
  <c r="CR20" i="77"/>
  <c r="B63" i="80"/>
  <c r="B64" i="80"/>
  <c r="B65" i="80"/>
  <c r="B66" i="80"/>
  <c r="B67" i="80"/>
  <c r="B68" i="80"/>
  <c r="B69" i="80"/>
  <c r="B70" i="80"/>
  <c r="B71" i="80"/>
  <c r="B73" i="80"/>
  <c r="B74" i="80"/>
  <c r="B75" i="80"/>
  <c r="B76" i="80"/>
  <c r="B78" i="80"/>
  <c r="BC47" i="77"/>
  <c r="CH8" i="77" a="1"/>
  <c r="BS19" i="77"/>
  <c r="BS20" i="77"/>
  <c r="BS21" i="77"/>
  <c r="BS22" i="77"/>
  <c r="BS23" i="77"/>
  <c r="BS24" i="77"/>
  <c r="BS25" i="77"/>
  <c r="BS26" i="77"/>
  <c r="BS27" i="77"/>
  <c r="BS28" i="77"/>
  <c r="BS29" i="77"/>
  <c r="AB7" i="80"/>
  <c r="AC7" i="80"/>
  <c r="AB8" i="80"/>
  <c r="CJ10" i="77"/>
  <c r="AC8" i="80"/>
  <c r="Z7" i="80"/>
  <c r="AA7" i="80"/>
  <c r="Z8" i="80"/>
  <c r="AA8" i="80"/>
  <c r="Z9" i="80"/>
  <c r="AA9" i="80"/>
  <c r="Z10" i="80"/>
  <c r="AA10" i="80"/>
  <c r="Z11" i="80"/>
  <c r="AA11" i="80"/>
  <c r="Z12" i="80"/>
  <c r="AA12" i="80"/>
  <c r="Z13" i="80"/>
  <c r="AA13" i="80"/>
  <c r="Z14" i="80"/>
  <c r="AA14" i="80"/>
  <c r="Z15" i="80"/>
  <c r="AA15" i="80"/>
  <c r="Z16" i="80"/>
  <c r="AA16" i="80"/>
  <c r="Z17" i="80"/>
  <c r="AA17" i="80"/>
  <c r="Z18" i="80"/>
  <c r="AA18" i="80"/>
  <c r="Z19" i="80"/>
  <c r="AA19" i="80"/>
  <c r="Z20" i="80"/>
  <c r="AA20" i="80"/>
  <c r="Z21" i="80"/>
  <c r="AA21" i="80"/>
  <c r="Z22" i="80"/>
  <c r="AA22" i="80"/>
  <c r="Z23" i="80"/>
  <c r="AA23" i="80"/>
  <c r="Z24" i="80"/>
  <c r="AA24" i="80"/>
  <c r="Z25" i="80"/>
  <c r="AA25" i="80"/>
  <c r="Z26" i="80"/>
  <c r="AA26" i="80"/>
  <c r="Z27" i="80"/>
  <c r="AA27" i="80"/>
  <c r="Z28" i="80"/>
  <c r="AA28" i="80"/>
  <c r="Z29" i="80"/>
  <c r="AA29" i="80"/>
  <c r="Z30" i="80"/>
  <c r="AA30" i="80"/>
  <c r="Z31" i="80"/>
  <c r="AA31" i="80"/>
  <c r="Z32" i="80"/>
  <c r="AA32" i="80"/>
  <c r="Z33" i="80"/>
  <c r="AA33" i="80"/>
  <c r="Z34" i="80"/>
  <c r="AA34" i="80"/>
  <c r="Z35" i="80"/>
  <c r="AA35" i="80"/>
  <c r="Z36" i="80"/>
  <c r="AA36" i="80"/>
  <c r="Z37" i="80"/>
  <c r="AA37" i="80"/>
  <c r="Z38" i="80"/>
  <c r="AA38" i="80"/>
  <c r="Z39" i="80"/>
  <c r="AA39" i="80"/>
  <c r="Z40" i="80"/>
  <c r="AA40" i="80"/>
  <c r="Z41" i="80"/>
  <c r="AA41" i="80"/>
  <c r="Z42" i="80"/>
  <c r="AA42" i="80"/>
  <c r="Z43" i="80"/>
  <c r="AA43" i="80"/>
  <c r="Z44" i="80"/>
  <c r="AA44" i="80"/>
  <c r="Z45" i="80"/>
  <c r="AA45" i="80"/>
  <c r="Z46" i="80"/>
  <c r="AA46" i="80"/>
  <c r="Z47" i="80"/>
  <c r="AA47" i="80"/>
  <c r="Z48" i="80"/>
  <c r="AA48" i="80"/>
  <c r="Z49" i="80"/>
  <c r="AA49" i="80"/>
  <c r="Z50" i="80"/>
  <c r="AA50" i="80"/>
  <c r="Z51" i="80"/>
  <c r="AA51" i="80"/>
  <c r="Z52" i="80"/>
  <c r="AA52" i="80"/>
  <c r="Z53" i="80"/>
  <c r="AA53" i="80"/>
  <c r="Z54" i="80"/>
  <c r="AA54" i="80"/>
  <c r="Z55" i="80"/>
  <c r="AA55" i="80"/>
  <c r="Z56" i="80"/>
  <c r="AA56" i="80"/>
  <c r="Z57" i="80"/>
  <c r="AA57" i="80"/>
  <c r="Z58" i="80"/>
  <c r="AA58" i="80"/>
  <c r="Z59" i="80"/>
  <c r="AA59" i="80"/>
  <c r="Z60" i="80"/>
  <c r="AA60" i="80"/>
  <c r="Z61" i="80"/>
  <c r="AA61" i="80"/>
  <c r="Z62" i="80"/>
  <c r="AA62" i="80"/>
  <c r="Z63" i="80"/>
  <c r="AA63" i="80"/>
  <c r="Z64" i="80"/>
  <c r="AA64" i="80"/>
  <c r="Z65" i="80"/>
  <c r="AA65" i="80"/>
  <c r="Z66" i="80"/>
  <c r="AA66" i="80"/>
  <c r="Z67" i="80"/>
  <c r="AA67" i="80"/>
  <c r="Z68" i="80"/>
  <c r="AA68" i="80"/>
  <c r="Z69" i="80"/>
  <c r="AA69" i="80"/>
  <c r="Z70" i="80"/>
  <c r="AA70" i="80"/>
  <c r="Z71" i="80"/>
  <c r="AA71" i="80"/>
  <c r="Z72" i="80"/>
  <c r="AA72" i="80"/>
  <c r="Z73" i="80"/>
  <c r="AA73" i="80"/>
  <c r="Z74" i="80"/>
  <c r="AA74" i="80"/>
  <c r="Z75" i="80"/>
  <c r="AA75" i="80"/>
  <c r="Z76" i="80"/>
  <c r="AA76" i="80"/>
  <c r="Z77" i="80"/>
  <c r="AA77" i="80"/>
  <c r="Z78" i="80"/>
  <c r="AA78" i="80"/>
  <c r="Z79" i="80"/>
  <c r="AA79" i="80"/>
  <c r="Z80" i="80"/>
  <c r="AA80" i="80"/>
  <c r="Z81" i="80"/>
  <c r="AA81" i="80"/>
  <c r="Z82" i="80"/>
  <c r="AA82" i="80"/>
  <c r="Z83" i="80"/>
  <c r="AA83" i="80"/>
  <c r="Z84" i="80"/>
  <c r="AA84" i="80"/>
  <c r="Z85" i="80"/>
  <c r="AA85" i="80"/>
  <c r="Z86" i="80"/>
  <c r="AA86" i="80"/>
  <c r="Z87" i="80"/>
  <c r="AA87" i="80"/>
  <c r="Z88" i="80"/>
  <c r="AA88" i="80"/>
  <c r="Z89" i="80"/>
  <c r="AA89" i="80"/>
  <c r="Z90" i="80"/>
  <c r="AA90" i="80"/>
  <c r="Z91" i="80"/>
  <c r="AA91" i="80"/>
  <c r="Z92" i="80"/>
  <c r="AA92" i="80"/>
  <c r="Z93" i="80"/>
  <c r="AA93" i="80"/>
  <c r="Z94" i="80"/>
  <c r="AA94" i="80"/>
  <c r="Z95" i="80"/>
  <c r="AA95" i="80"/>
  <c r="Z96" i="80"/>
  <c r="AA96" i="80"/>
  <c r="Z97" i="80"/>
  <c r="AA97" i="80"/>
  <c r="Z98" i="80"/>
  <c r="AA98" i="80"/>
  <c r="Z99" i="80"/>
  <c r="AA99" i="80"/>
  <c r="Z100" i="80"/>
  <c r="AA100" i="80"/>
  <c r="Z101" i="80"/>
  <c r="AA101" i="80"/>
  <c r="Z102" i="80"/>
  <c r="AA102" i="80"/>
  <c r="Z103" i="80"/>
  <c r="AA103" i="80"/>
  <c r="Z104" i="80"/>
  <c r="AA104" i="80"/>
  <c r="Z105" i="80"/>
  <c r="AA105" i="80"/>
  <c r="Z106" i="80"/>
  <c r="AA106" i="80"/>
  <c r="I4" i="80"/>
  <c r="I5" i="80"/>
  <c r="J5" i="80"/>
  <c r="K5" i="80"/>
  <c r="L5" i="80"/>
  <c r="M5" i="80"/>
  <c r="N5" i="80"/>
  <c r="O5" i="80"/>
  <c r="P5" i="80"/>
  <c r="Q5" i="80"/>
  <c r="R5" i="80"/>
  <c r="S5" i="80"/>
  <c r="T5" i="80"/>
  <c r="U5" i="80"/>
  <c r="V5" i="80"/>
  <c r="W5" i="80"/>
  <c r="X5" i="80"/>
  <c r="Y5" i="80"/>
  <c r="Z5" i="80"/>
  <c r="AA5" i="80"/>
  <c r="AB5" i="80"/>
  <c r="I6" i="80"/>
  <c r="J6" i="80"/>
  <c r="K6" i="80"/>
  <c r="L6" i="80"/>
  <c r="M6" i="80"/>
  <c r="N6" i="80"/>
  <c r="O6" i="80"/>
  <c r="P6" i="80"/>
  <c r="Q6" i="80"/>
  <c r="R6" i="80"/>
  <c r="S6" i="80"/>
  <c r="T6" i="80"/>
  <c r="U6" i="80"/>
  <c r="V6" i="80"/>
  <c r="W6" i="80"/>
  <c r="X6" i="80"/>
  <c r="Y6" i="80"/>
  <c r="Z6" i="80"/>
  <c r="CH8" i="77"/>
  <c r="AA6" i="80"/>
  <c r="CI8" i="77"/>
  <c r="AB6" i="80"/>
  <c r="D48" i="80"/>
  <c r="E48" i="80"/>
  <c r="C49" i="80"/>
  <c r="D49" i="80"/>
  <c r="C50" i="80"/>
  <c r="BL8" i="77"/>
  <c r="BL11" i="77"/>
  <c r="BL12" i="77"/>
  <c r="BM16" i="77"/>
  <c r="D50" i="80"/>
  <c r="E50" i="80"/>
  <c r="C51" i="80"/>
  <c r="BM17" i="77"/>
  <c r="D51" i="80"/>
  <c r="E51" i="80"/>
  <c r="BK3" i="77"/>
  <c r="B48" i="80"/>
  <c r="BK4" i="77"/>
  <c r="B49" i="80"/>
  <c r="B50" i="80"/>
  <c r="B51" i="80"/>
  <c r="BK7" i="77"/>
  <c r="B52" i="80"/>
  <c r="BK8" i="77"/>
  <c r="B53" i="80"/>
  <c r="B54" i="80"/>
  <c r="BK10" i="77"/>
  <c r="B55" i="80"/>
  <c r="BK11" i="77"/>
  <c r="B56" i="80"/>
  <c r="BK12" i="77"/>
  <c r="B57" i="80"/>
  <c r="BK13" i="77"/>
  <c r="B58" i="80"/>
  <c r="B59" i="80"/>
  <c r="D4" i="80"/>
  <c r="B40" i="80"/>
  <c r="B41" i="80"/>
  <c r="B42" i="80"/>
  <c r="B36" i="80"/>
  <c r="B37" i="80"/>
  <c r="B38" i="80"/>
  <c r="B32" i="80"/>
  <c r="B33" i="80"/>
  <c r="B34" i="80"/>
  <c r="C17" i="80"/>
  <c r="D17" i="80"/>
  <c r="B18" i="80"/>
  <c r="B19" i="80"/>
  <c r="B20" i="80"/>
  <c r="B21" i="80"/>
  <c r="B6" i="80"/>
  <c r="B5" i="80"/>
  <c r="AK6" i="77"/>
  <c r="AI6" i="77"/>
  <c r="AI7" i="77"/>
  <c r="AH6" i="77"/>
  <c r="AH7" i="77"/>
  <c r="AG6" i="77"/>
  <c r="AG7" i="77"/>
  <c r="AG8" i="77"/>
  <c r="AG9" i="77"/>
  <c r="AG10" i="77"/>
  <c r="AG11" i="77"/>
  <c r="AG12" i="77"/>
  <c r="AG13" i="77"/>
  <c r="AG14" i="77"/>
  <c r="AG15" i="77"/>
  <c r="AG16" i="77"/>
  <c r="AG17" i="77"/>
  <c r="AG18" i="77"/>
  <c r="AG19" i="77"/>
  <c r="AG20" i="77"/>
  <c r="AG21" i="77"/>
  <c r="AG22" i="77"/>
  <c r="AG23" i="77"/>
  <c r="AG24" i="77"/>
  <c r="AG25" i="77"/>
  <c r="AG26" i="77"/>
  <c r="AG27" i="77"/>
  <c r="AG28" i="77"/>
  <c r="AG29" i="77"/>
  <c r="AG30" i="77"/>
  <c r="AG31" i="77"/>
  <c r="AG32" i="77"/>
  <c r="AG33" i="77"/>
  <c r="AG34" i="77"/>
  <c r="AG35" i="77"/>
  <c r="AG36" i="77"/>
  <c r="AG37" i="77"/>
  <c r="AG38" i="77"/>
  <c r="AG39" i="77"/>
  <c r="AG40" i="77"/>
  <c r="AG41" i="77"/>
  <c r="AG42" i="77"/>
  <c r="AG43" i="77"/>
  <c r="AG44" i="77"/>
  <c r="AG45" i="77"/>
  <c r="AG46" i="77"/>
  <c r="AG47" i="77"/>
  <c r="AG48" i="77"/>
  <c r="AG49" i="77"/>
  <c r="AG50" i="77"/>
  <c r="AG51" i="77"/>
  <c r="AG52" i="77"/>
  <c r="AG53" i="77"/>
  <c r="AG54" i="77"/>
  <c r="AG55" i="77"/>
  <c r="AG56" i="77"/>
  <c r="AG57" i="77"/>
  <c r="AG58" i="77"/>
  <c r="AG59" i="77"/>
  <c r="AG60" i="77"/>
  <c r="AG61" i="77"/>
  <c r="AG62" i="77"/>
  <c r="AG63" i="77"/>
  <c r="AG64" i="77"/>
  <c r="AG65" i="77"/>
  <c r="AG66" i="77"/>
  <c r="AG67" i="77"/>
  <c r="AG68" i="77"/>
  <c r="AG69" i="77"/>
  <c r="AG70" i="77"/>
  <c r="AG71" i="77"/>
  <c r="AG72" i="77"/>
  <c r="AG73" i="77"/>
  <c r="AG74" i="77"/>
  <c r="AG75" i="77"/>
  <c r="AG76" i="77"/>
  <c r="AG77" i="77"/>
  <c r="AG78" i="77"/>
  <c r="AG79" i="77"/>
  <c r="AG80" i="77"/>
  <c r="AG81" i="77"/>
  <c r="AG82" i="77"/>
  <c r="AG83" i="77"/>
  <c r="AG84" i="77"/>
  <c r="AG85" i="77"/>
  <c r="AG86" i="77"/>
  <c r="AG87" i="77"/>
  <c r="AG88" i="77"/>
  <c r="AG89" i="77"/>
  <c r="AG90" i="77"/>
  <c r="AG91" i="77"/>
  <c r="AG92" i="77"/>
  <c r="AG93" i="77"/>
  <c r="AG94" i="77"/>
  <c r="AG95" i="77"/>
  <c r="AG96" i="77"/>
  <c r="AG97" i="77"/>
  <c r="AG98" i="77"/>
  <c r="AG99" i="77"/>
  <c r="AG100" i="77"/>
  <c r="AG101" i="77"/>
  <c r="AG102" i="77"/>
  <c r="AG103" i="77"/>
  <c r="AG104" i="77"/>
  <c r="AG105" i="77"/>
  <c r="AG106" i="77"/>
  <c r="AG107" i="77"/>
  <c r="AG108" i="77"/>
  <c r="AG109" i="77"/>
  <c r="AG110" i="77"/>
  <c r="AG111" i="77"/>
  <c r="AG112" i="77"/>
  <c r="AG113" i="77"/>
  <c r="AG114" i="77"/>
  <c r="AG115" i="77"/>
  <c r="AG116" i="77"/>
  <c r="AG117" i="77"/>
  <c r="AG118" i="77"/>
  <c r="AG119" i="77"/>
  <c r="AG120" i="77"/>
  <c r="AG121" i="77"/>
  <c r="AG122" i="77"/>
  <c r="AG123" i="77"/>
  <c r="AG124" i="77"/>
  <c r="AG125" i="77"/>
  <c r="AG126" i="77"/>
  <c r="AG127" i="77"/>
  <c r="AG128" i="77"/>
  <c r="AG129" i="77"/>
  <c r="AG130" i="77"/>
  <c r="AG131" i="77"/>
  <c r="AG132" i="77"/>
  <c r="AG133" i="77"/>
  <c r="AG134" i="77"/>
  <c r="AG135" i="77"/>
  <c r="AG136" i="77"/>
  <c r="AG137" i="77"/>
  <c r="AG138" i="77"/>
  <c r="AG139" i="77"/>
  <c r="AG140" i="77"/>
  <c r="AG141" i="77"/>
  <c r="AG142" i="77"/>
  <c r="AG143" i="77"/>
  <c r="AG144" i="77"/>
  <c r="AG145" i="77"/>
  <c r="AG146" i="77"/>
  <c r="AG147" i="77"/>
  <c r="AG148" i="77"/>
  <c r="AG149" i="77"/>
  <c r="AG150" i="77"/>
  <c r="AG151" i="77"/>
  <c r="AG152" i="77"/>
  <c r="AG153" i="77"/>
  <c r="AG154" i="77"/>
  <c r="AG155" i="77"/>
  <c r="AG156" i="77"/>
  <c r="AG157" i="77"/>
  <c r="AG158" i="77"/>
  <c r="AG159" i="77"/>
  <c r="AG160" i="77"/>
  <c r="AG161" i="77"/>
  <c r="AG162" i="77"/>
  <c r="AG163" i="77"/>
  <c r="AG164" i="77"/>
  <c r="AG165" i="77"/>
  <c r="AG166" i="77"/>
  <c r="AG167" i="77"/>
  <c r="AG168" i="77"/>
  <c r="AG169" i="77"/>
  <c r="AG170" i="77"/>
  <c r="AG171" i="77"/>
  <c r="AG172" i="77"/>
  <c r="AG173" i="77"/>
  <c r="AG174" i="77"/>
  <c r="AG175" i="77"/>
  <c r="AG176" i="77"/>
  <c r="AG177" i="77"/>
  <c r="AG178" i="77"/>
  <c r="AG179" i="77"/>
  <c r="AG180" i="77"/>
  <c r="AG181" i="77"/>
  <c r="AG182" i="77"/>
  <c r="AG183" i="77"/>
  <c r="AG184" i="77"/>
  <c r="AG185" i="77"/>
  <c r="AG186" i="77"/>
  <c r="AG187" i="77"/>
  <c r="AG188" i="77"/>
  <c r="AG189" i="77"/>
  <c r="AG190" i="77"/>
  <c r="AG191" i="77"/>
  <c r="AG192" i="77"/>
  <c r="AG193" i="77"/>
  <c r="AG194" i="77"/>
  <c r="AG195" i="77"/>
  <c r="AG196" i="77"/>
  <c r="AG197" i="77"/>
  <c r="AG198" i="77"/>
  <c r="AG199" i="77"/>
  <c r="AG200" i="77"/>
  <c r="AG201" i="77"/>
  <c r="AG202" i="77"/>
  <c r="AG203" i="77"/>
  <c r="AG204" i="77"/>
  <c r="AG205" i="77"/>
  <c r="AG206" i="77"/>
  <c r="AG207" i="77"/>
  <c r="AG208" i="77"/>
  <c r="AG209" i="77"/>
  <c r="AG210" i="77"/>
  <c r="AG211" i="77"/>
  <c r="AG212" i="77"/>
  <c r="AG213" i="77"/>
  <c r="AG214" i="77"/>
  <c r="AG215" i="77"/>
  <c r="AG216" i="77"/>
  <c r="AG217" i="77"/>
  <c r="AG218" i="77"/>
  <c r="AG219" i="77"/>
  <c r="AG220" i="77"/>
  <c r="AG221" i="77"/>
  <c r="AG222" i="77"/>
  <c r="AG223" i="77"/>
  <c r="AG224" i="77"/>
  <c r="AG225" i="77"/>
  <c r="AG226" i="77"/>
  <c r="AG227" i="77"/>
  <c r="AG228" i="77"/>
  <c r="AG229" i="77"/>
  <c r="AG230" i="77"/>
  <c r="AG231" i="77"/>
  <c r="AG232" i="77"/>
  <c r="AG233" i="77"/>
  <c r="AG234" i="77"/>
  <c r="AG235" i="77"/>
  <c r="AG236" i="77"/>
  <c r="AG237" i="77"/>
  <c r="AG238" i="77"/>
  <c r="AG239" i="77"/>
  <c r="AG240" i="77"/>
  <c r="AG241" i="77"/>
  <c r="AG242" i="77"/>
  <c r="AG243" i="77"/>
  <c r="AG244" i="77"/>
  <c r="AG245" i="77"/>
  <c r="AG246" i="77"/>
  <c r="AG247" i="77"/>
  <c r="AG248" i="77"/>
  <c r="AG249" i="77"/>
  <c r="AG250" i="77"/>
  <c r="AG251" i="77"/>
  <c r="AG252" i="77"/>
  <c r="AG253" i="77"/>
  <c r="AG254" i="77"/>
  <c r="AG255" i="77"/>
  <c r="AG256" i="77"/>
  <c r="AG257" i="77"/>
  <c r="AG258" i="77"/>
  <c r="AG259" i="77"/>
  <c r="AG260" i="77"/>
  <c r="AG261" i="77"/>
  <c r="AG262" i="77"/>
  <c r="AG263" i="77"/>
  <c r="AG264" i="77"/>
  <c r="AG265" i="77"/>
  <c r="AG266" i="77"/>
  <c r="AG267" i="77"/>
  <c r="AG268" i="77"/>
  <c r="AG269" i="77"/>
  <c r="AG270" i="77"/>
  <c r="AG271" i="77"/>
  <c r="AG272" i="77"/>
  <c r="AG273" i="77"/>
  <c r="AG274" i="77"/>
  <c r="AG275" i="77"/>
  <c r="AG276" i="77"/>
  <c r="AG277" i="77"/>
  <c r="AG278" i="77"/>
  <c r="AG279" i="77"/>
  <c r="AG280" i="77"/>
  <c r="AG281" i="77"/>
  <c r="AG282" i="77"/>
  <c r="AG283" i="77"/>
  <c r="AG284" i="77"/>
  <c r="AG285" i="77"/>
  <c r="AG286" i="77"/>
  <c r="AG287" i="77"/>
  <c r="AG288" i="77"/>
  <c r="AG289" i="77"/>
  <c r="AG290" i="77"/>
  <c r="AG291" i="77"/>
  <c r="AG292" i="77"/>
  <c r="AG293" i="77"/>
  <c r="AG294" i="77"/>
  <c r="AG295" i="77"/>
  <c r="AG296" i="77"/>
  <c r="AG297" i="77"/>
  <c r="AG298" i="77"/>
  <c r="AG299" i="77"/>
  <c r="AG300" i="77"/>
  <c r="AG301" i="77"/>
  <c r="AG302" i="77"/>
  <c r="AG303" i="77"/>
  <c r="AG304" i="77"/>
  <c r="AG305" i="77"/>
  <c r="AG306" i="77"/>
  <c r="AG307" i="77"/>
  <c r="AG308" i="77"/>
  <c r="AG309" i="77"/>
  <c r="AG310" i="77"/>
  <c r="AG311" i="77"/>
  <c r="AG312" i="77"/>
  <c r="AG313" i="77"/>
  <c r="AG314" i="77"/>
  <c r="AG315" i="77"/>
  <c r="AG316" i="77"/>
  <c r="AG317" i="77"/>
  <c r="AG318" i="77"/>
  <c r="AG319" i="77"/>
  <c r="AG320" i="77"/>
  <c r="AG321" i="77"/>
  <c r="AG322" i="77"/>
  <c r="AG323" i="77"/>
  <c r="AG324" i="77"/>
  <c r="AG325" i="77"/>
  <c r="AG326" i="77"/>
  <c r="AG327" i="77"/>
  <c r="AG328" i="77"/>
  <c r="AG329" i="77"/>
  <c r="AG330" i="77"/>
  <c r="AG331" i="77"/>
  <c r="AG332" i="77"/>
  <c r="AG333" i="77"/>
  <c r="AG334" i="77"/>
  <c r="AG335" i="77"/>
  <c r="AG336" i="77"/>
  <c r="AG337" i="77"/>
  <c r="AG338" i="77"/>
  <c r="AG339" i="77"/>
  <c r="AG340" i="77"/>
  <c r="AG341" i="77"/>
  <c r="AG342" i="77"/>
  <c r="AG343" i="77"/>
  <c r="AG344" i="77"/>
  <c r="AG345" i="77"/>
  <c r="AG346" i="77"/>
  <c r="AG347" i="77"/>
  <c r="AG348" i="77"/>
  <c r="AG349" i="77"/>
  <c r="AG350" i="77"/>
  <c r="AG351" i="77"/>
  <c r="AG352" i="77"/>
  <c r="AG353" i="77"/>
  <c r="AG354" i="77"/>
  <c r="AG355" i="77"/>
  <c r="AG356" i="77"/>
  <c r="AG357" i="77"/>
  <c r="AG358" i="77"/>
  <c r="AG359" i="77"/>
  <c r="AG360" i="77"/>
  <c r="AG361" i="77"/>
  <c r="AG362" i="77"/>
  <c r="AG363" i="77"/>
  <c r="AG364" i="77"/>
  <c r="AG365" i="77"/>
  <c r="AG366" i="77"/>
  <c r="AG367" i="77"/>
  <c r="AG368" i="77"/>
  <c r="AG369" i="77"/>
  <c r="AG370" i="77"/>
  <c r="AG371" i="77"/>
  <c r="AG372" i="77"/>
  <c r="AG373" i="77"/>
  <c r="AG374" i="77"/>
  <c r="AG375" i="77"/>
  <c r="AG376" i="77"/>
  <c r="AG377" i="77"/>
  <c r="AG378" i="77"/>
  <c r="AG379" i="77"/>
  <c r="AG380" i="77"/>
  <c r="AG381" i="77"/>
  <c r="AG382" i="77"/>
  <c r="AG383" i="77"/>
  <c r="AG384" i="77"/>
  <c r="AG385" i="77"/>
  <c r="AG386" i="77"/>
  <c r="AG387" i="77"/>
  <c r="AG388" i="77"/>
  <c r="AG389" i="77"/>
  <c r="AG390" i="77"/>
  <c r="AG391" i="77"/>
  <c r="AG392" i="77"/>
  <c r="AG393" i="77"/>
  <c r="AG394" i="77"/>
  <c r="AG395" i="77"/>
  <c r="AG396" i="77"/>
  <c r="AG397" i="77"/>
  <c r="AG398" i="77"/>
  <c r="AG399" i="77"/>
  <c r="AG400" i="77"/>
  <c r="AG401" i="77"/>
  <c r="AG402" i="77"/>
  <c r="AG403" i="77"/>
  <c r="AG404" i="77"/>
  <c r="AG405" i="77"/>
  <c r="AG406" i="77"/>
  <c r="AG407" i="77"/>
  <c r="AG408" i="77"/>
  <c r="AG409" i="77"/>
  <c r="AG410" i="77"/>
  <c r="AG411" i="77"/>
  <c r="AG412" i="77"/>
  <c r="AG413" i="77"/>
  <c r="AG414" i="77"/>
  <c r="AG415" i="77"/>
  <c r="AG416" i="77"/>
  <c r="AG417" i="77"/>
  <c r="AG418" i="77"/>
  <c r="AG419" i="77"/>
  <c r="AG420" i="77"/>
  <c r="AG421" i="77"/>
  <c r="AG422" i="77"/>
  <c r="AG423" i="77"/>
  <c r="AG424" i="77"/>
  <c r="AG425" i="77"/>
  <c r="AG426" i="77"/>
  <c r="AG427" i="77"/>
  <c r="AG428" i="77"/>
  <c r="AG429" i="77"/>
  <c r="AG430" i="77"/>
  <c r="AG431" i="77"/>
  <c r="AG432" i="77"/>
  <c r="AG433" i="77"/>
  <c r="AG434" i="77"/>
  <c r="AG435" i="77"/>
  <c r="AG436" i="77"/>
  <c r="AG437" i="77"/>
  <c r="AG438" i="77"/>
  <c r="AG439" i="77"/>
  <c r="AG440" i="77"/>
  <c r="AG441" i="77"/>
  <c r="AG442" i="77"/>
  <c r="AG443" i="77"/>
  <c r="AG444" i="77"/>
  <c r="AG445" i="77"/>
  <c r="AG446" i="77"/>
  <c r="AG447" i="77"/>
  <c r="AG448" i="77"/>
  <c r="AG449" i="77"/>
  <c r="AG450" i="77"/>
  <c r="AG451" i="77"/>
  <c r="AG452" i="77"/>
  <c r="AG453" i="77"/>
  <c r="AG454" i="77"/>
  <c r="AG455" i="77"/>
  <c r="AG456" i="77"/>
  <c r="AG457" i="77"/>
  <c r="AG458" i="77"/>
  <c r="AG459" i="77"/>
  <c r="AG460" i="77"/>
  <c r="AG461" i="77"/>
  <c r="AG462" i="77"/>
  <c r="AG463" i="77"/>
  <c r="AG464" i="77"/>
  <c r="AG465" i="77"/>
  <c r="AG466" i="77"/>
  <c r="AG467" i="77"/>
  <c r="AG468" i="77"/>
  <c r="AG469" i="77"/>
  <c r="AG470" i="77"/>
  <c r="AG471" i="77"/>
  <c r="AG472" i="77"/>
  <c r="AG473" i="77"/>
  <c r="AG474" i="77"/>
  <c r="AG475" i="77"/>
  <c r="AG476" i="77"/>
  <c r="AG477" i="77"/>
  <c r="AG478" i="77"/>
  <c r="AG479" i="77"/>
  <c r="AG480" i="77"/>
  <c r="AG481" i="77"/>
  <c r="AG482" i="77"/>
  <c r="AG483" i="77"/>
  <c r="AG484" i="77"/>
  <c r="AG485" i="77"/>
  <c r="AG486" i="77"/>
  <c r="AG487" i="77"/>
  <c r="AG488" i="77"/>
  <c r="AG489" i="77"/>
  <c r="AG490" i="77"/>
  <c r="AG491" i="77"/>
  <c r="AG492" i="77"/>
  <c r="AG493" i="77"/>
  <c r="AG494" i="77"/>
  <c r="AG495" i="77"/>
  <c r="AG496" i="77"/>
  <c r="AG497" i="77"/>
  <c r="AG498" i="77"/>
  <c r="AG499" i="77"/>
  <c r="AG500" i="77"/>
  <c r="AG501" i="77"/>
  <c r="AG502" i="77"/>
  <c r="AG503" i="77"/>
  <c r="AG504" i="77"/>
  <c r="AG505" i="77"/>
  <c r="AG506" i="77"/>
  <c r="AG507" i="77"/>
  <c r="AG508" i="77"/>
  <c r="AG509" i="77"/>
  <c r="AG510" i="77"/>
  <c r="AG511" i="77"/>
  <c r="AG512" i="77"/>
  <c r="AG513" i="77"/>
  <c r="AG514" i="77"/>
  <c r="AG515" i="77"/>
  <c r="AG516" i="77"/>
  <c r="AG517" i="77"/>
  <c r="AG518" i="77"/>
  <c r="AG519" i="77"/>
  <c r="AG520" i="77"/>
  <c r="AG521" i="77"/>
  <c r="AG522" i="77"/>
  <c r="AG523" i="77"/>
  <c r="AG524" i="77"/>
  <c r="AG525" i="77"/>
  <c r="AG526" i="77"/>
  <c r="AG527" i="77"/>
  <c r="AG528" i="77"/>
  <c r="AG529" i="77"/>
  <c r="AG530" i="77"/>
  <c r="AG531" i="77"/>
  <c r="AG532" i="77"/>
  <c r="AG533" i="77"/>
  <c r="AG534" i="77"/>
  <c r="AG535" i="77"/>
  <c r="AG536" i="77"/>
  <c r="AG537" i="77"/>
  <c r="AG538" i="77"/>
  <c r="AG539" i="77"/>
  <c r="AG540" i="77"/>
  <c r="AG541" i="77"/>
  <c r="AG542" i="77"/>
  <c r="AG543" i="77"/>
  <c r="AG544" i="77"/>
  <c r="AG545" i="77"/>
  <c r="AG546" i="77"/>
  <c r="AG547" i="77"/>
  <c r="AG548" i="77"/>
  <c r="AG549" i="77"/>
  <c r="AG550" i="77"/>
  <c r="AG551" i="77"/>
  <c r="AG552" i="77"/>
  <c r="AG553" i="77"/>
  <c r="AG554" i="77"/>
  <c r="AG555" i="77"/>
  <c r="AG556" i="77"/>
  <c r="AG557" i="77"/>
  <c r="AG558" i="77"/>
  <c r="AG559" i="77"/>
  <c r="AG560" i="77"/>
  <c r="AG561" i="77"/>
  <c r="AG562" i="77"/>
  <c r="AG563" i="77"/>
  <c r="AG564" i="77"/>
  <c r="AG565" i="77"/>
  <c r="AG566" i="77"/>
  <c r="AG567" i="77"/>
  <c r="AG568" i="77"/>
  <c r="AG569" i="77"/>
  <c r="AG570" i="77"/>
  <c r="AG571" i="77"/>
  <c r="AG572" i="77"/>
  <c r="AG573" i="77"/>
  <c r="AG574" i="77"/>
  <c r="AG575" i="77"/>
  <c r="AG576" i="77"/>
  <c r="AG577" i="77"/>
  <c r="AG578" i="77"/>
  <c r="AG579" i="77"/>
  <c r="AG580" i="77"/>
  <c r="AG581" i="77"/>
  <c r="AG582" i="77"/>
  <c r="AG583" i="77"/>
  <c r="AG584" i="77"/>
  <c r="AG585" i="77"/>
  <c r="AG586" i="77"/>
  <c r="AG587" i="77"/>
  <c r="AG588" i="77"/>
  <c r="AG589" i="77"/>
  <c r="AG590" i="77"/>
  <c r="AG591" i="77"/>
  <c r="AG592" i="77"/>
  <c r="AG593" i="77"/>
  <c r="AG594" i="77"/>
  <c r="AG595" i="77"/>
  <c r="AG596" i="77"/>
  <c r="AG597" i="77"/>
  <c r="AG598" i="77"/>
  <c r="AG599" i="77"/>
  <c r="AG600" i="77"/>
  <c r="AG601" i="77"/>
  <c r="AG602" i="77"/>
  <c r="AG603" i="77"/>
  <c r="AG604" i="77"/>
  <c r="AG605" i="77"/>
  <c r="AG606" i="77"/>
  <c r="AG607" i="77"/>
  <c r="AG608" i="77"/>
  <c r="AG609" i="77"/>
  <c r="AG610" i="77"/>
  <c r="AG611" i="77"/>
  <c r="AG612" i="77"/>
  <c r="AG613" i="77"/>
  <c r="AG614" i="77"/>
  <c r="AG615" i="77"/>
  <c r="AG616" i="77"/>
  <c r="AG617" i="77"/>
  <c r="AG618" i="77"/>
  <c r="AG619" i="77"/>
  <c r="AG620" i="77"/>
  <c r="AG621" i="77"/>
  <c r="AG622" i="77"/>
  <c r="AG623" i="77"/>
  <c r="AG624" i="77"/>
  <c r="AG625" i="77"/>
  <c r="AG626" i="77"/>
  <c r="AG627" i="77"/>
  <c r="AG628" i="77"/>
  <c r="AG629" i="77"/>
  <c r="AG630" i="77"/>
  <c r="AG631" i="77"/>
  <c r="AG632" i="77"/>
  <c r="AG633" i="77"/>
  <c r="AG634" i="77"/>
  <c r="AG635" i="77"/>
  <c r="AG636" i="77"/>
  <c r="AG637" i="77"/>
  <c r="AG638" i="77"/>
  <c r="AG639" i="77"/>
  <c r="AG640" i="77"/>
  <c r="AG641" i="77"/>
  <c r="AG642" i="77"/>
  <c r="AG643" i="77"/>
  <c r="AG644" i="77"/>
  <c r="AG645" i="77"/>
  <c r="AG646" i="77"/>
  <c r="AG647" i="77"/>
  <c r="AG648" i="77"/>
  <c r="AG649" i="77"/>
  <c r="AG650" i="77"/>
  <c r="AG651" i="77"/>
  <c r="AG652" i="77"/>
  <c r="AG653" i="77"/>
  <c r="AG654" i="77"/>
  <c r="AG655" i="77"/>
  <c r="AG656" i="77"/>
  <c r="AG657" i="77"/>
  <c r="AG658" i="77"/>
  <c r="AG659" i="77"/>
  <c r="AG660" i="77"/>
  <c r="AG661" i="77"/>
  <c r="AG662" i="77"/>
  <c r="AG663" i="77"/>
  <c r="AG664" i="77"/>
  <c r="AG665" i="77"/>
  <c r="AG666" i="77"/>
  <c r="AG667" i="77"/>
  <c r="AG668" i="77"/>
  <c r="AG669" i="77"/>
  <c r="AG670" i="77"/>
  <c r="AG671" i="77"/>
  <c r="AG672" i="77"/>
  <c r="AG673" i="77"/>
  <c r="AG674" i="77"/>
  <c r="AG675" i="77"/>
  <c r="AG676" i="77"/>
  <c r="AG677" i="77"/>
  <c r="AG678" i="77"/>
  <c r="AG679" i="77"/>
  <c r="AG680" i="77"/>
  <c r="AG681" i="77"/>
  <c r="AG682" i="77"/>
  <c r="AG683" i="77"/>
  <c r="AG684" i="77"/>
  <c r="AG685" i="77"/>
  <c r="AG686" i="77"/>
  <c r="AG687" i="77"/>
  <c r="AG688" i="77"/>
  <c r="AG689" i="77"/>
  <c r="AG690" i="77"/>
  <c r="AG691" i="77"/>
  <c r="AG692" i="77"/>
  <c r="AG693" i="77"/>
  <c r="AG694" i="77"/>
  <c r="AG695" i="77"/>
  <c r="AG696" i="77"/>
  <c r="AG697" i="77"/>
  <c r="AG698" i="77"/>
  <c r="AG699" i="77"/>
  <c r="AG700" i="77"/>
  <c r="AG701" i="77"/>
  <c r="AG702" i="77"/>
  <c r="AG703" i="77"/>
  <c r="AG704" i="77"/>
  <c r="AG705" i="77"/>
  <c r="AG706" i="77"/>
  <c r="AG707" i="77"/>
  <c r="AG708" i="77"/>
  <c r="AG709" i="77"/>
  <c r="AG710" i="77"/>
  <c r="AG711" i="77"/>
  <c r="AG712" i="77"/>
  <c r="AG713" i="77"/>
  <c r="AG714" i="77"/>
  <c r="AG715" i="77"/>
  <c r="AG716" i="77"/>
  <c r="AG717" i="77"/>
  <c r="AG718" i="77"/>
  <c r="AG719" i="77"/>
  <c r="AG720" i="77"/>
  <c r="AG721" i="77"/>
  <c r="AG722" i="77"/>
  <c r="AG723" i="77"/>
  <c r="AG724" i="77"/>
  <c r="AG725" i="77"/>
  <c r="AG726" i="77"/>
  <c r="AG727" i="77"/>
  <c r="AG728" i="77"/>
  <c r="AG729" i="77"/>
  <c r="AG730" i="77"/>
  <c r="AG731" i="77"/>
  <c r="AG732" i="77"/>
  <c r="AG733" i="77"/>
  <c r="AG734" i="77"/>
  <c r="AG735" i="77"/>
  <c r="AG736" i="77"/>
  <c r="AG737" i="77"/>
  <c r="AG738" i="77"/>
  <c r="AG739" i="77"/>
  <c r="AG740" i="77"/>
  <c r="AG741" i="77"/>
  <c r="AG742" i="77"/>
  <c r="AG743" i="77"/>
  <c r="AG744" i="77"/>
  <c r="AG745" i="77"/>
  <c r="AG746" i="77"/>
  <c r="AG747" i="77"/>
  <c r="AG748" i="77"/>
  <c r="AG749" i="77"/>
  <c r="AG750" i="77"/>
  <c r="AG751" i="77"/>
  <c r="AG752" i="77"/>
  <c r="AG753" i="77"/>
  <c r="AG754" i="77"/>
  <c r="AG755" i="77"/>
  <c r="AG756" i="77"/>
  <c r="AG757" i="77"/>
  <c r="AG758" i="77"/>
  <c r="AG759" i="77"/>
  <c r="AG760" i="77"/>
  <c r="AG761" i="77"/>
  <c r="AG762" i="77"/>
  <c r="AG763" i="77"/>
  <c r="AG764" i="77"/>
  <c r="AG765" i="77"/>
  <c r="AG766" i="77"/>
  <c r="AG767" i="77"/>
  <c r="AG768" i="77"/>
  <c r="AG769" i="77"/>
  <c r="AG770" i="77"/>
  <c r="AG771" i="77"/>
  <c r="AG772" i="77"/>
  <c r="AG773" i="77"/>
  <c r="AG774" i="77"/>
  <c r="AG775" i="77"/>
  <c r="AG776" i="77"/>
  <c r="AG777" i="77"/>
  <c r="AG778" i="77"/>
  <c r="AG779" i="77"/>
  <c r="AG780" i="77"/>
  <c r="AG781" i="77"/>
  <c r="AG782" i="77"/>
  <c r="AG783" i="77"/>
  <c r="AG784" i="77"/>
  <c r="AG785" i="77"/>
  <c r="AG786" i="77"/>
  <c r="AG787" i="77"/>
  <c r="AG788" i="77"/>
  <c r="AG789" i="77"/>
  <c r="AG790" i="77"/>
  <c r="AG791" i="77"/>
  <c r="AG792" i="77"/>
  <c r="AG793" i="77"/>
  <c r="AG794" i="77"/>
  <c r="AG795" i="77"/>
  <c r="AG796" i="77"/>
  <c r="AG797" i="77"/>
  <c r="AG798" i="77"/>
  <c r="AG799" i="77"/>
  <c r="AG800" i="77"/>
  <c r="AG801" i="77"/>
  <c r="AG802" i="77"/>
  <c r="AG803" i="77"/>
  <c r="AG804" i="77"/>
  <c r="AG805" i="77"/>
  <c r="AG806" i="77"/>
  <c r="AG807" i="77"/>
  <c r="AG808" i="77"/>
  <c r="AG809" i="77"/>
  <c r="AG810" i="77"/>
  <c r="AG811" i="77"/>
  <c r="AG812" i="77"/>
  <c r="AG813" i="77"/>
  <c r="AG814" i="77"/>
  <c r="AG815" i="77"/>
  <c r="AG816" i="77"/>
  <c r="AG817" i="77"/>
  <c r="AG818" i="77"/>
  <c r="AG819" i="77"/>
  <c r="AG820" i="77"/>
  <c r="AG821" i="77"/>
  <c r="AG822" i="77"/>
  <c r="AG823" i="77"/>
  <c r="AG824" i="77"/>
  <c r="AG825" i="77"/>
  <c r="AG826" i="77"/>
  <c r="AG827" i="77"/>
  <c r="AG828" i="77"/>
  <c r="AG829" i="77"/>
  <c r="AG830" i="77"/>
  <c r="AG831" i="77"/>
  <c r="AG832" i="77"/>
  <c r="AG833" i="77"/>
  <c r="AG834" i="77"/>
  <c r="AG835" i="77"/>
  <c r="AG836" i="77"/>
  <c r="AG837" i="77"/>
  <c r="AG838" i="77"/>
  <c r="AG839" i="77"/>
  <c r="AG840" i="77"/>
  <c r="AG841" i="77"/>
  <c r="AG842" i="77"/>
  <c r="AG843" i="77"/>
  <c r="AG844" i="77"/>
  <c r="AG845" i="77"/>
  <c r="AG846" i="77"/>
  <c r="AG847" i="77"/>
  <c r="AG848" i="77"/>
  <c r="AG849" i="77"/>
  <c r="AG850" i="77"/>
  <c r="AG851" i="77"/>
  <c r="AG852" i="77"/>
  <c r="AG853" i="77"/>
  <c r="AG854" i="77"/>
  <c r="AG855" i="77"/>
  <c r="AG856" i="77"/>
  <c r="AG857" i="77"/>
  <c r="AG858" i="77"/>
  <c r="AG859" i="77"/>
  <c r="AG860" i="77"/>
  <c r="AG861" i="77"/>
  <c r="AG862" i="77"/>
  <c r="AG863" i="77"/>
  <c r="AG864" i="77"/>
  <c r="AG865" i="77"/>
  <c r="AG866" i="77"/>
  <c r="AG867" i="77"/>
  <c r="AG868" i="77"/>
  <c r="AG869" i="77"/>
  <c r="AG870" i="77"/>
  <c r="AG871" i="77"/>
  <c r="AG872" i="77"/>
  <c r="AG873" i="77"/>
  <c r="AG874" i="77"/>
  <c r="AG875" i="77"/>
  <c r="AG876" i="77"/>
  <c r="AG877" i="77"/>
  <c r="AG878" i="77"/>
  <c r="AG879" i="77"/>
  <c r="AG880" i="77"/>
  <c r="AG881" i="77"/>
  <c r="AG882" i="77"/>
  <c r="AG883" i="77"/>
  <c r="AG884" i="77"/>
  <c r="AG885" i="77"/>
  <c r="AG886" i="77"/>
  <c r="AG887" i="77"/>
  <c r="AG888" i="77"/>
  <c r="AG889" i="77"/>
  <c r="AG890" i="77"/>
  <c r="AG891" i="77"/>
  <c r="AG892" i="77"/>
  <c r="AG893" i="77"/>
  <c r="AG894" i="77"/>
  <c r="AG895" i="77"/>
  <c r="AG896" i="77"/>
  <c r="AG897" i="77"/>
  <c r="AG898" i="77"/>
  <c r="AG899" i="77"/>
  <c r="AG900" i="77"/>
  <c r="AG901" i="77"/>
  <c r="AG902" i="77"/>
  <c r="AG903" i="77"/>
  <c r="AG904" i="77"/>
  <c r="AG905" i="77"/>
  <c r="AG906" i="77"/>
  <c r="AG907" i="77"/>
  <c r="AG908" i="77"/>
  <c r="AG909" i="77"/>
  <c r="AG910" i="77"/>
  <c r="AG911" i="77"/>
  <c r="AG912" i="77"/>
  <c r="AG913" i="77"/>
  <c r="AG914" i="77"/>
  <c r="AG915" i="77"/>
  <c r="AG916" i="77"/>
  <c r="AG917" i="77"/>
  <c r="AG918" i="77"/>
  <c r="AG919" i="77"/>
  <c r="AG920" i="77"/>
  <c r="AG921" i="77"/>
  <c r="AG922" i="77"/>
  <c r="AG923" i="77"/>
  <c r="AG924" i="77"/>
  <c r="AG925" i="77"/>
  <c r="AG926" i="77"/>
  <c r="AG927" i="77"/>
  <c r="AG928" i="77"/>
  <c r="AG929" i="77"/>
  <c r="AG930" i="77"/>
  <c r="AG931" i="77"/>
  <c r="AG932" i="77"/>
  <c r="AG933" i="77"/>
  <c r="AG934" i="77"/>
  <c r="AG935" i="77"/>
  <c r="AG936" i="77"/>
  <c r="AG937" i="77"/>
  <c r="AG938" i="77"/>
  <c r="AG939" i="77"/>
  <c r="AG940" i="77"/>
  <c r="AG941" i="77"/>
  <c r="AG942" i="77"/>
  <c r="AG943" i="77"/>
  <c r="AG944" i="77"/>
  <c r="AG945" i="77"/>
  <c r="AG946" i="77"/>
  <c r="AG947" i="77"/>
  <c r="AG948" i="77"/>
  <c r="AG949" i="77"/>
  <c r="AG950" i="77"/>
  <c r="AG951" i="77"/>
  <c r="AG952" i="77"/>
  <c r="AG953" i="77"/>
  <c r="AG954" i="77"/>
  <c r="AG955" i="77"/>
  <c r="AG956" i="77"/>
  <c r="AG957" i="77"/>
  <c r="AG958" i="77"/>
  <c r="AG959" i="77"/>
  <c r="AG960" i="77"/>
  <c r="AG961" i="77"/>
  <c r="AG962" i="77"/>
  <c r="AG963" i="77"/>
  <c r="AG964" i="77"/>
  <c r="AG965" i="77"/>
  <c r="AG966" i="77"/>
  <c r="AG967" i="77"/>
  <c r="AG968" i="77"/>
  <c r="AG969" i="77"/>
  <c r="AG970" i="77"/>
  <c r="AG971" i="77"/>
  <c r="AG972" i="77"/>
  <c r="AG973" i="77"/>
  <c r="AG974" i="77"/>
  <c r="AG975" i="77"/>
  <c r="AG976" i="77"/>
  <c r="AG977" i="77"/>
  <c r="AG978" i="77"/>
  <c r="AG979" i="77"/>
  <c r="AG980" i="77"/>
  <c r="AG981" i="77"/>
  <c r="AG982" i="77"/>
  <c r="AG983" i="77"/>
  <c r="AG984" i="77"/>
  <c r="AG985" i="77"/>
  <c r="AG986" i="77"/>
  <c r="AG987" i="77"/>
  <c r="AG988" i="77"/>
  <c r="AG989" i="77"/>
  <c r="AG990" i="77"/>
  <c r="AG991" i="77"/>
  <c r="AG992" i="77"/>
  <c r="AG993" i="77"/>
  <c r="AG994" i="77"/>
  <c r="AG995" i="77"/>
  <c r="AG996" i="77"/>
  <c r="AG997" i="77"/>
  <c r="AG998" i="77"/>
  <c r="AG999" i="77"/>
  <c r="AG1000" i="77"/>
  <c r="AG1001" i="77"/>
  <c r="AG1002" i="77"/>
  <c r="AG1003" i="77"/>
  <c r="AG1004" i="77"/>
  <c r="AG1005" i="77"/>
  <c r="AG1006" i="77"/>
  <c r="AG1007" i="77"/>
  <c r="AG1008" i="77"/>
  <c r="AG1009" i="77"/>
  <c r="AG1010" i="77"/>
  <c r="AG1011" i="77"/>
  <c r="AG1012" i="77"/>
  <c r="AG1013" i="77"/>
  <c r="AG1014" i="77"/>
  <c r="AG1015" i="77"/>
  <c r="AG1016" i="77"/>
  <c r="AG1017" i="77"/>
  <c r="AG1018" i="77"/>
  <c r="AG1019" i="77"/>
  <c r="AG1020" i="77"/>
  <c r="AG1021" i="77"/>
  <c r="AG1022" i="77"/>
  <c r="AG1023" i="77"/>
  <c r="AG1024" i="77"/>
  <c r="AG1025" i="77"/>
  <c r="AG1026" i="77"/>
  <c r="AG1027" i="77"/>
  <c r="AG1028" i="77"/>
  <c r="AG1029" i="77"/>
  <c r="AG1030" i="77"/>
  <c r="AG1031" i="77"/>
  <c r="AG1032" i="77"/>
  <c r="AG1033" i="77"/>
  <c r="AG1034" i="77"/>
  <c r="AG1035" i="77"/>
  <c r="AG1036" i="77"/>
  <c r="AG1037" i="77"/>
  <c r="AG1038" i="77"/>
  <c r="AG1039" i="77"/>
  <c r="AG1040" i="77"/>
  <c r="AG1041" i="77"/>
  <c r="AG1042" i="77"/>
  <c r="AF6" i="77"/>
  <c r="AF7" i="77"/>
  <c r="AF8" i="77"/>
  <c r="AF9" i="77"/>
  <c r="AF10" i="77"/>
  <c r="AF11" i="77"/>
  <c r="AF12" i="77"/>
  <c r="AF13" i="77"/>
  <c r="AF14" i="77"/>
  <c r="AF15" i="77"/>
  <c r="AF16" i="77"/>
  <c r="AF17" i="77"/>
  <c r="AF18" i="77"/>
  <c r="AF19" i="77"/>
  <c r="AF20" i="77"/>
  <c r="AF21" i="77"/>
  <c r="AF22" i="77"/>
  <c r="AF23" i="77"/>
  <c r="AF24" i="77"/>
  <c r="AF25" i="77"/>
  <c r="AF26" i="77"/>
  <c r="AF27" i="77"/>
  <c r="AF28" i="77"/>
  <c r="AF29" i="77"/>
  <c r="AF30" i="77"/>
  <c r="AF31" i="77"/>
  <c r="AF32" i="77"/>
  <c r="AF33" i="77"/>
  <c r="AF34" i="77"/>
  <c r="AF35" i="77"/>
  <c r="AF36" i="77"/>
  <c r="AF37" i="77"/>
  <c r="AF38" i="77"/>
  <c r="AF39" i="77"/>
  <c r="AF40" i="77"/>
  <c r="AF41" i="77"/>
  <c r="AF42" i="77"/>
  <c r="AF43" i="77"/>
  <c r="AF44" i="77"/>
  <c r="AF45" i="77"/>
  <c r="AF46" i="77"/>
  <c r="AF47" i="77"/>
  <c r="AF48" i="77"/>
  <c r="AF49" i="77"/>
  <c r="AF50" i="77"/>
  <c r="AF51" i="77"/>
  <c r="AF52" i="77"/>
  <c r="AF53" i="77"/>
  <c r="AF54" i="77"/>
  <c r="AF55" i="77"/>
  <c r="AF56" i="77"/>
  <c r="AF57" i="77"/>
  <c r="AF58" i="77"/>
  <c r="AF59" i="77"/>
  <c r="AF60" i="77"/>
  <c r="AF61" i="77"/>
  <c r="AF62" i="77"/>
  <c r="AF63" i="77"/>
  <c r="AF64" i="77"/>
  <c r="AF65" i="77"/>
  <c r="AF66" i="77"/>
  <c r="AF67" i="77"/>
  <c r="AF68" i="77"/>
  <c r="AF69" i="77"/>
  <c r="AF70" i="77"/>
  <c r="AF71" i="77"/>
  <c r="AF72" i="77"/>
  <c r="AF73" i="77"/>
  <c r="AF74" i="77"/>
  <c r="AF75" i="77"/>
  <c r="AF76" i="77"/>
  <c r="AF77" i="77"/>
  <c r="AF78" i="77"/>
  <c r="AF79" i="77"/>
  <c r="AF80" i="77"/>
  <c r="AF81" i="77"/>
  <c r="AF82" i="77"/>
  <c r="AF83" i="77"/>
  <c r="AF84" i="77"/>
  <c r="AF85" i="77"/>
  <c r="AF86" i="77"/>
  <c r="AF87" i="77"/>
  <c r="AF88" i="77"/>
  <c r="AF89" i="77"/>
  <c r="AF90" i="77"/>
  <c r="AF91" i="77"/>
  <c r="AF92" i="77"/>
  <c r="AF93" i="77"/>
  <c r="AF94" i="77"/>
  <c r="AF95" i="77"/>
  <c r="AF96" i="77"/>
  <c r="AF97" i="77"/>
  <c r="AF98" i="77"/>
  <c r="AF99" i="77"/>
  <c r="AF100" i="77"/>
  <c r="AF101" i="77"/>
  <c r="AF102" i="77"/>
  <c r="AF103" i="77"/>
  <c r="AF104" i="77"/>
  <c r="AF105" i="77"/>
  <c r="AF106" i="77"/>
  <c r="AF107" i="77"/>
  <c r="AF108" i="77"/>
  <c r="AF109" i="77"/>
  <c r="AF110" i="77"/>
  <c r="AF111" i="77"/>
  <c r="AF112" i="77"/>
  <c r="AF113" i="77"/>
  <c r="AF114" i="77"/>
  <c r="AF115" i="77"/>
  <c r="AF116" i="77"/>
  <c r="AF117" i="77"/>
  <c r="AF118" i="77"/>
  <c r="AF119" i="77"/>
  <c r="AF120" i="77"/>
  <c r="AF121" i="77"/>
  <c r="AF122" i="77"/>
  <c r="AF123" i="77"/>
  <c r="AF124" i="77"/>
  <c r="AF125" i="77"/>
  <c r="AF126" i="77"/>
  <c r="AF127" i="77"/>
  <c r="AF128" i="77"/>
  <c r="AF129" i="77"/>
  <c r="AF130" i="77"/>
  <c r="AF131" i="77"/>
  <c r="AF132" i="77"/>
  <c r="AF133" i="77"/>
  <c r="AF134" i="77"/>
  <c r="AF135" i="77"/>
  <c r="AF136" i="77"/>
  <c r="AF137" i="77"/>
  <c r="AF138" i="77"/>
  <c r="AF139" i="77"/>
  <c r="AF140" i="77"/>
  <c r="AF141" i="77"/>
  <c r="AF142" i="77"/>
  <c r="AF143" i="77"/>
  <c r="AF144" i="77"/>
  <c r="AF145" i="77"/>
  <c r="AF146" i="77"/>
  <c r="AF147" i="77"/>
  <c r="AF148" i="77"/>
  <c r="AF149" i="77"/>
  <c r="AF150" i="77"/>
  <c r="AF151" i="77"/>
  <c r="AF152" i="77"/>
  <c r="AF153" i="77"/>
  <c r="AF154" i="77"/>
  <c r="AF155" i="77"/>
  <c r="AF156" i="77"/>
  <c r="AF157" i="77"/>
  <c r="AF158" i="77"/>
  <c r="AF159" i="77"/>
  <c r="AF160" i="77"/>
  <c r="AF161" i="77"/>
  <c r="AF162" i="77"/>
  <c r="AF163" i="77"/>
  <c r="AF164" i="77"/>
  <c r="AF165" i="77"/>
  <c r="AF166" i="77"/>
  <c r="AF167" i="77"/>
  <c r="AF168" i="77"/>
  <c r="AF169" i="77"/>
  <c r="AF170" i="77"/>
  <c r="AF171" i="77"/>
  <c r="AF172" i="77"/>
  <c r="AF173" i="77"/>
  <c r="AF174" i="77"/>
  <c r="AF175" i="77"/>
  <c r="AF176" i="77"/>
  <c r="AF177" i="77"/>
  <c r="AF178" i="77"/>
  <c r="AF179" i="77"/>
  <c r="AF180" i="77"/>
  <c r="AF181" i="77"/>
  <c r="AF182" i="77"/>
  <c r="AF183" i="77"/>
  <c r="AF184" i="77"/>
  <c r="AF185" i="77"/>
  <c r="AF186" i="77"/>
  <c r="AF187" i="77"/>
  <c r="AF188" i="77"/>
  <c r="AF189" i="77"/>
  <c r="AF190" i="77"/>
  <c r="AF191" i="77"/>
  <c r="AF192" i="77"/>
  <c r="AF193" i="77"/>
  <c r="AF194" i="77"/>
  <c r="AF195" i="77"/>
  <c r="AF196" i="77"/>
  <c r="AF197" i="77"/>
  <c r="AF198" i="77"/>
  <c r="AF199" i="77"/>
  <c r="AF200" i="77"/>
  <c r="AF201" i="77"/>
  <c r="AF202" i="77"/>
  <c r="AF203" i="77"/>
  <c r="AF204" i="77"/>
  <c r="AF205" i="77"/>
  <c r="AF206" i="77"/>
  <c r="AF207" i="77"/>
  <c r="AF208" i="77"/>
  <c r="AF209" i="77"/>
  <c r="AF210" i="77"/>
  <c r="AF211" i="77"/>
  <c r="AF212" i="77"/>
  <c r="AF213" i="77"/>
  <c r="AF214" i="77"/>
  <c r="AF215" i="77"/>
  <c r="AF216" i="77"/>
  <c r="AF217" i="77"/>
  <c r="AF218" i="77"/>
  <c r="AF219" i="77"/>
  <c r="AF220" i="77"/>
  <c r="AF221" i="77"/>
  <c r="AF222" i="77"/>
  <c r="AF223" i="77"/>
  <c r="AF224" i="77"/>
  <c r="AF225" i="77"/>
  <c r="AF226" i="77"/>
  <c r="AF227" i="77"/>
  <c r="AF228" i="77"/>
  <c r="AF229" i="77"/>
  <c r="AF230" i="77"/>
  <c r="AF231" i="77"/>
  <c r="AF232" i="77"/>
  <c r="AF233" i="77"/>
  <c r="AF234" i="77"/>
  <c r="AF235" i="77"/>
  <c r="AF236" i="77"/>
  <c r="AF237" i="77"/>
  <c r="AF238" i="77"/>
  <c r="AF239" i="77"/>
  <c r="AF240" i="77"/>
  <c r="AF241" i="77"/>
  <c r="AF242" i="77"/>
  <c r="AF243" i="77"/>
  <c r="AF244" i="77"/>
  <c r="AF245" i="77"/>
  <c r="AF246" i="77"/>
  <c r="AF247" i="77"/>
  <c r="AF248" i="77"/>
  <c r="AF249" i="77"/>
  <c r="AF250" i="77"/>
  <c r="AF251" i="77"/>
  <c r="AF252" i="77"/>
  <c r="AF253" i="77"/>
  <c r="AF254" i="77"/>
  <c r="AF255" i="77"/>
  <c r="AF256" i="77"/>
  <c r="AF257" i="77"/>
  <c r="AF258" i="77"/>
  <c r="AF259" i="77"/>
  <c r="AF260" i="77"/>
  <c r="AF261" i="77"/>
  <c r="AF262" i="77"/>
  <c r="AF263" i="77"/>
  <c r="AF264" i="77"/>
  <c r="AF265" i="77"/>
  <c r="AF266" i="77"/>
  <c r="AF267" i="77"/>
  <c r="AF268" i="77"/>
  <c r="AF269" i="77"/>
  <c r="AF270" i="77"/>
  <c r="AF271" i="77"/>
  <c r="AF272" i="77"/>
  <c r="AF273" i="77"/>
  <c r="AF274" i="77"/>
  <c r="AF275" i="77"/>
  <c r="AF276" i="77"/>
  <c r="AF277" i="77"/>
  <c r="AF278" i="77"/>
  <c r="AF279" i="77"/>
  <c r="AF280" i="77"/>
  <c r="AF281" i="77"/>
  <c r="AF282" i="77"/>
  <c r="AF283" i="77"/>
  <c r="AF284" i="77"/>
  <c r="AF285" i="77"/>
  <c r="AF286" i="77"/>
  <c r="AF287" i="77"/>
  <c r="AF288" i="77"/>
  <c r="AF289" i="77"/>
  <c r="AF290" i="77"/>
  <c r="AF291" i="77"/>
  <c r="AF292" i="77"/>
  <c r="AF293" i="77"/>
  <c r="AF294" i="77"/>
  <c r="AF295" i="77"/>
  <c r="AF296" i="77"/>
  <c r="AF297" i="77"/>
  <c r="AF298" i="77"/>
  <c r="AF299" i="77"/>
  <c r="AF300" i="77"/>
  <c r="AF301" i="77"/>
  <c r="AF302" i="77"/>
  <c r="AF303" i="77"/>
  <c r="AF304" i="77"/>
  <c r="AF305" i="77"/>
  <c r="AF306" i="77"/>
  <c r="AF307" i="77"/>
  <c r="AF308" i="77"/>
  <c r="AF309" i="77"/>
  <c r="AF310" i="77"/>
  <c r="AF311" i="77"/>
  <c r="AF312" i="77"/>
  <c r="AF313" i="77"/>
  <c r="AF314" i="77"/>
  <c r="AF315" i="77"/>
  <c r="AF316" i="77"/>
  <c r="AF317" i="77"/>
  <c r="AF318" i="77"/>
  <c r="AF319" i="77"/>
  <c r="AF320" i="77"/>
  <c r="AF321" i="77"/>
  <c r="AF322" i="77"/>
  <c r="AF323" i="77"/>
  <c r="AF324" i="77"/>
  <c r="AF325" i="77"/>
  <c r="AF326" i="77"/>
  <c r="AF327" i="77"/>
  <c r="AF328" i="77"/>
  <c r="AF329" i="77"/>
  <c r="AF330" i="77"/>
  <c r="AF331" i="77"/>
  <c r="AF332" i="77"/>
  <c r="AF333" i="77"/>
  <c r="AF334" i="77"/>
  <c r="AF335" i="77"/>
  <c r="AF336" i="77"/>
  <c r="AF337" i="77"/>
  <c r="AF338" i="77"/>
  <c r="AF339" i="77"/>
  <c r="AF340" i="77"/>
  <c r="AF341" i="77"/>
  <c r="AF342" i="77"/>
  <c r="AF343" i="77"/>
  <c r="AF344" i="77"/>
  <c r="AF345" i="77"/>
  <c r="AF346" i="77"/>
  <c r="AF347" i="77"/>
  <c r="AF348" i="77"/>
  <c r="AF349" i="77"/>
  <c r="AF350" i="77"/>
  <c r="AF351" i="77"/>
  <c r="AF352" i="77"/>
  <c r="AF353" i="77"/>
  <c r="AF354" i="77"/>
  <c r="AF355" i="77"/>
  <c r="AF356" i="77"/>
  <c r="AF357" i="77"/>
  <c r="AF358" i="77"/>
  <c r="AF359" i="77"/>
  <c r="AF360" i="77"/>
  <c r="AF361" i="77"/>
  <c r="AF362" i="77"/>
  <c r="AF363" i="77"/>
  <c r="AF364" i="77"/>
  <c r="AF365" i="77"/>
  <c r="AF366" i="77"/>
  <c r="AF367" i="77"/>
  <c r="AF368" i="77"/>
  <c r="AF369" i="77"/>
  <c r="AF370" i="77"/>
  <c r="AF371" i="77"/>
  <c r="AF372" i="77"/>
  <c r="AF373" i="77"/>
  <c r="AF374" i="77"/>
  <c r="AF375" i="77"/>
  <c r="AF376" i="77"/>
  <c r="AF377" i="77"/>
  <c r="AF378" i="77"/>
  <c r="AF379" i="77"/>
  <c r="AF380" i="77"/>
  <c r="AF381" i="77"/>
  <c r="AF382" i="77"/>
  <c r="AF383" i="77"/>
  <c r="AF384" i="77"/>
  <c r="AF385" i="77"/>
  <c r="AF386" i="77"/>
  <c r="AF387" i="77"/>
  <c r="AF388" i="77"/>
  <c r="AF389" i="77"/>
  <c r="AF390" i="77"/>
  <c r="AF391" i="77"/>
  <c r="AF392" i="77"/>
  <c r="AF393" i="77"/>
  <c r="AF394" i="77"/>
  <c r="AF395" i="77"/>
  <c r="AF396" i="77"/>
  <c r="AF397" i="77"/>
  <c r="AF398" i="77"/>
  <c r="AF399" i="77"/>
  <c r="AF400" i="77"/>
  <c r="AF401" i="77"/>
  <c r="AF402" i="77"/>
  <c r="AF403" i="77"/>
  <c r="AF404" i="77"/>
  <c r="AF405" i="77"/>
  <c r="AF406" i="77"/>
  <c r="AF407" i="77"/>
  <c r="AF408" i="77"/>
  <c r="AF409" i="77"/>
  <c r="AF410" i="77"/>
  <c r="AF411" i="77"/>
  <c r="AF412" i="77"/>
  <c r="AF413" i="77"/>
  <c r="AF414" i="77"/>
  <c r="AF415" i="77"/>
  <c r="AF416" i="77"/>
  <c r="AF417" i="77"/>
  <c r="AF418" i="77"/>
  <c r="AF419" i="77"/>
  <c r="AF420" i="77"/>
  <c r="AF421" i="77"/>
  <c r="AF422" i="77"/>
  <c r="AF423" i="77"/>
  <c r="AF424" i="77"/>
  <c r="AF425" i="77"/>
  <c r="AF426" i="77"/>
  <c r="AF427" i="77"/>
  <c r="AF428" i="77"/>
  <c r="AF429" i="77"/>
  <c r="AF430" i="77"/>
  <c r="AF431" i="77"/>
  <c r="AF432" i="77"/>
  <c r="AF433" i="77"/>
  <c r="AF434" i="77"/>
  <c r="AF435" i="77"/>
  <c r="AF436" i="77"/>
  <c r="AF437" i="77"/>
  <c r="AF438" i="77"/>
  <c r="AF439" i="77"/>
  <c r="AF440" i="77"/>
  <c r="AF441" i="77"/>
  <c r="AF442" i="77"/>
  <c r="AF443" i="77"/>
  <c r="AF444" i="77"/>
  <c r="AF445" i="77"/>
  <c r="AF446" i="77"/>
  <c r="AF447" i="77"/>
  <c r="AF448" i="77"/>
  <c r="AF449" i="77"/>
  <c r="AF450" i="77"/>
  <c r="AF451" i="77"/>
  <c r="AF452" i="77"/>
  <c r="AF453" i="77"/>
  <c r="AF454" i="77"/>
  <c r="AF455" i="77"/>
  <c r="AF456" i="77"/>
  <c r="AF457" i="77"/>
  <c r="AF458" i="77"/>
  <c r="AF459" i="77"/>
  <c r="AF460" i="77"/>
  <c r="AF461" i="77"/>
  <c r="AF462" i="77"/>
  <c r="AF463" i="77"/>
  <c r="AF464" i="77"/>
  <c r="AF465" i="77"/>
  <c r="AF466" i="77"/>
  <c r="AF467" i="77"/>
  <c r="AF468" i="77"/>
  <c r="AF469" i="77"/>
  <c r="AF470" i="77"/>
  <c r="AF471" i="77"/>
  <c r="AF472" i="77"/>
  <c r="AF473" i="77"/>
  <c r="AF474" i="77"/>
  <c r="AF475" i="77"/>
  <c r="AF476" i="77"/>
  <c r="AF477" i="77"/>
  <c r="AF478" i="77"/>
  <c r="AF479" i="77"/>
  <c r="AF480" i="77"/>
  <c r="AF481" i="77"/>
  <c r="AF482" i="77"/>
  <c r="AF483" i="77"/>
  <c r="AF484" i="77"/>
  <c r="AF485" i="77"/>
  <c r="AF486" i="77"/>
  <c r="AF487" i="77"/>
  <c r="AF488" i="77"/>
  <c r="AF489" i="77"/>
  <c r="AF490" i="77"/>
  <c r="AF491" i="77"/>
  <c r="AF492" i="77"/>
  <c r="AF493" i="77"/>
  <c r="AF494" i="77"/>
  <c r="AF495" i="77"/>
  <c r="AF496" i="77"/>
  <c r="AF497" i="77"/>
  <c r="AF498" i="77"/>
  <c r="AF499" i="77"/>
  <c r="AF500" i="77"/>
  <c r="AF501" i="77"/>
  <c r="AF502" i="77"/>
  <c r="AF503" i="77"/>
  <c r="AF504" i="77"/>
  <c r="AF505" i="77"/>
  <c r="AF506" i="77"/>
  <c r="AF507" i="77"/>
  <c r="AF508" i="77"/>
  <c r="AF509" i="77"/>
  <c r="AF510" i="77"/>
  <c r="AF511" i="77"/>
  <c r="AF512" i="77"/>
  <c r="AF513" i="77"/>
  <c r="AF514" i="77"/>
  <c r="AF515" i="77"/>
  <c r="AF516" i="77"/>
  <c r="AF517" i="77"/>
  <c r="AF518" i="77"/>
  <c r="AF519" i="77"/>
  <c r="AF520" i="77"/>
  <c r="AF521" i="77"/>
  <c r="AF522" i="77"/>
  <c r="AF523" i="77"/>
  <c r="AF524" i="77"/>
  <c r="AF525" i="77"/>
  <c r="AF526" i="77"/>
  <c r="AF527" i="77"/>
  <c r="AF528" i="77"/>
  <c r="AF529" i="77"/>
  <c r="AF530" i="77"/>
  <c r="AF531" i="77"/>
  <c r="AF532" i="77"/>
  <c r="AF533" i="77"/>
  <c r="AF534" i="77"/>
  <c r="AF535" i="77"/>
  <c r="AF536" i="77"/>
  <c r="AF537" i="77"/>
  <c r="AF538" i="77"/>
  <c r="AF539" i="77"/>
  <c r="AF540" i="77"/>
  <c r="AF541" i="77"/>
  <c r="AF542" i="77"/>
  <c r="AF543" i="77"/>
  <c r="AF544" i="77"/>
  <c r="AF545" i="77"/>
  <c r="AF546" i="77"/>
  <c r="AF547" i="77"/>
  <c r="AF548" i="77"/>
  <c r="AF549" i="77"/>
  <c r="AF550" i="77"/>
  <c r="AF551" i="77"/>
  <c r="AF552" i="77"/>
  <c r="AF553" i="77"/>
  <c r="AF554" i="77"/>
  <c r="AF555" i="77"/>
  <c r="AF556" i="77"/>
  <c r="AF557" i="77"/>
  <c r="AF558" i="77"/>
  <c r="AF559" i="77"/>
  <c r="AF560" i="77"/>
  <c r="AF561" i="77"/>
  <c r="AF562" i="77"/>
  <c r="AF563" i="77"/>
  <c r="AF564" i="77"/>
  <c r="AF565" i="77"/>
  <c r="AF566" i="77"/>
  <c r="AF567" i="77"/>
  <c r="AF568" i="77"/>
  <c r="AF569" i="77"/>
  <c r="AF570" i="77"/>
  <c r="AF571" i="77"/>
  <c r="AF572" i="77"/>
  <c r="AF573" i="77"/>
  <c r="AF574" i="77"/>
  <c r="AF575" i="77"/>
  <c r="AF576" i="77"/>
  <c r="AF577" i="77"/>
  <c r="AF578" i="77"/>
  <c r="AF579" i="77"/>
  <c r="AF580" i="77"/>
  <c r="AF581" i="77"/>
  <c r="AF582" i="77"/>
  <c r="AF583" i="77"/>
  <c r="AF584" i="77"/>
  <c r="AF585" i="77"/>
  <c r="AF586" i="77"/>
  <c r="AF587" i="77"/>
  <c r="AF588" i="77"/>
  <c r="AF589" i="77"/>
  <c r="AF590" i="77"/>
  <c r="AF591" i="77"/>
  <c r="AF592" i="77"/>
  <c r="AF593" i="77"/>
  <c r="AF594" i="77"/>
  <c r="AF595" i="77"/>
  <c r="AF596" i="77"/>
  <c r="AF597" i="77"/>
  <c r="AF598" i="77"/>
  <c r="AF599" i="77"/>
  <c r="AF600" i="77"/>
  <c r="AF601" i="77"/>
  <c r="AF602" i="77"/>
  <c r="AF603" i="77"/>
  <c r="AF604" i="77"/>
  <c r="AF605" i="77"/>
  <c r="AF606" i="77"/>
  <c r="AF607" i="77"/>
  <c r="AF608" i="77"/>
  <c r="AF609" i="77"/>
  <c r="AF610" i="77"/>
  <c r="AF611" i="77"/>
  <c r="AF612" i="77"/>
  <c r="AF613" i="77"/>
  <c r="AF614" i="77"/>
  <c r="AF615" i="77"/>
  <c r="AF616" i="77"/>
  <c r="AF617" i="77"/>
  <c r="AF618" i="77"/>
  <c r="AF619" i="77"/>
  <c r="AF620" i="77"/>
  <c r="AF621" i="77"/>
  <c r="AF622" i="77"/>
  <c r="AF623" i="77"/>
  <c r="AF624" i="77"/>
  <c r="AF625" i="77"/>
  <c r="AF626" i="77"/>
  <c r="AF627" i="77"/>
  <c r="AF628" i="77"/>
  <c r="AF629" i="77"/>
  <c r="AF630" i="77"/>
  <c r="AF631" i="77"/>
  <c r="AF632" i="77"/>
  <c r="AF633" i="77"/>
  <c r="AF634" i="77"/>
  <c r="AF635" i="77"/>
  <c r="AF636" i="77"/>
  <c r="AF637" i="77"/>
  <c r="AF638" i="77"/>
  <c r="AF639" i="77"/>
  <c r="AF640" i="77"/>
  <c r="AF641" i="77"/>
  <c r="AF642" i="77"/>
  <c r="AF643" i="77"/>
  <c r="AF644" i="77"/>
  <c r="AF645" i="77"/>
  <c r="AF646" i="77"/>
  <c r="AF647" i="77"/>
  <c r="AF648" i="77"/>
  <c r="AF649" i="77"/>
  <c r="AF650" i="77"/>
  <c r="AF651" i="77"/>
  <c r="AF652" i="77"/>
  <c r="AF653" i="77"/>
  <c r="AF654" i="77"/>
  <c r="AF655" i="77"/>
  <c r="AF656" i="77"/>
  <c r="AF657" i="77"/>
  <c r="AF658" i="77"/>
  <c r="AF659" i="77"/>
  <c r="AF660" i="77"/>
  <c r="AF661" i="77"/>
  <c r="AF662" i="77"/>
  <c r="AF663" i="77"/>
  <c r="AF664" i="77"/>
  <c r="AF665" i="77"/>
  <c r="AF666" i="77"/>
  <c r="AF667" i="77"/>
  <c r="AF668" i="77"/>
  <c r="AF669" i="77"/>
  <c r="AF670" i="77"/>
  <c r="AF671" i="77"/>
  <c r="AF672" i="77"/>
  <c r="AF673" i="77"/>
  <c r="AF674" i="77"/>
  <c r="AF675" i="77"/>
  <c r="AF676" i="77"/>
  <c r="AF677" i="77"/>
  <c r="AF678" i="77"/>
  <c r="AF679" i="77"/>
  <c r="AF680" i="77"/>
  <c r="AF681" i="77"/>
  <c r="AF682" i="77"/>
  <c r="AF683" i="77"/>
  <c r="AF684" i="77"/>
  <c r="AF685" i="77"/>
  <c r="AF686" i="77"/>
  <c r="AF687" i="77"/>
  <c r="AF688" i="77"/>
  <c r="AF689" i="77"/>
  <c r="AF690" i="77"/>
  <c r="AF691" i="77"/>
  <c r="AF692" i="77"/>
  <c r="AF693" i="77"/>
  <c r="AF694" i="77"/>
  <c r="AF695" i="77"/>
  <c r="AF696" i="77"/>
  <c r="AF697" i="77"/>
  <c r="AF698" i="77"/>
  <c r="AF699" i="77"/>
  <c r="AF700" i="77"/>
  <c r="AF701" i="77"/>
  <c r="AF702" i="77"/>
  <c r="AF703" i="77"/>
  <c r="AF704" i="77"/>
  <c r="AF705" i="77"/>
  <c r="AF706" i="77"/>
  <c r="AF707" i="77"/>
  <c r="AF708" i="77"/>
  <c r="AF709" i="77"/>
  <c r="AF710" i="77"/>
  <c r="AF711" i="77"/>
  <c r="AF712" i="77"/>
  <c r="AF713" i="77"/>
  <c r="AF714" i="77"/>
  <c r="AF715" i="77"/>
  <c r="AF716" i="77"/>
  <c r="AF717" i="77"/>
  <c r="AF718" i="77"/>
  <c r="AF719" i="77"/>
  <c r="AF720" i="77"/>
  <c r="AF721" i="77"/>
  <c r="AF722" i="77"/>
  <c r="AF723" i="77"/>
  <c r="AF724" i="77"/>
  <c r="AF725" i="77"/>
  <c r="AF726" i="77"/>
  <c r="AF727" i="77"/>
  <c r="AF728" i="77"/>
  <c r="AF729" i="77"/>
  <c r="AF730" i="77"/>
  <c r="AF731" i="77"/>
  <c r="AF732" i="77"/>
  <c r="AF733" i="77"/>
  <c r="AF734" i="77"/>
  <c r="AF735" i="77"/>
  <c r="AF736" i="77"/>
  <c r="AF737" i="77"/>
  <c r="AF738" i="77"/>
  <c r="AF739" i="77"/>
  <c r="AF740" i="77"/>
  <c r="AF741" i="77"/>
  <c r="AF742" i="77"/>
  <c r="AF743" i="77"/>
  <c r="AF744" i="77"/>
  <c r="AF745" i="77"/>
  <c r="AF746" i="77"/>
  <c r="AF747" i="77"/>
  <c r="AF748" i="77"/>
  <c r="AF749" i="77"/>
  <c r="AF750" i="77"/>
  <c r="AF751" i="77"/>
  <c r="AF752" i="77"/>
  <c r="AF753" i="77"/>
  <c r="AF754" i="77"/>
  <c r="AF755" i="77"/>
  <c r="AF756" i="77"/>
  <c r="AF757" i="77"/>
  <c r="AF758" i="77"/>
  <c r="AF759" i="77"/>
  <c r="AF760" i="77"/>
  <c r="AF761" i="77"/>
  <c r="AF762" i="77"/>
  <c r="AF763" i="77"/>
  <c r="AF764" i="77"/>
  <c r="AF765" i="77"/>
  <c r="AF766" i="77"/>
  <c r="AF767" i="77"/>
  <c r="AF768" i="77"/>
  <c r="AF769" i="77"/>
  <c r="AF770" i="77"/>
  <c r="AF771" i="77"/>
  <c r="AF772" i="77"/>
  <c r="AF773" i="77"/>
  <c r="AF774" i="77"/>
  <c r="AF775" i="77"/>
  <c r="AF776" i="77"/>
  <c r="AF777" i="77"/>
  <c r="AF778" i="77"/>
  <c r="AF779" i="77"/>
  <c r="AF780" i="77"/>
  <c r="AF781" i="77"/>
  <c r="AF782" i="77"/>
  <c r="AF783" i="77"/>
  <c r="AF784" i="77"/>
  <c r="AF785" i="77"/>
  <c r="AF786" i="77"/>
  <c r="AF787" i="77"/>
  <c r="AF788" i="77"/>
  <c r="AF789" i="77"/>
  <c r="AF790" i="77"/>
  <c r="AF791" i="77"/>
  <c r="AF792" i="77"/>
  <c r="AF793" i="77"/>
  <c r="AF794" i="77"/>
  <c r="AF795" i="77"/>
  <c r="AF796" i="77"/>
  <c r="AF797" i="77"/>
  <c r="AF798" i="77"/>
  <c r="AF799" i="77"/>
  <c r="AF800" i="77"/>
  <c r="AF801" i="77"/>
  <c r="AF802" i="77"/>
  <c r="AF803" i="77"/>
  <c r="AF804" i="77"/>
  <c r="AF805" i="77"/>
  <c r="AF806" i="77"/>
  <c r="AF807" i="77"/>
  <c r="AF808" i="77"/>
  <c r="AF809" i="77"/>
  <c r="AF810" i="77"/>
  <c r="AF811" i="77"/>
  <c r="AF812" i="77"/>
  <c r="AF813" i="77"/>
  <c r="AF814" i="77"/>
  <c r="AF815" i="77"/>
  <c r="AF816" i="77"/>
  <c r="AF817" i="77"/>
  <c r="AF818" i="77"/>
  <c r="AF819" i="77"/>
  <c r="AF820" i="77"/>
  <c r="AF821" i="77"/>
  <c r="AF822" i="77"/>
  <c r="AF823" i="77"/>
  <c r="AF824" i="77"/>
  <c r="AF825" i="77"/>
  <c r="AF826" i="77"/>
  <c r="AF827" i="77"/>
  <c r="AF828" i="77"/>
  <c r="AF829" i="77"/>
  <c r="AF830" i="77"/>
  <c r="AF831" i="77"/>
  <c r="AF832" i="77"/>
  <c r="AF833" i="77"/>
  <c r="AF834" i="77"/>
  <c r="AF835" i="77"/>
  <c r="AF836" i="77"/>
  <c r="AF837" i="77"/>
  <c r="AF838" i="77"/>
  <c r="AF839" i="77"/>
  <c r="AF840" i="77"/>
  <c r="AF841" i="77"/>
  <c r="AF842" i="77"/>
  <c r="AF843" i="77"/>
  <c r="AF844" i="77"/>
  <c r="AF845" i="77"/>
  <c r="AF846" i="77"/>
  <c r="AF847" i="77"/>
  <c r="AF848" i="77"/>
  <c r="AF849" i="77"/>
  <c r="AF850" i="77"/>
  <c r="AF851" i="77"/>
  <c r="AF852" i="77"/>
  <c r="AF853" i="77"/>
  <c r="AF854" i="77"/>
  <c r="AF855" i="77"/>
  <c r="AF856" i="77"/>
  <c r="AF857" i="77"/>
  <c r="AF858" i="77"/>
  <c r="AF859" i="77"/>
  <c r="AF860" i="77"/>
  <c r="AF861" i="77"/>
  <c r="AF862" i="77"/>
  <c r="AF863" i="77"/>
  <c r="AF864" i="77"/>
  <c r="AF865" i="77"/>
  <c r="AF866" i="77"/>
  <c r="AF867" i="77"/>
  <c r="AF868" i="77"/>
  <c r="AF869" i="77"/>
  <c r="AF870" i="77"/>
  <c r="AF871" i="77"/>
  <c r="AF872" i="77"/>
  <c r="AF873" i="77"/>
  <c r="AF874" i="77"/>
  <c r="AF875" i="77"/>
  <c r="AF876" i="77"/>
  <c r="AF877" i="77"/>
  <c r="AF878" i="77"/>
  <c r="AF879" i="77"/>
  <c r="AF880" i="77"/>
  <c r="AF881" i="77"/>
  <c r="AF882" i="77"/>
  <c r="AF883" i="77"/>
  <c r="AF884" i="77"/>
  <c r="AF885" i="77"/>
  <c r="AF886" i="77"/>
  <c r="AF887" i="77"/>
  <c r="AF888" i="77"/>
  <c r="AF889" i="77"/>
  <c r="AF890" i="77"/>
  <c r="AF891" i="77"/>
  <c r="AF892" i="77"/>
  <c r="AF893" i="77"/>
  <c r="AF894" i="77"/>
  <c r="AF895" i="77"/>
  <c r="AF896" i="77"/>
  <c r="AF897" i="77"/>
  <c r="AF898" i="77"/>
  <c r="AF899" i="77"/>
  <c r="AF900" i="77"/>
  <c r="AF901" i="77"/>
  <c r="AF902" i="77"/>
  <c r="AF903" i="77"/>
  <c r="AF904" i="77"/>
  <c r="AF905" i="77"/>
  <c r="AF906" i="77"/>
  <c r="AF907" i="77"/>
  <c r="AF908" i="77"/>
  <c r="AF909" i="77"/>
  <c r="AF910" i="77"/>
  <c r="AF911" i="77"/>
  <c r="AF912" i="77"/>
  <c r="AF913" i="77"/>
  <c r="AF914" i="77"/>
  <c r="AF915" i="77"/>
  <c r="AF916" i="77"/>
  <c r="AF917" i="77"/>
  <c r="AF918" i="77"/>
  <c r="AF919" i="77"/>
  <c r="AF920" i="77"/>
  <c r="AF921" i="77"/>
  <c r="AF922" i="77"/>
  <c r="AF923" i="77"/>
  <c r="AF924" i="77"/>
  <c r="AF925" i="77"/>
  <c r="AF926" i="77"/>
  <c r="AF927" i="77"/>
  <c r="AF928" i="77"/>
  <c r="AF929" i="77"/>
  <c r="AF930" i="77"/>
  <c r="AF931" i="77"/>
  <c r="AF932" i="77"/>
  <c r="AF933" i="77"/>
  <c r="AF934" i="77"/>
  <c r="AF935" i="77"/>
  <c r="AF936" i="77"/>
  <c r="AF937" i="77"/>
  <c r="AF938" i="77"/>
  <c r="AF939" i="77"/>
  <c r="AF940" i="77"/>
  <c r="AF941" i="77"/>
  <c r="AF942" i="77"/>
  <c r="AF943" i="77"/>
  <c r="AF944" i="77"/>
  <c r="AF945" i="77"/>
  <c r="AF946" i="77"/>
  <c r="AF947" i="77"/>
  <c r="AF948" i="77"/>
  <c r="AF949" i="77"/>
  <c r="AF950" i="77"/>
  <c r="AF951" i="77"/>
  <c r="AF952" i="77"/>
  <c r="AF953" i="77"/>
  <c r="AF954" i="77"/>
  <c r="AF955" i="77"/>
  <c r="AF956" i="77"/>
  <c r="AF957" i="77"/>
  <c r="AF958" i="77"/>
  <c r="AF959" i="77"/>
  <c r="AF960" i="77"/>
  <c r="AF961" i="77"/>
  <c r="AF962" i="77"/>
  <c r="AF963" i="77"/>
  <c r="AF964" i="77"/>
  <c r="AF965" i="77"/>
  <c r="AF966" i="77"/>
  <c r="AF967" i="77"/>
  <c r="AF968" i="77"/>
  <c r="AF969" i="77"/>
  <c r="AF970" i="77"/>
  <c r="AF971" i="77"/>
  <c r="AF972" i="77"/>
  <c r="AF973" i="77"/>
  <c r="AF974" i="77"/>
  <c r="AF975" i="77"/>
  <c r="AF976" i="77"/>
  <c r="AF977" i="77"/>
  <c r="AF978" i="77"/>
  <c r="AF979" i="77"/>
  <c r="AF980" i="77"/>
  <c r="AF981" i="77"/>
  <c r="AF982" i="77"/>
  <c r="AF983" i="77"/>
  <c r="AF984" i="77"/>
  <c r="AF985" i="77"/>
  <c r="AF986" i="77"/>
  <c r="AF987" i="77"/>
  <c r="AF988" i="77"/>
  <c r="AF989" i="77"/>
  <c r="AF990" i="77"/>
  <c r="AF991" i="77"/>
  <c r="AF992" i="77"/>
  <c r="AF993" i="77"/>
  <c r="AF994" i="77"/>
  <c r="AF995" i="77"/>
  <c r="AF996" i="77"/>
  <c r="AF997" i="77"/>
  <c r="AF998" i="77"/>
  <c r="AF999" i="77"/>
  <c r="AF1000" i="77"/>
  <c r="AF1001" i="77"/>
  <c r="AF1002" i="77"/>
  <c r="AF1003" i="77"/>
  <c r="AF1004" i="77"/>
  <c r="AF1005" i="77"/>
  <c r="AF1006" i="77"/>
  <c r="AF1007" i="77"/>
  <c r="AF1008" i="77"/>
  <c r="AF1009" i="77"/>
  <c r="AF1010" i="77"/>
  <c r="AF1011" i="77"/>
  <c r="AF1012" i="77"/>
  <c r="AF1013" i="77"/>
  <c r="AF1014" i="77"/>
  <c r="AF1015" i="77"/>
  <c r="AF1016" i="77"/>
  <c r="AF1017" i="77"/>
  <c r="AF1018" i="77"/>
  <c r="AF1019" i="77"/>
  <c r="AF1020" i="77"/>
  <c r="AF1021" i="77"/>
  <c r="AF1022" i="77"/>
  <c r="AF1023" i="77"/>
  <c r="AF1024" i="77"/>
  <c r="AF1025" i="77"/>
  <c r="AF1026" i="77"/>
  <c r="AF1027" i="77"/>
  <c r="AF1028" i="77"/>
  <c r="AF1029" i="77"/>
  <c r="AF1030" i="77"/>
  <c r="AF1031" i="77"/>
  <c r="AF1032" i="77"/>
  <c r="AF1033" i="77"/>
  <c r="AF1034" i="77"/>
  <c r="AF1035" i="77"/>
  <c r="AF1036" i="77"/>
  <c r="AF1037" i="77"/>
  <c r="AF1038" i="77"/>
  <c r="AF1039" i="77"/>
  <c r="AF1040" i="77"/>
  <c r="AF1041" i="77"/>
  <c r="AF1042" i="77"/>
  <c r="AE6" i="77"/>
  <c r="AE7" i="77"/>
  <c r="AE8" i="77"/>
  <c r="AE9" i="77"/>
  <c r="AE10" i="77"/>
  <c r="AE11" i="77"/>
  <c r="AE12" i="77"/>
  <c r="AE13" i="77"/>
  <c r="AE14" i="77"/>
  <c r="AE15" i="77"/>
  <c r="AE16" i="77"/>
  <c r="AE17" i="77"/>
  <c r="AE18" i="77"/>
  <c r="AE19" i="77"/>
  <c r="AE20" i="77"/>
  <c r="AE21" i="77"/>
  <c r="AE22" i="77"/>
  <c r="AE23" i="77"/>
  <c r="AE24" i="77"/>
  <c r="AE25" i="77"/>
  <c r="AE26" i="77"/>
  <c r="AE27" i="77"/>
  <c r="AE28" i="77"/>
  <c r="AE29" i="77"/>
  <c r="AE30" i="77"/>
  <c r="AE31" i="77"/>
  <c r="AE32" i="77"/>
  <c r="AE33" i="77"/>
  <c r="AE34" i="77"/>
  <c r="AE35" i="77"/>
  <c r="AE36" i="77"/>
  <c r="AE37" i="77"/>
  <c r="AE38" i="77"/>
  <c r="AE39" i="77"/>
  <c r="AE40" i="77"/>
  <c r="AE41" i="77"/>
  <c r="AE42" i="77"/>
  <c r="AE43" i="77"/>
  <c r="AE44" i="77"/>
  <c r="AE45" i="77"/>
  <c r="AE46" i="77"/>
  <c r="AE47" i="77"/>
  <c r="AE48" i="77"/>
  <c r="AE49" i="77"/>
  <c r="AE50" i="77"/>
  <c r="AE51" i="77"/>
  <c r="AE52" i="77"/>
  <c r="AE53" i="77"/>
  <c r="AE54" i="77"/>
  <c r="AE55" i="77"/>
  <c r="AE56" i="77"/>
  <c r="AE57" i="77"/>
  <c r="AE58" i="77"/>
  <c r="AE59" i="77"/>
  <c r="AE60" i="77"/>
  <c r="AE61" i="77"/>
  <c r="AE62" i="77"/>
  <c r="AE63" i="77"/>
  <c r="AE64" i="77"/>
  <c r="AE65" i="77"/>
  <c r="AE66" i="77"/>
  <c r="AE67" i="77"/>
  <c r="AE68" i="77"/>
  <c r="AE69" i="77"/>
  <c r="AE70" i="77"/>
  <c r="AE71" i="77"/>
  <c r="AE72" i="77"/>
  <c r="AE73" i="77"/>
  <c r="AE74" i="77"/>
  <c r="AE75" i="77"/>
  <c r="AE76" i="77"/>
  <c r="AE77" i="77"/>
  <c r="AE78" i="77"/>
  <c r="AE79" i="77"/>
  <c r="AE80" i="77"/>
  <c r="AE81" i="77"/>
  <c r="AE82" i="77"/>
  <c r="AE83" i="77"/>
  <c r="AE84" i="77"/>
  <c r="AE85" i="77"/>
  <c r="AE86" i="77"/>
  <c r="AE87" i="77"/>
  <c r="AE88" i="77"/>
  <c r="AE89" i="77"/>
  <c r="AE90" i="77"/>
  <c r="AE91" i="77"/>
  <c r="AE92" i="77"/>
  <c r="AE93" i="77"/>
  <c r="AE94" i="77"/>
  <c r="AE95" i="77"/>
  <c r="AE96" i="77"/>
  <c r="AE97" i="77"/>
  <c r="AE98" i="77"/>
  <c r="AE99" i="77"/>
  <c r="AE100" i="77"/>
  <c r="AE101" i="77"/>
  <c r="AE102" i="77"/>
  <c r="AE103" i="77"/>
  <c r="AE104" i="77"/>
  <c r="AE105" i="77"/>
  <c r="AE106" i="77"/>
  <c r="AE107" i="77"/>
  <c r="AE108" i="77"/>
  <c r="AE109" i="77"/>
  <c r="AE110" i="77"/>
  <c r="AE111" i="77"/>
  <c r="AE112" i="77"/>
  <c r="AE113" i="77"/>
  <c r="AE114" i="77"/>
  <c r="AE115" i="77"/>
  <c r="AE116" i="77"/>
  <c r="AE117" i="77"/>
  <c r="AE118" i="77"/>
  <c r="AE119" i="77"/>
  <c r="AE120" i="77"/>
  <c r="AE121" i="77"/>
  <c r="AE122" i="77"/>
  <c r="AE123" i="77"/>
  <c r="AE124" i="77"/>
  <c r="AE125" i="77"/>
  <c r="AE126" i="77"/>
  <c r="AE127" i="77"/>
  <c r="AE128" i="77"/>
  <c r="AE129" i="77"/>
  <c r="AE130" i="77"/>
  <c r="AE131" i="77"/>
  <c r="AE132" i="77"/>
  <c r="AE133" i="77"/>
  <c r="AE134" i="77"/>
  <c r="AE135" i="77"/>
  <c r="AE136" i="77"/>
  <c r="AE137" i="77"/>
  <c r="AE138" i="77"/>
  <c r="AE139" i="77"/>
  <c r="AE140" i="77"/>
  <c r="AE141" i="77"/>
  <c r="AE142" i="77"/>
  <c r="AE143" i="77"/>
  <c r="AE144" i="77"/>
  <c r="AE145" i="77"/>
  <c r="AE146" i="77"/>
  <c r="AE147" i="77"/>
  <c r="AE148" i="77"/>
  <c r="AE149" i="77"/>
  <c r="AE150" i="77"/>
  <c r="AE151" i="77"/>
  <c r="AE152" i="77"/>
  <c r="AE153" i="77"/>
  <c r="AE154" i="77"/>
  <c r="AE155" i="77"/>
  <c r="AE156" i="77"/>
  <c r="AE157" i="77"/>
  <c r="AE158" i="77"/>
  <c r="AE159" i="77"/>
  <c r="AE160" i="77"/>
  <c r="AE161" i="77"/>
  <c r="AE162" i="77"/>
  <c r="AE163" i="77"/>
  <c r="AE164" i="77"/>
  <c r="AE165" i="77"/>
  <c r="AE166" i="77"/>
  <c r="AE167" i="77"/>
  <c r="AE168" i="77"/>
  <c r="AE169" i="77"/>
  <c r="AE170" i="77"/>
  <c r="AE171" i="77"/>
  <c r="AE172" i="77"/>
  <c r="AE173" i="77"/>
  <c r="AE174" i="77"/>
  <c r="AE175" i="77"/>
  <c r="AE176" i="77"/>
  <c r="AE177" i="77"/>
  <c r="AE178" i="77"/>
  <c r="AE179" i="77"/>
  <c r="AE180" i="77"/>
  <c r="AE181" i="77"/>
  <c r="AE182" i="77"/>
  <c r="AE183" i="77"/>
  <c r="AE184" i="77"/>
  <c r="AE185" i="77"/>
  <c r="AE186" i="77"/>
  <c r="AE187" i="77"/>
  <c r="AE188" i="77"/>
  <c r="AE189" i="77"/>
  <c r="AE190" i="77"/>
  <c r="AE191" i="77"/>
  <c r="AE192" i="77"/>
  <c r="AE193" i="77"/>
  <c r="AE194" i="77"/>
  <c r="AE195" i="77"/>
  <c r="AE196" i="77"/>
  <c r="AE197" i="77"/>
  <c r="AE198" i="77"/>
  <c r="AE199" i="77"/>
  <c r="AE200" i="77"/>
  <c r="AE201" i="77"/>
  <c r="AE202" i="77"/>
  <c r="AE203" i="77"/>
  <c r="AE204" i="77"/>
  <c r="AE205" i="77"/>
  <c r="AE206" i="77"/>
  <c r="AE207" i="77"/>
  <c r="AE208" i="77"/>
  <c r="AE209" i="77"/>
  <c r="AE210" i="77"/>
  <c r="AE211" i="77"/>
  <c r="AE212" i="77"/>
  <c r="AE213" i="77"/>
  <c r="AE214" i="77"/>
  <c r="AE215" i="77"/>
  <c r="AE216" i="77"/>
  <c r="AE217" i="77"/>
  <c r="AE218" i="77"/>
  <c r="AE219" i="77"/>
  <c r="AE220" i="77"/>
  <c r="AE221" i="77"/>
  <c r="AE222" i="77"/>
  <c r="AE223" i="77"/>
  <c r="AE224" i="77"/>
  <c r="AE225" i="77"/>
  <c r="AE226" i="77"/>
  <c r="AE227" i="77"/>
  <c r="AE228" i="77"/>
  <c r="AE229" i="77"/>
  <c r="AE230" i="77"/>
  <c r="AE231" i="77"/>
  <c r="AE232" i="77"/>
  <c r="AE233" i="77"/>
  <c r="AE234" i="77"/>
  <c r="AE235" i="77"/>
  <c r="AE236" i="77"/>
  <c r="AE237" i="77"/>
  <c r="AE238" i="77"/>
  <c r="AE239" i="77"/>
  <c r="AE240" i="77"/>
  <c r="AE241" i="77"/>
  <c r="AE242" i="77"/>
  <c r="AE243" i="77"/>
  <c r="AE244" i="77"/>
  <c r="AE245" i="77"/>
  <c r="AE246" i="77"/>
  <c r="AE247" i="77"/>
  <c r="AE248" i="77"/>
  <c r="AE249" i="77"/>
  <c r="AE250" i="77"/>
  <c r="AE251" i="77"/>
  <c r="AE252" i="77"/>
  <c r="AE253" i="77"/>
  <c r="AE254" i="77"/>
  <c r="AE255" i="77"/>
  <c r="AE256" i="77"/>
  <c r="AE257" i="77"/>
  <c r="AE258" i="77"/>
  <c r="AE259" i="77"/>
  <c r="AE260" i="77"/>
  <c r="AE261" i="77"/>
  <c r="AE262" i="77"/>
  <c r="AE263" i="77"/>
  <c r="AE264" i="77"/>
  <c r="AE265" i="77"/>
  <c r="AE266" i="77"/>
  <c r="AE267" i="77"/>
  <c r="AE268" i="77"/>
  <c r="AE269" i="77"/>
  <c r="AE270" i="77"/>
  <c r="AE271" i="77"/>
  <c r="AE272" i="77"/>
  <c r="AE273" i="77"/>
  <c r="AE274" i="77"/>
  <c r="AE275" i="77"/>
  <c r="AE276" i="77"/>
  <c r="AE277" i="77"/>
  <c r="AE278" i="77"/>
  <c r="AE279" i="77"/>
  <c r="AE280" i="77"/>
  <c r="AE281" i="77"/>
  <c r="AE282" i="77"/>
  <c r="AE283" i="77"/>
  <c r="AE284" i="77"/>
  <c r="AE285" i="77"/>
  <c r="AE286" i="77"/>
  <c r="AE287" i="77"/>
  <c r="AE288" i="77"/>
  <c r="AE289" i="77"/>
  <c r="AE290" i="77"/>
  <c r="AE291" i="77"/>
  <c r="AE292" i="77"/>
  <c r="AE293" i="77"/>
  <c r="AE294" i="77"/>
  <c r="AE295" i="77"/>
  <c r="AE296" i="77"/>
  <c r="AE297" i="77"/>
  <c r="AE298" i="77"/>
  <c r="AE299" i="77"/>
  <c r="AE300" i="77"/>
  <c r="AE301" i="77"/>
  <c r="AE302" i="77"/>
  <c r="AE303" i="77"/>
  <c r="AE304" i="77"/>
  <c r="AE305" i="77"/>
  <c r="AE306" i="77"/>
  <c r="AE307" i="77"/>
  <c r="AE308" i="77"/>
  <c r="AE309" i="77"/>
  <c r="AE310" i="77"/>
  <c r="AE311" i="77"/>
  <c r="AE312" i="77"/>
  <c r="AE313" i="77"/>
  <c r="AE314" i="77"/>
  <c r="AE315" i="77"/>
  <c r="AE316" i="77"/>
  <c r="AE317" i="77"/>
  <c r="AE318" i="77"/>
  <c r="AE319" i="77"/>
  <c r="AE320" i="77"/>
  <c r="AE321" i="77"/>
  <c r="AE322" i="77"/>
  <c r="AE323" i="77"/>
  <c r="AE324" i="77"/>
  <c r="AE325" i="77"/>
  <c r="AE326" i="77"/>
  <c r="AE327" i="77"/>
  <c r="AE328" i="77"/>
  <c r="AE329" i="77"/>
  <c r="AE330" i="77"/>
  <c r="AE331" i="77"/>
  <c r="AE332" i="77"/>
  <c r="AE333" i="77"/>
  <c r="AE334" i="77"/>
  <c r="AE335" i="77"/>
  <c r="AE336" i="77"/>
  <c r="AE337" i="77"/>
  <c r="AE338" i="77"/>
  <c r="AE339" i="77"/>
  <c r="AE340" i="77"/>
  <c r="AE341" i="77"/>
  <c r="AE342" i="77"/>
  <c r="AE343" i="77"/>
  <c r="AE344" i="77"/>
  <c r="AE345" i="77"/>
  <c r="AE346" i="77"/>
  <c r="AE347" i="77"/>
  <c r="AE348" i="77"/>
  <c r="AE349" i="77"/>
  <c r="AE350" i="77"/>
  <c r="AE351" i="77"/>
  <c r="AE352" i="77"/>
  <c r="AE353" i="77"/>
  <c r="AE354" i="77"/>
  <c r="AE355" i="77"/>
  <c r="AE356" i="77"/>
  <c r="AE357" i="77"/>
  <c r="AE358" i="77"/>
  <c r="AE359" i="77"/>
  <c r="AE360" i="77"/>
  <c r="AE361" i="77"/>
  <c r="AE362" i="77"/>
  <c r="AE363" i="77"/>
  <c r="AE364" i="77"/>
  <c r="AE365" i="77"/>
  <c r="AE366" i="77"/>
  <c r="AE367" i="77"/>
  <c r="AE368" i="77"/>
  <c r="AE369" i="77"/>
  <c r="AE370" i="77"/>
  <c r="AE371" i="77"/>
  <c r="AE372" i="77"/>
  <c r="AE373" i="77"/>
  <c r="AE374" i="77"/>
  <c r="AE375" i="77"/>
  <c r="AE376" i="77"/>
  <c r="AE377" i="77"/>
  <c r="AE378" i="77"/>
  <c r="AE379" i="77"/>
  <c r="AE380" i="77"/>
  <c r="AE381" i="77"/>
  <c r="AE382" i="77"/>
  <c r="AE383" i="77"/>
  <c r="AE384" i="77"/>
  <c r="AE385" i="77"/>
  <c r="AE386" i="77"/>
  <c r="AE387" i="77"/>
  <c r="AE388" i="77"/>
  <c r="AE389" i="77"/>
  <c r="AE390" i="77"/>
  <c r="AE391" i="77"/>
  <c r="AE392" i="77"/>
  <c r="AE393" i="77"/>
  <c r="AE394" i="77"/>
  <c r="AE395" i="77"/>
  <c r="AE396" i="77"/>
  <c r="AE397" i="77"/>
  <c r="AE398" i="77"/>
  <c r="AE399" i="77"/>
  <c r="AE400" i="77"/>
  <c r="AE401" i="77"/>
  <c r="AE402" i="77"/>
  <c r="AE403" i="77"/>
  <c r="AE404" i="77"/>
  <c r="AE405" i="77"/>
  <c r="AE406" i="77"/>
  <c r="AE407" i="77"/>
  <c r="AE408" i="77"/>
  <c r="AE409" i="77"/>
  <c r="AE410" i="77"/>
  <c r="AE411" i="77"/>
  <c r="AE412" i="77"/>
  <c r="AE413" i="77"/>
  <c r="AE414" i="77"/>
  <c r="AE415" i="77"/>
  <c r="AE416" i="77"/>
  <c r="AE417" i="77"/>
  <c r="AE418" i="77"/>
  <c r="AE419" i="77"/>
  <c r="AE420" i="77"/>
  <c r="AE421" i="77"/>
  <c r="AE422" i="77"/>
  <c r="AE423" i="77"/>
  <c r="AE424" i="77"/>
  <c r="AE425" i="77"/>
  <c r="AE426" i="77"/>
  <c r="AE427" i="77"/>
  <c r="AE428" i="77"/>
  <c r="AE429" i="77"/>
  <c r="AE430" i="77"/>
  <c r="AE431" i="77"/>
  <c r="AE432" i="77"/>
  <c r="AE433" i="77"/>
  <c r="AE434" i="77"/>
  <c r="AE435" i="77"/>
  <c r="AE436" i="77"/>
  <c r="AE437" i="77"/>
  <c r="AE438" i="77"/>
  <c r="AE439" i="77"/>
  <c r="AE440" i="77"/>
  <c r="AE441" i="77"/>
  <c r="AE442" i="77"/>
  <c r="AE443" i="77"/>
  <c r="AE444" i="77"/>
  <c r="AE445" i="77"/>
  <c r="AE446" i="77"/>
  <c r="AE447" i="77"/>
  <c r="AE448" i="77"/>
  <c r="AE449" i="77"/>
  <c r="AE450" i="77"/>
  <c r="AE451" i="77"/>
  <c r="AE452" i="77"/>
  <c r="AE453" i="77"/>
  <c r="AE454" i="77"/>
  <c r="AE455" i="77"/>
  <c r="AE456" i="77"/>
  <c r="AE457" i="77"/>
  <c r="AE458" i="77"/>
  <c r="AE459" i="77"/>
  <c r="AE460" i="77"/>
  <c r="AE461" i="77"/>
  <c r="AE462" i="77"/>
  <c r="AE463" i="77"/>
  <c r="AE464" i="77"/>
  <c r="AE465" i="77"/>
  <c r="AE466" i="77"/>
  <c r="AE467" i="77"/>
  <c r="AE468" i="77"/>
  <c r="AE469" i="77"/>
  <c r="AE470" i="77"/>
  <c r="AE471" i="77"/>
  <c r="AE472" i="77"/>
  <c r="AE473" i="77"/>
  <c r="AE474" i="77"/>
  <c r="AE475" i="77"/>
  <c r="AE476" i="77"/>
  <c r="AE477" i="77"/>
  <c r="AE478" i="77"/>
  <c r="AE479" i="77"/>
  <c r="AE480" i="77"/>
  <c r="AE481" i="77"/>
  <c r="AE482" i="77"/>
  <c r="AE483" i="77"/>
  <c r="AE484" i="77"/>
  <c r="AE485" i="77"/>
  <c r="AE486" i="77"/>
  <c r="AE487" i="77"/>
  <c r="AE488" i="77"/>
  <c r="AE489" i="77"/>
  <c r="AE490" i="77"/>
  <c r="AE491" i="77"/>
  <c r="AE492" i="77"/>
  <c r="AE493" i="77"/>
  <c r="AE494" i="77"/>
  <c r="AE495" i="77"/>
  <c r="AE496" i="77"/>
  <c r="AE497" i="77"/>
  <c r="AE498" i="77"/>
  <c r="AE499" i="77"/>
  <c r="AE500" i="77"/>
  <c r="AE501" i="77"/>
  <c r="AE502" i="77"/>
  <c r="AE503" i="77"/>
  <c r="AE504" i="77"/>
  <c r="AE505" i="77"/>
  <c r="AE506" i="77"/>
  <c r="AE507" i="77"/>
  <c r="AE508" i="77"/>
  <c r="AE509" i="77"/>
  <c r="AE510" i="77"/>
  <c r="AE511" i="77"/>
  <c r="AE512" i="77"/>
  <c r="AE513" i="77"/>
  <c r="AE514" i="77"/>
  <c r="AE515" i="77"/>
  <c r="AE516" i="77"/>
  <c r="AE517" i="77"/>
  <c r="AE518" i="77"/>
  <c r="AE519" i="77"/>
  <c r="AE520" i="77"/>
  <c r="AE521" i="77"/>
  <c r="AE522" i="77"/>
  <c r="AE523" i="77"/>
  <c r="AE524" i="77"/>
  <c r="AE525" i="77"/>
  <c r="AE526" i="77"/>
  <c r="AE527" i="77"/>
  <c r="AE528" i="77"/>
  <c r="AE529" i="77"/>
  <c r="AE530" i="77"/>
  <c r="AE531" i="77"/>
  <c r="AE532" i="77"/>
  <c r="AE533" i="77"/>
  <c r="AE534" i="77"/>
  <c r="AE535" i="77"/>
  <c r="AE536" i="77"/>
  <c r="AE537" i="77"/>
  <c r="AE538" i="77"/>
  <c r="AE539" i="77"/>
  <c r="AE540" i="77"/>
  <c r="AE541" i="77"/>
  <c r="AE542" i="77"/>
  <c r="AE543" i="77"/>
  <c r="AE544" i="77"/>
  <c r="AE545" i="77"/>
  <c r="AE546" i="77"/>
  <c r="AE547" i="77"/>
  <c r="AE548" i="77"/>
  <c r="AE549" i="77"/>
  <c r="AE550" i="77"/>
  <c r="AE551" i="77"/>
  <c r="AE552" i="77"/>
  <c r="AE553" i="77"/>
  <c r="AE554" i="77"/>
  <c r="AE555" i="77"/>
  <c r="AE556" i="77"/>
  <c r="AE557" i="77"/>
  <c r="AE558" i="77"/>
  <c r="AE559" i="77"/>
  <c r="AE560" i="77"/>
  <c r="AE561" i="77"/>
  <c r="AE562" i="77"/>
  <c r="AE563" i="77"/>
  <c r="AE564" i="77"/>
  <c r="AE565" i="77"/>
  <c r="AE566" i="77"/>
  <c r="AE567" i="77"/>
  <c r="AE568" i="77"/>
  <c r="AE569" i="77"/>
  <c r="AE570" i="77"/>
  <c r="AE571" i="77"/>
  <c r="AE572" i="77"/>
  <c r="AE573" i="77"/>
  <c r="AE574" i="77"/>
  <c r="AE575" i="77"/>
  <c r="AE576" i="77"/>
  <c r="AE577" i="77"/>
  <c r="AE578" i="77"/>
  <c r="AE579" i="77"/>
  <c r="AE580" i="77"/>
  <c r="AE581" i="77"/>
  <c r="AE582" i="77"/>
  <c r="AE583" i="77"/>
  <c r="AE584" i="77"/>
  <c r="AE585" i="77"/>
  <c r="AE586" i="77"/>
  <c r="AE587" i="77"/>
  <c r="AE588" i="77"/>
  <c r="AE589" i="77"/>
  <c r="AE590" i="77"/>
  <c r="AE591" i="77"/>
  <c r="AE592" i="77"/>
  <c r="AE593" i="77"/>
  <c r="AE594" i="77"/>
  <c r="AE595" i="77"/>
  <c r="AE596" i="77"/>
  <c r="AE597" i="77"/>
  <c r="AE598" i="77"/>
  <c r="AE599" i="77"/>
  <c r="AE600" i="77"/>
  <c r="AE601" i="77"/>
  <c r="AE602" i="77"/>
  <c r="AE603" i="77"/>
  <c r="AE604" i="77"/>
  <c r="AE605" i="77"/>
  <c r="AE606" i="77"/>
  <c r="AE607" i="77"/>
  <c r="AE608" i="77"/>
  <c r="AE609" i="77"/>
  <c r="AE610" i="77"/>
  <c r="AE611" i="77"/>
  <c r="AE612" i="77"/>
  <c r="AE613" i="77"/>
  <c r="AE614" i="77"/>
  <c r="AE615" i="77"/>
  <c r="AE616" i="77"/>
  <c r="AE617" i="77"/>
  <c r="AE618" i="77"/>
  <c r="AE619" i="77"/>
  <c r="AE620" i="77"/>
  <c r="AE621" i="77"/>
  <c r="AE622" i="77"/>
  <c r="AE623" i="77"/>
  <c r="AE624" i="77"/>
  <c r="AE625" i="77"/>
  <c r="AE626" i="77"/>
  <c r="AE627" i="77"/>
  <c r="AE628" i="77"/>
  <c r="AE629" i="77"/>
  <c r="AE630" i="77"/>
  <c r="AE631" i="77"/>
  <c r="AE632" i="77"/>
  <c r="AE633" i="77"/>
  <c r="AE634" i="77"/>
  <c r="AE635" i="77"/>
  <c r="AE636" i="77"/>
  <c r="AE637" i="77"/>
  <c r="AE638" i="77"/>
  <c r="AE639" i="77"/>
  <c r="AE640" i="77"/>
  <c r="AE641" i="77"/>
  <c r="AE642" i="77"/>
  <c r="AE643" i="77"/>
  <c r="AE644" i="77"/>
  <c r="AE645" i="77"/>
  <c r="AE646" i="77"/>
  <c r="AE647" i="77"/>
  <c r="AE648" i="77"/>
  <c r="AE649" i="77"/>
  <c r="AE650" i="77"/>
  <c r="AE651" i="77"/>
  <c r="AE652" i="77"/>
  <c r="AE653" i="77"/>
  <c r="AE654" i="77"/>
  <c r="AE655" i="77"/>
  <c r="AE656" i="77"/>
  <c r="AE657" i="77"/>
  <c r="AE658" i="77"/>
  <c r="AE659" i="77"/>
  <c r="AE660" i="77"/>
  <c r="AE661" i="77"/>
  <c r="AE662" i="77"/>
  <c r="AE663" i="77"/>
  <c r="AE664" i="77"/>
  <c r="AE665" i="77"/>
  <c r="AE666" i="77"/>
  <c r="AE667" i="77"/>
  <c r="AE668" i="77"/>
  <c r="AE669" i="77"/>
  <c r="AE670" i="77"/>
  <c r="AE671" i="77"/>
  <c r="AE672" i="77"/>
  <c r="AE673" i="77"/>
  <c r="AE674" i="77"/>
  <c r="AE675" i="77"/>
  <c r="AE676" i="77"/>
  <c r="AE677" i="77"/>
  <c r="AE678" i="77"/>
  <c r="AE679" i="77"/>
  <c r="AE680" i="77"/>
  <c r="AE681" i="77"/>
  <c r="AE682" i="77"/>
  <c r="AE683" i="77"/>
  <c r="AE684" i="77"/>
  <c r="AE685" i="77"/>
  <c r="AE686" i="77"/>
  <c r="AE687" i="77"/>
  <c r="AE688" i="77"/>
  <c r="AE689" i="77"/>
  <c r="AE690" i="77"/>
  <c r="AE691" i="77"/>
  <c r="AE692" i="77"/>
  <c r="AE693" i="77"/>
  <c r="AE694" i="77"/>
  <c r="AE695" i="77"/>
  <c r="AE696" i="77"/>
  <c r="AE697" i="77"/>
  <c r="AE698" i="77"/>
  <c r="AE699" i="77"/>
  <c r="AE700" i="77"/>
  <c r="AE701" i="77"/>
  <c r="AE702" i="77"/>
  <c r="AE703" i="77"/>
  <c r="AE704" i="77"/>
  <c r="AE705" i="77"/>
  <c r="AE706" i="77"/>
  <c r="AE707" i="77"/>
  <c r="AE708" i="77"/>
  <c r="AE709" i="77"/>
  <c r="AE710" i="77"/>
  <c r="AE711" i="77"/>
  <c r="AE712" i="77"/>
  <c r="AE713" i="77"/>
  <c r="AE714" i="77"/>
  <c r="AE715" i="77"/>
  <c r="AE716" i="77"/>
  <c r="AE717" i="77"/>
  <c r="AE718" i="77"/>
  <c r="AE719" i="77"/>
  <c r="AE720" i="77"/>
  <c r="AE721" i="77"/>
  <c r="AE722" i="77"/>
  <c r="AE723" i="77"/>
  <c r="AE724" i="77"/>
  <c r="AE725" i="77"/>
  <c r="AE726" i="77"/>
  <c r="AE727" i="77"/>
  <c r="AE728" i="77"/>
  <c r="AE729" i="77"/>
  <c r="AE730" i="77"/>
  <c r="AE731" i="77"/>
  <c r="AE732" i="77"/>
  <c r="AE733" i="77"/>
  <c r="AE734" i="77"/>
  <c r="AE735" i="77"/>
  <c r="AE736" i="77"/>
  <c r="AE737" i="77"/>
  <c r="AE738" i="77"/>
  <c r="AE739" i="77"/>
  <c r="AE740" i="77"/>
  <c r="AE741" i="77"/>
  <c r="AE742" i="77"/>
  <c r="AE743" i="77"/>
  <c r="AE744" i="77"/>
  <c r="AE745" i="77"/>
  <c r="AE746" i="77"/>
  <c r="AE747" i="77"/>
  <c r="AE748" i="77"/>
  <c r="AE749" i="77"/>
  <c r="AE750" i="77"/>
  <c r="AE751" i="77"/>
  <c r="AE752" i="77"/>
  <c r="AE753" i="77"/>
  <c r="AE754" i="77"/>
  <c r="AE755" i="77"/>
  <c r="AE756" i="77"/>
  <c r="AE757" i="77"/>
  <c r="AE758" i="77"/>
  <c r="AE759" i="77"/>
  <c r="AE760" i="77"/>
  <c r="AE761" i="77"/>
  <c r="AE762" i="77"/>
  <c r="AE763" i="77"/>
  <c r="AE764" i="77"/>
  <c r="AE765" i="77"/>
  <c r="AE766" i="77"/>
  <c r="AE767" i="77"/>
  <c r="AE768" i="77"/>
  <c r="AE769" i="77"/>
  <c r="AE770" i="77"/>
  <c r="AE771" i="77"/>
  <c r="AE772" i="77"/>
  <c r="AE773" i="77"/>
  <c r="AE774" i="77"/>
  <c r="AE775" i="77"/>
  <c r="AE776" i="77"/>
  <c r="AE777" i="77"/>
  <c r="AE778" i="77"/>
  <c r="AE779" i="77"/>
  <c r="AE780" i="77"/>
  <c r="AE781" i="77"/>
  <c r="AE782" i="77"/>
  <c r="AE783" i="77"/>
  <c r="AE784" i="77"/>
  <c r="AE785" i="77"/>
  <c r="AE786" i="77"/>
  <c r="AE787" i="77"/>
  <c r="AE788" i="77"/>
  <c r="AE789" i="77"/>
  <c r="AE790" i="77"/>
  <c r="AE791" i="77"/>
  <c r="AE792" i="77"/>
  <c r="AE793" i="77"/>
  <c r="AE794" i="77"/>
  <c r="AE795" i="77"/>
  <c r="AE796" i="77"/>
  <c r="AE797" i="77"/>
  <c r="AE798" i="77"/>
  <c r="AE799" i="77"/>
  <c r="AE800" i="77"/>
  <c r="AE801" i="77"/>
  <c r="AE802" i="77"/>
  <c r="AE803" i="77"/>
  <c r="AE804" i="77"/>
  <c r="AE805" i="77"/>
  <c r="AE806" i="77"/>
  <c r="AE807" i="77"/>
  <c r="AE808" i="77"/>
  <c r="AE809" i="77"/>
  <c r="AE810" i="77"/>
  <c r="AE811" i="77"/>
  <c r="AE812" i="77"/>
  <c r="AE813" i="77"/>
  <c r="AE814" i="77"/>
  <c r="AE815" i="77"/>
  <c r="AE816" i="77"/>
  <c r="AE817" i="77"/>
  <c r="AE818" i="77"/>
  <c r="AE819" i="77"/>
  <c r="AE820" i="77"/>
  <c r="AE821" i="77"/>
  <c r="AE822" i="77"/>
  <c r="AE823" i="77"/>
  <c r="AE824" i="77"/>
  <c r="AE825" i="77"/>
  <c r="AE826" i="77"/>
  <c r="AE827" i="77"/>
  <c r="AE828" i="77"/>
  <c r="AE829" i="77"/>
  <c r="AE830" i="77"/>
  <c r="AE831" i="77"/>
  <c r="AE832" i="77"/>
  <c r="AE833" i="77"/>
  <c r="AE834" i="77"/>
  <c r="AE835" i="77"/>
  <c r="AE836" i="77"/>
  <c r="AE837" i="77"/>
  <c r="AE838" i="77"/>
  <c r="AE839" i="77"/>
  <c r="AE840" i="77"/>
  <c r="AE841" i="77"/>
  <c r="AE842" i="77"/>
  <c r="AE843" i="77"/>
  <c r="AE844" i="77"/>
  <c r="AE845" i="77"/>
  <c r="AE846" i="77"/>
  <c r="AE847" i="77"/>
  <c r="AE848" i="77"/>
  <c r="AE849" i="77"/>
  <c r="AE850" i="77"/>
  <c r="AE851" i="77"/>
  <c r="AE852" i="77"/>
  <c r="AE853" i="77"/>
  <c r="AE854" i="77"/>
  <c r="AE855" i="77"/>
  <c r="AE856" i="77"/>
  <c r="AE857" i="77"/>
  <c r="AE858" i="77"/>
  <c r="AE859" i="77"/>
  <c r="AE860" i="77"/>
  <c r="AE861" i="77"/>
  <c r="AE862" i="77"/>
  <c r="AE863" i="77"/>
  <c r="AE864" i="77"/>
  <c r="AE865" i="77"/>
  <c r="AE866" i="77"/>
  <c r="AE867" i="77"/>
  <c r="AE868" i="77"/>
  <c r="AE869" i="77"/>
  <c r="AE870" i="77"/>
  <c r="AE871" i="77"/>
  <c r="AE872" i="77"/>
  <c r="AE873" i="77"/>
  <c r="AE874" i="77"/>
  <c r="AE875" i="77"/>
  <c r="AE876" i="77"/>
  <c r="AE877" i="77"/>
  <c r="AE878" i="77"/>
  <c r="AE879" i="77"/>
  <c r="AE880" i="77"/>
  <c r="AE881" i="77"/>
  <c r="AE882" i="77"/>
  <c r="AE883" i="77"/>
  <c r="AE884" i="77"/>
  <c r="AE885" i="77"/>
  <c r="AE886" i="77"/>
  <c r="AE887" i="77"/>
  <c r="AE888" i="77"/>
  <c r="AE889" i="77"/>
  <c r="AE890" i="77"/>
  <c r="AE891" i="77"/>
  <c r="AE892" i="77"/>
  <c r="AE893" i="77"/>
  <c r="AE894" i="77"/>
  <c r="AE895" i="77"/>
  <c r="AE896" i="77"/>
  <c r="AE897" i="77"/>
  <c r="AE898" i="77"/>
  <c r="AE899" i="77"/>
  <c r="AE900" i="77"/>
  <c r="AE901" i="77"/>
  <c r="AE902" i="77"/>
  <c r="AE903" i="77"/>
  <c r="AE904" i="77"/>
  <c r="AE905" i="77"/>
  <c r="AE906" i="77"/>
  <c r="AE907" i="77"/>
  <c r="AE908" i="77"/>
  <c r="AE909" i="77"/>
  <c r="AE910" i="77"/>
  <c r="AE911" i="77"/>
  <c r="AE912" i="77"/>
  <c r="AE913" i="77"/>
  <c r="AE914" i="77"/>
  <c r="AE915" i="77"/>
  <c r="AE916" i="77"/>
  <c r="AE917" i="77"/>
  <c r="AE918" i="77"/>
  <c r="AE919" i="77"/>
  <c r="AE920" i="77"/>
  <c r="AE921" i="77"/>
  <c r="AE922" i="77"/>
  <c r="AE923" i="77"/>
  <c r="AE924" i="77"/>
  <c r="AE925" i="77"/>
  <c r="AE926" i="77"/>
  <c r="AE927" i="77"/>
  <c r="AE928" i="77"/>
  <c r="AE929" i="77"/>
  <c r="AE930" i="77"/>
  <c r="AE931" i="77"/>
  <c r="AE932" i="77"/>
  <c r="AE933" i="77"/>
  <c r="AE934" i="77"/>
  <c r="AE935" i="77"/>
  <c r="AE936" i="77"/>
  <c r="AE937" i="77"/>
  <c r="AE938" i="77"/>
  <c r="AE939" i="77"/>
  <c r="AE940" i="77"/>
  <c r="AE941" i="77"/>
  <c r="AE942" i="77"/>
  <c r="AE943" i="77"/>
  <c r="AE944" i="77"/>
  <c r="AE945" i="77"/>
  <c r="AE946" i="77"/>
  <c r="AE947" i="77"/>
  <c r="AE948" i="77"/>
  <c r="AE949" i="77"/>
  <c r="AE950" i="77"/>
  <c r="AE951" i="77"/>
  <c r="AE952" i="77"/>
  <c r="AE953" i="77"/>
  <c r="AE954" i="77"/>
  <c r="AE955" i="77"/>
  <c r="AE956" i="77"/>
  <c r="AE957" i="77"/>
  <c r="AE958" i="77"/>
  <c r="AE959" i="77"/>
  <c r="AE960" i="77"/>
  <c r="AE961" i="77"/>
  <c r="AE962" i="77"/>
  <c r="AE963" i="77"/>
  <c r="AE964" i="77"/>
  <c r="AE965" i="77"/>
  <c r="AE966" i="77"/>
  <c r="AE967" i="77"/>
  <c r="AE968" i="77"/>
  <c r="AE969" i="77"/>
  <c r="AE970" i="77"/>
  <c r="AE971" i="77"/>
  <c r="AE972" i="77"/>
  <c r="AE973" i="77"/>
  <c r="AE974" i="77"/>
  <c r="AE975" i="77"/>
  <c r="AE976" i="77"/>
  <c r="AE977" i="77"/>
  <c r="AE978" i="77"/>
  <c r="AE979" i="77"/>
  <c r="AE980" i="77"/>
  <c r="AE981" i="77"/>
  <c r="AE982" i="77"/>
  <c r="AE983" i="77"/>
  <c r="AE984" i="77"/>
  <c r="AE985" i="77"/>
  <c r="AE986" i="77"/>
  <c r="AE987" i="77"/>
  <c r="AE988" i="77"/>
  <c r="AE989" i="77"/>
  <c r="AE990" i="77"/>
  <c r="AE991" i="77"/>
  <c r="AE992" i="77"/>
  <c r="AE993" i="77"/>
  <c r="AE994" i="77"/>
  <c r="AE995" i="77"/>
  <c r="AE996" i="77"/>
  <c r="AE997" i="77"/>
  <c r="AE998" i="77"/>
  <c r="AE999" i="77"/>
  <c r="AE1000" i="77"/>
  <c r="AE1001" i="77"/>
  <c r="AE1002" i="77"/>
  <c r="AE1003" i="77"/>
  <c r="AE1004" i="77"/>
  <c r="AE1005" i="77"/>
  <c r="AE1006" i="77"/>
  <c r="AE1007" i="77"/>
  <c r="AE1008" i="77"/>
  <c r="AE1009" i="77"/>
  <c r="AE1010" i="77"/>
  <c r="AE1011" i="77"/>
  <c r="AE1012" i="77"/>
  <c r="AE1013" i="77"/>
  <c r="AE1014" i="77"/>
  <c r="AE1015" i="77"/>
  <c r="AE1016" i="77"/>
  <c r="AE1017" i="77"/>
  <c r="AE1018" i="77"/>
  <c r="AE1019" i="77"/>
  <c r="AE1020" i="77"/>
  <c r="AE1021" i="77"/>
  <c r="AE1022" i="77"/>
  <c r="AE1023" i="77"/>
  <c r="AE1024" i="77"/>
  <c r="AE1025" i="77"/>
  <c r="AE1026" i="77"/>
  <c r="AE1027" i="77"/>
  <c r="AE1028" i="77"/>
  <c r="AE1029" i="77"/>
  <c r="AE1030" i="77"/>
  <c r="AE1031" i="77"/>
  <c r="AE1032" i="77"/>
  <c r="AE1033" i="77"/>
  <c r="AE1034" i="77"/>
  <c r="AE1035" i="77"/>
  <c r="AE1036" i="77"/>
  <c r="AE1037" i="77"/>
  <c r="AE1038" i="77"/>
  <c r="AE1039" i="77"/>
  <c r="AE1040" i="77"/>
  <c r="AE1041" i="77"/>
  <c r="AE1042" i="77"/>
  <c r="BA70" i="77"/>
  <c r="BA99" i="77"/>
  <c r="BA40" i="77"/>
  <c r="BF85" i="77"/>
  <c r="BF53" i="77"/>
  <c r="BF33" i="77"/>
  <c r="BF17" i="77"/>
  <c r="BD85" i="77"/>
  <c r="BD53" i="77"/>
  <c r="BD33" i="77"/>
  <c r="BD17" i="77"/>
  <c r="BD52" i="77"/>
  <c r="BC10" i="77"/>
  <c r="BD16" i="77"/>
  <c r="BF84" i="77"/>
  <c r="BC77" i="77"/>
  <c r="BC79" i="77"/>
  <c r="BD84" i="77"/>
  <c r="BE81" i="77"/>
  <c r="BE80" i="77"/>
  <c r="BE79" i="77"/>
  <c r="BE78" i="77"/>
  <c r="BC78" i="77"/>
  <c r="BE77" i="77"/>
  <c r="BE76" i="77"/>
  <c r="BC76" i="77"/>
  <c r="BE75" i="77"/>
  <c r="BF75" i="77" a="1"/>
  <c r="BF75" i="77"/>
  <c r="BF76" i="77"/>
  <c r="BF77" i="77"/>
  <c r="BF78" i="77"/>
  <c r="BF79" i="77"/>
  <c r="BF80" i="77"/>
  <c r="BF81" i="77"/>
  <c r="BF82" i="77"/>
  <c r="BC75" i="77"/>
  <c r="BF52" i="77"/>
  <c r="BE49" i="77"/>
  <c r="BE48" i="77"/>
  <c r="BE47" i="77"/>
  <c r="BE46" i="77"/>
  <c r="BC46" i="77"/>
  <c r="BE45" i="77"/>
  <c r="BE44" i="77"/>
  <c r="BC44" i="77"/>
  <c r="BE43" i="77"/>
  <c r="BF43" i="77" a="1"/>
  <c r="BF43" i="77"/>
  <c r="BF44" i="77"/>
  <c r="BF45" i="77"/>
  <c r="BF46" i="77"/>
  <c r="BF47" i="77"/>
  <c r="BF48" i="77"/>
  <c r="BF49" i="77"/>
  <c r="BF50" i="77"/>
  <c r="BC43" i="77"/>
  <c r="BF32" i="77"/>
  <c r="BC25" i="77"/>
  <c r="BC27" i="77"/>
  <c r="BD32" i="77"/>
  <c r="BE29" i="77"/>
  <c r="BE28" i="77"/>
  <c r="BE27" i="77"/>
  <c r="BE26" i="77"/>
  <c r="BC26" i="77"/>
  <c r="BE25" i="77"/>
  <c r="AZ12" i="77"/>
  <c r="AZ8" i="77"/>
  <c r="BM20" i="77"/>
  <c r="BE24" i="77"/>
  <c r="BC24" i="77"/>
  <c r="BM19" i="77"/>
  <c r="BE23" i="77"/>
  <c r="BF23" i="77" a="1"/>
  <c r="BF23" i="77"/>
  <c r="BF24" i="77"/>
  <c r="BF25" i="77"/>
  <c r="BF26" i="77"/>
  <c r="BF27" i="77"/>
  <c r="BF28" i="77"/>
  <c r="BF29" i="77"/>
  <c r="BF30" i="77"/>
  <c r="BC23" i="77"/>
  <c r="BF16" i="77"/>
  <c r="BE14" i="77"/>
  <c r="BE13" i="77"/>
  <c r="BE12" i="77"/>
  <c r="I10" i="77"/>
  <c r="I12" i="77"/>
  <c r="H12" i="77"/>
  <c r="BE11" i="77"/>
  <c r="BC11" i="77"/>
  <c r="AZ9" i="77"/>
  <c r="AZ10" i="77"/>
  <c r="AZ11" i="77"/>
  <c r="L11" i="77"/>
  <c r="J11" i="77"/>
  <c r="I11" i="77"/>
  <c r="H11" i="77"/>
  <c r="BL10" i="77"/>
  <c r="BE10" i="77"/>
  <c r="BE9" i="77"/>
  <c r="BC9" i="77"/>
  <c r="BE8" i="77"/>
  <c r="BF8" i="77" a="1"/>
  <c r="BF8" i="77"/>
  <c r="BF9" i="77"/>
  <c r="BF10" i="77"/>
  <c r="BF11" i="77"/>
  <c r="BF12" i="77"/>
  <c r="BF13" i="77"/>
  <c r="BF14" i="77"/>
  <c r="BF15" i="77"/>
  <c r="BC8" i="77"/>
  <c r="N8" i="77"/>
  <c r="BA68" i="77"/>
  <c r="CM477" i="77"/>
  <c r="CM476" i="77"/>
  <c r="CM475" i="77"/>
  <c r="CM474" i="77"/>
  <c r="CM473" i="77"/>
  <c r="CM472" i="77"/>
  <c r="CM471" i="77"/>
  <c r="CM470" i="77"/>
  <c r="CM469" i="77"/>
  <c r="CM468" i="77"/>
  <c r="CM467" i="77"/>
  <c r="CM466" i="77"/>
  <c r="CM465" i="77"/>
  <c r="CM464" i="77"/>
  <c r="CM463" i="77"/>
  <c r="CM462" i="77"/>
  <c r="CM461" i="77"/>
  <c r="CM460" i="77"/>
  <c r="CM459" i="77"/>
  <c r="CM458" i="77"/>
  <c r="CM457" i="77"/>
  <c r="CM456" i="77"/>
  <c r="CM455" i="77"/>
  <c r="CM454" i="77"/>
  <c r="CM453" i="77"/>
  <c r="CM452" i="77"/>
  <c r="CM451" i="77"/>
  <c r="CM450" i="77"/>
  <c r="CM449" i="77"/>
  <c r="CM448" i="77"/>
  <c r="CM447" i="77"/>
  <c r="CM446" i="77"/>
  <c r="CM445" i="77"/>
  <c r="CM444" i="77"/>
  <c r="CM443" i="77"/>
  <c r="CM442" i="77"/>
  <c r="CM441" i="77"/>
  <c r="CM440" i="77"/>
  <c r="CM439" i="77"/>
  <c r="CM438" i="77"/>
  <c r="CM437" i="77"/>
  <c r="CM436" i="77"/>
  <c r="CM435" i="77"/>
  <c r="CM434" i="77"/>
  <c r="CM433" i="77"/>
  <c r="CM432" i="77"/>
  <c r="CM431" i="77"/>
  <c r="CM430" i="77"/>
  <c r="CM429" i="77"/>
  <c r="CM428" i="77"/>
  <c r="CM427" i="77"/>
  <c r="CM426" i="77"/>
  <c r="CM425" i="77"/>
  <c r="CM424" i="77"/>
  <c r="CM423" i="77"/>
  <c r="CM422" i="77"/>
  <c r="CM421" i="77"/>
  <c r="CM420" i="77"/>
  <c r="CM419" i="77"/>
  <c r="CM418" i="77"/>
  <c r="CM417" i="77"/>
  <c r="CM416" i="77"/>
  <c r="CM415" i="77"/>
  <c r="CM414" i="77"/>
  <c r="CM413" i="77"/>
  <c r="CM412" i="77"/>
  <c r="CM411" i="77"/>
  <c r="CM410" i="77"/>
  <c r="CM409" i="77"/>
  <c r="CM408" i="77"/>
  <c r="CM407" i="77"/>
  <c r="CM406" i="77"/>
  <c r="CM405" i="77"/>
  <c r="CM404" i="77"/>
  <c r="CM403" i="77"/>
  <c r="CM402" i="77"/>
  <c r="CM401" i="77"/>
  <c r="CM400" i="77"/>
  <c r="CM399" i="77"/>
  <c r="CM398" i="77"/>
  <c r="CM397" i="77"/>
  <c r="CM396" i="77"/>
  <c r="CM395" i="77"/>
  <c r="CM394" i="77"/>
  <c r="CM393" i="77"/>
  <c r="CM392" i="77"/>
  <c r="CM391" i="77"/>
  <c r="CM390" i="77"/>
  <c r="CM389" i="77"/>
  <c r="CM388" i="77"/>
  <c r="CM387" i="77"/>
  <c r="CM386" i="77"/>
  <c r="CM385" i="77"/>
  <c r="CM384" i="77"/>
  <c r="CM383" i="77"/>
  <c r="CM382" i="77"/>
  <c r="CM381" i="77"/>
  <c r="CM380" i="77"/>
  <c r="CM379" i="77"/>
  <c r="CM378" i="77"/>
  <c r="CM377" i="77"/>
  <c r="CM376" i="77"/>
  <c r="CM375" i="77"/>
  <c r="CM374" i="77"/>
  <c r="CM373" i="77"/>
  <c r="CM372" i="77"/>
  <c r="CM371" i="77"/>
  <c r="CM370" i="77"/>
  <c r="CM369" i="77"/>
  <c r="CM368" i="77"/>
  <c r="CM367" i="77"/>
  <c r="CM366" i="77"/>
  <c r="CM365" i="77"/>
  <c r="CM364" i="77"/>
  <c r="CM363" i="77"/>
  <c r="CM362" i="77"/>
  <c r="CM361" i="77"/>
  <c r="CM360" i="77"/>
  <c r="CM359" i="77"/>
  <c r="CM358" i="77"/>
  <c r="CM357" i="77"/>
  <c r="CM356" i="77"/>
  <c r="CM355" i="77"/>
  <c r="CM354" i="77"/>
  <c r="CM353" i="77"/>
  <c r="CM352" i="77"/>
  <c r="CM351" i="77"/>
  <c r="CM350" i="77"/>
  <c r="CM349" i="77"/>
  <c r="CM348" i="77"/>
  <c r="CM347" i="77"/>
  <c r="CM346" i="77"/>
  <c r="CM345" i="77"/>
  <c r="CM344" i="77"/>
  <c r="CM343" i="77"/>
  <c r="CM342" i="77"/>
  <c r="CM341" i="77"/>
  <c r="CM340" i="77"/>
  <c r="CM339" i="77"/>
  <c r="CM338" i="77"/>
  <c r="CM337" i="77"/>
  <c r="CM336" i="77"/>
  <c r="CM335" i="77"/>
  <c r="CM334" i="77"/>
  <c r="CM333" i="77"/>
  <c r="CM332" i="77"/>
  <c r="CM331" i="77"/>
  <c r="CM330" i="77"/>
  <c r="CM329" i="77"/>
  <c r="CM328" i="77"/>
  <c r="CM327" i="77"/>
  <c r="CM326" i="77"/>
  <c r="CM325" i="77"/>
  <c r="CM324" i="77"/>
  <c r="CM323" i="77"/>
  <c r="CM322" i="77"/>
  <c r="CM321" i="77"/>
  <c r="CM320" i="77"/>
  <c r="CM319" i="77"/>
  <c r="CM318" i="77"/>
  <c r="CM317" i="77"/>
  <c r="CM316" i="77"/>
  <c r="CM315" i="77"/>
  <c r="CM314" i="77"/>
  <c r="CM313" i="77"/>
  <c r="CM312" i="77"/>
  <c r="CM311" i="77"/>
  <c r="CM310" i="77"/>
  <c r="CM309" i="77"/>
  <c r="CM308" i="77"/>
  <c r="CM307" i="77"/>
  <c r="CM306" i="77"/>
  <c r="CM305" i="77"/>
  <c r="CM304" i="77"/>
  <c r="CM303" i="77"/>
  <c r="CM302" i="77"/>
  <c r="CM301" i="77"/>
  <c r="CM300" i="77"/>
  <c r="CM299" i="77"/>
  <c r="CM298" i="77"/>
  <c r="CM297" i="77"/>
  <c r="CM296" i="77"/>
  <c r="CM295" i="77"/>
  <c r="CM294" i="77"/>
  <c r="CM293" i="77"/>
  <c r="CM292" i="77"/>
  <c r="CM291" i="77"/>
  <c r="CM290" i="77"/>
  <c r="CM289" i="77"/>
  <c r="CM288" i="77"/>
  <c r="CM287" i="77"/>
  <c r="CM286" i="77"/>
  <c r="CM285" i="77"/>
  <c r="CM284" i="77"/>
  <c r="CM283" i="77"/>
  <c r="CM282" i="77"/>
  <c r="CM281" i="77"/>
  <c r="CM280" i="77"/>
  <c r="CM279" i="77"/>
  <c r="CM278" i="77"/>
  <c r="CM277" i="77"/>
  <c r="CM276" i="77"/>
  <c r="CM275" i="77"/>
  <c r="CM274" i="77"/>
  <c r="CM273" i="77"/>
  <c r="CM272" i="77"/>
  <c r="CM271" i="77"/>
  <c r="CM270" i="77"/>
  <c r="CM269" i="77"/>
  <c r="CM268" i="77"/>
  <c r="CM267" i="77"/>
  <c r="CM266" i="77"/>
  <c r="CM265" i="77"/>
  <c r="CM264" i="77"/>
  <c r="CM263" i="77"/>
  <c r="CM262" i="77"/>
  <c r="CM261" i="77"/>
  <c r="CM260" i="77"/>
  <c r="CM259" i="77"/>
  <c r="CM258" i="77"/>
  <c r="CM257" i="77"/>
  <c r="CM256" i="77"/>
  <c r="CM255" i="77"/>
  <c r="CM254" i="77"/>
  <c r="CM253" i="77"/>
  <c r="CM252" i="77"/>
  <c r="CM251" i="77"/>
  <c r="CM250" i="77"/>
  <c r="CM249" i="77"/>
  <c r="CM248" i="77"/>
  <c r="CM247" i="77"/>
  <c r="CM246" i="77"/>
  <c r="CM245" i="77"/>
  <c r="CM244" i="77"/>
  <c r="CM243" i="77"/>
  <c r="CM242" i="77"/>
  <c r="CM241" i="77"/>
  <c r="CM240" i="77"/>
  <c r="CM239" i="77"/>
  <c r="CM238" i="77"/>
  <c r="CM237" i="77"/>
  <c r="CM236" i="77"/>
  <c r="CM235" i="77"/>
  <c r="CM234" i="77"/>
  <c r="CM233" i="77"/>
  <c r="CM232" i="77"/>
  <c r="CM231" i="77"/>
  <c r="CM230" i="77"/>
  <c r="CM229" i="77"/>
  <c r="CM228" i="77"/>
  <c r="CM227" i="77"/>
  <c r="CM226" i="77"/>
  <c r="CM225" i="77"/>
  <c r="CM224" i="77"/>
  <c r="CM223" i="77"/>
  <c r="CM222" i="77"/>
  <c r="CM221" i="77"/>
  <c r="CM220" i="77"/>
  <c r="CM219" i="77"/>
  <c r="CM218" i="77"/>
  <c r="CM217" i="77"/>
  <c r="CM216" i="77"/>
  <c r="CM215" i="77"/>
  <c r="CM214" i="77"/>
  <c r="CM213" i="77"/>
  <c r="CM212" i="77"/>
  <c r="CM211" i="77"/>
  <c r="CM210" i="77"/>
  <c r="CM209" i="77"/>
  <c r="CM208" i="77"/>
  <c r="CM207" i="77"/>
  <c r="CM206" i="77"/>
  <c r="CM205" i="77"/>
  <c r="CM204" i="77"/>
  <c r="CM203" i="77"/>
  <c r="CM202" i="77"/>
  <c r="CM201" i="77"/>
  <c r="CM200" i="77"/>
  <c r="CM199" i="77"/>
  <c r="CM198" i="77"/>
  <c r="CM197" i="77"/>
  <c r="CM196" i="77"/>
  <c r="CM195" i="77"/>
  <c r="CM194" i="77"/>
  <c r="CM193" i="77"/>
  <c r="CM192" i="77"/>
  <c r="CM191" i="77"/>
  <c r="CM190" i="77"/>
  <c r="CM189" i="77"/>
  <c r="CM188" i="77"/>
  <c r="CM187" i="77"/>
  <c r="CM186" i="77"/>
  <c r="CM185" i="77"/>
  <c r="CM184" i="77"/>
  <c r="CM183" i="77"/>
  <c r="CM182" i="77"/>
  <c r="CM181" i="77"/>
  <c r="CM180" i="77"/>
  <c r="CM179" i="77"/>
  <c r="CM178" i="77"/>
  <c r="CM177" i="77"/>
  <c r="CM176" i="77"/>
  <c r="CM175" i="77"/>
  <c r="CM174" i="77"/>
  <c r="CM173" i="77"/>
  <c r="CM172" i="77"/>
  <c r="CM171" i="77"/>
  <c r="CM170" i="77"/>
  <c r="CM169" i="77"/>
  <c r="CM168" i="77"/>
  <c r="CM167" i="77"/>
  <c r="CM166" i="77"/>
  <c r="CM165" i="77"/>
  <c r="CM164" i="77"/>
  <c r="CM163" i="77"/>
  <c r="CM162" i="77"/>
  <c r="CM161" i="77"/>
  <c r="CM160" i="77"/>
  <c r="CM159" i="77"/>
  <c r="CM158" i="77"/>
  <c r="CM157" i="77"/>
  <c r="CM156" i="77"/>
  <c r="CM155" i="77"/>
  <c r="CM154" i="77"/>
  <c r="CM153" i="77"/>
  <c r="CM152" i="77"/>
  <c r="CM151" i="77"/>
  <c r="CM150" i="77"/>
  <c r="CM149" i="77"/>
  <c r="CM148" i="77"/>
  <c r="CM147" i="77"/>
  <c r="CM146" i="77"/>
  <c r="CM145" i="77"/>
  <c r="CM144" i="77"/>
  <c r="CM143" i="77"/>
  <c r="CM142" i="77"/>
  <c r="CM141" i="77"/>
  <c r="CM140" i="77"/>
  <c r="CM139" i="77"/>
  <c r="CM138" i="77"/>
  <c r="CM137" i="77"/>
  <c r="CM136" i="77"/>
  <c r="CM135" i="77"/>
  <c r="CM134" i="77"/>
  <c r="CM133" i="77"/>
  <c r="CM132" i="77"/>
  <c r="CM131" i="77"/>
  <c r="CM130" i="77"/>
  <c r="CM129" i="77"/>
  <c r="CM128" i="77"/>
  <c r="CM127" i="77"/>
  <c r="CM126" i="77"/>
  <c r="CM125" i="77"/>
  <c r="CM124" i="77"/>
  <c r="CM123" i="77"/>
  <c r="CM122" i="77"/>
  <c r="CM121" i="77"/>
  <c r="CM120" i="77"/>
  <c r="CM119" i="77"/>
  <c r="CM118" i="77"/>
  <c r="CM117" i="77"/>
  <c r="CM116" i="77"/>
  <c r="CM115" i="77"/>
  <c r="CM114" i="77"/>
  <c r="CM113" i="77"/>
  <c r="CM112" i="77"/>
  <c r="CM111" i="77"/>
  <c r="CM110" i="77"/>
  <c r="CM109" i="77"/>
  <c r="CM108" i="77"/>
  <c r="CM107" i="77"/>
  <c r="CM106" i="77"/>
  <c r="CM105" i="77"/>
  <c r="CM104" i="77"/>
  <c r="CM103" i="77"/>
  <c r="CM102" i="77"/>
  <c r="CM101" i="77"/>
  <c r="CM100" i="77"/>
  <c r="CM99" i="77"/>
  <c r="CM98" i="77"/>
  <c r="CM97" i="77"/>
  <c r="CM96" i="77"/>
  <c r="CM95" i="77"/>
  <c r="CM94" i="77"/>
  <c r="CM93" i="77"/>
  <c r="CM92" i="77"/>
  <c r="CM91" i="77"/>
  <c r="CM90" i="77"/>
  <c r="CM89" i="77"/>
  <c r="CM88" i="77"/>
  <c r="CM87" i="77"/>
  <c r="CM86" i="77"/>
  <c r="CM85" i="77"/>
  <c r="CM84" i="77"/>
  <c r="CM83" i="77"/>
  <c r="CM82" i="77"/>
  <c r="CM81" i="77"/>
  <c r="CM80" i="77"/>
  <c r="CM79" i="77"/>
  <c r="CM78" i="77"/>
  <c r="CM77" i="77"/>
  <c r="CM76" i="77"/>
  <c r="CM75" i="77"/>
  <c r="CM74" i="77"/>
  <c r="CM73" i="77"/>
  <c r="CM72" i="77"/>
  <c r="CM71" i="77"/>
  <c r="CM70" i="77"/>
  <c r="CM69" i="77"/>
  <c r="CM68" i="77"/>
  <c r="CM67" i="77"/>
  <c r="CM66" i="77"/>
  <c r="CM65" i="77"/>
  <c r="CM64" i="77"/>
  <c r="CM63" i="77"/>
  <c r="CM62" i="77"/>
  <c r="CM61" i="77"/>
  <c r="CM60" i="77"/>
  <c r="CM59" i="77"/>
  <c r="CM58" i="77"/>
  <c r="CM57" i="77"/>
  <c r="CM56" i="77"/>
  <c r="CM55" i="77"/>
  <c r="CM54" i="77"/>
  <c r="CM53" i="77"/>
  <c r="CM52" i="77"/>
  <c r="CM51" i="77"/>
  <c r="CM50" i="77"/>
  <c r="CM49" i="77"/>
  <c r="CM48" i="77"/>
  <c r="CM47" i="77"/>
  <c r="CM46" i="77"/>
  <c r="CM45" i="77"/>
  <c r="CM44" i="77"/>
  <c r="CM43" i="77"/>
  <c r="CM42" i="77"/>
  <c r="CM41" i="77"/>
  <c r="CM40" i="77"/>
  <c r="CM39" i="77"/>
  <c r="CM38" i="77"/>
  <c r="CM37" i="77"/>
  <c r="CM36" i="77"/>
  <c r="CM35" i="77"/>
  <c r="CM34" i="77"/>
  <c r="CM33" i="77"/>
  <c r="CM32" i="77"/>
  <c r="CM31" i="77"/>
  <c r="CM30" i="77"/>
  <c r="CM29" i="77"/>
  <c r="CM28" i="77"/>
  <c r="CM27" i="77"/>
  <c r="CM26" i="77"/>
  <c r="CM25" i="77"/>
  <c r="CM24" i="77"/>
  <c r="CM23" i="77"/>
  <c r="CM22" i="77"/>
  <c r="CM21" i="77"/>
  <c r="CM20" i="77"/>
  <c r="CM19" i="77"/>
  <c r="CM18" i="77"/>
  <c r="CM17" i="77"/>
  <c r="CM16" i="77"/>
  <c r="CM15" i="77"/>
  <c r="CM14" i="77"/>
  <c r="CM13" i="77"/>
  <c r="CM12" i="77"/>
  <c r="CM11" i="77"/>
  <c r="CM10" i="77"/>
  <c r="CM9" i="77"/>
  <c r="CM8" i="77"/>
  <c r="BA39" i="77"/>
  <c r="C34" i="80"/>
  <c r="BA38" i="77"/>
  <c r="C33" i="80"/>
  <c r="BA69" i="77"/>
  <c r="C38" i="80"/>
  <c r="C37" i="80"/>
  <c r="BA98" i="77"/>
  <c r="C42" i="80"/>
  <c r="BA97" i="77"/>
  <c r="C41" i="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Rajiv (CORP) Gandhi</author>
  </authors>
  <commentList>
    <comment ref="AM6" authorId="0" shapeId="0" xr:uid="{00000000-0006-0000-0100-000001000000}">
      <text>
        <r>
          <rPr>
            <b/>
            <sz val="9"/>
            <color indexed="81"/>
            <rFont val="Calibri"/>
            <family val="2"/>
          </rPr>
          <t>Rajiv (CORP) Gandhi:</t>
        </r>
        <r>
          <rPr>
            <sz val="9"/>
            <color indexed="81"/>
            <rFont val="Calibri"/>
            <family val="2"/>
          </rPr>
          <t xml:space="preserve">
calculated by subtracting today's price from yesterday's closing price and dividing by yesterday's closing price
Read more: Option Volatility: Historical Volatility | Investopedia http://www.investopedia.com/university/optionvolatility/volatility2.asp#ixzz3rmZ0JWSx
Follow us: Investopedia on Facebook
</t>
        </r>
      </text>
    </comment>
  </commentList>
</comments>
</file>

<file path=xl/sharedStrings.xml><?xml version="1.0" encoding="utf-8"?>
<sst xmlns="http://schemas.openxmlformats.org/spreadsheetml/2006/main" count="301" uniqueCount="194">
  <si>
    <t xml:space="preserve">FOLLOW ME DOWN COLUMN A: </t>
  </si>
  <si>
    <t>Use this sheet to work with the rest. No need to touch the other sheets</t>
  </si>
  <si>
    <t>Step 1:</t>
  </si>
  <si>
    <t>We have already determined the date range of 4 years. Just type the symbol</t>
  </si>
  <si>
    <t>Predictive Simulation:</t>
  </si>
  <si>
    <t>Please type in a valid symbol</t>
  </si>
  <si>
    <t>ADP</t>
  </si>
  <si>
    <t xml:space="preserve">has </t>
  </si>
  <si>
    <t>as of the last closing price</t>
  </si>
  <si>
    <t>Step 2:</t>
  </si>
  <si>
    <t>Press Button</t>
  </si>
  <si>
    <t>Save Doc</t>
  </si>
  <si>
    <t>Step 3:</t>
  </si>
  <si>
    <t>Step 4:</t>
  </si>
  <si>
    <t>Using a Wykoff principle we determine the trend and the # of signals we see</t>
  </si>
  <si>
    <t>Present Indicators</t>
  </si>
  <si>
    <t>Past Indicators</t>
  </si>
  <si>
    <t>%Bullish</t>
  </si>
  <si>
    <t>Drop Down</t>
  </si>
  <si>
    <t>Neutral</t>
  </si>
  <si>
    <t>Looking at the Slope and Regression signals helps us pick 'directional stability'</t>
  </si>
  <si>
    <t>Up - Regression is great</t>
  </si>
  <si>
    <t>Over the last 3 weeks</t>
  </si>
  <si>
    <t>Recommendation:</t>
  </si>
  <si>
    <t>We hope this recommendation helps</t>
  </si>
  <si>
    <t>Upward Price based on a year</t>
  </si>
  <si>
    <t>Downward Price based on a year</t>
  </si>
  <si>
    <t>Step 6:</t>
  </si>
  <si>
    <t>Use this to see how you may profit</t>
  </si>
  <si>
    <t>Change</t>
  </si>
  <si>
    <t>Step 7:</t>
  </si>
  <si>
    <t>LEGEND</t>
  </si>
  <si>
    <t>STEP 1 - Sentiment Overall</t>
  </si>
  <si>
    <t>STEP 2 - Analyze</t>
  </si>
  <si>
    <t>BULLISH</t>
  </si>
  <si>
    <t>BEARISH</t>
  </si>
  <si>
    <t>STEP 3 - Graph to understand trend of up or down with Regression</t>
  </si>
  <si>
    <t>STEP 4 - Run the Wyckoff Rule</t>
  </si>
  <si>
    <t>STEP 5 - The Calculated Suggestion</t>
  </si>
  <si>
    <t>STEP 6 - Measure Range to get Up or Down mark</t>
  </si>
  <si>
    <t xml:space="preserve">STEP 7 </t>
  </si>
  <si>
    <t>We are forecasting here. We are forecasting every 3 weeks over a year span. This are generating random prices over time. This is based on the mean, of the past, over a year and its standard deviation. The Min Price at 0 is indicating the price can never go below 0. The vertical at the 51st week is showing the randomness at that point. The Bins are to show where the price mostly lands at that point</t>
  </si>
  <si>
    <t>STEP 8 - Understand where I will profit</t>
  </si>
  <si>
    <t>You Input</t>
  </si>
  <si>
    <t>3 months</t>
  </si>
  <si>
    <t>Do not change values here. See if there is a trend to predict. Do this over various time periods. If regression comes back "N/A". Do not move on further and abandon</t>
  </si>
  <si>
    <t>When price tests a previous high or low on an 8% or larger decrease in volume and closes back below the previous high (or above the previous low), it implies a reversal. We do this in order to measure up that both, regression analysis is on the right track. If they conflict, we use Wykoff</t>
  </si>
  <si>
    <t>Do not touch. This is calculated based off of Step 3 and Step 4</t>
  </si>
  <si>
    <t>Do not change values here. They are calculated. We are gauging the volatility here based on choosing whether the price will go down or up for an option.</t>
  </si>
  <si>
    <t>Minimum Price in Any Year</t>
  </si>
  <si>
    <t>To understand how you may profit or not in this transaction, look at the options on Pepsi</t>
  </si>
  <si>
    <t>Good and an Output</t>
  </si>
  <si>
    <t>9 months</t>
  </si>
  <si>
    <t>CONCLUSION ON REGRESSION</t>
  </si>
  <si>
    <t>If this conditions are not met then stay the course of the Regression Trend Line that implies movement up or down. Skip step 5</t>
  </si>
  <si>
    <t>CONCLUSION</t>
  </si>
  <si>
    <t>Mean</t>
  </si>
  <si>
    <t>Bad and an Output</t>
  </si>
  <si>
    <t>1 year</t>
  </si>
  <si>
    <t xml:space="preserve">R-squared values range from 0 to 1 and are commonly stated as percentages from 0 to 100%. An R-squared of 100% means all movements of a security are completely explained by movements in the index. A high R-squared, between 85% and 100%, indicates the fund's performance patterns have been in line with the index. A fund with a low R-squared, at 70% or less, indicates the security does not act much like the index. A higher R-squared value indicates a more useful beta figure. For example, if a fund has an R-squared value of close to 100% but has a beta below 1, it is most likely offering higher risk-adjusted returns.
Read more: R-Squared Definition | Investopedia http://www.investopedia.com/terms/r/r-squared.asp#ixzz4Wz3ilfRx
Follow us: Investopedia on Facebook
</t>
  </si>
  <si>
    <t>Example:
Day one high = $10
Day two high = $11 
Volume = 8%+ decrease
Close below the previous high = $9.5
Implies = Bullish
Day one low = $10
Day two low = $11 
Volume = 8%+ decrease
Close above the previous = $11.5
Implies = Bearish</t>
  </si>
  <si>
    <t>Example:
Day one high = $29.75
Day two high = $29.98
Volume = 8%+ decrease
Close below the previous high = $9.5
Implies = Bullish</t>
  </si>
  <si>
    <t>Step 3 showed us that regardless of the timeline, as time goes on there is less certainty in the price. Here, we will see how volatile it is to validate what would happen.</t>
  </si>
  <si>
    <t>Volatility</t>
  </si>
  <si>
    <t>Neutral and an Output</t>
  </si>
  <si>
    <t>Fund Matrix</t>
  </si>
  <si>
    <t>4 years</t>
  </si>
  <si>
    <t>Variance/Variability is the variabilty around the mean/avarage</t>
  </si>
  <si>
    <t>We see a 3.27% volatility over a month of trading. We take that and increase and decrease of the current close to see where we would end up at in 1 month time. But when we take the range in Step 3 over 3 weeks and average that with the current close, we see that the green would be minimum I would see at to make money and feel comfortable. This stock has more stability than Pepsi.</t>
  </si>
  <si>
    <t>Commission per trade</t>
  </si>
  <si>
    <t>Company</t>
  </si>
  <si>
    <t>My Sentiment</t>
  </si>
  <si>
    <t>Trend Assessment via Capital Cube</t>
  </si>
  <si>
    <t>Income Sheet sentiment</t>
  </si>
  <si>
    <t>Close (mind)</t>
  </si>
  <si>
    <t>Year Estimate</t>
  </si>
  <si>
    <t>Beta</t>
  </si>
  <si>
    <t>52 Week High/low</t>
  </si>
  <si>
    <t>Volume (heart)</t>
  </si>
  <si>
    <t>Avg. Volume (3 months)</t>
  </si>
  <si>
    <t>P/E</t>
  </si>
  <si>
    <t>industry P/E</t>
  </si>
  <si>
    <t>Buy?</t>
  </si>
  <si>
    <t>Difference in Adjusted Close</t>
  </si>
  <si>
    <t>Difference in Volume</t>
  </si>
  <si>
    <t>Volume = 8%+ decrease</t>
  </si>
  <si>
    <t xml:space="preserve">Day one high = $10
Day two high = $11 </t>
  </si>
  <si>
    <t xml:space="preserve">Day one low = $10
Day two low = $11 </t>
  </si>
  <si>
    <t>Close below the previous high</t>
  </si>
  <si>
    <t>Close above the previous</t>
  </si>
  <si>
    <t>Simulated demands</t>
  </si>
  <si>
    <t>Calls I am going buy (contract)</t>
  </si>
  <si>
    <t>INPUT</t>
  </si>
  <si>
    <t>Range Data Last 3 weeks - Good for an option to gauge to fluctuation</t>
  </si>
  <si>
    <t>Category</t>
  </si>
  <si>
    <t>Upper limit</t>
  </si>
  <si>
    <t>Frequency</t>
  </si>
  <si>
    <t>Standard Deviation over a year (254 trading days a year)</t>
  </si>
  <si>
    <t>3 weeks</t>
  </si>
  <si>
    <t>Each worth (stock price)</t>
  </si>
  <si>
    <t>High</t>
  </si>
  <si>
    <t>High Profits</t>
  </si>
  <si>
    <t>Min</t>
  </si>
  <si>
    <t>More than 3 stdevs below mean</t>
  </si>
  <si>
    <t>square root over 254 trading days ayear</t>
  </si>
  <si>
    <t>Pricing</t>
  </si>
  <si>
    <t xml:space="preserve">Options </t>
  </si>
  <si>
    <t>High Efficiency</t>
  </si>
  <si>
    <t>Max</t>
  </si>
  <si>
    <t>Between 2 and 3 stdevs below mean</t>
  </si>
  <si>
    <t>% Volatility over the year of trading</t>
  </si>
  <si>
    <t>MEAN</t>
  </si>
  <si>
    <t>Total of call Cost</t>
  </si>
  <si>
    <t>High Growth</t>
  </si>
  <si>
    <t>Average/mean</t>
  </si>
  <si>
    <t>Between 1 and 2 stdevs below mean</t>
  </si>
  <si>
    <t>% Volatility over the day of trading</t>
  </si>
  <si>
    <t>STDEV</t>
  </si>
  <si>
    <t>Total of all cost with commission</t>
  </si>
  <si>
    <t>Variance</t>
  </si>
  <si>
    <t>Between mean and 1 stdev below mean</t>
  </si>
  <si>
    <t>square root over a month of trading in a year</t>
  </si>
  <si>
    <t>Charge per contract</t>
  </si>
  <si>
    <t>Standard Deviation</t>
  </si>
  <si>
    <t>Between mean and 1 stdev above mean</t>
  </si>
  <si>
    <t>% Volatility over the month of trading</t>
  </si>
  <si>
    <t>Charge per contract * contract</t>
  </si>
  <si>
    <t>Between 1 and 2 stdevs above mean</t>
  </si>
  <si>
    <t>TOTAL COST OF TRADE</t>
  </si>
  <si>
    <t>Between 2 and 3 stdevs above mean</t>
  </si>
  <si>
    <t>Change in price based on the month volatility</t>
  </si>
  <si>
    <t>Change in price based on the Year volatility</t>
  </si>
  <si>
    <t>More than 3 stdevs above mean</t>
  </si>
  <si>
    <t>Current Close</t>
  </si>
  <si>
    <t>PROFIT</t>
  </si>
  <si>
    <t>Normal Distribution</t>
  </si>
  <si>
    <t xml:space="preserve">There is a probability of </t>
  </si>
  <si>
    <t>that this will end up below</t>
  </si>
  <si>
    <t>Upward Price based on 30 days</t>
  </si>
  <si>
    <t>Expiry price</t>
  </si>
  <si>
    <t xml:space="preserve">The reality is that </t>
  </si>
  <si>
    <t>of the values are below</t>
  </si>
  <si>
    <t>Downward Price based on 30 days</t>
  </si>
  <si>
    <t>Total</t>
  </si>
  <si>
    <t>Min I would sell at</t>
  </si>
  <si>
    <t>Bins</t>
  </si>
  <si>
    <t>Sell Cost</t>
  </si>
  <si>
    <t>Change the BIN Values to coincide with Option Values</t>
  </si>
  <si>
    <t>Profit/loss</t>
  </si>
  <si>
    <t>Run Regression</t>
  </si>
  <si>
    <t>Over a 4 year span</t>
  </si>
  <si>
    <t>Slope</t>
  </si>
  <si>
    <t>R-square</t>
  </si>
  <si>
    <t>y-Intercept</t>
  </si>
  <si>
    <t>Over a 1 year span</t>
  </si>
  <si>
    <t>Over a 9 month span</t>
  </si>
  <si>
    <t>ï»¿Date</t>
  </si>
  <si>
    <t>Open</t>
  </si>
  <si>
    <t>Low</t>
  </si>
  <si>
    <t>Close</t>
  </si>
  <si>
    <t>Volume</t>
  </si>
  <si>
    <t>List Tables for Drop Down menus</t>
  </si>
  <si>
    <t>Sentiment</t>
  </si>
  <si>
    <t>Profits</t>
  </si>
  <si>
    <t>Efficiency</t>
  </si>
  <si>
    <t>Growth</t>
  </si>
  <si>
    <t>Income Sheet</t>
  </si>
  <si>
    <t>Trend</t>
  </si>
  <si>
    <t>Regression</t>
  </si>
  <si>
    <t>Up - Bullish</t>
  </si>
  <si>
    <t>Up - Regression is low</t>
  </si>
  <si>
    <t>Average Profits</t>
  </si>
  <si>
    <t>Average Efficiency</t>
  </si>
  <si>
    <t>Average Growth</t>
  </si>
  <si>
    <t>Average</t>
  </si>
  <si>
    <t>Down - Bearish</t>
  </si>
  <si>
    <t>Up - Regression is ok</t>
  </si>
  <si>
    <t>Medium</t>
  </si>
  <si>
    <t>Low  Profits</t>
  </si>
  <si>
    <t>Low Efficiency</t>
  </si>
  <si>
    <t>Low Growth</t>
  </si>
  <si>
    <t>Down - Regression is great</t>
  </si>
  <si>
    <t>Down - Regression is ok</t>
  </si>
  <si>
    <t>Down - Regression is low</t>
  </si>
  <si>
    <t>http://www.clemson.edu/ces/phoenix/tutorials/excel/regression.html</t>
  </si>
  <si>
    <t>https://www.youtube.com/watch?v=RtCvcP43C1U</t>
  </si>
  <si>
    <t>http://www.cob.unt.edu/itds/faculty/vedder/bcis2610/Replacement%20pages%20for%20Excel%20707ff.pdf</t>
  </si>
  <si>
    <t>https://support.office.com/en-us/article/WEBSERVICE-function-0546a35a-ecc6-4739-aed7-c0b7ce1562c4?CorrelationId=ee283ede-b037-4c7d-882b-9ebef0829f87&amp;ui=en-US&amp;rs=en-US&amp;ad=US&amp;ocmsassetID=HA102780998</t>
  </si>
  <si>
    <t>https://blogs.office.com/2013/03/21/use-webservice-functions-to-automatically-update-excel-2013-spreadsheets-with-online-data/</t>
  </si>
  <si>
    <t>https://www.linkedin.com/pulse/20140726204903-2030824-excel-formula-for-real-time-stock-price</t>
  </si>
  <si>
    <t>http://www.contextures.com/xlvba01.html</t>
  </si>
  <si>
    <t>http://www.excelclout.com/stock-quotes-in-excel/</t>
  </si>
  <si>
    <t>https://www.youtube.com/watch?v=3gfgZWy5778</t>
  </si>
  <si>
    <t>https://web.wpi.edu/Pubs/E-project/Available/E-project-030415-150803/unrestricted/GrottonVeilleuxIQP.pdf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</si>
</sst>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000"/>
    <numFmt numFmtId="165" formatCode="[$-409]dd\-mmm\-yy;@"/>
    <numFmt numFmtId="166" formatCode="_([$$-409]* #,##0.00_);_([$$-409]* \(#,##0.00\);_([$$-409]* &quot;-&quot;??_);_(@_)"/>
  </numFmts>
  <fonts count="38">
    <font>
      <sz val="10"/>
      <name val="Arial"/>
    </font>
    <font>
      <sz val="12"/>
      <color theme="1"/>
      <name val="Calibri"/>
      <family val="2"/>
      <scheme val="minor"/>
    </font>
    <font>
      <sz val="12"/>
      <color theme="1"/>
      <name val="Calibri"/>
      <family val="2"/>
      <scheme val="minor"/>
    </font>
    <font>
      <sz val="12"/>
      <color theme="1"/>
      <name val="Calibri"/>
      <family val="2"/>
      <scheme val="minor"/>
    </font>
    <font>
      <sz val="10"/>
      <name val="Arial"/>
      <family val="2"/>
    </font>
    <font>
      <b/>
      <sz val="10"/>
      <name val="Arial"/>
      <family val="2"/>
    </font>
    <font>
      <u/>
      <sz val="10"/>
      <color indexed="12"/>
      <name val="Arial"/>
      <family val="2"/>
    </font>
    <font>
      <b/>
      <sz val="18"/>
      <color indexed="12"/>
      <name val="Arial"/>
      <family val="2"/>
    </font>
    <font>
      <b/>
      <sz val="14"/>
      <name val="Arial"/>
      <family val="2"/>
    </font>
    <font>
      <b/>
      <sz val="14"/>
      <color indexed="18"/>
      <name val="Arial"/>
      <family val="2"/>
    </font>
    <font>
      <sz val="8"/>
      <name val="Times New Roman"/>
      <family val="1"/>
    </font>
    <font>
      <sz val="8"/>
      <name val="Arial"/>
      <family val="2"/>
    </font>
    <font>
      <u/>
      <sz val="10"/>
      <color theme="11"/>
      <name val="Arial"/>
      <family val="2"/>
    </font>
    <font>
      <b/>
      <sz val="9"/>
      <color indexed="81"/>
      <name val="Calibri"/>
      <family val="2"/>
    </font>
    <font>
      <sz val="9"/>
      <color indexed="81"/>
      <name val="Calibri"/>
      <family val="2"/>
    </font>
    <font>
      <b/>
      <u/>
      <sz val="10"/>
      <name val="Arial"/>
      <family val="2"/>
    </font>
    <font>
      <sz val="12"/>
      <color rgb="FF006100"/>
      <name val="Calibri"/>
      <family val="2"/>
      <scheme val="minor"/>
    </font>
    <font>
      <sz val="10"/>
      <color rgb="FFFF0000"/>
      <name val="Arial"/>
      <family val="2"/>
    </font>
    <font>
      <b/>
      <sz val="18"/>
      <name val="Arial"/>
      <family val="2"/>
    </font>
    <font>
      <b/>
      <sz val="15"/>
      <color theme="3"/>
      <name val="Calibri"/>
      <family val="2"/>
      <scheme val="minor"/>
    </font>
    <font>
      <sz val="12"/>
      <color rgb="FF9C0006"/>
      <name val="Calibri"/>
      <family val="2"/>
      <scheme val="minor"/>
    </font>
    <font>
      <sz val="12"/>
      <color rgb="FF9C6500"/>
      <name val="Calibri"/>
      <family val="2"/>
      <scheme val="minor"/>
    </font>
    <font>
      <b/>
      <sz val="18"/>
      <color theme="3"/>
      <name val="Cambria"/>
      <family val="2"/>
      <scheme val="major"/>
    </font>
    <font>
      <b/>
      <sz val="11"/>
      <color theme="3"/>
      <name val="Calibri"/>
      <family val="2"/>
      <scheme val="minor"/>
    </font>
    <font>
      <sz val="12"/>
      <color rgb="FF3F3F76"/>
      <name val="Calibri"/>
      <family val="2"/>
      <scheme val="minor"/>
    </font>
    <font>
      <b/>
      <sz val="12"/>
      <color rgb="FFFA7D00"/>
      <name val="Calibri"/>
      <family val="2"/>
      <scheme val="minor"/>
    </font>
    <font>
      <i/>
      <sz val="12"/>
      <color rgb="FF7F7F7F"/>
      <name val="Calibri"/>
      <family val="2"/>
      <scheme val="minor"/>
    </font>
    <font>
      <b/>
      <sz val="12"/>
      <color theme="1"/>
      <name val="Calibri"/>
      <family val="2"/>
      <scheme val="minor"/>
    </font>
    <font>
      <i/>
      <sz val="24"/>
      <color rgb="FF7F7F7F"/>
      <name val="Calibri"/>
      <family val="2"/>
      <scheme val="minor"/>
    </font>
    <font>
      <b/>
      <i/>
      <sz val="26"/>
      <color rgb="FF7F7F7F"/>
      <name val="Calibri"/>
      <family val="2"/>
      <scheme val="minor"/>
    </font>
    <font>
      <b/>
      <sz val="12"/>
      <color rgb="FF000000"/>
      <name val="Calibri"/>
      <family val="2"/>
    </font>
    <font>
      <sz val="12"/>
      <name val="Calibri"/>
      <family val="2"/>
      <scheme val="minor"/>
    </font>
    <font>
      <b/>
      <sz val="36"/>
      <color theme="3"/>
      <name val="Cambria"/>
      <family val="2"/>
      <scheme val="major"/>
    </font>
    <font>
      <sz val="36"/>
      <name val="Arial"/>
      <family val="2"/>
    </font>
    <font>
      <sz val="11"/>
      <name val="Calibri"/>
      <family val="2"/>
    </font>
    <font>
      <b/>
      <sz val="12"/>
      <color rgb="FF3F3F3F"/>
      <name val="Calibri"/>
      <family val="2"/>
      <scheme val="minor"/>
    </font>
    <font>
      <b/>
      <sz val="12"/>
      <name val="Arial"/>
      <family val="2"/>
    </font>
    <font>
      <b/>
      <sz val="13"/>
      <color theme="3"/>
      <name val="Calibri"/>
      <family val="2"/>
      <scheme val="minor"/>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rgb="FFC6EFCE"/>
      </patternFill>
    </fill>
    <fill>
      <patternFill patternType="solid">
        <fgColor rgb="FFFFFF00"/>
        <bgColor indexed="64"/>
      </patternFill>
    </fill>
    <fill>
      <patternFill patternType="solid">
        <fgColor theme="0"/>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6" tint="0.79998168889431442"/>
        <bgColor indexed="64"/>
      </patternFill>
    </fill>
  </fills>
  <borders count="29">
    <border>
      <left/>
      <right/>
      <top/>
      <bottom/>
      <diagonal/>
    </border>
    <border>
      <left/>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rgb="FF7F7F7F"/>
      </right>
      <top style="thin">
        <color rgb="FF7F7F7F"/>
      </top>
      <bottom style="thin">
        <color rgb="FF7F7F7F"/>
      </bottom>
      <diagonal/>
    </border>
    <border>
      <left/>
      <right/>
      <top style="thin">
        <color rgb="FF4F81BD"/>
      </top>
      <bottom style="double">
        <color rgb="FF4F81BD"/>
      </bottom>
      <diagonal/>
    </border>
    <border>
      <left style="medium">
        <color auto="1"/>
      </left>
      <right style="medium">
        <color auto="1"/>
      </right>
      <top style="medium">
        <color auto="1"/>
      </top>
      <bottom/>
      <diagonal/>
    </border>
    <border>
      <left style="medium">
        <color auto="1"/>
      </left>
      <right style="medium">
        <color auto="1"/>
      </right>
      <top style="thin">
        <color rgb="FF7F7F7F"/>
      </top>
      <bottom style="thin">
        <color rgb="FF7F7F7F"/>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thick">
        <color theme="4" tint="0.499984740745262"/>
      </bottom>
      <diagonal/>
    </border>
  </borders>
  <cellStyleXfs count="301">
    <xf numFmtId="0" fontId="0" fillId="0" borderId="0"/>
    <xf numFmtId="0" fontId="6" fillId="0" borderId="0" applyNumberFormat="0" applyFill="0" applyBorder="0" applyAlignment="0" applyProtection="0">
      <alignment vertical="top"/>
      <protection locked="0"/>
    </xf>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6" fillId="4" borderId="0" applyNumberFormat="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9" fillId="0" borderId="14" applyNumberFormat="0" applyFill="0" applyAlignment="0" applyProtection="0"/>
    <xf numFmtId="0" fontId="20" fillId="7" borderId="0" applyNumberFormat="0" applyBorder="0" applyAlignment="0" applyProtection="0"/>
    <xf numFmtId="0" fontId="21" fillId="8" borderId="0" applyNumberFormat="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43" fontId="4" fillId="0" borderId="0" applyFont="0" applyFill="0" applyBorder="0" applyAlignment="0" applyProtection="0"/>
    <xf numFmtId="0" fontId="22" fillId="0" borderId="0" applyNumberFormat="0" applyFill="0" applyBorder="0" applyAlignment="0" applyProtection="0"/>
    <xf numFmtId="0" fontId="23" fillId="0" borderId="15" applyNumberFormat="0" applyFill="0" applyAlignment="0" applyProtection="0"/>
    <xf numFmtId="0" fontId="23" fillId="0" borderId="0" applyNumberFormat="0" applyFill="0" applyBorder="0" applyAlignment="0" applyProtection="0"/>
    <xf numFmtId="0" fontId="24" fillId="9" borderId="16" applyNumberFormat="0" applyAlignment="0" applyProtection="0"/>
    <xf numFmtId="0" fontId="25" fillId="10" borderId="16" applyNumberFormat="0" applyAlignment="0" applyProtection="0"/>
    <xf numFmtId="0" fontId="4" fillId="11" borderId="17" applyNumberFormat="0" applyFont="0" applyAlignment="0" applyProtection="0"/>
    <xf numFmtId="0" fontId="26" fillId="0" borderId="0" applyNumberFormat="0" applyFill="0" applyBorder="0" applyAlignment="0" applyProtection="0"/>
    <xf numFmtId="0" fontId="3"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2" fillId="0" borderId="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5" fillId="10" borderId="26" applyNumberFormat="0" applyAlignment="0" applyProtection="0"/>
    <xf numFmtId="0" fontId="27" fillId="0" borderId="27" applyNumberFormat="0" applyFill="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37" fillId="0" borderId="28" applyNumberFormat="0" applyFill="0" applyAlignment="0" applyProtection="0"/>
    <xf numFmtId="0" fontId="12" fillId="0" borderId="0" applyNumberFormat="0" applyFill="0" applyBorder="0" applyAlignment="0" applyProtection="0"/>
    <xf numFmtId="0" fontId="12" fillId="0" borderId="0" applyNumberFormat="0" applyFill="0" applyBorder="0" applyAlignment="0" applyProtection="0"/>
  </cellStyleXfs>
  <cellXfs count="163">
    <xf numFmtId="0" fontId="0" fillId="0" borderId="0" xfId="0"/>
    <xf numFmtId="0" fontId="4" fillId="0" borderId="0" xfId="0" applyFont="1" applyFill="1" applyBorder="1" applyAlignment="1">
      <alignment vertical="center"/>
    </xf>
    <xf numFmtId="0" fontId="0" fillId="0" borderId="0" xfId="0" applyBorder="1" applyAlignment="1">
      <alignment horizontal="left" vertical="center" wrapText="1"/>
    </xf>
    <xf numFmtId="0" fontId="0" fillId="0" borderId="0" xfId="0" applyBorder="1" applyAlignment="1">
      <alignment vertical="center" wrapText="1"/>
    </xf>
    <xf numFmtId="0" fontId="0" fillId="0" borderId="0" xfId="0" applyBorder="1" applyAlignment="1">
      <alignment vertical="center"/>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6" xfId="0" applyFont="1" applyFill="1" applyBorder="1" applyAlignment="1">
      <alignment vertical="center"/>
    </xf>
    <xf numFmtId="0" fontId="4" fillId="0" borderId="7" xfId="0" applyFont="1" applyFill="1" applyBorder="1" applyAlignment="1">
      <alignment vertical="center"/>
    </xf>
    <xf numFmtId="0" fontId="4" fillId="0" borderId="8" xfId="0" applyFont="1" applyFill="1" applyBorder="1" applyAlignment="1">
      <alignment vertical="center"/>
    </xf>
    <xf numFmtId="0" fontId="4" fillId="0" borderId="9" xfId="0" applyFont="1" applyFill="1" applyBorder="1" applyAlignment="1">
      <alignment vertical="center"/>
    </xf>
    <xf numFmtId="0" fontId="4" fillId="0" borderId="0" xfId="0" applyFont="1" applyFill="1" applyBorder="1" applyAlignment="1">
      <alignment vertical="center" wrapText="1"/>
    </xf>
    <xf numFmtId="0" fontId="5" fillId="0" borderId="0" xfId="0" applyFont="1" applyBorder="1" applyAlignment="1">
      <alignment vertical="center"/>
    </xf>
    <xf numFmtId="0" fontId="5" fillId="0" borderId="0" xfId="0" applyFont="1" applyFill="1" applyBorder="1" applyAlignment="1">
      <alignment horizontal="center" vertical="center"/>
    </xf>
    <xf numFmtId="0" fontId="5" fillId="2" borderId="1" xfId="0" applyFont="1" applyFill="1" applyBorder="1" applyAlignment="1">
      <alignment vertical="center" wrapText="1"/>
    </xf>
    <xf numFmtId="0" fontId="7" fillId="0" borderId="0" xfId="0" applyFont="1" applyFill="1" applyBorder="1" applyAlignment="1" applyProtection="1">
      <alignment vertical="center" wrapText="1"/>
      <protection hidden="1"/>
    </xf>
    <xf numFmtId="0" fontId="0" fillId="2" borderId="0" xfId="0" applyFill="1" applyBorder="1" applyAlignment="1" applyProtection="1">
      <alignment vertical="center" wrapText="1"/>
      <protection hidden="1"/>
    </xf>
    <xf numFmtId="0" fontId="0" fillId="0" borderId="4" xfId="0" applyFont="1" applyFill="1" applyBorder="1" applyAlignment="1">
      <alignment vertical="center"/>
    </xf>
    <xf numFmtId="0" fontId="0" fillId="0" borderId="5" xfId="0" applyFont="1" applyFill="1" applyBorder="1" applyAlignment="1">
      <alignment vertical="center"/>
    </xf>
    <xf numFmtId="0" fontId="5" fillId="0" borderId="0" xfId="0" applyFont="1"/>
    <xf numFmtId="0" fontId="0" fillId="0" borderId="8" xfId="0" applyFont="1" applyFill="1" applyBorder="1" applyAlignment="1">
      <alignment vertical="center"/>
    </xf>
    <xf numFmtId="0" fontId="4" fillId="0" borderId="0" xfId="0" applyFont="1" applyFill="1" applyBorder="1" applyAlignment="1">
      <alignment horizontal="center" vertical="center"/>
    </xf>
    <xf numFmtId="0" fontId="4" fillId="0" borderId="0" xfId="0" applyFont="1" applyFill="1" applyBorder="1" applyAlignment="1" applyProtection="1">
      <alignment horizontal="center" vertical="center"/>
      <protection hidden="1"/>
    </xf>
    <xf numFmtId="0" fontId="7" fillId="0" borderId="0" xfId="0" applyFont="1" applyBorder="1" applyAlignment="1">
      <alignment vertical="center" wrapText="1"/>
    </xf>
    <xf numFmtId="0" fontId="0" fillId="0" borderId="0" xfId="0" applyFont="1" applyFill="1" applyBorder="1" applyAlignment="1">
      <alignment vertical="center"/>
    </xf>
    <xf numFmtId="14" fontId="0" fillId="0" borderId="0" xfId="0" applyNumberFormat="1"/>
    <xf numFmtId="0" fontId="15" fillId="0" borderId="0" xfId="0" applyFont="1"/>
    <xf numFmtId="0" fontId="15" fillId="0" borderId="0" xfId="0" applyFont="1" applyFill="1" applyBorder="1" applyAlignment="1">
      <alignment vertical="center"/>
    </xf>
    <xf numFmtId="10" fontId="4" fillId="0" borderId="0" xfId="0" applyNumberFormat="1" applyFont="1" applyFill="1" applyBorder="1" applyAlignment="1">
      <alignment vertical="center"/>
    </xf>
    <xf numFmtId="0" fontId="17" fillId="0" borderId="0" xfId="0" applyFont="1" applyFill="1" applyBorder="1" applyAlignment="1">
      <alignment vertical="center"/>
    </xf>
    <xf numFmtId="0" fontId="5" fillId="5" borderId="0" xfId="0" applyFont="1" applyFill="1"/>
    <xf numFmtId="0" fontId="18" fillId="5" borderId="0" xfId="0" applyFont="1" applyFill="1"/>
    <xf numFmtId="10" fontId="18" fillId="5" borderId="0" xfId="0" applyNumberFormat="1" applyFont="1" applyFill="1"/>
    <xf numFmtId="0" fontId="4" fillId="6" borderId="0" xfId="0" applyFont="1" applyFill="1" applyBorder="1" applyAlignment="1">
      <alignment horizontal="center" vertical="center"/>
    </xf>
    <xf numFmtId="0" fontId="0" fillId="0" borderId="0" xfId="0"/>
    <xf numFmtId="0" fontId="27" fillId="0" borderId="13" xfId="96" applyFont="1" applyBorder="1"/>
    <xf numFmtId="0" fontId="0" fillId="6" borderId="0" xfId="0" applyFill="1"/>
    <xf numFmtId="0" fontId="3" fillId="6" borderId="0" xfId="96" applyFill="1"/>
    <xf numFmtId="0" fontId="4" fillId="6" borderId="0" xfId="0" applyFont="1" applyFill="1" applyBorder="1" applyAlignment="1">
      <alignment vertical="center"/>
    </xf>
    <xf numFmtId="0" fontId="3" fillId="6" borderId="0" xfId="96" applyFill="1" applyAlignment="1">
      <alignment wrapText="1"/>
    </xf>
    <xf numFmtId="0" fontId="25" fillId="10" borderId="16" xfId="93" applyAlignment="1">
      <alignment wrapText="1"/>
    </xf>
    <xf numFmtId="0" fontId="19" fillId="10" borderId="14" xfId="50" applyFill="1" applyAlignment="1">
      <alignment wrapText="1"/>
    </xf>
    <xf numFmtId="0" fontId="24" fillId="9" borderId="16" xfId="92" applyAlignment="1">
      <alignment vertical="center" wrapText="1"/>
    </xf>
    <xf numFmtId="0" fontId="24" fillId="9" borderId="16" xfId="92"/>
    <xf numFmtId="0" fontId="4" fillId="0" borderId="18" xfId="0" applyFont="1" applyFill="1" applyBorder="1" applyAlignment="1">
      <alignment vertical="center"/>
    </xf>
    <xf numFmtId="0" fontId="4" fillId="0" borderId="19" xfId="0" applyFont="1" applyFill="1" applyBorder="1" applyAlignment="1">
      <alignment vertical="center"/>
    </xf>
    <xf numFmtId="0" fontId="24" fillId="9" borderId="20" xfId="92" applyBorder="1" applyAlignment="1">
      <alignment horizontal="left" vertical="center" wrapText="1"/>
    </xf>
    <xf numFmtId="0" fontId="5" fillId="2" borderId="1" xfId="0" applyFont="1" applyFill="1" applyBorder="1" applyAlignment="1">
      <alignment horizontal="left" vertical="center" wrapText="1"/>
    </xf>
    <xf numFmtId="0" fontId="10" fillId="6" borderId="0" xfId="0" applyFont="1" applyFill="1" applyBorder="1" applyAlignment="1">
      <alignment wrapText="1"/>
    </xf>
    <xf numFmtId="0" fontId="10" fillId="6" borderId="0" xfId="0" applyFont="1" applyFill="1" applyBorder="1"/>
    <xf numFmtId="0" fontId="19" fillId="6" borderId="14" xfId="50" applyFill="1"/>
    <xf numFmtId="0" fontId="29" fillId="0" borderId="5" xfId="95" applyFont="1" applyBorder="1" applyAlignment="1">
      <alignment horizontal="center"/>
    </xf>
    <xf numFmtId="0" fontId="23" fillId="0" borderId="0" xfId="91"/>
    <xf numFmtId="0" fontId="23" fillId="0" borderId="0" xfId="91" applyFill="1" applyBorder="1" applyAlignment="1">
      <alignment vertical="center"/>
    </xf>
    <xf numFmtId="0" fontId="30" fillId="0" borderId="21" xfId="0" applyFont="1" applyBorder="1" applyAlignment="1">
      <alignment vertical="center"/>
    </xf>
    <xf numFmtId="0" fontId="26" fillId="6" borderId="0" xfId="95" applyFill="1" applyBorder="1" applyAlignment="1">
      <alignment vertical="center" wrapText="1"/>
    </xf>
    <xf numFmtId="0" fontId="29" fillId="0" borderId="0" xfId="95" applyFont="1" applyAlignment="1">
      <alignment horizontal="center"/>
    </xf>
    <xf numFmtId="0" fontId="0" fillId="0" borderId="0" xfId="0" applyFont="1" applyFill="1" applyBorder="1" applyAlignment="1">
      <alignment horizontal="right" vertical="center" wrapText="1"/>
    </xf>
    <xf numFmtId="0" fontId="0" fillId="0" borderId="0" xfId="0" applyFont="1" applyFill="1" applyBorder="1" applyAlignment="1">
      <alignment vertical="center" wrapText="1"/>
    </xf>
    <xf numFmtId="0" fontId="26" fillId="0" borderId="0" xfId="95" applyAlignment="1">
      <alignment horizontal="left" vertical="center"/>
    </xf>
    <xf numFmtId="0" fontId="26" fillId="0" borderId="0" xfId="95" applyAlignment="1">
      <alignment horizontal="left" vertical="center" wrapText="1"/>
    </xf>
    <xf numFmtId="0" fontId="0" fillId="0" borderId="0" xfId="0" applyFont="1" applyFill="1" applyBorder="1" applyAlignment="1">
      <alignment horizontal="left" vertical="center"/>
    </xf>
    <xf numFmtId="0" fontId="0" fillId="0" borderId="0" xfId="0" applyAlignment="1">
      <alignment horizontal="left"/>
    </xf>
    <xf numFmtId="0" fontId="4" fillId="0" borderId="0" xfId="0" applyFont="1" applyFill="1" applyBorder="1" applyAlignment="1">
      <alignment horizontal="left" vertical="center"/>
    </xf>
    <xf numFmtId="0" fontId="23" fillId="0" borderId="15" xfId="90" applyFill="1" applyAlignment="1">
      <alignment horizontal="left" vertical="center"/>
    </xf>
    <xf numFmtId="0" fontId="23" fillId="0" borderId="15" xfId="90" applyFill="1" applyAlignment="1">
      <alignment vertical="center"/>
    </xf>
    <xf numFmtId="0" fontId="0" fillId="11" borderId="17" xfId="94" applyFont="1" applyAlignment="1">
      <alignment wrapText="1"/>
    </xf>
    <xf numFmtId="0" fontId="31" fillId="11" borderId="17" xfId="94" applyFont="1" applyAlignment="1">
      <alignment wrapText="1"/>
    </xf>
    <xf numFmtId="0" fontId="23" fillId="0" borderId="15" xfId="90"/>
    <xf numFmtId="0" fontId="24" fillId="9" borderId="16" xfId="92" applyAlignment="1">
      <alignment vertical="center"/>
    </xf>
    <xf numFmtId="0" fontId="4" fillId="0" borderId="0" xfId="0" applyFont="1" applyFill="1" applyBorder="1" applyAlignment="1">
      <alignment horizontal="right" vertical="center"/>
    </xf>
    <xf numFmtId="0" fontId="26" fillId="0" borderId="0" xfId="95" applyAlignment="1">
      <alignment wrapText="1"/>
    </xf>
    <xf numFmtId="0" fontId="29" fillId="0" borderId="5" xfId="95" applyFont="1" applyBorder="1" applyAlignment="1">
      <alignment horizontal="center" vertical="center"/>
    </xf>
    <xf numFmtId="0" fontId="0" fillId="0" borderId="18" xfId="0" applyFont="1" applyFill="1" applyBorder="1" applyAlignment="1">
      <alignment vertical="center"/>
    </xf>
    <xf numFmtId="0" fontId="0" fillId="0" borderId="0" xfId="0" applyAlignment="1">
      <alignment horizontal="left" vertical="center"/>
    </xf>
    <xf numFmtId="0" fontId="22" fillId="12" borderId="0" xfId="89" applyFill="1" applyBorder="1" applyAlignment="1">
      <alignment vertical="center"/>
    </xf>
    <xf numFmtId="0" fontId="32" fillId="12" borderId="0" xfId="89" applyFont="1" applyFill="1" applyBorder="1" applyAlignment="1">
      <alignment vertical="center"/>
    </xf>
    <xf numFmtId="0" fontId="32" fillId="12" borderId="0" xfId="89" applyFont="1" applyFill="1"/>
    <xf numFmtId="0" fontId="33" fillId="12" borderId="0" xfId="0" applyFont="1" applyFill="1"/>
    <xf numFmtId="0" fontId="33" fillId="12" borderId="0" xfId="0" applyFont="1" applyFill="1" applyBorder="1" applyAlignment="1">
      <alignment vertical="center"/>
    </xf>
    <xf numFmtId="0" fontId="4" fillId="12" borderId="0" xfId="0" applyFont="1" applyFill="1" applyBorder="1" applyAlignment="1">
      <alignment vertical="center"/>
    </xf>
    <xf numFmtId="0" fontId="0" fillId="12" borderId="0" xfId="0" applyFill="1"/>
    <xf numFmtId="0" fontId="0" fillId="12" borderId="0" xfId="0" applyFill="1" applyBorder="1" applyAlignment="1">
      <alignment vertical="center"/>
    </xf>
    <xf numFmtId="0" fontId="0" fillId="0" borderId="0" xfId="0" applyAlignment="1">
      <alignment wrapText="1"/>
    </xf>
    <xf numFmtId="0" fontId="3" fillId="0" borderId="0" xfId="96" applyFill="1" applyAlignment="1">
      <alignment wrapText="1"/>
    </xf>
    <xf numFmtId="0" fontId="26" fillId="0" borderId="0" xfId="95" applyBorder="1" applyAlignment="1">
      <alignment vertical="center" wrapText="1"/>
    </xf>
    <xf numFmtId="0" fontId="28" fillId="0" borderId="22" xfId="95" applyFont="1" applyBorder="1"/>
    <xf numFmtId="0" fontId="24" fillId="9" borderId="23" xfId="92" applyBorder="1" applyAlignment="1">
      <alignment horizontal="left" vertical="center"/>
    </xf>
    <xf numFmtId="0" fontId="16" fillId="4" borderId="24" xfId="14" applyBorder="1" applyAlignment="1">
      <alignment vertical="center"/>
    </xf>
    <xf numFmtId="0" fontId="20" fillId="7" borderId="24" xfId="51" applyBorder="1" applyAlignment="1">
      <alignment vertical="center"/>
    </xf>
    <xf numFmtId="0" fontId="21" fillId="8" borderId="25" xfId="52" applyBorder="1" applyAlignment="1">
      <alignment vertical="center"/>
    </xf>
    <xf numFmtId="0" fontId="0" fillId="0" borderId="0" xfId="0" applyFill="1" applyBorder="1" applyAlignment="1"/>
    <xf numFmtId="0" fontId="0" fillId="0" borderId="0" xfId="0" applyFill="1" applyBorder="1"/>
    <xf numFmtId="164" fontId="0" fillId="0" borderId="0" xfId="0" applyNumberFormat="1"/>
    <xf numFmtId="0" fontId="5" fillId="0" borderId="0" xfId="0" applyFont="1" applyFill="1" applyBorder="1" applyAlignment="1">
      <alignment vertical="center"/>
    </xf>
    <xf numFmtId="0" fontId="27" fillId="0" borderId="0" xfId="96" applyFont="1" applyFill="1" applyAlignment="1">
      <alignment wrapText="1"/>
    </xf>
    <xf numFmtId="9" fontId="19" fillId="0" borderId="14" xfId="50" applyNumberFormat="1" applyFill="1" applyAlignment="1">
      <alignment vertical="center"/>
    </xf>
    <xf numFmtId="1" fontId="0" fillId="0" borderId="0" xfId="0" applyNumberFormat="1"/>
    <xf numFmtId="0" fontId="1" fillId="0" borderId="0" xfId="96" applyFont="1"/>
    <xf numFmtId="0" fontId="21" fillId="8" borderId="0" xfId="52"/>
    <xf numFmtId="0" fontId="4" fillId="0" borderId="0" xfId="0" applyFont="1" applyFill="1" applyBorder="1" applyAlignment="1">
      <alignment horizontal="right"/>
    </xf>
    <xf numFmtId="0" fontId="3" fillId="0" borderId="0" xfId="96"/>
    <xf numFmtId="9" fontId="19" fillId="0" borderId="14" xfId="50" applyNumberFormat="1"/>
    <xf numFmtId="0" fontId="6" fillId="0" borderId="0" xfId="1" applyAlignment="1" applyProtection="1"/>
    <xf numFmtId="0" fontId="34" fillId="0" borderId="0" xfId="0" applyFont="1"/>
    <xf numFmtId="165" fontId="0" fillId="0" borderId="0" xfId="0" applyNumberFormat="1" applyBorder="1" applyAlignment="1">
      <alignment vertical="center"/>
    </xf>
    <xf numFmtId="0" fontId="0" fillId="0" borderId="0" xfId="0" applyNumberFormat="1" applyBorder="1" applyAlignment="1">
      <alignment vertical="center"/>
    </xf>
    <xf numFmtId="14" fontId="11" fillId="6" borderId="0" xfId="0" applyNumberFormat="1" applyFont="1" applyFill="1" applyBorder="1" applyAlignment="1">
      <alignment wrapText="1"/>
    </xf>
    <xf numFmtId="9" fontId="0" fillId="0" borderId="0" xfId="227" applyFont="1"/>
    <xf numFmtId="0" fontId="22" fillId="0" borderId="0" xfId="89"/>
    <xf numFmtId="44" fontId="0" fillId="0" borderId="0" xfId="226" applyFont="1"/>
    <xf numFmtId="0" fontId="35" fillId="10" borderId="26" xfId="228"/>
    <xf numFmtId="166" fontId="0" fillId="0" borderId="0" xfId="0" applyNumberFormat="1" applyAlignment="1">
      <alignment horizontal="left"/>
    </xf>
    <xf numFmtId="166" fontId="0" fillId="0" borderId="0" xfId="0" applyNumberFormat="1" applyAlignment="1">
      <alignment wrapText="1"/>
    </xf>
    <xf numFmtId="0" fontId="0" fillId="0" borderId="0" xfId="0" applyAlignment="1">
      <alignment horizontal="right"/>
    </xf>
    <xf numFmtId="0" fontId="0" fillId="0" borderId="0" xfId="0" applyAlignment="1">
      <alignment horizontal="center"/>
    </xf>
    <xf numFmtId="0" fontId="22" fillId="0" borderId="0" xfId="89" applyAlignment="1">
      <alignment horizontal="left"/>
    </xf>
    <xf numFmtId="0" fontId="0" fillId="0" borderId="0" xfId="0" applyAlignment="1">
      <alignment horizontal="left" wrapText="1"/>
    </xf>
    <xf numFmtId="44" fontId="0" fillId="0" borderId="0" xfId="226" applyFont="1" applyAlignment="1">
      <alignment horizontal="left"/>
    </xf>
    <xf numFmtId="44" fontId="0" fillId="0" borderId="0" xfId="226" applyFont="1" applyAlignment="1">
      <alignment horizontal="left" wrapText="1"/>
    </xf>
    <xf numFmtId="0" fontId="24" fillId="9" borderId="16" xfId="92" applyAlignment="1">
      <alignment wrapText="1"/>
    </xf>
    <xf numFmtId="44" fontId="0" fillId="0" borderId="0" xfId="0" applyNumberFormat="1"/>
    <xf numFmtId="0" fontId="36" fillId="0" borderId="0" xfId="0" applyFont="1" applyAlignment="1">
      <alignment wrapText="1"/>
    </xf>
    <xf numFmtId="0" fontId="27" fillId="0" borderId="27" xfId="229" applyAlignment="1">
      <alignment wrapText="1"/>
    </xf>
    <xf numFmtId="0" fontId="23" fillId="0" borderId="15" xfId="90" applyAlignment="1">
      <alignment wrapText="1"/>
    </xf>
    <xf numFmtId="44" fontId="5" fillId="0" borderId="0" xfId="0" applyNumberFormat="1" applyFont="1"/>
    <xf numFmtId="44" fontId="5" fillId="5" borderId="0" xfId="0" applyNumberFormat="1" applyFont="1" applyFill="1"/>
    <xf numFmtId="0" fontId="0" fillId="0" borderId="0" xfId="226" applyNumberFormat="1" applyFont="1"/>
    <xf numFmtId="0" fontId="17" fillId="0" borderId="0" xfId="0" applyNumberFormat="1" applyFont="1" applyFill="1" applyBorder="1" applyAlignment="1">
      <alignment vertical="center"/>
    </xf>
    <xf numFmtId="0" fontId="0" fillId="0" borderId="0" xfId="0" applyNumberFormat="1"/>
    <xf numFmtId="0" fontId="4" fillId="0" borderId="0" xfId="0" applyNumberFormat="1" applyFont="1" applyFill="1" applyBorder="1" applyAlignment="1">
      <alignment horizontal="right" vertical="center"/>
    </xf>
    <xf numFmtId="9" fontId="18" fillId="5" borderId="0" xfId="227" applyFont="1" applyFill="1"/>
    <xf numFmtId="0" fontId="19" fillId="0" borderId="14" xfId="50"/>
    <xf numFmtId="0" fontId="24" fillId="6" borderId="16" xfId="92" applyFill="1" applyAlignment="1">
      <alignment vertical="center" wrapText="1"/>
    </xf>
    <xf numFmtId="0" fontId="4" fillId="6" borderId="0" xfId="0" applyFont="1" applyFill="1" applyBorder="1" applyAlignment="1">
      <alignment vertical="center" wrapText="1"/>
    </xf>
    <xf numFmtId="0" fontId="4" fillId="6" borderId="0" xfId="0" applyFont="1" applyFill="1" applyBorder="1" applyAlignment="1">
      <alignment horizontal="center" vertical="center" wrapText="1"/>
    </xf>
    <xf numFmtId="0" fontId="26" fillId="0" borderId="0" xfId="95"/>
    <xf numFmtId="0" fontId="5" fillId="0" borderId="0" xfId="0" applyFont="1" applyBorder="1" applyAlignment="1">
      <alignment horizontal="center" vertical="center"/>
    </xf>
    <xf numFmtId="0" fontId="5" fillId="0" borderId="0"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37" fillId="0" borderId="28" xfId="298"/>
    <xf numFmtId="0" fontId="37" fillId="0" borderId="28" xfId="298" applyAlignment="1">
      <alignment vertical="center"/>
    </xf>
    <xf numFmtId="9" fontId="5" fillId="0" borderId="0" xfId="227" applyFont="1" applyAlignment="1">
      <alignment horizontal="center" vertical="center"/>
    </xf>
    <xf numFmtId="9" fontId="5" fillId="0" borderId="0" xfId="227" applyFont="1" applyBorder="1" applyAlignment="1">
      <alignment horizontal="center" vertical="center"/>
    </xf>
    <xf numFmtId="15" fontId="0" fillId="0" borderId="0" xfId="0" applyNumberFormat="1"/>
    <xf numFmtId="0" fontId="25" fillId="10" borderId="16" xfId="93"/>
    <xf numFmtId="0" fontId="3" fillId="0" borderId="0" xfId="96"/>
    <xf numFmtId="0" fontId="26" fillId="0" borderId="0" xfId="95" applyBorder="1" applyAlignment="1">
      <alignment horizontal="left" vertical="center" wrapText="1"/>
    </xf>
    <xf numFmtId="0" fontId="37" fillId="0" borderId="28" xfId="298" applyAlignment="1">
      <alignment horizontal="center"/>
    </xf>
    <xf numFmtId="0" fontId="37" fillId="0" borderId="28" xfId="298" applyAlignment="1">
      <alignment horizontal="center" wrapText="1"/>
    </xf>
    <xf numFmtId="0" fontId="29" fillId="0" borderId="12" xfId="95" applyFont="1" applyBorder="1" applyAlignment="1">
      <alignment horizontal="center"/>
    </xf>
    <xf numFmtId="0" fontId="29" fillId="0" borderId="13" xfId="95" applyFont="1" applyBorder="1" applyAlignment="1">
      <alignment horizontal="center"/>
    </xf>
    <xf numFmtId="0" fontId="29" fillId="0" borderId="11" xfId="95" applyFont="1" applyBorder="1" applyAlignment="1">
      <alignment horizontal="center"/>
    </xf>
    <xf numFmtId="0" fontId="26" fillId="0" borderId="0" xfId="95" applyBorder="1" applyAlignment="1">
      <alignment horizontal="left" vertical="center" wrapText="1"/>
    </xf>
    <xf numFmtId="0" fontId="19" fillId="0" borderId="14" xfId="50" applyAlignment="1">
      <alignment horizontal="center" vertical="center" wrapText="1"/>
    </xf>
    <xf numFmtId="0" fontId="9" fillId="2" borderId="10"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3" fillId="0" borderId="0" xfId="96" applyAlignment="1"/>
    <xf numFmtId="0" fontId="1" fillId="0" borderId="0" xfId="96" applyFont="1" applyFill="1" applyAlignment="1">
      <alignment wrapText="1"/>
    </xf>
    <xf numFmtId="43" fontId="1" fillId="6" borderId="0" xfId="88" applyFont="1" applyFill="1"/>
  </cellXfs>
  <cellStyles count="301">
    <cellStyle name="Bad" xfId="51" builtinId="27"/>
    <cellStyle name="Calculation" xfId="93" builtinId="22"/>
    <cellStyle name="Comma" xfId="88" builtinId="3"/>
    <cellStyle name="Currency" xfId="226" builtinId="4"/>
    <cellStyle name="Explanatory Text" xfId="95" builtinId="53"/>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300" builtinId="9" hidden="1"/>
    <cellStyle name="Followed Hyperlink" xfId="299" builtinId="9" hidden="1"/>
    <cellStyle name="Followed Hyperlink" xfId="296" builtinId="9" hidden="1"/>
    <cellStyle name="Followed Hyperlink" xfId="294" builtinId="9" hidden="1"/>
    <cellStyle name="Followed Hyperlink" xfId="292" builtinId="9" hidden="1"/>
    <cellStyle name="Followed Hyperlink" xfId="290" builtinId="9" hidden="1"/>
    <cellStyle name="Followed Hyperlink" xfId="288" builtinId="9" hidden="1"/>
    <cellStyle name="Followed Hyperlink" xfId="286" builtinId="9" hidden="1"/>
    <cellStyle name="Followed Hyperlink" xfId="284" builtinId="9" hidden="1"/>
    <cellStyle name="Followed Hyperlink" xfId="282" builtinId="9" hidden="1"/>
    <cellStyle name="Followed Hyperlink" xfId="280" builtinId="9" hidden="1"/>
    <cellStyle name="Followed Hyperlink" xfId="278" builtinId="9" hidden="1"/>
    <cellStyle name="Followed Hyperlink" xfId="276" builtinId="9" hidden="1"/>
    <cellStyle name="Followed Hyperlink" xfId="274" builtinId="9" hidden="1"/>
    <cellStyle name="Followed Hyperlink" xfId="272" builtinId="9" hidden="1"/>
    <cellStyle name="Followed Hyperlink" xfId="270" builtinId="9" hidden="1"/>
    <cellStyle name="Followed Hyperlink" xfId="268" builtinId="9" hidden="1"/>
    <cellStyle name="Followed Hyperlink" xfId="266" builtinId="9" hidden="1"/>
    <cellStyle name="Followed Hyperlink" xfId="264" builtinId="9" hidden="1"/>
    <cellStyle name="Followed Hyperlink" xfId="262" builtinId="9" hidden="1"/>
    <cellStyle name="Followed Hyperlink" xfId="260" builtinId="9" hidden="1"/>
    <cellStyle name="Followed Hyperlink" xfId="258" builtinId="9" hidden="1"/>
    <cellStyle name="Followed Hyperlink" xfId="256" builtinId="9" hidden="1"/>
    <cellStyle name="Followed Hyperlink" xfId="254" builtinId="9" hidden="1"/>
    <cellStyle name="Followed Hyperlink" xfId="252" builtinId="9" hidden="1"/>
    <cellStyle name="Followed Hyperlink" xfId="250" builtinId="9" hidden="1"/>
    <cellStyle name="Followed Hyperlink" xfId="248" builtinId="9" hidden="1"/>
    <cellStyle name="Followed Hyperlink" xfId="246" builtinId="9" hidden="1"/>
    <cellStyle name="Followed Hyperlink" xfId="244" builtinId="9" hidden="1"/>
    <cellStyle name="Followed Hyperlink" xfId="242" builtinId="9" hidden="1"/>
    <cellStyle name="Followed Hyperlink" xfId="240" builtinId="9" hidden="1"/>
    <cellStyle name="Followed Hyperlink" xfId="238" builtinId="9" hidden="1"/>
    <cellStyle name="Followed Hyperlink" xfId="236" builtinId="9" hidden="1"/>
    <cellStyle name="Followed Hyperlink" xfId="234" builtinId="9" hidden="1"/>
    <cellStyle name="Followed Hyperlink" xfId="232" builtinId="9" hidden="1"/>
    <cellStyle name="Followed Hyperlink" xfId="230" builtinId="9" hidden="1"/>
    <cellStyle name="Followed Hyperlink" xfId="224" builtinId="9" hidden="1"/>
    <cellStyle name="Followed Hyperlink" xfId="222" builtinId="9" hidden="1"/>
    <cellStyle name="Followed Hyperlink" xfId="220" builtinId="9" hidden="1"/>
    <cellStyle name="Followed Hyperlink" xfId="218" builtinId="9" hidden="1"/>
    <cellStyle name="Followed Hyperlink" xfId="216" builtinId="9" hidden="1"/>
    <cellStyle name="Followed Hyperlink" xfId="214" builtinId="9" hidden="1"/>
    <cellStyle name="Followed Hyperlink" xfId="212" builtinId="9" hidden="1"/>
    <cellStyle name="Followed Hyperlink" xfId="210" builtinId="9" hidden="1"/>
    <cellStyle name="Followed Hyperlink" xfId="208" builtinId="9" hidden="1"/>
    <cellStyle name="Followed Hyperlink" xfId="206" builtinId="9" hidden="1"/>
    <cellStyle name="Followed Hyperlink" xfId="204" builtinId="9" hidden="1"/>
    <cellStyle name="Followed Hyperlink" xfId="202" builtinId="9" hidden="1"/>
    <cellStyle name="Followed Hyperlink" xfId="200" builtinId="9" hidden="1"/>
    <cellStyle name="Followed Hyperlink" xfId="198" builtinId="9" hidden="1"/>
    <cellStyle name="Followed Hyperlink" xfId="196" builtinId="9" hidden="1"/>
    <cellStyle name="Followed Hyperlink" xfId="194" builtinId="9" hidden="1"/>
    <cellStyle name="Followed Hyperlink" xfId="192" builtinId="9" hidden="1"/>
    <cellStyle name="Followed Hyperlink" xfId="190" builtinId="9" hidden="1"/>
    <cellStyle name="Followed Hyperlink" xfId="188" builtinId="9" hidden="1"/>
    <cellStyle name="Followed Hyperlink" xfId="186" builtinId="9" hidden="1"/>
    <cellStyle name="Followed Hyperlink" xfId="183" builtinId="9" hidden="1"/>
    <cellStyle name="Followed Hyperlink" xfId="181" builtinId="9" hidden="1"/>
    <cellStyle name="Followed Hyperlink" xfId="179" builtinId="9" hidden="1"/>
    <cellStyle name="Followed Hyperlink" xfId="177" builtinId="9" hidden="1"/>
    <cellStyle name="Followed Hyperlink" xfId="175" builtinId="9" hidden="1"/>
    <cellStyle name="Followed Hyperlink" xfId="173" builtinId="9" hidden="1"/>
    <cellStyle name="Followed Hyperlink" xfId="171" builtinId="9" hidden="1"/>
    <cellStyle name="Followed Hyperlink" xfId="169" builtinId="9" hidden="1"/>
    <cellStyle name="Followed Hyperlink" xfId="167" builtinId="9" hidden="1"/>
    <cellStyle name="Followed Hyperlink" xfId="165" builtinId="9" hidden="1"/>
    <cellStyle name="Followed Hyperlink" xfId="163" builtinId="9" hidden="1"/>
    <cellStyle name="Followed Hyperlink" xfId="161" builtinId="9" hidden="1"/>
    <cellStyle name="Followed Hyperlink" xfId="159" builtinId="9" hidden="1"/>
    <cellStyle name="Followed Hyperlink" xfId="157" builtinId="9" hidden="1"/>
    <cellStyle name="Followed Hyperlink" xfId="155" builtinId="9" hidden="1"/>
    <cellStyle name="Followed Hyperlink" xfId="153" builtinId="9" hidden="1"/>
    <cellStyle name="Followed Hyperlink" xfId="151" builtinId="9" hidden="1"/>
    <cellStyle name="Followed Hyperlink" xfId="149" builtinId="9" hidden="1"/>
    <cellStyle name="Followed Hyperlink" xfId="147" builtinId="9" hidden="1"/>
    <cellStyle name="Followed Hyperlink" xfId="145" builtinId="9" hidden="1"/>
    <cellStyle name="Followed Hyperlink" xfId="143" builtinId="9" hidden="1"/>
    <cellStyle name="Followed Hyperlink" xfId="141" builtinId="9" hidden="1"/>
    <cellStyle name="Followed Hyperlink" xfId="139" builtinId="9" hidden="1"/>
    <cellStyle name="Followed Hyperlink" xfId="137" builtinId="9" hidden="1"/>
    <cellStyle name="Followed Hyperlink" xfId="135" builtinId="9" hidden="1"/>
    <cellStyle name="Followed Hyperlink" xfId="133" builtinId="9" hidden="1"/>
    <cellStyle name="Followed Hyperlink" xfId="131" builtinId="9" hidden="1"/>
    <cellStyle name="Followed Hyperlink" xfId="129" builtinId="9" hidden="1"/>
    <cellStyle name="Followed Hyperlink" xfId="127" builtinId="9" hidden="1"/>
    <cellStyle name="Followed Hyperlink" xfId="125" builtinId="9" hidden="1"/>
    <cellStyle name="Followed Hyperlink" xfId="123" builtinId="9" hidden="1"/>
    <cellStyle name="Followed Hyperlink" xfId="121" builtinId="9" hidden="1"/>
    <cellStyle name="Followed Hyperlink" xfId="119" builtinId="9" hidden="1"/>
    <cellStyle name="Followed Hyperlink" xfId="117" builtinId="9" hidden="1"/>
    <cellStyle name="Followed Hyperlink" xfId="115" builtinId="9" hidden="1"/>
    <cellStyle name="Followed Hyperlink" xfId="113" builtinId="9" hidden="1"/>
    <cellStyle name="Followed Hyperlink" xfId="111" builtinId="9" hidden="1"/>
    <cellStyle name="Followed Hyperlink" xfId="109" builtinId="9" hidden="1"/>
    <cellStyle name="Followed Hyperlink" xfId="107" builtinId="9" hidden="1"/>
    <cellStyle name="Followed Hyperlink" xfId="105" builtinId="9" hidden="1"/>
    <cellStyle name="Followed Hyperlink" xfId="103" builtinId="9" hidden="1"/>
    <cellStyle name="Followed Hyperlink" xfId="101" builtinId="9" hidden="1"/>
    <cellStyle name="Followed Hyperlink" xfId="99" builtinId="9" hidden="1"/>
    <cellStyle name="Followed Hyperlink" xfId="97" builtinId="9" hidden="1"/>
    <cellStyle name="Followed Hyperlink" xfId="86" builtinId="9" hidden="1"/>
    <cellStyle name="Followed Hyperlink" xfId="84" builtinId="9" hidden="1"/>
    <cellStyle name="Followed Hyperlink" xfId="82" builtinId="9" hidden="1"/>
    <cellStyle name="Followed Hyperlink" xfId="80" builtinId="9" hidden="1"/>
    <cellStyle name="Followed Hyperlink" xfId="78" builtinId="9" hidden="1"/>
    <cellStyle name="Followed Hyperlink" xfId="76" builtinId="9" hidden="1"/>
    <cellStyle name="Followed Hyperlink" xfId="74" builtinId="9" hidden="1"/>
    <cellStyle name="Followed Hyperlink" xfId="72" builtinId="9" hidden="1"/>
    <cellStyle name="Followed Hyperlink" xfId="70" builtinId="9" hidden="1"/>
    <cellStyle name="Followed Hyperlink" xfId="68" builtinId="9" hidden="1"/>
    <cellStyle name="Followed Hyperlink" xfId="66" builtinId="9" hidden="1"/>
    <cellStyle name="Followed Hyperlink" xfId="64" builtinId="9" hidden="1"/>
    <cellStyle name="Followed Hyperlink" xfId="62" builtinId="9" hidden="1"/>
    <cellStyle name="Followed Hyperlink" xfId="60" builtinId="9" hidden="1"/>
    <cellStyle name="Followed Hyperlink" xfId="58" builtinId="9" hidden="1"/>
    <cellStyle name="Followed Hyperlink" xfId="56" builtinId="9" hidden="1"/>
    <cellStyle name="Followed Hyperlink" xfId="54" builtinId="9" hidden="1"/>
    <cellStyle name="Followed Hyperlink" xfId="49" builtinId="9" hidden="1"/>
    <cellStyle name="Followed Hyperlink" xfId="47" builtinId="9" hidden="1"/>
    <cellStyle name="Followed Hyperlink" xfId="45" builtinId="9" hidden="1"/>
    <cellStyle name="Followed Hyperlink" xfId="43" builtinId="9" hidden="1"/>
    <cellStyle name="Followed Hyperlink" xfId="41" builtinId="9" hidden="1"/>
    <cellStyle name="Followed Hyperlink" xfId="39" builtinId="9" hidden="1"/>
    <cellStyle name="Followed Hyperlink" xfId="37" builtinId="9" hidden="1"/>
    <cellStyle name="Followed Hyperlink" xfId="35" builtinId="9" hidden="1"/>
    <cellStyle name="Followed Hyperlink" xfId="13" builtinId="9" hidden="1"/>
    <cellStyle name="Followed Hyperlink" xfId="15" builtinId="9" hidden="1"/>
    <cellStyle name="Followed Hyperlink" xfId="16" builtinId="9" hidden="1"/>
    <cellStyle name="Followed Hyperlink" xfId="18" builtinId="9" hidden="1"/>
    <cellStyle name="Followed Hyperlink" xfId="19" builtinId="9" hidden="1"/>
    <cellStyle name="Followed Hyperlink" xfId="20" builtinId="9" hidden="1"/>
    <cellStyle name="Followed Hyperlink" xfId="22" builtinId="9" hidden="1"/>
    <cellStyle name="Followed Hyperlink" xfId="23" builtinId="9" hidden="1"/>
    <cellStyle name="Followed Hyperlink" xfId="24" builtinId="9" hidden="1"/>
    <cellStyle name="Followed Hyperlink" xfId="26" builtinId="9" hidden="1"/>
    <cellStyle name="Followed Hyperlink" xfId="27" builtinId="9" hidden="1"/>
    <cellStyle name="Followed Hyperlink" xfId="28" builtinId="9" hidden="1"/>
    <cellStyle name="Followed Hyperlink" xfId="30" builtinId="9" hidden="1"/>
    <cellStyle name="Followed Hyperlink" xfId="31" builtinId="9" hidden="1"/>
    <cellStyle name="Followed Hyperlink" xfId="32" builtinId="9" hidden="1"/>
    <cellStyle name="Followed Hyperlink" xfId="34" builtinId="9" hidden="1"/>
    <cellStyle name="Followed Hyperlink" xfId="33" builtinId="9" hidden="1"/>
    <cellStyle name="Followed Hyperlink" xfId="29" builtinId="9" hidden="1"/>
    <cellStyle name="Followed Hyperlink" xfId="25" builtinId="9" hidden="1"/>
    <cellStyle name="Followed Hyperlink" xfId="21" builtinId="9" hidden="1"/>
    <cellStyle name="Followed Hyperlink" xfId="17" builtinId="9" hidden="1"/>
    <cellStyle name="Followed Hyperlink" xfId="12" builtinId="9" hidden="1"/>
    <cellStyle name="Followed Hyperlink" xfId="6" builtinId="9" hidden="1"/>
    <cellStyle name="Followed Hyperlink" xfId="7" builtinId="9" hidden="1"/>
    <cellStyle name="Followed Hyperlink" xfId="9" builtinId="9" hidden="1"/>
    <cellStyle name="Followed Hyperlink" xfId="10" builtinId="9" hidden="1"/>
    <cellStyle name="Followed Hyperlink" xfId="11" builtinId="9" hidden="1"/>
    <cellStyle name="Followed Hyperlink" xfId="8" builtinId="9" hidden="1"/>
    <cellStyle name="Followed Hyperlink" xfId="4" builtinId="9" hidden="1"/>
    <cellStyle name="Followed Hyperlink" xfId="5" builtinId="9" hidden="1"/>
    <cellStyle name="Followed Hyperlink" xfId="3" builtinId="9" hidden="1"/>
    <cellStyle name="Followed Hyperlink" xfId="2" builtinId="9" hidden="1"/>
    <cellStyle name="Good" xfId="14" builtinId="26"/>
    <cellStyle name="Heading 1" xfId="50" builtinId="16"/>
    <cellStyle name="Heading 2" xfId="298" builtinId="17"/>
    <cellStyle name="Heading 3" xfId="90" builtinId="18"/>
    <cellStyle name="Heading 4" xfId="91" builtinId="19"/>
    <cellStyle name="Hyperlink" xfId="1" builtinId="8"/>
    <cellStyle name="Input" xfId="92" builtinId="20"/>
    <cellStyle name="Neutral" xfId="52" builtinId="28"/>
    <cellStyle name="Normal" xfId="0" builtinId="0"/>
    <cellStyle name="Normal 2" xfId="96" xr:uid="{00000000-0005-0000-0000-000026010000}"/>
    <cellStyle name="Normal 3" xfId="185" xr:uid="{00000000-0005-0000-0000-000027010000}"/>
    <cellStyle name="Note" xfId="94" builtinId="10"/>
    <cellStyle name="Output" xfId="228" builtinId="21"/>
    <cellStyle name="Percent" xfId="227" builtinId="5"/>
    <cellStyle name="Title" xfId="89" builtinId="15"/>
    <cellStyle name="Total" xfId="229" builtinId="25"/>
  </cellStyles>
  <dxfs count="63">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a:t>
            </a:r>
            <a:r>
              <a:rPr lang="en-US" baseline="0"/>
              <a:t> Every 3 weeks for a year</a:t>
            </a:r>
            <a:endParaRPr lang="en-US"/>
          </a:p>
        </c:rich>
      </c:tx>
      <c:overlay val="0"/>
      <c:spPr>
        <a:noFill/>
        <a:ln>
          <a:noFill/>
        </a:ln>
        <a:effectLst/>
      </c:spPr>
    </c:title>
    <c:autoTitleDeleted val="0"/>
    <c:plotArea>
      <c:layout>
        <c:manualLayout>
          <c:layoutTarget val="inner"/>
          <c:xMode val="edge"/>
          <c:yMode val="edge"/>
          <c:x val="6.8578167280173602E-2"/>
          <c:y val="0.116715311612441"/>
          <c:w val="0.93142183271982604"/>
          <c:h val="0.81140808645253704"/>
        </c:manualLayout>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Analysis!$BR$7:$CI$7</c:f>
              <c:numCache>
                <c:formatCode>General</c:formatCode>
                <c:ptCount val="18"/>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numCache>
            </c:numRef>
          </c:cat>
          <c:val>
            <c:numRef>
              <c:f>Analysis!$BR$8:$CI$8</c:f>
              <c:numCache>
                <c:formatCode>General</c:formatCode>
                <c:ptCount val="18"/>
                <c:pt idx="0">
                  <c:v>101.62331476231205</c:v>
                </c:pt>
                <c:pt idx="1">
                  <c:v>105.77683534223686</c:v>
                </c:pt>
                <c:pt idx="2">
                  <c:v>111.92009038590963</c:v>
                </c:pt>
                <c:pt idx="3">
                  <c:v>117.72310765968236</c:v>
                </c:pt>
                <c:pt idx="4">
                  <c:v>118.38464939873975</c:v>
                </c:pt>
                <c:pt idx="5">
                  <c:v>112.1444014095165</c:v>
                </c:pt>
                <c:pt idx="6">
                  <c:v>108.63420866507734</c:v>
                </c:pt>
                <c:pt idx="7">
                  <c:v>107.59656969375496</c:v>
                </c:pt>
                <c:pt idx="8">
                  <c:v>115.6666455436779</c:v>
                </c:pt>
                <c:pt idx="9">
                  <c:v>117.26442476550474</c:v>
                </c:pt>
                <c:pt idx="10">
                  <c:v>110.4334607055782</c:v>
                </c:pt>
                <c:pt idx="11">
                  <c:v>111.59537321217637</c:v>
                </c:pt>
                <c:pt idx="12">
                  <c:v>110.86290629869002</c:v>
                </c:pt>
                <c:pt idx="13">
                  <c:v>105.49705587418435</c:v>
                </c:pt>
                <c:pt idx="14">
                  <c:v>116.97934453633594</c:v>
                </c:pt>
                <c:pt idx="15">
                  <c:v>110.95474421667689</c:v>
                </c:pt>
                <c:pt idx="16">
                  <c:v>120.65914868891349</c:v>
                </c:pt>
                <c:pt idx="17">
                  <c:v>116.68154541406669</c:v>
                </c:pt>
              </c:numCache>
            </c:numRef>
          </c:val>
          <c:smooth val="0"/>
          <c:extLst>
            <c:ext xmlns:c16="http://schemas.microsoft.com/office/drawing/2014/chart" uri="{C3380CC4-5D6E-409C-BE32-E72D297353CC}">
              <c16:uniqueId val="{00000001-9AA3-43AC-8E97-5FEA57DEAAD6}"/>
            </c:ext>
          </c:extLst>
        </c:ser>
        <c:dLbls>
          <c:showLegendKey val="0"/>
          <c:showVal val="0"/>
          <c:showCatName val="0"/>
          <c:showSerName val="0"/>
          <c:showPercent val="0"/>
          <c:showBubbleSize val="0"/>
        </c:dLbls>
        <c:smooth val="0"/>
        <c:axId val="-2079033256"/>
        <c:axId val="-2099134808"/>
      </c:lineChart>
      <c:catAx>
        <c:axId val="-2079033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134808"/>
        <c:crosses val="autoZero"/>
        <c:auto val="1"/>
        <c:lblAlgn val="ctr"/>
        <c:lblOffset val="100"/>
        <c:noMultiLvlLbl val="0"/>
      </c:catAx>
      <c:valAx>
        <c:axId val="-209913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033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Where the majority of values should fall at the year mark</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cat>
            <c:numRef>
              <c:f>Analysis!$BR$19:$BR$29</c:f>
              <c:numCache>
                <c:formatCode>General</c:formatCode>
                <c:ptCount val="11"/>
                <c:pt idx="0">
                  <c:v>23.079888180442776</c:v>
                </c:pt>
                <c:pt idx="1">
                  <c:v>48.027147845199146</c:v>
                </c:pt>
                <c:pt idx="2">
                  <c:v>68.816530899162785</c:v>
                </c:pt>
                <c:pt idx="3">
                  <c:v>85.448037342333706</c:v>
                </c:pt>
                <c:pt idx="4">
                  <c:v>97.921667174711885</c:v>
                </c:pt>
                <c:pt idx="5">
                  <c:v>106.23742039629734</c:v>
                </c:pt>
                <c:pt idx="6">
                  <c:v>110.39529700709006</c:v>
                </c:pt>
                <c:pt idx="7">
                  <c:v>114.55317361788279</c:v>
                </c:pt>
                <c:pt idx="8">
                  <c:v>122.86892683946824</c:v>
                </c:pt>
                <c:pt idx="9">
                  <c:v>135.34255667184644</c:v>
                </c:pt>
                <c:pt idx="10">
                  <c:v>151.97406311501734</c:v>
                </c:pt>
              </c:numCache>
            </c:numRef>
          </c:cat>
          <c:val>
            <c:numRef>
              <c:f>Analysis!$BS$19:$BS$29</c:f>
              <c:numCache>
                <c:formatCode>General</c:formatCode>
                <c:ptCount val="11"/>
                <c:pt idx="0">
                  <c:v>0</c:v>
                </c:pt>
                <c:pt idx="1">
                  <c:v>0</c:v>
                </c:pt>
                <c:pt idx="2">
                  <c:v>0</c:v>
                </c:pt>
                <c:pt idx="3">
                  <c:v>0</c:v>
                </c:pt>
                <c:pt idx="4">
                  <c:v>1</c:v>
                </c:pt>
                <c:pt idx="5">
                  <c:v>21</c:v>
                </c:pt>
                <c:pt idx="6">
                  <c:v>23</c:v>
                </c:pt>
                <c:pt idx="7">
                  <c:v>34</c:v>
                </c:pt>
                <c:pt idx="8">
                  <c:v>21</c:v>
                </c:pt>
                <c:pt idx="9">
                  <c:v>0</c:v>
                </c:pt>
                <c:pt idx="10">
                  <c:v>0</c:v>
                </c:pt>
              </c:numCache>
            </c:numRef>
          </c:val>
          <c:extLst>
            <c:ext xmlns:c16="http://schemas.microsoft.com/office/drawing/2014/chart" uri="{C3380CC4-5D6E-409C-BE32-E72D297353CC}">
              <c16:uniqueId val="{00000000-A8F8-4F5F-984C-F9D3DB5DDA88}"/>
            </c:ext>
          </c:extLst>
        </c:ser>
        <c:dLbls>
          <c:showLegendKey val="0"/>
          <c:showVal val="0"/>
          <c:showCatName val="0"/>
          <c:showSerName val="0"/>
          <c:showPercent val="0"/>
          <c:showBubbleSize val="0"/>
        </c:dLbls>
        <c:gapWidth val="219"/>
        <c:overlap val="-27"/>
        <c:axId val="-2098419624"/>
        <c:axId val="-2098416056"/>
      </c:barChart>
      <c:catAx>
        <c:axId val="-2098419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416056"/>
        <c:crosses val="autoZero"/>
        <c:auto val="1"/>
        <c:lblAlgn val="ctr"/>
        <c:lblOffset val="100"/>
        <c:noMultiLvlLbl val="0"/>
      </c:catAx>
      <c:valAx>
        <c:axId val="-2098416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41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lineChart>
        <c:grouping val="standard"/>
        <c:varyColors val="0"/>
        <c:ser>
          <c:idx val="0"/>
          <c:order val="0"/>
          <c:tx>
            <c:v>Close Data</c:v>
          </c:tx>
          <c:marker>
            <c:symbol val="none"/>
          </c:marker>
          <c:dLbls>
            <c:dLbl>
              <c:idx val="1004"/>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CA3D-4FBE-AE8D-DFED4CA80E2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trendline>
            <c:trendlineType val="linear"/>
            <c:dispRSqr val="1"/>
            <c:dispEq val="1"/>
            <c:trendlineLbl>
              <c:layout>
                <c:manualLayout>
                  <c:x val="-2.4328867429494899E-2"/>
                  <c:y val="-9.5119234782642795E-2"/>
                </c:manualLayout>
              </c:layout>
              <c:numFmt formatCode="General" sourceLinked="0"/>
            </c:trendlineLbl>
          </c:trendline>
          <c:cat>
            <c:numRef>
              <c:f>Analysis!$AE$7:$AE$1011</c:f>
              <c:numCache>
                <c:formatCode>m/d/yyyy</c:formatCode>
                <c:ptCount val="1005"/>
                <c:pt idx="0">
                  <c:v>42958</c:v>
                </c:pt>
                <c:pt idx="1">
                  <c:v>42957</c:v>
                </c:pt>
                <c:pt idx="2">
                  <c:v>42956</c:v>
                </c:pt>
                <c:pt idx="3">
                  <c:v>42955</c:v>
                </c:pt>
                <c:pt idx="4">
                  <c:v>42954</c:v>
                </c:pt>
                <c:pt idx="5">
                  <c:v>42951</c:v>
                </c:pt>
                <c:pt idx="6">
                  <c:v>42950</c:v>
                </c:pt>
                <c:pt idx="7">
                  <c:v>42949</c:v>
                </c:pt>
                <c:pt idx="8">
                  <c:v>42948</c:v>
                </c:pt>
                <c:pt idx="9">
                  <c:v>42947</c:v>
                </c:pt>
                <c:pt idx="10">
                  <c:v>42944</c:v>
                </c:pt>
                <c:pt idx="11">
                  <c:v>42943</c:v>
                </c:pt>
                <c:pt idx="12">
                  <c:v>42942</c:v>
                </c:pt>
                <c:pt idx="13">
                  <c:v>42941</c:v>
                </c:pt>
                <c:pt idx="14">
                  <c:v>42940</c:v>
                </c:pt>
                <c:pt idx="15">
                  <c:v>42937</c:v>
                </c:pt>
                <c:pt idx="16">
                  <c:v>42936</c:v>
                </c:pt>
                <c:pt idx="17">
                  <c:v>42935</c:v>
                </c:pt>
                <c:pt idx="18">
                  <c:v>42934</c:v>
                </c:pt>
                <c:pt idx="19">
                  <c:v>42933</c:v>
                </c:pt>
                <c:pt idx="20">
                  <c:v>42930</c:v>
                </c:pt>
                <c:pt idx="21">
                  <c:v>42929</c:v>
                </c:pt>
                <c:pt idx="22">
                  <c:v>42928</c:v>
                </c:pt>
                <c:pt idx="23">
                  <c:v>42927</c:v>
                </c:pt>
                <c:pt idx="24">
                  <c:v>42926</c:v>
                </c:pt>
                <c:pt idx="25">
                  <c:v>42923</c:v>
                </c:pt>
                <c:pt idx="26">
                  <c:v>42922</c:v>
                </c:pt>
                <c:pt idx="27">
                  <c:v>42921</c:v>
                </c:pt>
                <c:pt idx="28">
                  <c:v>42919</c:v>
                </c:pt>
                <c:pt idx="29">
                  <c:v>42916</c:v>
                </c:pt>
                <c:pt idx="30">
                  <c:v>42915</c:v>
                </c:pt>
                <c:pt idx="31">
                  <c:v>42914</c:v>
                </c:pt>
                <c:pt idx="32">
                  <c:v>42913</c:v>
                </c:pt>
                <c:pt idx="33">
                  <c:v>42912</c:v>
                </c:pt>
                <c:pt idx="34">
                  <c:v>42909</c:v>
                </c:pt>
                <c:pt idx="35">
                  <c:v>42908</c:v>
                </c:pt>
                <c:pt idx="36">
                  <c:v>42907</c:v>
                </c:pt>
                <c:pt idx="37">
                  <c:v>42906</c:v>
                </c:pt>
                <c:pt idx="38">
                  <c:v>42905</c:v>
                </c:pt>
                <c:pt idx="39">
                  <c:v>42902</c:v>
                </c:pt>
                <c:pt idx="40">
                  <c:v>42901</c:v>
                </c:pt>
                <c:pt idx="41">
                  <c:v>42900</c:v>
                </c:pt>
                <c:pt idx="42">
                  <c:v>42899</c:v>
                </c:pt>
                <c:pt idx="43">
                  <c:v>42898</c:v>
                </c:pt>
                <c:pt idx="44">
                  <c:v>42895</c:v>
                </c:pt>
                <c:pt idx="45">
                  <c:v>42894</c:v>
                </c:pt>
                <c:pt idx="46">
                  <c:v>42893</c:v>
                </c:pt>
                <c:pt idx="47">
                  <c:v>42892</c:v>
                </c:pt>
                <c:pt idx="48">
                  <c:v>42891</c:v>
                </c:pt>
                <c:pt idx="49">
                  <c:v>42888</c:v>
                </c:pt>
                <c:pt idx="50">
                  <c:v>42887</c:v>
                </c:pt>
                <c:pt idx="51">
                  <c:v>42886</c:v>
                </c:pt>
                <c:pt idx="52">
                  <c:v>42885</c:v>
                </c:pt>
                <c:pt idx="53">
                  <c:v>42881</c:v>
                </c:pt>
                <c:pt idx="54">
                  <c:v>42880</c:v>
                </c:pt>
                <c:pt idx="55">
                  <c:v>42879</c:v>
                </c:pt>
                <c:pt idx="56">
                  <c:v>42878</c:v>
                </c:pt>
                <c:pt idx="57">
                  <c:v>42877</c:v>
                </c:pt>
                <c:pt idx="58">
                  <c:v>42874</c:v>
                </c:pt>
                <c:pt idx="59">
                  <c:v>42873</c:v>
                </c:pt>
                <c:pt idx="60">
                  <c:v>42872</c:v>
                </c:pt>
                <c:pt idx="61">
                  <c:v>42871</c:v>
                </c:pt>
                <c:pt idx="62">
                  <c:v>42870</c:v>
                </c:pt>
                <c:pt idx="63">
                  <c:v>42867</c:v>
                </c:pt>
                <c:pt idx="64">
                  <c:v>42866</c:v>
                </c:pt>
                <c:pt idx="65">
                  <c:v>42865</c:v>
                </c:pt>
                <c:pt idx="66">
                  <c:v>42864</c:v>
                </c:pt>
                <c:pt idx="67">
                  <c:v>42863</c:v>
                </c:pt>
                <c:pt idx="68">
                  <c:v>42860</c:v>
                </c:pt>
                <c:pt idx="69">
                  <c:v>42859</c:v>
                </c:pt>
                <c:pt idx="70">
                  <c:v>42858</c:v>
                </c:pt>
                <c:pt idx="71">
                  <c:v>42857</c:v>
                </c:pt>
                <c:pt idx="72">
                  <c:v>42856</c:v>
                </c:pt>
                <c:pt idx="73">
                  <c:v>42853</c:v>
                </c:pt>
                <c:pt idx="74">
                  <c:v>42852</c:v>
                </c:pt>
                <c:pt idx="75">
                  <c:v>42851</c:v>
                </c:pt>
                <c:pt idx="76">
                  <c:v>42850</c:v>
                </c:pt>
                <c:pt idx="77">
                  <c:v>42849</c:v>
                </c:pt>
                <c:pt idx="78">
                  <c:v>42846</c:v>
                </c:pt>
                <c:pt idx="79">
                  <c:v>42845</c:v>
                </c:pt>
                <c:pt idx="80">
                  <c:v>42844</c:v>
                </c:pt>
                <c:pt idx="81">
                  <c:v>42843</c:v>
                </c:pt>
                <c:pt idx="82">
                  <c:v>42842</c:v>
                </c:pt>
                <c:pt idx="83">
                  <c:v>42838</c:v>
                </c:pt>
                <c:pt idx="84">
                  <c:v>42837</c:v>
                </c:pt>
                <c:pt idx="85">
                  <c:v>42836</c:v>
                </c:pt>
                <c:pt idx="86">
                  <c:v>42835</c:v>
                </c:pt>
                <c:pt idx="87">
                  <c:v>42832</c:v>
                </c:pt>
                <c:pt idx="88">
                  <c:v>42831</c:v>
                </c:pt>
                <c:pt idx="89">
                  <c:v>42830</c:v>
                </c:pt>
                <c:pt idx="90">
                  <c:v>42829</c:v>
                </c:pt>
                <c:pt idx="91">
                  <c:v>42828</c:v>
                </c:pt>
                <c:pt idx="92">
                  <c:v>42825</c:v>
                </c:pt>
                <c:pt idx="93">
                  <c:v>42824</c:v>
                </c:pt>
                <c:pt idx="94">
                  <c:v>42823</c:v>
                </c:pt>
                <c:pt idx="95">
                  <c:v>42822</c:v>
                </c:pt>
                <c:pt idx="96">
                  <c:v>42821</c:v>
                </c:pt>
                <c:pt idx="97">
                  <c:v>42818</c:v>
                </c:pt>
                <c:pt idx="98">
                  <c:v>42817</c:v>
                </c:pt>
                <c:pt idx="99">
                  <c:v>42816</c:v>
                </c:pt>
                <c:pt idx="100">
                  <c:v>42815</c:v>
                </c:pt>
                <c:pt idx="101">
                  <c:v>42814</c:v>
                </c:pt>
                <c:pt idx="102">
                  <c:v>42811</c:v>
                </c:pt>
                <c:pt idx="103">
                  <c:v>42810</c:v>
                </c:pt>
                <c:pt idx="104">
                  <c:v>42809</c:v>
                </c:pt>
                <c:pt idx="105">
                  <c:v>42808</c:v>
                </c:pt>
                <c:pt idx="106">
                  <c:v>42807</c:v>
                </c:pt>
                <c:pt idx="107">
                  <c:v>42804</c:v>
                </c:pt>
                <c:pt idx="108">
                  <c:v>42803</c:v>
                </c:pt>
                <c:pt idx="109">
                  <c:v>42802</c:v>
                </c:pt>
                <c:pt idx="110">
                  <c:v>42801</c:v>
                </c:pt>
                <c:pt idx="111">
                  <c:v>42800</c:v>
                </c:pt>
                <c:pt idx="112">
                  <c:v>42797</c:v>
                </c:pt>
                <c:pt idx="113">
                  <c:v>42796</c:v>
                </c:pt>
                <c:pt idx="114">
                  <c:v>42795</c:v>
                </c:pt>
                <c:pt idx="115">
                  <c:v>42794</c:v>
                </c:pt>
                <c:pt idx="116">
                  <c:v>42793</c:v>
                </c:pt>
                <c:pt idx="117">
                  <c:v>42790</c:v>
                </c:pt>
                <c:pt idx="118">
                  <c:v>42789</c:v>
                </c:pt>
                <c:pt idx="119">
                  <c:v>42788</c:v>
                </c:pt>
                <c:pt idx="120">
                  <c:v>42787</c:v>
                </c:pt>
                <c:pt idx="121">
                  <c:v>42783</c:v>
                </c:pt>
                <c:pt idx="122">
                  <c:v>42782</c:v>
                </c:pt>
                <c:pt idx="123">
                  <c:v>42781</c:v>
                </c:pt>
                <c:pt idx="124">
                  <c:v>42780</c:v>
                </c:pt>
                <c:pt idx="125">
                  <c:v>42779</c:v>
                </c:pt>
                <c:pt idx="126">
                  <c:v>42776</c:v>
                </c:pt>
                <c:pt idx="127">
                  <c:v>42775</c:v>
                </c:pt>
                <c:pt idx="128">
                  <c:v>42774</c:v>
                </c:pt>
                <c:pt idx="129">
                  <c:v>42773</c:v>
                </c:pt>
                <c:pt idx="130">
                  <c:v>42772</c:v>
                </c:pt>
                <c:pt idx="131">
                  <c:v>42769</c:v>
                </c:pt>
                <c:pt idx="132">
                  <c:v>42768</c:v>
                </c:pt>
                <c:pt idx="133">
                  <c:v>42767</c:v>
                </c:pt>
                <c:pt idx="134">
                  <c:v>42766</c:v>
                </c:pt>
                <c:pt idx="135">
                  <c:v>42765</c:v>
                </c:pt>
                <c:pt idx="136">
                  <c:v>42762</c:v>
                </c:pt>
                <c:pt idx="137">
                  <c:v>42761</c:v>
                </c:pt>
                <c:pt idx="138">
                  <c:v>42760</c:v>
                </c:pt>
                <c:pt idx="139">
                  <c:v>42759</c:v>
                </c:pt>
                <c:pt idx="140">
                  <c:v>42758</c:v>
                </c:pt>
                <c:pt idx="141">
                  <c:v>42755</c:v>
                </c:pt>
                <c:pt idx="142">
                  <c:v>42754</c:v>
                </c:pt>
                <c:pt idx="143">
                  <c:v>42753</c:v>
                </c:pt>
                <c:pt idx="144">
                  <c:v>42752</c:v>
                </c:pt>
                <c:pt idx="145">
                  <c:v>42748</c:v>
                </c:pt>
                <c:pt idx="146">
                  <c:v>42747</c:v>
                </c:pt>
                <c:pt idx="147">
                  <c:v>42746</c:v>
                </c:pt>
                <c:pt idx="148">
                  <c:v>42745</c:v>
                </c:pt>
                <c:pt idx="149">
                  <c:v>42744</c:v>
                </c:pt>
                <c:pt idx="150">
                  <c:v>42741</c:v>
                </c:pt>
                <c:pt idx="151">
                  <c:v>42740</c:v>
                </c:pt>
                <c:pt idx="152">
                  <c:v>42739</c:v>
                </c:pt>
                <c:pt idx="153">
                  <c:v>42738</c:v>
                </c:pt>
                <c:pt idx="154">
                  <c:v>42734</c:v>
                </c:pt>
                <c:pt idx="155">
                  <c:v>42733</c:v>
                </c:pt>
                <c:pt idx="156">
                  <c:v>42732</c:v>
                </c:pt>
                <c:pt idx="157">
                  <c:v>42731</c:v>
                </c:pt>
                <c:pt idx="158">
                  <c:v>42727</c:v>
                </c:pt>
                <c:pt idx="159">
                  <c:v>42726</c:v>
                </c:pt>
                <c:pt idx="160">
                  <c:v>42725</c:v>
                </c:pt>
                <c:pt idx="161">
                  <c:v>42724</c:v>
                </c:pt>
                <c:pt idx="162">
                  <c:v>42723</c:v>
                </c:pt>
                <c:pt idx="163">
                  <c:v>42720</c:v>
                </c:pt>
                <c:pt idx="164">
                  <c:v>42719</c:v>
                </c:pt>
                <c:pt idx="165">
                  <c:v>42718</c:v>
                </c:pt>
                <c:pt idx="166">
                  <c:v>42717</c:v>
                </c:pt>
                <c:pt idx="167">
                  <c:v>42716</c:v>
                </c:pt>
                <c:pt idx="168">
                  <c:v>42713</c:v>
                </c:pt>
                <c:pt idx="169">
                  <c:v>42712</c:v>
                </c:pt>
                <c:pt idx="170">
                  <c:v>42711</c:v>
                </c:pt>
                <c:pt idx="171">
                  <c:v>42710</c:v>
                </c:pt>
                <c:pt idx="172">
                  <c:v>42709</c:v>
                </c:pt>
                <c:pt idx="173">
                  <c:v>42706</c:v>
                </c:pt>
                <c:pt idx="174">
                  <c:v>42705</c:v>
                </c:pt>
                <c:pt idx="175">
                  <c:v>42704</c:v>
                </c:pt>
                <c:pt idx="176">
                  <c:v>42703</c:v>
                </c:pt>
                <c:pt idx="177">
                  <c:v>42702</c:v>
                </c:pt>
                <c:pt idx="178">
                  <c:v>42699</c:v>
                </c:pt>
                <c:pt idx="179">
                  <c:v>42697</c:v>
                </c:pt>
                <c:pt idx="180">
                  <c:v>42696</c:v>
                </c:pt>
                <c:pt idx="181">
                  <c:v>42695</c:v>
                </c:pt>
                <c:pt idx="182">
                  <c:v>42692</c:v>
                </c:pt>
                <c:pt idx="183">
                  <c:v>42691</c:v>
                </c:pt>
                <c:pt idx="184">
                  <c:v>42690</c:v>
                </c:pt>
                <c:pt idx="185">
                  <c:v>42689</c:v>
                </c:pt>
                <c:pt idx="186">
                  <c:v>42688</c:v>
                </c:pt>
                <c:pt idx="187">
                  <c:v>42685</c:v>
                </c:pt>
                <c:pt idx="188">
                  <c:v>42684</c:v>
                </c:pt>
                <c:pt idx="189">
                  <c:v>42683</c:v>
                </c:pt>
                <c:pt idx="190">
                  <c:v>42682</c:v>
                </c:pt>
                <c:pt idx="191">
                  <c:v>42681</c:v>
                </c:pt>
                <c:pt idx="192">
                  <c:v>42678</c:v>
                </c:pt>
                <c:pt idx="193">
                  <c:v>42677</c:v>
                </c:pt>
                <c:pt idx="194">
                  <c:v>42676</c:v>
                </c:pt>
                <c:pt idx="195">
                  <c:v>42675</c:v>
                </c:pt>
                <c:pt idx="196">
                  <c:v>42674</c:v>
                </c:pt>
                <c:pt idx="197">
                  <c:v>42671</c:v>
                </c:pt>
                <c:pt idx="198">
                  <c:v>42670</c:v>
                </c:pt>
                <c:pt idx="199">
                  <c:v>42669</c:v>
                </c:pt>
                <c:pt idx="200">
                  <c:v>42668</c:v>
                </c:pt>
                <c:pt idx="201">
                  <c:v>42667</c:v>
                </c:pt>
                <c:pt idx="202">
                  <c:v>42664</c:v>
                </c:pt>
                <c:pt idx="203">
                  <c:v>42663</c:v>
                </c:pt>
                <c:pt idx="204">
                  <c:v>42662</c:v>
                </c:pt>
                <c:pt idx="205">
                  <c:v>42661</c:v>
                </c:pt>
                <c:pt idx="206">
                  <c:v>42660</c:v>
                </c:pt>
                <c:pt idx="207">
                  <c:v>42657</c:v>
                </c:pt>
                <c:pt idx="208">
                  <c:v>42656</c:v>
                </c:pt>
                <c:pt idx="209">
                  <c:v>42655</c:v>
                </c:pt>
                <c:pt idx="210">
                  <c:v>42654</c:v>
                </c:pt>
                <c:pt idx="211">
                  <c:v>42653</c:v>
                </c:pt>
                <c:pt idx="212">
                  <c:v>42650</c:v>
                </c:pt>
                <c:pt idx="213">
                  <c:v>42649</c:v>
                </c:pt>
                <c:pt idx="214">
                  <c:v>42648</c:v>
                </c:pt>
                <c:pt idx="215">
                  <c:v>42647</c:v>
                </c:pt>
                <c:pt idx="216">
                  <c:v>42646</c:v>
                </c:pt>
                <c:pt idx="217">
                  <c:v>42643</c:v>
                </c:pt>
                <c:pt idx="218">
                  <c:v>42642</c:v>
                </c:pt>
                <c:pt idx="219">
                  <c:v>42641</c:v>
                </c:pt>
                <c:pt idx="220">
                  <c:v>42640</c:v>
                </c:pt>
                <c:pt idx="221">
                  <c:v>42639</c:v>
                </c:pt>
                <c:pt idx="222">
                  <c:v>42636</c:v>
                </c:pt>
                <c:pt idx="223">
                  <c:v>42635</c:v>
                </c:pt>
                <c:pt idx="224">
                  <c:v>42634</c:v>
                </c:pt>
                <c:pt idx="225">
                  <c:v>42633</c:v>
                </c:pt>
                <c:pt idx="226">
                  <c:v>42632</c:v>
                </c:pt>
                <c:pt idx="227">
                  <c:v>42629</c:v>
                </c:pt>
                <c:pt idx="228">
                  <c:v>42628</c:v>
                </c:pt>
                <c:pt idx="229">
                  <c:v>42627</c:v>
                </c:pt>
                <c:pt idx="230">
                  <c:v>42626</c:v>
                </c:pt>
                <c:pt idx="231">
                  <c:v>42625</c:v>
                </c:pt>
                <c:pt idx="232">
                  <c:v>42622</c:v>
                </c:pt>
                <c:pt idx="233">
                  <c:v>42621</c:v>
                </c:pt>
                <c:pt idx="234">
                  <c:v>42620</c:v>
                </c:pt>
                <c:pt idx="235">
                  <c:v>42619</c:v>
                </c:pt>
                <c:pt idx="236">
                  <c:v>42615</c:v>
                </c:pt>
                <c:pt idx="237">
                  <c:v>42614</c:v>
                </c:pt>
                <c:pt idx="238">
                  <c:v>42613</c:v>
                </c:pt>
                <c:pt idx="239">
                  <c:v>42612</c:v>
                </c:pt>
                <c:pt idx="240">
                  <c:v>42611</c:v>
                </c:pt>
                <c:pt idx="241">
                  <c:v>42608</c:v>
                </c:pt>
                <c:pt idx="242">
                  <c:v>42607</c:v>
                </c:pt>
                <c:pt idx="243">
                  <c:v>42606</c:v>
                </c:pt>
                <c:pt idx="244">
                  <c:v>42605</c:v>
                </c:pt>
                <c:pt idx="245">
                  <c:v>42604</c:v>
                </c:pt>
                <c:pt idx="246">
                  <c:v>42601</c:v>
                </c:pt>
                <c:pt idx="247">
                  <c:v>42600</c:v>
                </c:pt>
                <c:pt idx="248">
                  <c:v>42599</c:v>
                </c:pt>
                <c:pt idx="249">
                  <c:v>42598</c:v>
                </c:pt>
                <c:pt idx="250">
                  <c:v>42597</c:v>
                </c:pt>
                <c:pt idx="251">
                  <c:v>42594</c:v>
                </c:pt>
                <c:pt idx="252">
                  <c:v>42593</c:v>
                </c:pt>
                <c:pt idx="253">
                  <c:v>42592</c:v>
                </c:pt>
                <c:pt idx="254">
                  <c:v>42591</c:v>
                </c:pt>
                <c:pt idx="255">
                  <c:v>42590</c:v>
                </c:pt>
                <c:pt idx="256">
                  <c:v>42587</c:v>
                </c:pt>
                <c:pt idx="257">
                  <c:v>42586</c:v>
                </c:pt>
                <c:pt idx="258">
                  <c:v>42585</c:v>
                </c:pt>
                <c:pt idx="259">
                  <c:v>42584</c:v>
                </c:pt>
                <c:pt idx="260">
                  <c:v>42583</c:v>
                </c:pt>
                <c:pt idx="261">
                  <c:v>42580</c:v>
                </c:pt>
                <c:pt idx="262">
                  <c:v>42579</c:v>
                </c:pt>
                <c:pt idx="263">
                  <c:v>42578</c:v>
                </c:pt>
                <c:pt idx="264">
                  <c:v>42577</c:v>
                </c:pt>
                <c:pt idx="265">
                  <c:v>42576</c:v>
                </c:pt>
                <c:pt idx="266">
                  <c:v>42573</c:v>
                </c:pt>
                <c:pt idx="267">
                  <c:v>42572</c:v>
                </c:pt>
                <c:pt idx="268">
                  <c:v>42571</c:v>
                </c:pt>
                <c:pt idx="269">
                  <c:v>42570</c:v>
                </c:pt>
                <c:pt idx="270">
                  <c:v>42569</c:v>
                </c:pt>
                <c:pt idx="271">
                  <c:v>42566</c:v>
                </c:pt>
                <c:pt idx="272">
                  <c:v>42565</c:v>
                </c:pt>
                <c:pt idx="273">
                  <c:v>42564</c:v>
                </c:pt>
                <c:pt idx="274">
                  <c:v>42563</c:v>
                </c:pt>
                <c:pt idx="275">
                  <c:v>42562</c:v>
                </c:pt>
                <c:pt idx="276">
                  <c:v>42559</c:v>
                </c:pt>
                <c:pt idx="277">
                  <c:v>42558</c:v>
                </c:pt>
                <c:pt idx="278">
                  <c:v>42557</c:v>
                </c:pt>
                <c:pt idx="279">
                  <c:v>42556</c:v>
                </c:pt>
                <c:pt idx="280">
                  <c:v>42552</c:v>
                </c:pt>
                <c:pt idx="281">
                  <c:v>42551</c:v>
                </c:pt>
                <c:pt idx="282">
                  <c:v>42550</c:v>
                </c:pt>
                <c:pt idx="283">
                  <c:v>42549</c:v>
                </c:pt>
                <c:pt idx="284">
                  <c:v>42548</c:v>
                </c:pt>
                <c:pt idx="285">
                  <c:v>42545</c:v>
                </c:pt>
                <c:pt idx="286">
                  <c:v>42544</c:v>
                </c:pt>
                <c:pt idx="287">
                  <c:v>42543</c:v>
                </c:pt>
                <c:pt idx="288">
                  <c:v>42542</c:v>
                </c:pt>
                <c:pt idx="289">
                  <c:v>42541</c:v>
                </c:pt>
                <c:pt idx="290">
                  <c:v>42538</c:v>
                </c:pt>
                <c:pt idx="291">
                  <c:v>42537</c:v>
                </c:pt>
                <c:pt idx="292">
                  <c:v>42536</c:v>
                </c:pt>
                <c:pt idx="293">
                  <c:v>42535</c:v>
                </c:pt>
                <c:pt idx="294">
                  <c:v>42534</c:v>
                </c:pt>
                <c:pt idx="295">
                  <c:v>42531</c:v>
                </c:pt>
                <c:pt idx="296">
                  <c:v>42530</c:v>
                </c:pt>
                <c:pt idx="297">
                  <c:v>42529</c:v>
                </c:pt>
                <c:pt idx="298">
                  <c:v>42528</c:v>
                </c:pt>
                <c:pt idx="299">
                  <c:v>42527</c:v>
                </c:pt>
                <c:pt idx="300">
                  <c:v>42524</c:v>
                </c:pt>
                <c:pt idx="301">
                  <c:v>42523</c:v>
                </c:pt>
                <c:pt idx="302">
                  <c:v>42522</c:v>
                </c:pt>
                <c:pt idx="303">
                  <c:v>42521</c:v>
                </c:pt>
                <c:pt idx="304">
                  <c:v>42517</c:v>
                </c:pt>
                <c:pt idx="305">
                  <c:v>42516</c:v>
                </c:pt>
                <c:pt idx="306">
                  <c:v>42515</c:v>
                </c:pt>
                <c:pt idx="307">
                  <c:v>42514</c:v>
                </c:pt>
                <c:pt idx="308">
                  <c:v>42513</c:v>
                </c:pt>
                <c:pt idx="309">
                  <c:v>42510</c:v>
                </c:pt>
                <c:pt idx="310">
                  <c:v>42509</c:v>
                </c:pt>
                <c:pt idx="311">
                  <c:v>42508</c:v>
                </c:pt>
                <c:pt idx="312">
                  <c:v>42507</c:v>
                </c:pt>
                <c:pt idx="313">
                  <c:v>42506</c:v>
                </c:pt>
                <c:pt idx="314">
                  <c:v>42503</c:v>
                </c:pt>
                <c:pt idx="315">
                  <c:v>42502</c:v>
                </c:pt>
                <c:pt idx="316">
                  <c:v>42501</c:v>
                </c:pt>
                <c:pt idx="317">
                  <c:v>42500</c:v>
                </c:pt>
                <c:pt idx="318">
                  <c:v>42499</c:v>
                </c:pt>
                <c:pt idx="319">
                  <c:v>42496</c:v>
                </c:pt>
                <c:pt idx="320">
                  <c:v>42495</c:v>
                </c:pt>
                <c:pt idx="321">
                  <c:v>42494</c:v>
                </c:pt>
                <c:pt idx="322">
                  <c:v>42493</c:v>
                </c:pt>
                <c:pt idx="323">
                  <c:v>42492</c:v>
                </c:pt>
                <c:pt idx="324">
                  <c:v>42489</c:v>
                </c:pt>
                <c:pt idx="325">
                  <c:v>42488</c:v>
                </c:pt>
                <c:pt idx="326">
                  <c:v>42487</c:v>
                </c:pt>
                <c:pt idx="327">
                  <c:v>42486</c:v>
                </c:pt>
                <c:pt idx="328">
                  <c:v>42485</c:v>
                </c:pt>
                <c:pt idx="329">
                  <c:v>42482</c:v>
                </c:pt>
                <c:pt idx="330">
                  <c:v>42481</c:v>
                </c:pt>
                <c:pt idx="331">
                  <c:v>42480</c:v>
                </c:pt>
                <c:pt idx="332">
                  <c:v>42479</c:v>
                </c:pt>
                <c:pt idx="333">
                  <c:v>42478</c:v>
                </c:pt>
                <c:pt idx="334">
                  <c:v>42475</c:v>
                </c:pt>
                <c:pt idx="335">
                  <c:v>42474</c:v>
                </c:pt>
                <c:pt idx="336">
                  <c:v>42473</c:v>
                </c:pt>
                <c:pt idx="337">
                  <c:v>42472</c:v>
                </c:pt>
                <c:pt idx="338">
                  <c:v>42471</c:v>
                </c:pt>
                <c:pt idx="339">
                  <c:v>42468</c:v>
                </c:pt>
                <c:pt idx="340">
                  <c:v>42467</c:v>
                </c:pt>
                <c:pt idx="341">
                  <c:v>42466</c:v>
                </c:pt>
                <c:pt idx="342">
                  <c:v>42465</c:v>
                </c:pt>
                <c:pt idx="343">
                  <c:v>42464</c:v>
                </c:pt>
                <c:pt idx="344">
                  <c:v>42461</c:v>
                </c:pt>
                <c:pt idx="345">
                  <c:v>42460</c:v>
                </c:pt>
                <c:pt idx="346">
                  <c:v>42459</c:v>
                </c:pt>
                <c:pt idx="347">
                  <c:v>42458</c:v>
                </c:pt>
                <c:pt idx="348">
                  <c:v>42457</c:v>
                </c:pt>
                <c:pt idx="349">
                  <c:v>42453</c:v>
                </c:pt>
                <c:pt idx="350">
                  <c:v>42452</c:v>
                </c:pt>
                <c:pt idx="351">
                  <c:v>42451</c:v>
                </c:pt>
                <c:pt idx="352">
                  <c:v>42450</c:v>
                </c:pt>
                <c:pt idx="353">
                  <c:v>42447</c:v>
                </c:pt>
                <c:pt idx="354">
                  <c:v>42446</c:v>
                </c:pt>
                <c:pt idx="355">
                  <c:v>42445</c:v>
                </c:pt>
                <c:pt idx="356">
                  <c:v>42444</c:v>
                </c:pt>
                <c:pt idx="357">
                  <c:v>42443</c:v>
                </c:pt>
                <c:pt idx="358">
                  <c:v>42440</c:v>
                </c:pt>
                <c:pt idx="359">
                  <c:v>42439</c:v>
                </c:pt>
                <c:pt idx="360">
                  <c:v>42438</c:v>
                </c:pt>
                <c:pt idx="361">
                  <c:v>42437</c:v>
                </c:pt>
                <c:pt idx="362">
                  <c:v>42436</c:v>
                </c:pt>
                <c:pt idx="363">
                  <c:v>42433</c:v>
                </c:pt>
                <c:pt idx="364">
                  <c:v>42432</c:v>
                </c:pt>
                <c:pt idx="365">
                  <c:v>42431</c:v>
                </c:pt>
                <c:pt idx="366">
                  <c:v>42430</c:v>
                </c:pt>
                <c:pt idx="367">
                  <c:v>42429</c:v>
                </c:pt>
                <c:pt idx="368">
                  <c:v>42426</c:v>
                </c:pt>
                <c:pt idx="369">
                  <c:v>42425</c:v>
                </c:pt>
                <c:pt idx="370">
                  <c:v>42424</c:v>
                </c:pt>
                <c:pt idx="371">
                  <c:v>42423</c:v>
                </c:pt>
                <c:pt idx="372">
                  <c:v>42422</c:v>
                </c:pt>
                <c:pt idx="373">
                  <c:v>42419</c:v>
                </c:pt>
                <c:pt idx="374">
                  <c:v>42418</c:v>
                </c:pt>
                <c:pt idx="375">
                  <c:v>42417</c:v>
                </c:pt>
                <c:pt idx="376">
                  <c:v>42416</c:v>
                </c:pt>
                <c:pt idx="377">
                  <c:v>42412</c:v>
                </c:pt>
                <c:pt idx="378">
                  <c:v>42411</c:v>
                </c:pt>
                <c:pt idx="379">
                  <c:v>42410</c:v>
                </c:pt>
                <c:pt idx="380">
                  <c:v>42409</c:v>
                </c:pt>
                <c:pt idx="381">
                  <c:v>42408</c:v>
                </c:pt>
                <c:pt idx="382">
                  <c:v>42405</c:v>
                </c:pt>
                <c:pt idx="383">
                  <c:v>42404</c:v>
                </c:pt>
                <c:pt idx="384">
                  <c:v>42403</c:v>
                </c:pt>
                <c:pt idx="385">
                  <c:v>42402</c:v>
                </c:pt>
                <c:pt idx="386">
                  <c:v>42401</c:v>
                </c:pt>
                <c:pt idx="387">
                  <c:v>42398</c:v>
                </c:pt>
                <c:pt idx="388">
                  <c:v>42397</c:v>
                </c:pt>
                <c:pt idx="389">
                  <c:v>42396</c:v>
                </c:pt>
                <c:pt idx="390">
                  <c:v>42395</c:v>
                </c:pt>
                <c:pt idx="391">
                  <c:v>42394</c:v>
                </c:pt>
                <c:pt idx="392">
                  <c:v>42391</c:v>
                </c:pt>
                <c:pt idx="393">
                  <c:v>42390</c:v>
                </c:pt>
                <c:pt idx="394">
                  <c:v>42389</c:v>
                </c:pt>
                <c:pt idx="395">
                  <c:v>42388</c:v>
                </c:pt>
                <c:pt idx="396">
                  <c:v>42384</c:v>
                </c:pt>
                <c:pt idx="397">
                  <c:v>42383</c:v>
                </c:pt>
                <c:pt idx="398">
                  <c:v>42382</c:v>
                </c:pt>
                <c:pt idx="399">
                  <c:v>42381</c:v>
                </c:pt>
                <c:pt idx="400">
                  <c:v>42380</c:v>
                </c:pt>
                <c:pt idx="401">
                  <c:v>42377</c:v>
                </c:pt>
                <c:pt idx="402">
                  <c:v>42376</c:v>
                </c:pt>
                <c:pt idx="403">
                  <c:v>42375</c:v>
                </c:pt>
                <c:pt idx="404">
                  <c:v>42374</c:v>
                </c:pt>
                <c:pt idx="405">
                  <c:v>42373</c:v>
                </c:pt>
                <c:pt idx="406">
                  <c:v>42369</c:v>
                </c:pt>
                <c:pt idx="407">
                  <c:v>42368</c:v>
                </c:pt>
                <c:pt idx="408">
                  <c:v>42367</c:v>
                </c:pt>
                <c:pt idx="409">
                  <c:v>42366</c:v>
                </c:pt>
                <c:pt idx="410">
                  <c:v>42362</c:v>
                </c:pt>
                <c:pt idx="411">
                  <c:v>42361</c:v>
                </c:pt>
                <c:pt idx="412">
                  <c:v>42360</c:v>
                </c:pt>
                <c:pt idx="413">
                  <c:v>42359</c:v>
                </c:pt>
                <c:pt idx="414">
                  <c:v>42356</c:v>
                </c:pt>
                <c:pt idx="415">
                  <c:v>42355</c:v>
                </c:pt>
                <c:pt idx="416">
                  <c:v>42354</c:v>
                </c:pt>
                <c:pt idx="417">
                  <c:v>42353</c:v>
                </c:pt>
                <c:pt idx="418">
                  <c:v>42352</c:v>
                </c:pt>
                <c:pt idx="419">
                  <c:v>42349</c:v>
                </c:pt>
                <c:pt idx="420">
                  <c:v>42348</c:v>
                </c:pt>
                <c:pt idx="421">
                  <c:v>42347</c:v>
                </c:pt>
                <c:pt idx="422">
                  <c:v>42346</c:v>
                </c:pt>
                <c:pt idx="423">
                  <c:v>42345</c:v>
                </c:pt>
                <c:pt idx="424">
                  <c:v>42342</c:v>
                </c:pt>
                <c:pt idx="425">
                  <c:v>42341</c:v>
                </c:pt>
                <c:pt idx="426">
                  <c:v>42340</c:v>
                </c:pt>
                <c:pt idx="427">
                  <c:v>42339</c:v>
                </c:pt>
                <c:pt idx="428">
                  <c:v>42338</c:v>
                </c:pt>
                <c:pt idx="429">
                  <c:v>42335</c:v>
                </c:pt>
                <c:pt idx="430">
                  <c:v>42333</c:v>
                </c:pt>
                <c:pt idx="431">
                  <c:v>42332</c:v>
                </c:pt>
                <c:pt idx="432">
                  <c:v>42331</c:v>
                </c:pt>
                <c:pt idx="433">
                  <c:v>42328</c:v>
                </c:pt>
                <c:pt idx="434">
                  <c:v>42327</c:v>
                </c:pt>
                <c:pt idx="435">
                  <c:v>42326</c:v>
                </c:pt>
                <c:pt idx="436">
                  <c:v>42325</c:v>
                </c:pt>
                <c:pt idx="437">
                  <c:v>42324</c:v>
                </c:pt>
                <c:pt idx="438">
                  <c:v>42321</c:v>
                </c:pt>
                <c:pt idx="439">
                  <c:v>42320</c:v>
                </c:pt>
                <c:pt idx="440">
                  <c:v>42319</c:v>
                </c:pt>
                <c:pt idx="441">
                  <c:v>42318</c:v>
                </c:pt>
                <c:pt idx="442">
                  <c:v>42317</c:v>
                </c:pt>
                <c:pt idx="443">
                  <c:v>42314</c:v>
                </c:pt>
                <c:pt idx="444">
                  <c:v>42313</c:v>
                </c:pt>
                <c:pt idx="445">
                  <c:v>42312</c:v>
                </c:pt>
                <c:pt idx="446">
                  <c:v>42311</c:v>
                </c:pt>
                <c:pt idx="447">
                  <c:v>42310</c:v>
                </c:pt>
                <c:pt idx="448">
                  <c:v>42307</c:v>
                </c:pt>
                <c:pt idx="449">
                  <c:v>42306</c:v>
                </c:pt>
                <c:pt idx="450">
                  <c:v>42305</c:v>
                </c:pt>
                <c:pt idx="451">
                  <c:v>42304</c:v>
                </c:pt>
                <c:pt idx="452">
                  <c:v>42303</c:v>
                </c:pt>
                <c:pt idx="453">
                  <c:v>42300</c:v>
                </c:pt>
                <c:pt idx="454">
                  <c:v>42299</c:v>
                </c:pt>
                <c:pt idx="455">
                  <c:v>42298</c:v>
                </c:pt>
                <c:pt idx="456">
                  <c:v>42297</c:v>
                </c:pt>
                <c:pt idx="457">
                  <c:v>42296</c:v>
                </c:pt>
                <c:pt idx="458">
                  <c:v>42293</c:v>
                </c:pt>
                <c:pt idx="459">
                  <c:v>42292</c:v>
                </c:pt>
                <c:pt idx="460">
                  <c:v>42291</c:v>
                </c:pt>
                <c:pt idx="461">
                  <c:v>42290</c:v>
                </c:pt>
                <c:pt idx="462">
                  <c:v>42289</c:v>
                </c:pt>
                <c:pt idx="463">
                  <c:v>42286</c:v>
                </c:pt>
                <c:pt idx="464">
                  <c:v>42285</c:v>
                </c:pt>
                <c:pt idx="465">
                  <c:v>42284</c:v>
                </c:pt>
                <c:pt idx="466">
                  <c:v>42283</c:v>
                </c:pt>
                <c:pt idx="467">
                  <c:v>42282</c:v>
                </c:pt>
                <c:pt idx="468">
                  <c:v>42279</c:v>
                </c:pt>
                <c:pt idx="469">
                  <c:v>42278</c:v>
                </c:pt>
                <c:pt idx="470">
                  <c:v>42277</c:v>
                </c:pt>
                <c:pt idx="471">
                  <c:v>42276</c:v>
                </c:pt>
                <c:pt idx="472">
                  <c:v>42275</c:v>
                </c:pt>
                <c:pt idx="473">
                  <c:v>42272</c:v>
                </c:pt>
                <c:pt idx="474">
                  <c:v>42271</c:v>
                </c:pt>
                <c:pt idx="475">
                  <c:v>42270</c:v>
                </c:pt>
                <c:pt idx="476">
                  <c:v>42269</c:v>
                </c:pt>
                <c:pt idx="477">
                  <c:v>42268</c:v>
                </c:pt>
                <c:pt idx="478">
                  <c:v>42265</c:v>
                </c:pt>
                <c:pt idx="479">
                  <c:v>42264</c:v>
                </c:pt>
                <c:pt idx="480">
                  <c:v>42263</c:v>
                </c:pt>
                <c:pt idx="481">
                  <c:v>42262</c:v>
                </c:pt>
                <c:pt idx="482">
                  <c:v>42261</c:v>
                </c:pt>
                <c:pt idx="483">
                  <c:v>42258</c:v>
                </c:pt>
                <c:pt idx="484">
                  <c:v>42257</c:v>
                </c:pt>
                <c:pt idx="485">
                  <c:v>42256</c:v>
                </c:pt>
                <c:pt idx="486">
                  <c:v>42255</c:v>
                </c:pt>
                <c:pt idx="487">
                  <c:v>42251</c:v>
                </c:pt>
                <c:pt idx="488">
                  <c:v>42250</c:v>
                </c:pt>
                <c:pt idx="489">
                  <c:v>42249</c:v>
                </c:pt>
                <c:pt idx="490">
                  <c:v>42248</c:v>
                </c:pt>
                <c:pt idx="491">
                  <c:v>42247</c:v>
                </c:pt>
                <c:pt idx="492">
                  <c:v>42244</c:v>
                </c:pt>
                <c:pt idx="493">
                  <c:v>42243</c:v>
                </c:pt>
                <c:pt idx="494">
                  <c:v>42242</c:v>
                </c:pt>
                <c:pt idx="495">
                  <c:v>42241</c:v>
                </c:pt>
                <c:pt idx="496">
                  <c:v>42240</c:v>
                </c:pt>
                <c:pt idx="497">
                  <c:v>42237</c:v>
                </c:pt>
                <c:pt idx="498">
                  <c:v>42236</c:v>
                </c:pt>
                <c:pt idx="499">
                  <c:v>42235</c:v>
                </c:pt>
                <c:pt idx="500">
                  <c:v>42234</c:v>
                </c:pt>
                <c:pt idx="501">
                  <c:v>42233</c:v>
                </c:pt>
                <c:pt idx="502">
                  <c:v>42230</c:v>
                </c:pt>
                <c:pt idx="503">
                  <c:v>42229</c:v>
                </c:pt>
                <c:pt idx="504">
                  <c:v>42228</c:v>
                </c:pt>
                <c:pt idx="505">
                  <c:v>42227</c:v>
                </c:pt>
                <c:pt idx="506">
                  <c:v>42226</c:v>
                </c:pt>
                <c:pt idx="507">
                  <c:v>42223</c:v>
                </c:pt>
                <c:pt idx="508">
                  <c:v>42222</c:v>
                </c:pt>
                <c:pt idx="509">
                  <c:v>42221</c:v>
                </c:pt>
                <c:pt idx="510">
                  <c:v>42220</c:v>
                </c:pt>
                <c:pt idx="511">
                  <c:v>42219</c:v>
                </c:pt>
                <c:pt idx="512">
                  <c:v>42216</c:v>
                </c:pt>
                <c:pt idx="513">
                  <c:v>42215</c:v>
                </c:pt>
                <c:pt idx="514">
                  <c:v>42214</c:v>
                </c:pt>
                <c:pt idx="515">
                  <c:v>42213</c:v>
                </c:pt>
                <c:pt idx="516">
                  <c:v>42212</c:v>
                </c:pt>
                <c:pt idx="517">
                  <c:v>42209</c:v>
                </c:pt>
                <c:pt idx="518">
                  <c:v>42208</c:v>
                </c:pt>
                <c:pt idx="519">
                  <c:v>42207</c:v>
                </c:pt>
                <c:pt idx="520">
                  <c:v>42206</c:v>
                </c:pt>
                <c:pt idx="521">
                  <c:v>42205</c:v>
                </c:pt>
                <c:pt idx="522">
                  <c:v>42202</c:v>
                </c:pt>
                <c:pt idx="523">
                  <c:v>42201</c:v>
                </c:pt>
                <c:pt idx="524">
                  <c:v>42200</c:v>
                </c:pt>
                <c:pt idx="525">
                  <c:v>42199</c:v>
                </c:pt>
                <c:pt idx="526">
                  <c:v>42198</c:v>
                </c:pt>
                <c:pt idx="527">
                  <c:v>42195</c:v>
                </c:pt>
                <c:pt idx="528">
                  <c:v>42194</c:v>
                </c:pt>
                <c:pt idx="529">
                  <c:v>42193</c:v>
                </c:pt>
                <c:pt idx="530">
                  <c:v>42192</c:v>
                </c:pt>
                <c:pt idx="531">
                  <c:v>42191</c:v>
                </c:pt>
                <c:pt idx="532">
                  <c:v>42187</c:v>
                </c:pt>
                <c:pt idx="533">
                  <c:v>42186</c:v>
                </c:pt>
                <c:pt idx="534">
                  <c:v>42185</c:v>
                </c:pt>
                <c:pt idx="535">
                  <c:v>42184</c:v>
                </c:pt>
                <c:pt idx="536">
                  <c:v>42181</c:v>
                </c:pt>
                <c:pt idx="537">
                  <c:v>42180</c:v>
                </c:pt>
                <c:pt idx="538">
                  <c:v>42179</c:v>
                </c:pt>
                <c:pt idx="539">
                  <c:v>42178</c:v>
                </c:pt>
                <c:pt idx="540">
                  <c:v>42177</c:v>
                </c:pt>
                <c:pt idx="541">
                  <c:v>42174</c:v>
                </c:pt>
                <c:pt idx="542">
                  <c:v>42173</c:v>
                </c:pt>
                <c:pt idx="543">
                  <c:v>42172</c:v>
                </c:pt>
                <c:pt idx="544">
                  <c:v>42171</c:v>
                </c:pt>
                <c:pt idx="545">
                  <c:v>42170</c:v>
                </c:pt>
                <c:pt idx="546">
                  <c:v>42167</c:v>
                </c:pt>
                <c:pt idx="547">
                  <c:v>42166</c:v>
                </c:pt>
                <c:pt idx="548">
                  <c:v>42165</c:v>
                </c:pt>
                <c:pt idx="549">
                  <c:v>42164</c:v>
                </c:pt>
                <c:pt idx="550">
                  <c:v>42163</c:v>
                </c:pt>
                <c:pt idx="551">
                  <c:v>42160</c:v>
                </c:pt>
                <c:pt idx="552">
                  <c:v>42159</c:v>
                </c:pt>
                <c:pt idx="553">
                  <c:v>42158</c:v>
                </c:pt>
                <c:pt idx="554">
                  <c:v>42157</c:v>
                </c:pt>
                <c:pt idx="555">
                  <c:v>42156</c:v>
                </c:pt>
                <c:pt idx="556">
                  <c:v>42153</c:v>
                </c:pt>
                <c:pt idx="557">
                  <c:v>42152</c:v>
                </c:pt>
                <c:pt idx="558">
                  <c:v>42151</c:v>
                </c:pt>
                <c:pt idx="559">
                  <c:v>42150</c:v>
                </c:pt>
                <c:pt idx="560">
                  <c:v>42146</c:v>
                </c:pt>
                <c:pt idx="561">
                  <c:v>42145</c:v>
                </c:pt>
                <c:pt idx="562">
                  <c:v>42144</c:v>
                </c:pt>
                <c:pt idx="563">
                  <c:v>42143</c:v>
                </c:pt>
                <c:pt idx="564">
                  <c:v>42142</c:v>
                </c:pt>
                <c:pt idx="565">
                  <c:v>42139</c:v>
                </c:pt>
                <c:pt idx="566">
                  <c:v>42138</c:v>
                </c:pt>
                <c:pt idx="567">
                  <c:v>42137</c:v>
                </c:pt>
                <c:pt idx="568">
                  <c:v>42136</c:v>
                </c:pt>
                <c:pt idx="569">
                  <c:v>42135</c:v>
                </c:pt>
                <c:pt idx="570">
                  <c:v>42132</c:v>
                </c:pt>
                <c:pt idx="571">
                  <c:v>42131</c:v>
                </c:pt>
                <c:pt idx="572">
                  <c:v>42130</c:v>
                </c:pt>
                <c:pt idx="573">
                  <c:v>42129</c:v>
                </c:pt>
                <c:pt idx="574">
                  <c:v>42128</c:v>
                </c:pt>
                <c:pt idx="575">
                  <c:v>42125</c:v>
                </c:pt>
                <c:pt idx="576">
                  <c:v>42124</c:v>
                </c:pt>
                <c:pt idx="577">
                  <c:v>42123</c:v>
                </c:pt>
                <c:pt idx="578">
                  <c:v>42122</c:v>
                </c:pt>
                <c:pt idx="579">
                  <c:v>42121</c:v>
                </c:pt>
                <c:pt idx="580">
                  <c:v>42118</c:v>
                </c:pt>
                <c:pt idx="581">
                  <c:v>42117</c:v>
                </c:pt>
                <c:pt idx="582">
                  <c:v>42116</c:v>
                </c:pt>
                <c:pt idx="583">
                  <c:v>42115</c:v>
                </c:pt>
                <c:pt idx="584">
                  <c:v>42114</c:v>
                </c:pt>
                <c:pt idx="585">
                  <c:v>42111</c:v>
                </c:pt>
                <c:pt idx="586">
                  <c:v>42110</c:v>
                </c:pt>
                <c:pt idx="587">
                  <c:v>42109</c:v>
                </c:pt>
                <c:pt idx="588">
                  <c:v>42108</c:v>
                </c:pt>
                <c:pt idx="589">
                  <c:v>42107</c:v>
                </c:pt>
                <c:pt idx="590">
                  <c:v>42104</c:v>
                </c:pt>
                <c:pt idx="591">
                  <c:v>42103</c:v>
                </c:pt>
                <c:pt idx="592">
                  <c:v>42102</c:v>
                </c:pt>
                <c:pt idx="593">
                  <c:v>42101</c:v>
                </c:pt>
                <c:pt idx="594">
                  <c:v>42100</c:v>
                </c:pt>
                <c:pt idx="595">
                  <c:v>42096</c:v>
                </c:pt>
                <c:pt idx="596">
                  <c:v>42095</c:v>
                </c:pt>
                <c:pt idx="597">
                  <c:v>42094</c:v>
                </c:pt>
                <c:pt idx="598">
                  <c:v>42093</c:v>
                </c:pt>
                <c:pt idx="599">
                  <c:v>42090</c:v>
                </c:pt>
                <c:pt idx="600">
                  <c:v>42089</c:v>
                </c:pt>
                <c:pt idx="601">
                  <c:v>42088</c:v>
                </c:pt>
                <c:pt idx="602">
                  <c:v>42087</c:v>
                </c:pt>
                <c:pt idx="603">
                  <c:v>42086</c:v>
                </c:pt>
                <c:pt idx="604">
                  <c:v>42083</c:v>
                </c:pt>
                <c:pt idx="605">
                  <c:v>42082</c:v>
                </c:pt>
                <c:pt idx="606">
                  <c:v>42081</c:v>
                </c:pt>
                <c:pt idx="607">
                  <c:v>42080</c:v>
                </c:pt>
                <c:pt idx="608">
                  <c:v>42079</c:v>
                </c:pt>
                <c:pt idx="609">
                  <c:v>42076</c:v>
                </c:pt>
                <c:pt idx="610">
                  <c:v>42075</c:v>
                </c:pt>
                <c:pt idx="611">
                  <c:v>42074</c:v>
                </c:pt>
                <c:pt idx="612">
                  <c:v>42073</c:v>
                </c:pt>
                <c:pt idx="613">
                  <c:v>42072</c:v>
                </c:pt>
                <c:pt idx="614">
                  <c:v>42069</c:v>
                </c:pt>
                <c:pt idx="615">
                  <c:v>42068</c:v>
                </c:pt>
                <c:pt idx="616">
                  <c:v>42067</c:v>
                </c:pt>
                <c:pt idx="617">
                  <c:v>42066</c:v>
                </c:pt>
                <c:pt idx="618">
                  <c:v>42065</c:v>
                </c:pt>
                <c:pt idx="619">
                  <c:v>42062</c:v>
                </c:pt>
                <c:pt idx="620">
                  <c:v>42061</c:v>
                </c:pt>
                <c:pt idx="621">
                  <c:v>42060</c:v>
                </c:pt>
                <c:pt idx="622">
                  <c:v>42059</c:v>
                </c:pt>
                <c:pt idx="623">
                  <c:v>42058</c:v>
                </c:pt>
                <c:pt idx="624">
                  <c:v>42055</c:v>
                </c:pt>
                <c:pt idx="625">
                  <c:v>42054</c:v>
                </c:pt>
                <c:pt idx="626">
                  <c:v>42053</c:v>
                </c:pt>
                <c:pt idx="627">
                  <c:v>42052</c:v>
                </c:pt>
                <c:pt idx="628">
                  <c:v>42048</c:v>
                </c:pt>
                <c:pt idx="629">
                  <c:v>42047</c:v>
                </c:pt>
                <c:pt idx="630">
                  <c:v>42046</c:v>
                </c:pt>
                <c:pt idx="631">
                  <c:v>42045</c:v>
                </c:pt>
                <c:pt idx="632">
                  <c:v>42044</c:v>
                </c:pt>
                <c:pt idx="633">
                  <c:v>42041</c:v>
                </c:pt>
                <c:pt idx="634">
                  <c:v>42040</c:v>
                </c:pt>
                <c:pt idx="635">
                  <c:v>42039</c:v>
                </c:pt>
                <c:pt idx="636">
                  <c:v>42038</c:v>
                </c:pt>
                <c:pt idx="637">
                  <c:v>42037</c:v>
                </c:pt>
                <c:pt idx="638">
                  <c:v>42034</c:v>
                </c:pt>
                <c:pt idx="639">
                  <c:v>42033</c:v>
                </c:pt>
                <c:pt idx="640">
                  <c:v>42032</c:v>
                </c:pt>
                <c:pt idx="641">
                  <c:v>42031</c:v>
                </c:pt>
                <c:pt idx="642">
                  <c:v>42030</c:v>
                </c:pt>
                <c:pt idx="643">
                  <c:v>42027</c:v>
                </c:pt>
                <c:pt idx="644">
                  <c:v>42026</c:v>
                </c:pt>
                <c:pt idx="645">
                  <c:v>42025</c:v>
                </c:pt>
                <c:pt idx="646">
                  <c:v>42024</c:v>
                </c:pt>
                <c:pt idx="647">
                  <c:v>42020</c:v>
                </c:pt>
                <c:pt idx="648">
                  <c:v>42019</c:v>
                </c:pt>
                <c:pt idx="649">
                  <c:v>42018</c:v>
                </c:pt>
                <c:pt idx="650">
                  <c:v>42017</c:v>
                </c:pt>
                <c:pt idx="651">
                  <c:v>42016</c:v>
                </c:pt>
                <c:pt idx="652">
                  <c:v>42013</c:v>
                </c:pt>
                <c:pt idx="653">
                  <c:v>42012</c:v>
                </c:pt>
                <c:pt idx="654">
                  <c:v>42011</c:v>
                </c:pt>
                <c:pt idx="655">
                  <c:v>42010</c:v>
                </c:pt>
                <c:pt idx="656">
                  <c:v>42009</c:v>
                </c:pt>
                <c:pt idx="657">
                  <c:v>42006</c:v>
                </c:pt>
                <c:pt idx="658">
                  <c:v>42004</c:v>
                </c:pt>
                <c:pt idx="659">
                  <c:v>42003</c:v>
                </c:pt>
                <c:pt idx="660">
                  <c:v>42002</c:v>
                </c:pt>
                <c:pt idx="661">
                  <c:v>41999</c:v>
                </c:pt>
                <c:pt idx="662">
                  <c:v>41997</c:v>
                </c:pt>
                <c:pt idx="663">
                  <c:v>41996</c:v>
                </c:pt>
                <c:pt idx="664">
                  <c:v>41995</c:v>
                </c:pt>
                <c:pt idx="665">
                  <c:v>41992</c:v>
                </c:pt>
                <c:pt idx="666">
                  <c:v>41991</c:v>
                </c:pt>
                <c:pt idx="667">
                  <c:v>41990</c:v>
                </c:pt>
                <c:pt idx="668">
                  <c:v>41989</c:v>
                </c:pt>
                <c:pt idx="669">
                  <c:v>41988</c:v>
                </c:pt>
                <c:pt idx="670">
                  <c:v>41985</c:v>
                </c:pt>
                <c:pt idx="671">
                  <c:v>41984</c:v>
                </c:pt>
                <c:pt idx="672">
                  <c:v>41983</c:v>
                </c:pt>
                <c:pt idx="673">
                  <c:v>41982</c:v>
                </c:pt>
                <c:pt idx="674">
                  <c:v>41981</c:v>
                </c:pt>
                <c:pt idx="675">
                  <c:v>41978</c:v>
                </c:pt>
                <c:pt idx="676">
                  <c:v>41977</c:v>
                </c:pt>
                <c:pt idx="677">
                  <c:v>41976</c:v>
                </c:pt>
                <c:pt idx="678">
                  <c:v>41975</c:v>
                </c:pt>
                <c:pt idx="679">
                  <c:v>41974</c:v>
                </c:pt>
                <c:pt idx="680">
                  <c:v>41971</c:v>
                </c:pt>
                <c:pt idx="681">
                  <c:v>41969</c:v>
                </c:pt>
                <c:pt idx="682">
                  <c:v>41968</c:v>
                </c:pt>
                <c:pt idx="683">
                  <c:v>41967</c:v>
                </c:pt>
                <c:pt idx="684">
                  <c:v>41964</c:v>
                </c:pt>
                <c:pt idx="685">
                  <c:v>41963</c:v>
                </c:pt>
                <c:pt idx="686">
                  <c:v>41962</c:v>
                </c:pt>
                <c:pt idx="687">
                  <c:v>41961</c:v>
                </c:pt>
                <c:pt idx="688">
                  <c:v>41960</c:v>
                </c:pt>
                <c:pt idx="689">
                  <c:v>41957</c:v>
                </c:pt>
                <c:pt idx="690">
                  <c:v>41956</c:v>
                </c:pt>
                <c:pt idx="691">
                  <c:v>41955</c:v>
                </c:pt>
                <c:pt idx="692">
                  <c:v>41954</c:v>
                </c:pt>
                <c:pt idx="693">
                  <c:v>41953</c:v>
                </c:pt>
                <c:pt idx="694">
                  <c:v>41950</c:v>
                </c:pt>
                <c:pt idx="695">
                  <c:v>41949</c:v>
                </c:pt>
                <c:pt idx="696">
                  <c:v>41948</c:v>
                </c:pt>
                <c:pt idx="697">
                  <c:v>41947</c:v>
                </c:pt>
                <c:pt idx="698">
                  <c:v>41946</c:v>
                </c:pt>
                <c:pt idx="699">
                  <c:v>41943</c:v>
                </c:pt>
                <c:pt idx="700">
                  <c:v>41942</c:v>
                </c:pt>
                <c:pt idx="701">
                  <c:v>41941</c:v>
                </c:pt>
                <c:pt idx="702">
                  <c:v>41940</c:v>
                </c:pt>
                <c:pt idx="703">
                  <c:v>41939</c:v>
                </c:pt>
                <c:pt idx="704">
                  <c:v>41936</c:v>
                </c:pt>
                <c:pt idx="705">
                  <c:v>41935</c:v>
                </c:pt>
                <c:pt idx="706">
                  <c:v>41934</c:v>
                </c:pt>
                <c:pt idx="707">
                  <c:v>41933</c:v>
                </c:pt>
                <c:pt idx="708">
                  <c:v>41932</c:v>
                </c:pt>
                <c:pt idx="709">
                  <c:v>41929</c:v>
                </c:pt>
                <c:pt idx="710">
                  <c:v>41928</c:v>
                </c:pt>
                <c:pt idx="711">
                  <c:v>41927</c:v>
                </c:pt>
                <c:pt idx="712">
                  <c:v>41926</c:v>
                </c:pt>
                <c:pt idx="713">
                  <c:v>41925</c:v>
                </c:pt>
                <c:pt idx="714">
                  <c:v>41922</c:v>
                </c:pt>
                <c:pt idx="715">
                  <c:v>41921</c:v>
                </c:pt>
                <c:pt idx="716">
                  <c:v>41920</c:v>
                </c:pt>
                <c:pt idx="717">
                  <c:v>41919</c:v>
                </c:pt>
                <c:pt idx="718">
                  <c:v>41918</c:v>
                </c:pt>
                <c:pt idx="719">
                  <c:v>41915</c:v>
                </c:pt>
                <c:pt idx="720">
                  <c:v>41914</c:v>
                </c:pt>
                <c:pt idx="721">
                  <c:v>41913</c:v>
                </c:pt>
                <c:pt idx="722">
                  <c:v>41912</c:v>
                </c:pt>
                <c:pt idx="723">
                  <c:v>41911</c:v>
                </c:pt>
                <c:pt idx="724">
                  <c:v>41908</c:v>
                </c:pt>
                <c:pt idx="725">
                  <c:v>41907</c:v>
                </c:pt>
                <c:pt idx="726">
                  <c:v>41906</c:v>
                </c:pt>
                <c:pt idx="727">
                  <c:v>41905</c:v>
                </c:pt>
                <c:pt idx="728">
                  <c:v>41904</c:v>
                </c:pt>
                <c:pt idx="729">
                  <c:v>41901</c:v>
                </c:pt>
                <c:pt idx="730">
                  <c:v>41900</c:v>
                </c:pt>
                <c:pt idx="731">
                  <c:v>41899</c:v>
                </c:pt>
                <c:pt idx="732">
                  <c:v>41898</c:v>
                </c:pt>
                <c:pt idx="733">
                  <c:v>41897</c:v>
                </c:pt>
                <c:pt idx="734">
                  <c:v>41894</c:v>
                </c:pt>
                <c:pt idx="735">
                  <c:v>41893</c:v>
                </c:pt>
                <c:pt idx="736">
                  <c:v>41892</c:v>
                </c:pt>
                <c:pt idx="737">
                  <c:v>41891</c:v>
                </c:pt>
                <c:pt idx="738">
                  <c:v>41890</c:v>
                </c:pt>
                <c:pt idx="739">
                  <c:v>41887</c:v>
                </c:pt>
                <c:pt idx="740">
                  <c:v>41886</c:v>
                </c:pt>
                <c:pt idx="741">
                  <c:v>41885</c:v>
                </c:pt>
                <c:pt idx="742">
                  <c:v>41884</c:v>
                </c:pt>
                <c:pt idx="743">
                  <c:v>41880</c:v>
                </c:pt>
                <c:pt idx="744">
                  <c:v>41879</c:v>
                </c:pt>
                <c:pt idx="745">
                  <c:v>41878</c:v>
                </c:pt>
                <c:pt idx="746">
                  <c:v>41877</c:v>
                </c:pt>
                <c:pt idx="747">
                  <c:v>41876</c:v>
                </c:pt>
                <c:pt idx="748">
                  <c:v>41873</c:v>
                </c:pt>
                <c:pt idx="749">
                  <c:v>41872</c:v>
                </c:pt>
                <c:pt idx="750">
                  <c:v>41871</c:v>
                </c:pt>
                <c:pt idx="751">
                  <c:v>41870</c:v>
                </c:pt>
                <c:pt idx="752">
                  <c:v>41869</c:v>
                </c:pt>
                <c:pt idx="753">
                  <c:v>41866</c:v>
                </c:pt>
                <c:pt idx="754">
                  <c:v>41865</c:v>
                </c:pt>
                <c:pt idx="755">
                  <c:v>41864</c:v>
                </c:pt>
                <c:pt idx="756">
                  <c:v>41863</c:v>
                </c:pt>
                <c:pt idx="757">
                  <c:v>41862</c:v>
                </c:pt>
                <c:pt idx="758">
                  <c:v>41859</c:v>
                </c:pt>
                <c:pt idx="759">
                  <c:v>41858</c:v>
                </c:pt>
                <c:pt idx="760">
                  <c:v>41857</c:v>
                </c:pt>
                <c:pt idx="761">
                  <c:v>41856</c:v>
                </c:pt>
                <c:pt idx="762">
                  <c:v>41855</c:v>
                </c:pt>
                <c:pt idx="763">
                  <c:v>41852</c:v>
                </c:pt>
                <c:pt idx="764">
                  <c:v>41851</c:v>
                </c:pt>
                <c:pt idx="765">
                  <c:v>41850</c:v>
                </c:pt>
                <c:pt idx="766">
                  <c:v>41849</c:v>
                </c:pt>
                <c:pt idx="767">
                  <c:v>41848</c:v>
                </c:pt>
                <c:pt idx="768">
                  <c:v>41845</c:v>
                </c:pt>
                <c:pt idx="769">
                  <c:v>41844</c:v>
                </c:pt>
                <c:pt idx="770">
                  <c:v>41843</c:v>
                </c:pt>
                <c:pt idx="771">
                  <c:v>41842</c:v>
                </c:pt>
                <c:pt idx="772">
                  <c:v>41841</c:v>
                </c:pt>
                <c:pt idx="773">
                  <c:v>41838</c:v>
                </c:pt>
                <c:pt idx="774">
                  <c:v>41837</c:v>
                </c:pt>
                <c:pt idx="775">
                  <c:v>41836</c:v>
                </c:pt>
                <c:pt idx="776">
                  <c:v>41835</c:v>
                </c:pt>
                <c:pt idx="777">
                  <c:v>41834</c:v>
                </c:pt>
                <c:pt idx="778">
                  <c:v>41831</c:v>
                </c:pt>
                <c:pt idx="779">
                  <c:v>41830</c:v>
                </c:pt>
                <c:pt idx="780">
                  <c:v>41829</c:v>
                </c:pt>
                <c:pt idx="781">
                  <c:v>41828</c:v>
                </c:pt>
                <c:pt idx="782">
                  <c:v>41827</c:v>
                </c:pt>
                <c:pt idx="783">
                  <c:v>41823</c:v>
                </c:pt>
                <c:pt idx="784">
                  <c:v>41822</c:v>
                </c:pt>
                <c:pt idx="785">
                  <c:v>41821</c:v>
                </c:pt>
                <c:pt idx="786">
                  <c:v>41820</c:v>
                </c:pt>
                <c:pt idx="787">
                  <c:v>41817</c:v>
                </c:pt>
                <c:pt idx="788">
                  <c:v>41816</c:v>
                </c:pt>
                <c:pt idx="789">
                  <c:v>41815</c:v>
                </c:pt>
                <c:pt idx="790">
                  <c:v>41814</c:v>
                </c:pt>
                <c:pt idx="791">
                  <c:v>41813</c:v>
                </c:pt>
                <c:pt idx="792">
                  <c:v>41810</c:v>
                </c:pt>
                <c:pt idx="793">
                  <c:v>41809</c:v>
                </c:pt>
                <c:pt idx="794">
                  <c:v>41808</c:v>
                </c:pt>
                <c:pt idx="795">
                  <c:v>41807</c:v>
                </c:pt>
                <c:pt idx="796">
                  <c:v>41806</c:v>
                </c:pt>
                <c:pt idx="797">
                  <c:v>41803</c:v>
                </c:pt>
                <c:pt idx="798">
                  <c:v>41802</c:v>
                </c:pt>
                <c:pt idx="799">
                  <c:v>41801</c:v>
                </c:pt>
                <c:pt idx="800">
                  <c:v>41800</c:v>
                </c:pt>
                <c:pt idx="801">
                  <c:v>41799</c:v>
                </c:pt>
                <c:pt idx="802">
                  <c:v>41796</c:v>
                </c:pt>
                <c:pt idx="803">
                  <c:v>41795</c:v>
                </c:pt>
                <c:pt idx="804">
                  <c:v>41794</c:v>
                </c:pt>
                <c:pt idx="805">
                  <c:v>41793</c:v>
                </c:pt>
                <c:pt idx="806">
                  <c:v>41792</c:v>
                </c:pt>
                <c:pt idx="807">
                  <c:v>41789</c:v>
                </c:pt>
                <c:pt idx="808">
                  <c:v>41788</c:v>
                </c:pt>
                <c:pt idx="809">
                  <c:v>41787</c:v>
                </c:pt>
                <c:pt idx="810">
                  <c:v>41786</c:v>
                </c:pt>
                <c:pt idx="811">
                  <c:v>41782</c:v>
                </c:pt>
                <c:pt idx="812">
                  <c:v>41781</c:v>
                </c:pt>
                <c:pt idx="813">
                  <c:v>41780</c:v>
                </c:pt>
                <c:pt idx="814">
                  <c:v>41779</c:v>
                </c:pt>
                <c:pt idx="815">
                  <c:v>41778</c:v>
                </c:pt>
                <c:pt idx="816">
                  <c:v>41775</c:v>
                </c:pt>
                <c:pt idx="817">
                  <c:v>41774</c:v>
                </c:pt>
                <c:pt idx="818">
                  <c:v>41773</c:v>
                </c:pt>
                <c:pt idx="819">
                  <c:v>41772</c:v>
                </c:pt>
                <c:pt idx="820">
                  <c:v>41771</c:v>
                </c:pt>
                <c:pt idx="821">
                  <c:v>41768</c:v>
                </c:pt>
                <c:pt idx="822">
                  <c:v>41767</c:v>
                </c:pt>
                <c:pt idx="823">
                  <c:v>41766</c:v>
                </c:pt>
                <c:pt idx="824">
                  <c:v>41765</c:v>
                </c:pt>
                <c:pt idx="825">
                  <c:v>41764</c:v>
                </c:pt>
                <c:pt idx="826">
                  <c:v>41761</c:v>
                </c:pt>
                <c:pt idx="827">
                  <c:v>41760</c:v>
                </c:pt>
                <c:pt idx="828">
                  <c:v>41759</c:v>
                </c:pt>
                <c:pt idx="829">
                  <c:v>41758</c:v>
                </c:pt>
                <c:pt idx="830">
                  <c:v>41757</c:v>
                </c:pt>
                <c:pt idx="831">
                  <c:v>41754</c:v>
                </c:pt>
                <c:pt idx="832">
                  <c:v>41753</c:v>
                </c:pt>
                <c:pt idx="833">
                  <c:v>41752</c:v>
                </c:pt>
                <c:pt idx="834">
                  <c:v>41751</c:v>
                </c:pt>
                <c:pt idx="835">
                  <c:v>41750</c:v>
                </c:pt>
                <c:pt idx="836">
                  <c:v>41746</c:v>
                </c:pt>
                <c:pt idx="837">
                  <c:v>41745</c:v>
                </c:pt>
                <c:pt idx="838">
                  <c:v>41744</c:v>
                </c:pt>
                <c:pt idx="839">
                  <c:v>41743</c:v>
                </c:pt>
                <c:pt idx="840">
                  <c:v>41740</c:v>
                </c:pt>
                <c:pt idx="841">
                  <c:v>41739</c:v>
                </c:pt>
                <c:pt idx="842">
                  <c:v>41738</c:v>
                </c:pt>
                <c:pt idx="843">
                  <c:v>41737</c:v>
                </c:pt>
                <c:pt idx="844">
                  <c:v>41736</c:v>
                </c:pt>
                <c:pt idx="845">
                  <c:v>41733</c:v>
                </c:pt>
                <c:pt idx="846">
                  <c:v>41732</c:v>
                </c:pt>
                <c:pt idx="847">
                  <c:v>41731</c:v>
                </c:pt>
                <c:pt idx="848">
                  <c:v>41730</c:v>
                </c:pt>
                <c:pt idx="849">
                  <c:v>41729</c:v>
                </c:pt>
                <c:pt idx="850">
                  <c:v>41726</c:v>
                </c:pt>
                <c:pt idx="851">
                  <c:v>41725</c:v>
                </c:pt>
                <c:pt idx="852">
                  <c:v>41724</c:v>
                </c:pt>
                <c:pt idx="853">
                  <c:v>41723</c:v>
                </c:pt>
                <c:pt idx="854">
                  <c:v>41722</c:v>
                </c:pt>
                <c:pt idx="855">
                  <c:v>41719</c:v>
                </c:pt>
                <c:pt idx="856">
                  <c:v>41718</c:v>
                </c:pt>
                <c:pt idx="857">
                  <c:v>41717</c:v>
                </c:pt>
                <c:pt idx="858">
                  <c:v>41716</c:v>
                </c:pt>
                <c:pt idx="859">
                  <c:v>41715</c:v>
                </c:pt>
                <c:pt idx="860">
                  <c:v>41712</c:v>
                </c:pt>
                <c:pt idx="861">
                  <c:v>41711</c:v>
                </c:pt>
                <c:pt idx="862">
                  <c:v>41710</c:v>
                </c:pt>
                <c:pt idx="863">
                  <c:v>41709</c:v>
                </c:pt>
                <c:pt idx="864">
                  <c:v>41708</c:v>
                </c:pt>
                <c:pt idx="865">
                  <c:v>41705</c:v>
                </c:pt>
                <c:pt idx="866">
                  <c:v>41704</c:v>
                </c:pt>
                <c:pt idx="867">
                  <c:v>41703</c:v>
                </c:pt>
                <c:pt idx="868">
                  <c:v>41702</c:v>
                </c:pt>
                <c:pt idx="869">
                  <c:v>41701</c:v>
                </c:pt>
                <c:pt idx="870">
                  <c:v>41698</c:v>
                </c:pt>
                <c:pt idx="871">
                  <c:v>41697</c:v>
                </c:pt>
                <c:pt idx="872">
                  <c:v>41696</c:v>
                </c:pt>
                <c:pt idx="873">
                  <c:v>41695</c:v>
                </c:pt>
                <c:pt idx="874">
                  <c:v>41694</c:v>
                </c:pt>
                <c:pt idx="875">
                  <c:v>41691</c:v>
                </c:pt>
                <c:pt idx="876">
                  <c:v>41690</c:v>
                </c:pt>
                <c:pt idx="877">
                  <c:v>41689</c:v>
                </c:pt>
                <c:pt idx="878">
                  <c:v>41688</c:v>
                </c:pt>
                <c:pt idx="879">
                  <c:v>41684</c:v>
                </c:pt>
                <c:pt idx="880">
                  <c:v>41683</c:v>
                </c:pt>
                <c:pt idx="881">
                  <c:v>41682</c:v>
                </c:pt>
                <c:pt idx="882">
                  <c:v>41681</c:v>
                </c:pt>
                <c:pt idx="883">
                  <c:v>41680</c:v>
                </c:pt>
                <c:pt idx="884">
                  <c:v>41677</c:v>
                </c:pt>
                <c:pt idx="885">
                  <c:v>41676</c:v>
                </c:pt>
                <c:pt idx="886">
                  <c:v>41675</c:v>
                </c:pt>
                <c:pt idx="887">
                  <c:v>41674</c:v>
                </c:pt>
                <c:pt idx="888">
                  <c:v>41673</c:v>
                </c:pt>
                <c:pt idx="889">
                  <c:v>41670</c:v>
                </c:pt>
                <c:pt idx="890">
                  <c:v>41669</c:v>
                </c:pt>
                <c:pt idx="891">
                  <c:v>41668</c:v>
                </c:pt>
                <c:pt idx="892">
                  <c:v>41667</c:v>
                </c:pt>
                <c:pt idx="893">
                  <c:v>41666</c:v>
                </c:pt>
                <c:pt idx="894">
                  <c:v>41663</c:v>
                </c:pt>
                <c:pt idx="895">
                  <c:v>41662</c:v>
                </c:pt>
                <c:pt idx="896">
                  <c:v>41661</c:v>
                </c:pt>
                <c:pt idx="897">
                  <c:v>41660</c:v>
                </c:pt>
                <c:pt idx="898">
                  <c:v>41656</c:v>
                </c:pt>
                <c:pt idx="899">
                  <c:v>41655</c:v>
                </c:pt>
                <c:pt idx="900">
                  <c:v>41654</c:v>
                </c:pt>
                <c:pt idx="901">
                  <c:v>41653</c:v>
                </c:pt>
                <c:pt idx="902">
                  <c:v>41652</c:v>
                </c:pt>
                <c:pt idx="903">
                  <c:v>41649</c:v>
                </c:pt>
                <c:pt idx="904">
                  <c:v>41648</c:v>
                </c:pt>
                <c:pt idx="905">
                  <c:v>41647</c:v>
                </c:pt>
                <c:pt idx="906">
                  <c:v>41646</c:v>
                </c:pt>
                <c:pt idx="907">
                  <c:v>41645</c:v>
                </c:pt>
                <c:pt idx="908">
                  <c:v>41642</c:v>
                </c:pt>
                <c:pt idx="909">
                  <c:v>41641</c:v>
                </c:pt>
                <c:pt idx="910">
                  <c:v>41639</c:v>
                </c:pt>
                <c:pt idx="911">
                  <c:v>41638</c:v>
                </c:pt>
                <c:pt idx="912">
                  <c:v>41635</c:v>
                </c:pt>
                <c:pt idx="913">
                  <c:v>41634</c:v>
                </c:pt>
                <c:pt idx="914">
                  <c:v>41632</c:v>
                </c:pt>
                <c:pt idx="915">
                  <c:v>41631</c:v>
                </c:pt>
                <c:pt idx="916">
                  <c:v>41628</c:v>
                </c:pt>
                <c:pt idx="917">
                  <c:v>41627</c:v>
                </c:pt>
                <c:pt idx="918">
                  <c:v>41626</c:v>
                </c:pt>
                <c:pt idx="919">
                  <c:v>41625</c:v>
                </c:pt>
                <c:pt idx="920">
                  <c:v>41624</c:v>
                </c:pt>
                <c:pt idx="921">
                  <c:v>41621</c:v>
                </c:pt>
                <c:pt idx="922">
                  <c:v>41620</c:v>
                </c:pt>
                <c:pt idx="923">
                  <c:v>41619</c:v>
                </c:pt>
                <c:pt idx="924">
                  <c:v>41618</c:v>
                </c:pt>
                <c:pt idx="925">
                  <c:v>41617</c:v>
                </c:pt>
                <c:pt idx="926">
                  <c:v>41614</c:v>
                </c:pt>
                <c:pt idx="927">
                  <c:v>41613</c:v>
                </c:pt>
                <c:pt idx="928">
                  <c:v>41612</c:v>
                </c:pt>
                <c:pt idx="929">
                  <c:v>41611</c:v>
                </c:pt>
                <c:pt idx="930">
                  <c:v>41610</c:v>
                </c:pt>
                <c:pt idx="931">
                  <c:v>41607</c:v>
                </c:pt>
                <c:pt idx="932">
                  <c:v>41605</c:v>
                </c:pt>
                <c:pt idx="933">
                  <c:v>41604</c:v>
                </c:pt>
                <c:pt idx="934">
                  <c:v>41603</c:v>
                </c:pt>
                <c:pt idx="935">
                  <c:v>41600</c:v>
                </c:pt>
                <c:pt idx="936">
                  <c:v>41599</c:v>
                </c:pt>
                <c:pt idx="937">
                  <c:v>41598</c:v>
                </c:pt>
                <c:pt idx="938">
                  <c:v>41597</c:v>
                </c:pt>
                <c:pt idx="939">
                  <c:v>41596</c:v>
                </c:pt>
                <c:pt idx="940">
                  <c:v>41593</c:v>
                </c:pt>
                <c:pt idx="941">
                  <c:v>41592</c:v>
                </c:pt>
                <c:pt idx="942">
                  <c:v>41591</c:v>
                </c:pt>
                <c:pt idx="943">
                  <c:v>41590</c:v>
                </c:pt>
                <c:pt idx="944">
                  <c:v>41589</c:v>
                </c:pt>
                <c:pt idx="945">
                  <c:v>41586</c:v>
                </c:pt>
                <c:pt idx="946">
                  <c:v>41585</c:v>
                </c:pt>
                <c:pt idx="947">
                  <c:v>41584</c:v>
                </c:pt>
                <c:pt idx="948">
                  <c:v>41583</c:v>
                </c:pt>
                <c:pt idx="949">
                  <c:v>41582</c:v>
                </c:pt>
                <c:pt idx="950">
                  <c:v>41579</c:v>
                </c:pt>
                <c:pt idx="951">
                  <c:v>41578</c:v>
                </c:pt>
                <c:pt idx="952">
                  <c:v>41577</c:v>
                </c:pt>
                <c:pt idx="953">
                  <c:v>41576</c:v>
                </c:pt>
                <c:pt idx="954">
                  <c:v>41575</c:v>
                </c:pt>
                <c:pt idx="955">
                  <c:v>41572</c:v>
                </c:pt>
                <c:pt idx="956">
                  <c:v>41571</c:v>
                </c:pt>
                <c:pt idx="957">
                  <c:v>41570</c:v>
                </c:pt>
                <c:pt idx="958">
                  <c:v>41569</c:v>
                </c:pt>
                <c:pt idx="959">
                  <c:v>41568</c:v>
                </c:pt>
                <c:pt idx="960">
                  <c:v>41565</c:v>
                </c:pt>
                <c:pt idx="961">
                  <c:v>41564</c:v>
                </c:pt>
                <c:pt idx="962">
                  <c:v>41563</c:v>
                </c:pt>
                <c:pt idx="963">
                  <c:v>41562</c:v>
                </c:pt>
                <c:pt idx="964">
                  <c:v>41561</c:v>
                </c:pt>
                <c:pt idx="965">
                  <c:v>41558</c:v>
                </c:pt>
                <c:pt idx="966">
                  <c:v>41557</c:v>
                </c:pt>
                <c:pt idx="967">
                  <c:v>41556</c:v>
                </c:pt>
                <c:pt idx="968">
                  <c:v>41555</c:v>
                </c:pt>
                <c:pt idx="969">
                  <c:v>41554</c:v>
                </c:pt>
                <c:pt idx="970">
                  <c:v>41551</c:v>
                </c:pt>
                <c:pt idx="971">
                  <c:v>41550</c:v>
                </c:pt>
                <c:pt idx="972">
                  <c:v>41549</c:v>
                </c:pt>
                <c:pt idx="973">
                  <c:v>41548</c:v>
                </c:pt>
                <c:pt idx="974">
                  <c:v>41547</c:v>
                </c:pt>
                <c:pt idx="975">
                  <c:v>41544</c:v>
                </c:pt>
                <c:pt idx="976">
                  <c:v>41543</c:v>
                </c:pt>
                <c:pt idx="977">
                  <c:v>41542</c:v>
                </c:pt>
                <c:pt idx="978">
                  <c:v>41541</c:v>
                </c:pt>
                <c:pt idx="979">
                  <c:v>41540</c:v>
                </c:pt>
                <c:pt idx="980">
                  <c:v>41537</c:v>
                </c:pt>
                <c:pt idx="981">
                  <c:v>41536</c:v>
                </c:pt>
                <c:pt idx="982">
                  <c:v>41535</c:v>
                </c:pt>
                <c:pt idx="983">
                  <c:v>41534</c:v>
                </c:pt>
                <c:pt idx="984">
                  <c:v>41533</c:v>
                </c:pt>
                <c:pt idx="985">
                  <c:v>41530</c:v>
                </c:pt>
                <c:pt idx="986">
                  <c:v>41529</c:v>
                </c:pt>
                <c:pt idx="987">
                  <c:v>41528</c:v>
                </c:pt>
                <c:pt idx="988">
                  <c:v>41527</c:v>
                </c:pt>
                <c:pt idx="989">
                  <c:v>41526</c:v>
                </c:pt>
                <c:pt idx="990">
                  <c:v>41523</c:v>
                </c:pt>
                <c:pt idx="991">
                  <c:v>41522</c:v>
                </c:pt>
                <c:pt idx="992">
                  <c:v>41521</c:v>
                </c:pt>
                <c:pt idx="993">
                  <c:v>41520</c:v>
                </c:pt>
                <c:pt idx="994">
                  <c:v>41516</c:v>
                </c:pt>
                <c:pt idx="995">
                  <c:v>41515</c:v>
                </c:pt>
                <c:pt idx="996">
                  <c:v>41514</c:v>
                </c:pt>
                <c:pt idx="997">
                  <c:v>41513</c:v>
                </c:pt>
                <c:pt idx="998">
                  <c:v>41512</c:v>
                </c:pt>
                <c:pt idx="999">
                  <c:v>41509</c:v>
                </c:pt>
                <c:pt idx="1000">
                  <c:v>41508</c:v>
                </c:pt>
                <c:pt idx="1001">
                  <c:v>41507</c:v>
                </c:pt>
                <c:pt idx="1002">
                  <c:v>41506</c:v>
                </c:pt>
                <c:pt idx="1003">
                  <c:v>41505</c:v>
                </c:pt>
                <c:pt idx="1004">
                  <c:v>41502</c:v>
                </c:pt>
              </c:numCache>
            </c:numRef>
          </c:cat>
          <c:val>
            <c:numRef>
              <c:f>Analysis!$AJ$7:$AJ$1011</c:f>
              <c:numCache>
                <c:formatCode>General</c:formatCode>
                <c:ptCount val="1005"/>
                <c:pt idx="0">
                  <c:v>108.81</c:v>
                </c:pt>
                <c:pt idx="1">
                  <c:v>108.9</c:v>
                </c:pt>
                <c:pt idx="2">
                  <c:v>109.66</c:v>
                </c:pt>
                <c:pt idx="3">
                  <c:v>108.51</c:v>
                </c:pt>
                <c:pt idx="4">
                  <c:v>112.17</c:v>
                </c:pt>
                <c:pt idx="5">
                  <c:v>111.39</c:v>
                </c:pt>
                <c:pt idx="6">
                  <c:v>111.77</c:v>
                </c:pt>
                <c:pt idx="7">
                  <c:v>115.25</c:v>
                </c:pt>
                <c:pt idx="8">
                  <c:v>116.78</c:v>
                </c:pt>
                <c:pt idx="9">
                  <c:v>118.91</c:v>
                </c:pt>
                <c:pt idx="10">
                  <c:v>117.38</c:v>
                </c:pt>
                <c:pt idx="11">
                  <c:v>115.63</c:v>
                </c:pt>
                <c:pt idx="12">
                  <c:v>105.98</c:v>
                </c:pt>
                <c:pt idx="13">
                  <c:v>103.18</c:v>
                </c:pt>
                <c:pt idx="14">
                  <c:v>103.54</c:v>
                </c:pt>
                <c:pt idx="15">
                  <c:v>104.58</c:v>
                </c:pt>
                <c:pt idx="16">
                  <c:v>103.34</c:v>
                </c:pt>
                <c:pt idx="17">
                  <c:v>102.75</c:v>
                </c:pt>
                <c:pt idx="18">
                  <c:v>101.3</c:v>
                </c:pt>
                <c:pt idx="19">
                  <c:v>101.7</c:v>
                </c:pt>
                <c:pt idx="20">
                  <c:v>101.35</c:v>
                </c:pt>
                <c:pt idx="21">
                  <c:v>101.63</c:v>
                </c:pt>
                <c:pt idx="22">
                  <c:v>102.5</c:v>
                </c:pt>
                <c:pt idx="23">
                  <c:v>101.84</c:v>
                </c:pt>
                <c:pt idx="24">
                  <c:v>103.66</c:v>
                </c:pt>
                <c:pt idx="25">
                  <c:v>105.14</c:v>
                </c:pt>
                <c:pt idx="26">
                  <c:v>103.44</c:v>
                </c:pt>
                <c:pt idx="27">
                  <c:v>104.07</c:v>
                </c:pt>
                <c:pt idx="28">
                  <c:v>102.42</c:v>
                </c:pt>
                <c:pt idx="29">
                  <c:v>102.46</c:v>
                </c:pt>
                <c:pt idx="30">
                  <c:v>101.46</c:v>
                </c:pt>
                <c:pt idx="31">
                  <c:v>102.68</c:v>
                </c:pt>
                <c:pt idx="32">
                  <c:v>101.5</c:v>
                </c:pt>
                <c:pt idx="33">
                  <c:v>102.21</c:v>
                </c:pt>
                <c:pt idx="34">
                  <c:v>101.41</c:v>
                </c:pt>
                <c:pt idx="35">
                  <c:v>101.91</c:v>
                </c:pt>
                <c:pt idx="36">
                  <c:v>102.5</c:v>
                </c:pt>
                <c:pt idx="37">
                  <c:v>102.48</c:v>
                </c:pt>
                <c:pt idx="38">
                  <c:v>104.11</c:v>
                </c:pt>
                <c:pt idx="39">
                  <c:v>103.49</c:v>
                </c:pt>
                <c:pt idx="40">
                  <c:v>102.17</c:v>
                </c:pt>
                <c:pt idx="41">
                  <c:v>101.25</c:v>
                </c:pt>
                <c:pt idx="42">
                  <c:v>101.87</c:v>
                </c:pt>
                <c:pt idx="43">
                  <c:v>101.54</c:v>
                </c:pt>
                <c:pt idx="44">
                  <c:v>100.11</c:v>
                </c:pt>
                <c:pt idx="45">
                  <c:v>100.77</c:v>
                </c:pt>
                <c:pt idx="46">
                  <c:v>100.94</c:v>
                </c:pt>
                <c:pt idx="47">
                  <c:v>101.2</c:v>
                </c:pt>
                <c:pt idx="48">
                  <c:v>101.1</c:v>
                </c:pt>
                <c:pt idx="49">
                  <c:v>100.98</c:v>
                </c:pt>
                <c:pt idx="50">
                  <c:v>103.35</c:v>
                </c:pt>
                <c:pt idx="51">
                  <c:v>102.37</c:v>
                </c:pt>
                <c:pt idx="52">
                  <c:v>101.53</c:v>
                </c:pt>
                <c:pt idx="53">
                  <c:v>101.35</c:v>
                </c:pt>
                <c:pt idx="54">
                  <c:v>101.16</c:v>
                </c:pt>
                <c:pt idx="55">
                  <c:v>99.98</c:v>
                </c:pt>
                <c:pt idx="56">
                  <c:v>99.53</c:v>
                </c:pt>
                <c:pt idx="57">
                  <c:v>99.45</c:v>
                </c:pt>
                <c:pt idx="58">
                  <c:v>98.62</c:v>
                </c:pt>
                <c:pt idx="59">
                  <c:v>98.35</c:v>
                </c:pt>
                <c:pt idx="60">
                  <c:v>97.3</c:v>
                </c:pt>
                <c:pt idx="61">
                  <c:v>98.32</c:v>
                </c:pt>
                <c:pt idx="62">
                  <c:v>98.45</c:v>
                </c:pt>
                <c:pt idx="63">
                  <c:v>97.17</c:v>
                </c:pt>
                <c:pt idx="64">
                  <c:v>96.46</c:v>
                </c:pt>
                <c:pt idx="65">
                  <c:v>96.63</c:v>
                </c:pt>
                <c:pt idx="66">
                  <c:v>97.08</c:v>
                </c:pt>
                <c:pt idx="67">
                  <c:v>96.7</c:v>
                </c:pt>
                <c:pt idx="68">
                  <c:v>99.29</c:v>
                </c:pt>
                <c:pt idx="69">
                  <c:v>99.1</c:v>
                </c:pt>
                <c:pt idx="70">
                  <c:v>97.51</c:v>
                </c:pt>
                <c:pt idx="71">
                  <c:v>104.01</c:v>
                </c:pt>
                <c:pt idx="72">
                  <c:v>103.97</c:v>
                </c:pt>
                <c:pt idx="73">
                  <c:v>104.49</c:v>
                </c:pt>
                <c:pt idx="74">
                  <c:v>105.16</c:v>
                </c:pt>
                <c:pt idx="75">
                  <c:v>104.86</c:v>
                </c:pt>
                <c:pt idx="76">
                  <c:v>105.01</c:v>
                </c:pt>
                <c:pt idx="77">
                  <c:v>104.14</c:v>
                </c:pt>
                <c:pt idx="78">
                  <c:v>102.69</c:v>
                </c:pt>
                <c:pt idx="79">
                  <c:v>103.04</c:v>
                </c:pt>
                <c:pt idx="80">
                  <c:v>102.07</c:v>
                </c:pt>
                <c:pt idx="81">
                  <c:v>101.93</c:v>
                </c:pt>
                <c:pt idx="82">
                  <c:v>101.86</c:v>
                </c:pt>
                <c:pt idx="83">
                  <c:v>101.26</c:v>
                </c:pt>
                <c:pt idx="84">
                  <c:v>101.95</c:v>
                </c:pt>
                <c:pt idx="85">
                  <c:v>102.09</c:v>
                </c:pt>
                <c:pt idx="86">
                  <c:v>102.14</c:v>
                </c:pt>
                <c:pt idx="87">
                  <c:v>102.19</c:v>
                </c:pt>
                <c:pt idx="88">
                  <c:v>101.75</c:v>
                </c:pt>
                <c:pt idx="89">
                  <c:v>101.93</c:v>
                </c:pt>
                <c:pt idx="90">
                  <c:v>101.45</c:v>
                </c:pt>
                <c:pt idx="91">
                  <c:v>101.27</c:v>
                </c:pt>
                <c:pt idx="92">
                  <c:v>102.39</c:v>
                </c:pt>
                <c:pt idx="93">
                  <c:v>102.17</c:v>
                </c:pt>
                <c:pt idx="94">
                  <c:v>102.13</c:v>
                </c:pt>
                <c:pt idx="95">
                  <c:v>103.28</c:v>
                </c:pt>
                <c:pt idx="96">
                  <c:v>102.91</c:v>
                </c:pt>
                <c:pt idx="97">
                  <c:v>103.38</c:v>
                </c:pt>
                <c:pt idx="98">
                  <c:v>103.52</c:v>
                </c:pt>
                <c:pt idx="99">
                  <c:v>103.68</c:v>
                </c:pt>
                <c:pt idx="100">
                  <c:v>103.12</c:v>
                </c:pt>
                <c:pt idx="101">
                  <c:v>104.45</c:v>
                </c:pt>
                <c:pt idx="102">
                  <c:v>105.11</c:v>
                </c:pt>
                <c:pt idx="103">
                  <c:v>104.25</c:v>
                </c:pt>
                <c:pt idx="104">
                  <c:v>104.67</c:v>
                </c:pt>
                <c:pt idx="105">
                  <c:v>103.97</c:v>
                </c:pt>
                <c:pt idx="106">
                  <c:v>104.84</c:v>
                </c:pt>
                <c:pt idx="107">
                  <c:v>104.55</c:v>
                </c:pt>
                <c:pt idx="108">
                  <c:v>103.4</c:v>
                </c:pt>
                <c:pt idx="109">
                  <c:v>103.71</c:v>
                </c:pt>
                <c:pt idx="110">
                  <c:v>104.27</c:v>
                </c:pt>
                <c:pt idx="111">
                  <c:v>104.95</c:v>
                </c:pt>
                <c:pt idx="112">
                  <c:v>104.5</c:v>
                </c:pt>
                <c:pt idx="113">
                  <c:v>104.07</c:v>
                </c:pt>
                <c:pt idx="114">
                  <c:v>104.53</c:v>
                </c:pt>
                <c:pt idx="115">
                  <c:v>102.62</c:v>
                </c:pt>
                <c:pt idx="116">
                  <c:v>102.7</c:v>
                </c:pt>
                <c:pt idx="117">
                  <c:v>103</c:v>
                </c:pt>
                <c:pt idx="118">
                  <c:v>101.64</c:v>
                </c:pt>
                <c:pt idx="119">
                  <c:v>100.42</c:v>
                </c:pt>
                <c:pt idx="120">
                  <c:v>99.22</c:v>
                </c:pt>
                <c:pt idx="121">
                  <c:v>99.68</c:v>
                </c:pt>
                <c:pt idx="122">
                  <c:v>99.88</c:v>
                </c:pt>
                <c:pt idx="123">
                  <c:v>99.65</c:v>
                </c:pt>
                <c:pt idx="124">
                  <c:v>99.44</c:v>
                </c:pt>
                <c:pt idx="125">
                  <c:v>98.58</c:v>
                </c:pt>
                <c:pt idx="126">
                  <c:v>97.82</c:v>
                </c:pt>
                <c:pt idx="127">
                  <c:v>97.65</c:v>
                </c:pt>
                <c:pt idx="128">
                  <c:v>96.58</c:v>
                </c:pt>
                <c:pt idx="129">
                  <c:v>96.29</c:v>
                </c:pt>
                <c:pt idx="130">
                  <c:v>96.47</c:v>
                </c:pt>
                <c:pt idx="131">
                  <c:v>96.87</c:v>
                </c:pt>
                <c:pt idx="132">
                  <c:v>96.32</c:v>
                </c:pt>
                <c:pt idx="133">
                  <c:v>95.25</c:v>
                </c:pt>
                <c:pt idx="134">
                  <c:v>100.99</c:v>
                </c:pt>
                <c:pt idx="135">
                  <c:v>101.97</c:v>
                </c:pt>
                <c:pt idx="136">
                  <c:v>101.71</c:v>
                </c:pt>
                <c:pt idx="137">
                  <c:v>102.04</c:v>
                </c:pt>
                <c:pt idx="138">
                  <c:v>102.7</c:v>
                </c:pt>
                <c:pt idx="139">
                  <c:v>103.24</c:v>
                </c:pt>
                <c:pt idx="140">
                  <c:v>102.2</c:v>
                </c:pt>
                <c:pt idx="141">
                  <c:v>103.24</c:v>
                </c:pt>
                <c:pt idx="142">
                  <c:v>102.97</c:v>
                </c:pt>
                <c:pt idx="143">
                  <c:v>102.91</c:v>
                </c:pt>
                <c:pt idx="144">
                  <c:v>103.07</c:v>
                </c:pt>
                <c:pt idx="145">
                  <c:v>103.77</c:v>
                </c:pt>
                <c:pt idx="146">
                  <c:v>103.8</c:v>
                </c:pt>
                <c:pt idx="147">
                  <c:v>103.2</c:v>
                </c:pt>
                <c:pt idx="148">
                  <c:v>102.2</c:v>
                </c:pt>
                <c:pt idx="149">
                  <c:v>102.47</c:v>
                </c:pt>
                <c:pt idx="150">
                  <c:v>103.11</c:v>
                </c:pt>
                <c:pt idx="151">
                  <c:v>103.04</c:v>
                </c:pt>
                <c:pt idx="152">
                  <c:v>103.66</c:v>
                </c:pt>
                <c:pt idx="153">
                  <c:v>103.5</c:v>
                </c:pt>
                <c:pt idx="154">
                  <c:v>102.78</c:v>
                </c:pt>
                <c:pt idx="155">
                  <c:v>103.45</c:v>
                </c:pt>
                <c:pt idx="156">
                  <c:v>103.05</c:v>
                </c:pt>
                <c:pt idx="157">
                  <c:v>103.31</c:v>
                </c:pt>
                <c:pt idx="158">
                  <c:v>102.93</c:v>
                </c:pt>
                <c:pt idx="159">
                  <c:v>102.6</c:v>
                </c:pt>
                <c:pt idx="160">
                  <c:v>102.47</c:v>
                </c:pt>
                <c:pt idx="161">
                  <c:v>102.33</c:v>
                </c:pt>
                <c:pt idx="162">
                  <c:v>101.09</c:v>
                </c:pt>
                <c:pt idx="163">
                  <c:v>100.85</c:v>
                </c:pt>
                <c:pt idx="164">
                  <c:v>98.76</c:v>
                </c:pt>
                <c:pt idx="165">
                  <c:v>97.69</c:v>
                </c:pt>
                <c:pt idx="166">
                  <c:v>98.4</c:v>
                </c:pt>
                <c:pt idx="167">
                  <c:v>98.06</c:v>
                </c:pt>
                <c:pt idx="168">
                  <c:v>98.22</c:v>
                </c:pt>
                <c:pt idx="169">
                  <c:v>98.19</c:v>
                </c:pt>
                <c:pt idx="170">
                  <c:v>97.57</c:v>
                </c:pt>
                <c:pt idx="171">
                  <c:v>96</c:v>
                </c:pt>
                <c:pt idx="172">
                  <c:v>96.05</c:v>
                </c:pt>
                <c:pt idx="173">
                  <c:v>95.24</c:v>
                </c:pt>
                <c:pt idx="174">
                  <c:v>95.77</c:v>
                </c:pt>
                <c:pt idx="175">
                  <c:v>96.02</c:v>
                </c:pt>
                <c:pt idx="176">
                  <c:v>97.04</c:v>
                </c:pt>
                <c:pt idx="177">
                  <c:v>96.57</c:v>
                </c:pt>
                <c:pt idx="178">
                  <c:v>96.92</c:v>
                </c:pt>
                <c:pt idx="179">
                  <c:v>96.65</c:v>
                </c:pt>
                <c:pt idx="180">
                  <c:v>96.39</c:v>
                </c:pt>
                <c:pt idx="181">
                  <c:v>95.59</c:v>
                </c:pt>
                <c:pt idx="182">
                  <c:v>94.39</c:v>
                </c:pt>
                <c:pt idx="183">
                  <c:v>94.38</c:v>
                </c:pt>
                <c:pt idx="184">
                  <c:v>93.27</c:v>
                </c:pt>
                <c:pt idx="185">
                  <c:v>92.34</c:v>
                </c:pt>
                <c:pt idx="186">
                  <c:v>91.89</c:v>
                </c:pt>
                <c:pt idx="187">
                  <c:v>91.08</c:v>
                </c:pt>
                <c:pt idx="188">
                  <c:v>91.39</c:v>
                </c:pt>
                <c:pt idx="189">
                  <c:v>90.9</c:v>
                </c:pt>
                <c:pt idx="190">
                  <c:v>91.15</c:v>
                </c:pt>
                <c:pt idx="191">
                  <c:v>90.6</c:v>
                </c:pt>
                <c:pt idx="192">
                  <c:v>89.08</c:v>
                </c:pt>
                <c:pt idx="193">
                  <c:v>89.33</c:v>
                </c:pt>
                <c:pt idx="194">
                  <c:v>89.98</c:v>
                </c:pt>
                <c:pt idx="195">
                  <c:v>86.92</c:v>
                </c:pt>
                <c:pt idx="196">
                  <c:v>87.06</c:v>
                </c:pt>
                <c:pt idx="197">
                  <c:v>87.16</c:v>
                </c:pt>
                <c:pt idx="198">
                  <c:v>86.66</c:v>
                </c:pt>
                <c:pt idx="199">
                  <c:v>87.19</c:v>
                </c:pt>
                <c:pt idx="200">
                  <c:v>87.5</c:v>
                </c:pt>
                <c:pt idx="201">
                  <c:v>87.67</c:v>
                </c:pt>
                <c:pt idx="202">
                  <c:v>86.72</c:v>
                </c:pt>
                <c:pt idx="203">
                  <c:v>86.84</c:v>
                </c:pt>
                <c:pt idx="204">
                  <c:v>87.43</c:v>
                </c:pt>
                <c:pt idx="205">
                  <c:v>87.38</c:v>
                </c:pt>
                <c:pt idx="206">
                  <c:v>87.24</c:v>
                </c:pt>
                <c:pt idx="207">
                  <c:v>87.56</c:v>
                </c:pt>
                <c:pt idx="208">
                  <c:v>86.89</c:v>
                </c:pt>
                <c:pt idx="209">
                  <c:v>86.87</c:v>
                </c:pt>
                <c:pt idx="210">
                  <c:v>86.09</c:v>
                </c:pt>
                <c:pt idx="211">
                  <c:v>87.77</c:v>
                </c:pt>
                <c:pt idx="212">
                  <c:v>87.37</c:v>
                </c:pt>
                <c:pt idx="213">
                  <c:v>87.56</c:v>
                </c:pt>
                <c:pt idx="214">
                  <c:v>87.58</c:v>
                </c:pt>
                <c:pt idx="215">
                  <c:v>87.17</c:v>
                </c:pt>
                <c:pt idx="216">
                  <c:v>87.63</c:v>
                </c:pt>
                <c:pt idx="217">
                  <c:v>88.2</c:v>
                </c:pt>
                <c:pt idx="218">
                  <c:v>87.21</c:v>
                </c:pt>
                <c:pt idx="219">
                  <c:v>87.45</c:v>
                </c:pt>
                <c:pt idx="220">
                  <c:v>88.95</c:v>
                </c:pt>
                <c:pt idx="221">
                  <c:v>88.19</c:v>
                </c:pt>
                <c:pt idx="222">
                  <c:v>88.47</c:v>
                </c:pt>
                <c:pt idx="223">
                  <c:v>89.46</c:v>
                </c:pt>
                <c:pt idx="224">
                  <c:v>88.88</c:v>
                </c:pt>
                <c:pt idx="225">
                  <c:v>87.79</c:v>
                </c:pt>
                <c:pt idx="226">
                  <c:v>86.56</c:v>
                </c:pt>
                <c:pt idx="227">
                  <c:v>86.75</c:v>
                </c:pt>
                <c:pt idx="228">
                  <c:v>87.48</c:v>
                </c:pt>
                <c:pt idx="229">
                  <c:v>86.69</c:v>
                </c:pt>
                <c:pt idx="230">
                  <c:v>86.69</c:v>
                </c:pt>
                <c:pt idx="231">
                  <c:v>88.14</c:v>
                </c:pt>
                <c:pt idx="232">
                  <c:v>86.57</c:v>
                </c:pt>
                <c:pt idx="233">
                  <c:v>89.47</c:v>
                </c:pt>
                <c:pt idx="234">
                  <c:v>89.96</c:v>
                </c:pt>
                <c:pt idx="235">
                  <c:v>89.86</c:v>
                </c:pt>
                <c:pt idx="236">
                  <c:v>90.39</c:v>
                </c:pt>
                <c:pt idx="237">
                  <c:v>90.63</c:v>
                </c:pt>
                <c:pt idx="238">
                  <c:v>89.81</c:v>
                </c:pt>
                <c:pt idx="239">
                  <c:v>89.79</c:v>
                </c:pt>
                <c:pt idx="240">
                  <c:v>89.59</c:v>
                </c:pt>
                <c:pt idx="241">
                  <c:v>89.79</c:v>
                </c:pt>
                <c:pt idx="242">
                  <c:v>89.77</c:v>
                </c:pt>
                <c:pt idx="243">
                  <c:v>89.68</c:v>
                </c:pt>
                <c:pt idx="244">
                  <c:v>89.98</c:v>
                </c:pt>
                <c:pt idx="245">
                  <c:v>89.91</c:v>
                </c:pt>
                <c:pt idx="246">
                  <c:v>89.85</c:v>
                </c:pt>
                <c:pt idx="247">
                  <c:v>89.83</c:v>
                </c:pt>
                <c:pt idx="248">
                  <c:v>89.33</c:v>
                </c:pt>
                <c:pt idx="249">
                  <c:v>89.56</c:v>
                </c:pt>
                <c:pt idx="250">
                  <c:v>90.35</c:v>
                </c:pt>
                <c:pt idx="251">
                  <c:v>90.13</c:v>
                </c:pt>
                <c:pt idx="252">
                  <c:v>90.4</c:v>
                </c:pt>
                <c:pt idx="253">
                  <c:v>90.04</c:v>
                </c:pt>
                <c:pt idx="254">
                  <c:v>89.97</c:v>
                </c:pt>
                <c:pt idx="255">
                  <c:v>89.44</c:v>
                </c:pt>
                <c:pt idx="256">
                  <c:v>89.67</c:v>
                </c:pt>
                <c:pt idx="257">
                  <c:v>88.41</c:v>
                </c:pt>
                <c:pt idx="258">
                  <c:v>88.19</c:v>
                </c:pt>
                <c:pt idx="259">
                  <c:v>87.97</c:v>
                </c:pt>
                <c:pt idx="260">
                  <c:v>88.67</c:v>
                </c:pt>
                <c:pt idx="261">
                  <c:v>88.95</c:v>
                </c:pt>
                <c:pt idx="262">
                  <c:v>91.73</c:v>
                </c:pt>
                <c:pt idx="263">
                  <c:v>94.93</c:v>
                </c:pt>
                <c:pt idx="264">
                  <c:v>95.72</c:v>
                </c:pt>
                <c:pt idx="265">
                  <c:v>95.29</c:v>
                </c:pt>
                <c:pt idx="266">
                  <c:v>95.44</c:v>
                </c:pt>
                <c:pt idx="267">
                  <c:v>94.88</c:v>
                </c:pt>
                <c:pt idx="268">
                  <c:v>95.39</c:v>
                </c:pt>
                <c:pt idx="269">
                  <c:v>95.02</c:v>
                </c:pt>
                <c:pt idx="270">
                  <c:v>94.93</c:v>
                </c:pt>
                <c:pt idx="271">
                  <c:v>95.06</c:v>
                </c:pt>
                <c:pt idx="272">
                  <c:v>95.21</c:v>
                </c:pt>
                <c:pt idx="273">
                  <c:v>95.14</c:v>
                </c:pt>
                <c:pt idx="274">
                  <c:v>94.81</c:v>
                </c:pt>
                <c:pt idx="275">
                  <c:v>95.14</c:v>
                </c:pt>
                <c:pt idx="276">
                  <c:v>94.47</c:v>
                </c:pt>
                <c:pt idx="277">
                  <c:v>93.5</c:v>
                </c:pt>
                <c:pt idx="278">
                  <c:v>93.42</c:v>
                </c:pt>
                <c:pt idx="279">
                  <c:v>93.31</c:v>
                </c:pt>
                <c:pt idx="280">
                  <c:v>92.75</c:v>
                </c:pt>
                <c:pt idx="281">
                  <c:v>91.87</c:v>
                </c:pt>
                <c:pt idx="282">
                  <c:v>89.13</c:v>
                </c:pt>
                <c:pt idx="283">
                  <c:v>87.92</c:v>
                </c:pt>
                <c:pt idx="284">
                  <c:v>85.66</c:v>
                </c:pt>
                <c:pt idx="285">
                  <c:v>86.72</c:v>
                </c:pt>
                <c:pt idx="286">
                  <c:v>89.94</c:v>
                </c:pt>
                <c:pt idx="287">
                  <c:v>88.82</c:v>
                </c:pt>
                <c:pt idx="288">
                  <c:v>89.34</c:v>
                </c:pt>
                <c:pt idx="289">
                  <c:v>89.04</c:v>
                </c:pt>
                <c:pt idx="290">
                  <c:v>87.61</c:v>
                </c:pt>
                <c:pt idx="291">
                  <c:v>88.03</c:v>
                </c:pt>
                <c:pt idx="292">
                  <c:v>87.61</c:v>
                </c:pt>
                <c:pt idx="293">
                  <c:v>87.49</c:v>
                </c:pt>
                <c:pt idx="294">
                  <c:v>87.16</c:v>
                </c:pt>
                <c:pt idx="295">
                  <c:v>87.09</c:v>
                </c:pt>
                <c:pt idx="296">
                  <c:v>87.63</c:v>
                </c:pt>
                <c:pt idx="297">
                  <c:v>87.22</c:v>
                </c:pt>
                <c:pt idx="298">
                  <c:v>86.87</c:v>
                </c:pt>
                <c:pt idx="299">
                  <c:v>87.69</c:v>
                </c:pt>
                <c:pt idx="300">
                  <c:v>87.33</c:v>
                </c:pt>
                <c:pt idx="301">
                  <c:v>88.09</c:v>
                </c:pt>
                <c:pt idx="302">
                  <c:v>88.12</c:v>
                </c:pt>
                <c:pt idx="303">
                  <c:v>87.84</c:v>
                </c:pt>
                <c:pt idx="304">
                  <c:v>88.04</c:v>
                </c:pt>
                <c:pt idx="305">
                  <c:v>87.7</c:v>
                </c:pt>
                <c:pt idx="306">
                  <c:v>87.52</c:v>
                </c:pt>
                <c:pt idx="307">
                  <c:v>87.46</c:v>
                </c:pt>
                <c:pt idx="308">
                  <c:v>85.25</c:v>
                </c:pt>
                <c:pt idx="309">
                  <c:v>85.47</c:v>
                </c:pt>
                <c:pt idx="310">
                  <c:v>85.14</c:v>
                </c:pt>
                <c:pt idx="311">
                  <c:v>85.6</c:v>
                </c:pt>
                <c:pt idx="312">
                  <c:v>85.35</c:v>
                </c:pt>
                <c:pt idx="313">
                  <c:v>86.7</c:v>
                </c:pt>
                <c:pt idx="314">
                  <c:v>85.76</c:v>
                </c:pt>
                <c:pt idx="315">
                  <c:v>86.54</c:v>
                </c:pt>
                <c:pt idx="316">
                  <c:v>86.67</c:v>
                </c:pt>
                <c:pt idx="317">
                  <c:v>88.5</c:v>
                </c:pt>
                <c:pt idx="318">
                  <c:v>87.16</c:v>
                </c:pt>
                <c:pt idx="319">
                  <c:v>86.85</c:v>
                </c:pt>
                <c:pt idx="320">
                  <c:v>86.45</c:v>
                </c:pt>
                <c:pt idx="321">
                  <c:v>88.39</c:v>
                </c:pt>
                <c:pt idx="322">
                  <c:v>88.81</c:v>
                </c:pt>
                <c:pt idx="323">
                  <c:v>89.43</c:v>
                </c:pt>
                <c:pt idx="324">
                  <c:v>88.44</c:v>
                </c:pt>
                <c:pt idx="325">
                  <c:v>89.1</c:v>
                </c:pt>
                <c:pt idx="326">
                  <c:v>90.12</c:v>
                </c:pt>
                <c:pt idx="327">
                  <c:v>89.79</c:v>
                </c:pt>
                <c:pt idx="328">
                  <c:v>89.58</c:v>
                </c:pt>
                <c:pt idx="329">
                  <c:v>89.65</c:v>
                </c:pt>
                <c:pt idx="330">
                  <c:v>89.35</c:v>
                </c:pt>
                <c:pt idx="331">
                  <c:v>90.12</c:v>
                </c:pt>
                <c:pt idx="332">
                  <c:v>90.74</c:v>
                </c:pt>
                <c:pt idx="333">
                  <c:v>90.7</c:v>
                </c:pt>
                <c:pt idx="334">
                  <c:v>90.15</c:v>
                </c:pt>
                <c:pt idx="335">
                  <c:v>90.26</c:v>
                </c:pt>
                <c:pt idx="336">
                  <c:v>90.24</c:v>
                </c:pt>
                <c:pt idx="337">
                  <c:v>90.11</c:v>
                </c:pt>
                <c:pt idx="338">
                  <c:v>89.71</c:v>
                </c:pt>
                <c:pt idx="339">
                  <c:v>90.33</c:v>
                </c:pt>
                <c:pt idx="340">
                  <c:v>89.8</c:v>
                </c:pt>
                <c:pt idx="341">
                  <c:v>90.84</c:v>
                </c:pt>
                <c:pt idx="342">
                  <c:v>89.75</c:v>
                </c:pt>
                <c:pt idx="343">
                  <c:v>89.71</c:v>
                </c:pt>
                <c:pt idx="344">
                  <c:v>90.26</c:v>
                </c:pt>
                <c:pt idx="345">
                  <c:v>89.71</c:v>
                </c:pt>
                <c:pt idx="346">
                  <c:v>89.15</c:v>
                </c:pt>
                <c:pt idx="347">
                  <c:v>89.43</c:v>
                </c:pt>
                <c:pt idx="348">
                  <c:v>88.3</c:v>
                </c:pt>
                <c:pt idx="349">
                  <c:v>88.75</c:v>
                </c:pt>
                <c:pt idx="350">
                  <c:v>88.53</c:v>
                </c:pt>
                <c:pt idx="351">
                  <c:v>88.64</c:v>
                </c:pt>
                <c:pt idx="352">
                  <c:v>89.01</c:v>
                </c:pt>
                <c:pt idx="353">
                  <c:v>88.64</c:v>
                </c:pt>
                <c:pt idx="354">
                  <c:v>88.84</c:v>
                </c:pt>
                <c:pt idx="355">
                  <c:v>87.66</c:v>
                </c:pt>
                <c:pt idx="356">
                  <c:v>87.32</c:v>
                </c:pt>
                <c:pt idx="357">
                  <c:v>87.27</c:v>
                </c:pt>
                <c:pt idx="358">
                  <c:v>87.27</c:v>
                </c:pt>
                <c:pt idx="359">
                  <c:v>85.2</c:v>
                </c:pt>
                <c:pt idx="360">
                  <c:v>85.72</c:v>
                </c:pt>
                <c:pt idx="361">
                  <c:v>85.49</c:v>
                </c:pt>
                <c:pt idx="362">
                  <c:v>86.09</c:v>
                </c:pt>
                <c:pt idx="363">
                  <c:v>86.19</c:v>
                </c:pt>
                <c:pt idx="364">
                  <c:v>85.65</c:v>
                </c:pt>
                <c:pt idx="365">
                  <c:v>85.65</c:v>
                </c:pt>
                <c:pt idx="366">
                  <c:v>86.77</c:v>
                </c:pt>
                <c:pt idx="367">
                  <c:v>84.69</c:v>
                </c:pt>
                <c:pt idx="368">
                  <c:v>85.66</c:v>
                </c:pt>
                <c:pt idx="369">
                  <c:v>85.92</c:v>
                </c:pt>
                <c:pt idx="370">
                  <c:v>85.26</c:v>
                </c:pt>
                <c:pt idx="371">
                  <c:v>84.85</c:v>
                </c:pt>
                <c:pt idx="372">
                  <c:v>86.4</c:v>
                </c:pt>
                <c:pt idx="373">
                  <c:v>85.56</c:v>
                </c:pt>
                <c:pt idx="374">
                  <c:v>84.91</c:v>
                </c:pt>
                <c:pt idx="375">
                  <c:v>85.33</c:v>
                </c:pt>
                <c:pt idx="376">
                  <c:v>83.78</c:v>
                </c:pt>
                <c:pt idx="377">
                  <c:v>81.739999999999995</c:v>
                </c:pt>
                <c:pt idx="378">
                  <c:v>80.209999999999994</c:v>
                </c:pt>
                <c:pt idx="379">
                  <c:v>80.83</c:v>
                </c:pt>
                <c:pt idx="380">
                  <c:v>80.67</c:v>
                </c:pt>
                <c:pt idx="381">
                  <c:v>81.25</c:v>
                </c:pt>
                <c:pt idx="382">
                  <c:v>81.31</c:v>
                </c:pt>
                <c:pt idx="383">
                  <c:v>82.8</c:v>
                </c:pt>
                <c:pt idx="384">
                  <c:v>82.15</c:v>
                </c:pt>
                <c:pt idx="385">
                  <c:v>82.17</c:v>
                </c:pt>
                <c:pt idx="386">
                  <c:v>82.97</c:v>
                </c:pt>
                <c:pt idx="387">
                  <c:v>83.09</c:v>
                </c:pt>
                <c:pt idx="388">
                  <c:v>80.75</c:v>
                </c:pt>
                <c:pt idx="389">
                  <c:v>80.48</c:v>
                </c:pt>
                <c:pt idx="390">
                  <c:v>80.89</c:v>
                </c:pt>
                <c:pt idx="391">
                  <c:v>80.09</c:v>
                </c:pt>
                <c:pt idx="392">
                  <c:v>81.11</c:v>
                </c:pt>
                <c:pt idx="393">
                  <c:v>79.25</c:v>
                </c:pt>
                <c:pt idx="394">
                  <c:v>78.22</c:v>
                </c:pt>
                <c:pt idx="395">
                  <c:v>79.11</c:v>
                </c:pt>
                <c:pt idx="396">
                  <c:v>77.92</c:v>
                </c:pt>
                <c:pt idx="397">
                  <c:v>78.989999999999995</c:v>
                </c:pt>
                <c:pt idx="398">
                  <c:v>77.34</c:v>
                </c:pt>
                <c:pt idx="399">
                  <c:v>79.47</c:v>
                </c:pt>
                <c:pt idx="400">
                  <c:v>78.510000000000005</c:v>
                </c:pt>
                <c:pt idx="401">
                  <c:v>78.13</c:v>
                </c:pt>
                <c:pt idx="402">
                  <c:v>78.78</c:v>
                </c:pt>
                <c:pt idx="403">
                  <c:v>81.260000000000005</c:v>
                </c:pt>
                <c:pt idx="404">
                  <c:v>82.27</c:v>
                </c:pt>
                <c:pt idx="405">
                  <c:v>82.07</c:v>
                </c:pt>
                <c:pt idx="406">
                  <c:v>84.72</c:v>
                </c:pt>
                <c:pt idx="407">
                  <c:v>86.38</c:v>
                </c:pt>
                <c:pt idx="408">
                  <c:v>86.84</c:v>
                </c:pt>
                <c:pt idx="409">
                  <c:v>85.75</c:v>
                </c:pt>
                <c:pt idx="410">
                  <c:v>85.94</c:v>
                </c:pt>
                <c:pt idx="411">
                  <c:v>85.73</c:v>
                </c:pt>
                <c:pt idx="412">
                  <c:v>84.86</c:v>
                </c:pt>
                <c:pt idx="413">
                  <c:v>84.14</c:v>
                </c:pt>
                <c:pt idx="414">
                  <c:v>83.28</c:v>
                </c:pt>
                <c:pt idx="415">
                  <c:v>84.81</c:v>
                </c:pt>
                <c:pt idx="416">
                  <c:v>86.2</c:v>
                </c:pt>
                <c:pt idx="417">
                  <c:v>85.47</c:v>
                </c:pt>
                <c:pt idx="418">
                  <c:v>84.6</c:v>
                </c:pt>
                <c:pt idx="419">
                  <c:v>83.33</c:v>
                </c:pt>
                <c:pt idx="420">
                  <c:v>85.46</c:v>
                </c:pt>
                <c:pt idx="421">
                  <c:v>84.95</c:v>
                </c:pt>
                <c:pt idx="422">
                  <c:v>86.32</c:v>
                </c:pt>
                <c:pt idx="423">
                  <c:v>86.6</c:v>
                </c:pt>
                <c:pt idx="424">
                  <c:v>87.43</c:v>
                </c:pt>
                <c:pt idx="425">
                  <c:v>85.26</c:v>
                </c:pt>
                <c:pt idx="426">
                  <c:v>86.91</c:v>
                </c:pt>
                <c:pt idx="427">
                  <c:v>87.56</c:v>
                </c:pt>
                <c:pt idx="428">
                  <c:v>86.26</c:v>
                </c:pt>
                <c:pt idx="429">
                  <c:v>86.69</c:v>
                </c:pt>
                <c:pt idx="430">
                  <c:v>86.41</c:v>
                </c:pt>
                <c:pt idx="431">
                  <c:v>86.71</c:v>
                </c:pt>
                <c:pt idx="432">
                  <c:v>87.35</c:v>
                </c:pt>
                <c:pt idx="433">
                  <c:v>87.29</c:v>
                </c:pt>
                <c:pt idx="434">
                  <c:v>86.39</c:v>
                </c:pt>
                <c:pt idx="435">
                  <c:v>86.5</c:v>
                </c:pt>
                <c:pt idx="436">
                  <c:v>85.89</c:v>
                </c:pt>
                <c:pt idx="437">
                  <c:v>86.52</c:v>
                </c:pt>
                <c:pt idx="438">
                  <c:v>85.05</c:v>
                </c:pt>
                <c:pt idx="439">
                  <c:v>86.22</c:v>
                </c:pt>
                <c:pt idx="440">
                  <c:v>87.18</c:v>
                </c:pt>
                <c:pt idx="441">
                  <c:v>86.95</c:v>
                </c:pt>
                <c:pt idx="442">
                  <c:v>86.76</c:v>
                </c:pt>
                <c:pt idx="443">
                  <c:v>87.63</c:v>
                </c:pt>
                <c:pt idx="444">
                  <c:v>86.98</c:v>
                </c:pt>
                <c:pt idx="445">
                  <c:v>86.96</c:v>
                </c:pt>
                <c:pt idx="446">
                  <c:v>86.73</c:v>
                </c:pt>
                <c:pt idx="447">
                  <c:v>86.99</c:v>
                </c:pt>
                <c:pt idx="448">
                  <c:v>86.99</c:v>
                </c:pt>
                <c:pt idx="449">
                  <c:v>88.36</c:v>
                </c:pt>
                <c:pt idx="450">
                  <c:v>87.91</c:v>
                </c:pt>
                <c:pt idx="451">
                  <c:v>90.33</c:v>
                </c:pt>
                <c:pt idx="452">
                  <c:v>90.11</c:v>
                </c:pt>
                <c:pt idx="453">
                  <c:v>90.53</c:v>
                </c:pt>
                <c:pt idx="454">
                  <c:v>89.69</c:v>
                </c:pt>
                <c:pt idx="455">
                  <c:v>87.45</c:v>
                </c:pt>
                <c:pt idx="456">
                  <c:v>87.42</c:v>
                </c:pt>
                <c:pt idx="457">
                  <c:v>87.3</c:v>
                </c:pt>
                <c:pt idx="458">
                  <c:v>86.69</c:v>
                </c:pt>
                <c:pt idx="459">
                  <c:v>85.97</c:v>
                </c:pt>
                <c:pt idx="460">
                  <c:v>85.14</c:v>
                </c:pt>
                <c:pt idx="461">
                  <c:v>85.16</c:v>
                </c:pt>
                <c:pt idx="462">
                  <c:v>85.68</c:v>
                </c:pt>
                <c:pt idx="463">
                  <c:v>85.24</c:v>
                </c:pt>
                <c:pt idx="464">
                  <c:v>85.12</c:v>
                </c:pt>
                <c:pt idx="465">
                  <c:v>83.65</c:v>
                </c:pt>
                <c:pt idx="466">
                  <c:v>82.44</c:v>
                </c:pt>
                <c:pt idx="467">
                  <c:v>82.7</c:v>
                </c:pt>
                <c:pt idx="468">
                  <c:v>81.36</c:v>
                </c:pt>
                <c:pt idx="469">
                  <c:v>80.89</c:v>
                </c:pt>
                <c:pt idx="470">
                  <c:v>80.36</c:v>
                </c:pt>
                <c:pt idx="471">
                  <c:v>79.09</c:v>
                </c:pt>
                <c:pt idx="472">
                  <c:v>78.62</c:v>
                </c:pt>
                <c:pt idx="473">
                  <c:v>80.3</c:v>
                </c:pt>
                <c:pt idx="474">
                  <c:v>79.58</c:v>
                </c:pt>
                <c:pt idx="475">
                  <c:v>79.37</c:v>
                </c:pt>
                <c:pt idx="476">
                  <c:v>79.19</c:v>
                </c:pt>
                <c:pt idx="477">
                  <c:v>79.900000000000006</c:v>
                </c:pt>
                <c:pt idx="478">
                  <c:v>79.010000000000005</c:v>
                </c:pt>
                <c:pt idx="479">
                  <c:v>79.430000000000007</c:v>
                </c:pt>
                <c:pt idx="480">
                  <c:v>79.59</c:v>
                </c:pt>
                <c:pt idx="481">
                  <c:v>78.89</c:v>
                </c:pt>
                <c:pt idx="482">
                  <c:v>77.760000000000005</c:v>
                </c:pt>
                <c:pt idx="483">
                  <c:v>78.31</c:v>
                </c:pt>
                <c:pt idx="484">
                  <c:v>77.92</c:v>
                </c:pt>
                <c:pt idx="485">
                  <c:v>77.510000000000005</c:v>
                </c:pt>
                <c:pt idx="486">
                  <c:v>78.2</c:v>
                </c:pt>
                <c:pt idx="487">
                  <c:v>76.150000000000006</c:v>
                </c:pt>
                <c:pt idx="488">
                  <c:v>77.55</c:v>
                </c:pt>
                <c:pt idx="489">
                  <c:v>77.09</c:v>
                </c:pt>
                <c:pt idx="490">
                  <c:v>75.099999999999994</c:v>
                </c:pt>
                <c:pt idx="491">
                  <c:v>77.319999999999993</c:v>
                </c:pt>
                <c:pt idx="492">
                  <c:v>78.41</c:v>
                </c:pt>
                <c:pt idx="493">
                  <c:v>78.03</c:v>
                </c:pt>
                <c:pt idx="494">
                  <c:v>77.8</c:v>
                </c:pt>
                <c:pt idx="495">
                  <c:v>73.52</c:v>
                </c:pt>
                <c:pt idx="496">
                  <c:v>76.28</c:v>
                </c:pt>
                <c:pt idx="497">
                  <c:v>79.23</c:v>
                </c:pt>
                <c:pt idx="498">
                  <c:v>82.71</c:v>
                </c:pt>
                <c:pt idx="499">
                  <c:v>84.47</c:v>
                </c:pt>
                <c:pt idx="500">
                  <c:v>84.69</c:v>
                </c:pt>
                <c:pt idx="501">
                  <c:v>84.7</c:v>
                </c:pt>
                <c:pt idx="502">
                  <c:v>82.99</c:v>
                </c:pt>
                <c:pt idx="503">
                  <c:v>82.45</c:v>
                </c:pt>
                <c:pt idx="504">
                  <c:v>81.55</c:v>
                </c:pt>
                <c:pt idx="505">
                  <c:v>81.33</c:v>
                </c:pt>
                <c:pt idx="506">
                  <c:v>81.599999999999994</c:v>
                </c:pt>
                <c:pt idx="507">
                  <c:v>80.290000000000006</c:v>
                </c:pt>
                <c:pt idx="508">
                  <c:v>80.3</c:v>
                </c:pt>
                <c:pt idx="509">
                  <c:v>81.84</c:v>
                </c:pt>
                <c:pt idx="510">
                  <c:v>80.680000000000007</c:v>
                </c:pt>
                <c:pt idx="511">
                  <c:v>80.11</c:v>
                </c:pt>
                <c:pt idx="512">
                  <c:v>79.77</c:v>
                </c:pt>
                <c:pt idx="513">
                  <c:v>80.13</c:v>
                </c:pt>
                <c:pt idx="514">
                  <c:v>82.34</c:v>
                </c:pt>
                <c:pt idx="515">
                  <c:v>80.58</c:v>
                </c:pt>
                <c:pt idx="516">
                  <c:v>79.72</c:v>
                </c:pt>
                <c:pt idx="517">
                  <c:v>79.78</c:v>
                </c:pt>
                <c:pt idx="518">
                  <c:v>80.94</c:v>
                </c:pt>
                <c:pt idx="519">
                  <c:v>81.69</c:v>
                </c:pt>
                <c:pt idx="520">
                  <c:v>81.41</c:v>
                </c:pt>
                <c:pt idx="521">
                  <c:v>82.17</c:v>
                </c:pt>
                <c:pt idx="522">
                  <c:v>82.39</c:v>
                </c:pt>
                <c:pt idx="523">
                  <c:v>82.9</c:v>
                </c:pt>
                <c:pt idx="524">
                  <c:v>82.5</c:v>
                </c:pt>
                <c:pt idx="525">
                  <c:v>81.89</c:v>
                </c:pt>
                <c:pt idx="526">
                  <c:v>81.73</c:v>
                </c:pt>
                <c:pt idx="527">
                  <c:v>81.52</c:v>
                </c:pt>
                <c:pt idx="528">
                  <c:v>80.69</c:v>
                </c:pt>
                <c:pt idx="529">
                  <c:v>80.03</c:v>
                </c:pt>
                <c:pt idx="530">
                  <c:v>81.069999999999993</c:v>
                </c:pt>
                <c:pt idx="531">
                  <c:v>80.83</c:v>
                </c:pt>
                <c:pt idx="532">
                  <c:v>80.83</c:v>
                </c:pt>
                <c:pt idx="533">
                  <c:v>80.89</c:v>
                </c:pt>
                <c:pt idx="534">
                  <c:v>80.23</c:v>
                </c:pt>
                <c:pt idx="535">
                  <c:v>80.91</c:v>
                </c:pt>
                <c:pt idx="536">
                  <c:v>83.31</c:v>
                </c:pt>
                <c:pt idx="537">
                  <c:v>83.35</c:v>
                </c:pt>
                <c:pt idx="538">
                  <c:v>83.63</c:v>
                </c:pt>
                <c:pt idx="539">
                  <c:v>84.77</c:v>
                </c:pt>
                <c:pt idx="540">
                  <c:v>85</c:v>
                </c:pt>
                <c:pt idx="541">
                  <c:v>84.41</c:v>
                </c:pt>
                <c:pt idx="542">
                  <c:v>84.58</c:v>
                </c:pt>
                <c:pt idx="543">
                  <c:v>83.28</c:v>
                </c:pt>
                <c:pt idx="544">
                  <c:v>83.28</c:v>
                </c:pt>
                <c:pt idx="545">
                  <c:v>82.92</c:v>
                </c:pt>
                <c:pt idx="546">
                  <c:v>83.85</c:v>
                </c:pt>
                <c:pt idx="547">
                  <c:v>84.62</c:v>
                </c:pt>
                <c:pt idx="548">
                  <c:v>84.18</c:v>
                </c:pt>
                <c:pt idx="549">
                  <c:v>83.16</c:v>
                </c:pt>
                <c:pt idx="550">
                  <c:v>83.5</c:v>
                </c:pt>
                <c:pt idx="551">
                  <c:v>84.26</c:v>
                </c:pt>
                <c:pt idx="552">
                  <c:v>84.08</c:v>
                </c:pt>
                <c:pt idx="553">
                  <c:v>85.46</c:v>
                </c:pt>
                <c:pt idx="554">
                  <c:v>85.45</c:v>
                </c:pt>
                <c:pt idx="555">
                  <c:v>85.3</c:v>
                </c:pt>
                <c:pt idx="556">
                  <c:v>85.51</c:v>
                </c:pt>
                <c:pt idx="557">
                  <c:v>85.97</c:v>
                </c:pt>
                <c:pt idx="558">
                  <c:v>85.91</c:v>
                </c:pt>
                <c:pt idx="559">
                  <c:v>85.42</c:v>
                </c:pt>
                <c:pt idx="560">
                  <c:v>86.82</c:v>
                </c:pt>
                <c:pt idx="561">
                  <c:v>87.27</c:v>
                </c:pt>
                <c:pt idx="562">
                  <c:v>87.43</c:v>
                </c:pt>
                <c:pt idx="563">
                  <c:v>87.9</c:v>
                </c:pt>
                <c:pt idx="564">
                  <c:v>87.48</c:v>
                </c:pt>
                <c:pt idx="565">
                  <c:v>87.77</c:v>
                </c:pt>
                <c:pt idx="566">
                  <c:v>87.99</c:v>
                </c:pt>
                <c:pt idx="567">
                  <c:v>86.31</c:v>
                </c:pt>
                <c:pt idx="568">
                  <c:v>86.76</c:v>
                </c:pt>
                <c:pt idx="569">
                  <c:v>87.21</c:v>
                </c:pt>
                <c:pt idx="570">
                  <c:v>87.35</c:v>
                </c:pt>
                <c:pt idx="571">
                  <c:v>86.3</c:v>
                </c:pt>
                <c:pt idx="572">
                  <c:v>85.41</c:v>
                </c:pt>
                <c:pt idx="573">
                  <c:v>85.61</c:v>
                </c:pt>
                <c:pt idx="574">
                  <c:v>86.5</c:v>
                </c:pt>
                <c:pt idx="575">
                  <c:v>86.03</c:v>
                </c:pt>
                <c:pt idx="576">
                  <c:v>84.54</c:v>
                </c:pt>
                <c:pt idx="577">
                  <c:v>85.39</c:v>
                </c:pt>
                <c:pt idx="578">
                  <c:v>85.61</c:v>
                </c:pt>
                <c:pt idx="579">
                  <c:v>84.7</c:v>
                </c:pt>
                <c:pt idx="580">
                  <c:v>85</c:v>
                </c:pt>
                <c:pt idx="581">
                  <c:v>85.76</c:v>
                </c:pt>
                <c:pt idx="582">
                  <c:v>85.31</c:v>
                </c:pt>
                <c:pt idx="583">
                  <c:v>85.1</c:v>
                </c:pt>
                <c:pt idx="584">
                  <c:v>84.8</c:v>
                </c:pt>
                <c:pt idx="585">
                  <c:v>83.53</c:v>
                </c:pt>
                <c:pt idx="586">
                  <c:v>85.38</c:v>
                </c:pt>
                <c:pt idx="587">
                  <c:v>85.76</c:v>
                </c:pt>
                <c:pt idx="588">
                  <c:v>85.62</c:v>
                </c:pt>
                <c:pt idx="589">
                  <c:v>85.92</c:v>
                </c:pt>
                <c:pt idx="590">
                  <c:v>86.34</c:v>
                </c:pt>
                <c:pt idx="591">
                  <c:v>86.6</c:v>
                </c:pt>
                <c:pt idx="592">
                  <c:v>86.57</c:v>
                </c:pt>
                <c:pt idx="593">
                  <c:v>85.86</c:v>
                </c:pt>
                <c:pt idx="594">
                  <c:v>86.25</c:v>
                </c:pt>
                <c:pt idx="595">
                  <c:v>85.92</c:v>
                </c:pt>
                <c:pt idx="596">
                  <c:v>85.26</c:v>
                </c:pt>
                <c:pt idx="597">
                  <c:v>85.64</c:v>
                </c:pt>
                <c:pt idx="598">
                  <c:v>85.89</c:v>
                </c:pt>
                <c:pt idx="599">
                  <c:v>84.63</c:v>
                </c:pt>
                <c:pt idx="600">
                  <c:v>84.41</c:v>
                </c:pt>
                <c:pt idx="601">
                  <c:v>84.74</c:v>
                </c:pt>
                <c:pt idx="602">
                  <c:v>86.96</c:v>
                </c:pt>
                <c:pt idx="603">
                  <c:v>87.3</c:v>
                </c:pt>
                <c:pt idx="604">
                  <c:v>87.77</c:v>
                </c:pt>
                <c:pt idx="605">
                  <c:v>87.37</c:v>
                </c:pt>
                <c:pt idx="606">
                  <c:v>87.35</c:v>
                </c:pt>
                <c:pt idx="607">
                  <c:v>86.64</c:v>
                </c:pt>
                <c:pt idx="608">
                  <c:v>87.35</c:v>
                </c:pt>
                <c:pt idx="609">
                  <c:v>85.88</c:v>
                </c:pt>
                <c:pt idx="610">
                  <c:v>86.39</c:v>
                </c:pt>
                <c:pt idx="611">
                  <c:v>84.98</c:v>
                </c:pt>
                <c:pt idx="612">
                  <c:v>85.15</c:v>
                </c:pt>
                <c:pt idx="613">
                  <c:v>86.84</c:v>
                </c:pt>
                <c:pt idx="614">
                  <c:v>86</c:v>
                </c:pt>
                <c:pt idx="615">
                  <c:v>86.75</c:v>
                </c:pt>
                <c:pt idx="616">
                  <c:v>86.58</c:v>
                </c:pt>
                <c:pt idx="617">
                  <c:v>88.7</c:v>
                </c:pt>
                <c:pt idx="618">
                  <c:v>90.18</c:v>
                </c:pt>
                <c:pt idx="619">
                  <c:v>88.84</c:v>
                </c:pt>
                <c:pt idx="620">
                  <c:v>88.84</c:v>
                </c:pt>
                <c:pt idx="621">
                  <c:v>89.07</c:v>
                </c:pt>
                <c:pt idx="622">
                  <c:v>89.26</c:v>
                </c:pt>
                <c:pt idx="623">
                  <c:v>89.17</c:v>
                </c:pt>
                <c:pt idx="624">
                  <c:v>88.68</c:v>
                </c:pt>
                <c:pt idx="625">
                  <c:v>87.73</c:v>
                </c:pt>
                <c:pt idx="626">
                  <c:v>87.59</c:v>
                </c:pt>
                <c:pt idx="627">
                  <c:v>87.11</c:v>
                </c:pt>
                <c:pt idx="628">
                  <c:v>88.75</c:v>
                </c:pt>
                <c:pt idx="629">
                  <c:v>87.74</c:v>
                </c:pt>
                <c:pt idx="630">
                  <c:v>86.82</c:v>
                </c:pt>
                <c:pt idx="631">
                  <c:v>86.52</c:v>
                </c:pt>
                <c:pt idx="632">
                  <c:v>86.01</c:v>
                </c:pt>
                <c:pt idx="633">
                  <c:v>86.44</c:v>
                </c:pt>
                <c:pt idx="634">
                  <c:v>87.17</c:v>
                </c:pt>
                <c:pt idx="635">
                  <c:v>86.58</c:v>
                </c:pt>
                <c:pt idx="636">
                  <c:v>85.14</c:v>
                </c:pt>
                <c:pt idx="637">
                  <c:v>83.44</c:v>
                </c:pt>
                <c:pt idx="638">
                  <c:v>82.53</c:v>
                </c:pt>
                <c:pt idx="639">
                  <c:v>84.35</c:v>
                </c:pt>
                <c:pt idx="640">
                  <c:v>84.53</c:v>
                </c:pt>
                <c:pt idx="641">
                  <c:v>85.63</c:v>
                </c:pt>
                <c:pt idx="642">
                  <c:v>86.57</c:v>
                </c:pt>
                <c:pt idx="643">
                  <c:v>86.85</c:v>
                </c:pt>
                <c:pt idx="644">
                  <c:v>86.61</c:v>
                </c:pt>
                <c:pt idx="645">
                  <c:v>84.56</c:v>
                </c:pt>
                <c:pt idx="646">
                  <c:v>84.97</c:v>
                </c:pt>
                <c:pt idx="647">
                  <c:v>84.57</c:v>
                </c:pt>
                <c:pt idx="648">
                  <c:v>83.7</c:v>
                </c:pt>
                <c:pt idx="649">
                  <c:v>83.74</c:v>
                </c:pt>
                <c:pt idx="650">
                  <c:v>83.98</c:v>
                </c:pt>
                <c:pt idx="651">
                  <c:v>84.14</c:v>
                </c:pt>
                <c:pt idx="652">
                  <c:v>84.56</c:v>
                </c:pt>
                <c:pt idx="653">
                  <c:v>85.17</c:v>
                </c:pt>
                <c:pt idx="654">
                  <c:v>83.26</c:v>
                </c:pt>
                <c:pt idx="655">
                  <c:v>82.54</c:v>
                </c:pt>
                <c:pt idx="656">
                  <c:v>83.23</c:v>
                </c:pt>
                <c:pt idx="657">
                  <c:v>83.29</c:v>
                </c:pt>
                <c:pt idx="658">
                  <c:v>83.37</c:v>
                </c:pt>
                <c:pt idx="659">
                  <c:v>84.11</c:v>
                </c:pt>
                <c:pt idx="660">
                  <c:v>84.87</c:v>
                </c:pt>
                <c:pt idx="661">
                  <c:v>85.2</c:v>
                </c:pt>
                <c:pt idx="662">
                  <c:v>85.24</c:v>
                </c:pt>
                <c:pt idx="663">
                  <c:v>85.17</c:v>
                </c:pt>
                <c:pt idx="664">
                  <c:v>85.7</c:v>
                </c:pt>
                <c:pt idx="665">
                  <c:v>84.71</c:v>
                </c:pt>
                <c:pt idx="666">
                  <c:v>85.68</c:v>
                </c:pt>
                <c:pt idx="667">
                  <c:v>84.68</c:v>
                </c:pt>
                <c:pt idx="668">
                  <c:v>82.91</c:v>
                </c:pt>
                <c:pt idx="669">
                  <c:v>82.78</c:v>
                </c:pt>
                <c:pt idx="670">
                  <c:v>82.5</c:v>
                </c:pt>
                <c:pt idx="671">
                  <c:v>84.6</c:v>
                </c:pt>
                <c:pt idx="672">
                  <c:v>84.13</c:v>
                </c:pt>
                <c:pt idx="673">
                  <c:v>85.26</c:v>
                </c:pt>
                <c:pt idx="674">
                  <c:v>85.59</c:v>
                </c:pt>
                <c:pt idx="675">
                  <c:v>85.82</c:v>
                </c:pt>
                <c:pt idx="676">
                  <c:v>86.06</c:v>
                </c:pt>
                <c:pt idx="677">
                  <c:v>85.94</c:v>
                </c:pt>
                <c:pt idx="678">
                  <c:v>85.8</c:v>
                </c:pt>
                <c:pt idx="679">
                  <c:v>86.07</c:v>
                </c:pt>
                <c:pt idx="680">
                  <c:v>85.64</c:v>
                </c:pt>
                <c:pt idx="681">
                  <c:v>84.86</c:v>
                </c:pt>
                <c:pt idx="682">
                  <c:v>84.52</c:v>
                </c:pt>
                <c:pt idx="683">
                  <c:v>84.78</c:v>
                </c:pt>
                <c:pt idx="684">
                  <c:v>84.14</c:v>
                </c:pt>
                <c:pt idx="685">
                  <c:v>84.12</c:v>
                </c:pt>
                <c:pt idx="686">
                  <c:v>84.27</c:v>
                </c:pt>
                <c:pt idx="687">
                  <c:v>84.75</c:v>
                </c:pt>
                <c:pt idx="688">
                  <c:v>84.84</c:v>
                </c:pt>
                <c:pt idx="689">
                  <c:v>84.75</c:v>
                </c:pt>
                <c:pt idx="690">
                  <c:v>85.41</c:v>
                </c:pt>
                <c:pt idx="691">
                  <c:v>85.2</c:v>
                </c:pt>
                <c:pt idx="692">
                  <c:v>84.95</c:v>
                </c:pt>
                <c:pt idx="693">
                  <c:v>85.12</c:v>
                </c:pt>
                <c:pt idx="694">
                  <c:v>84.38</c:v>
                </c:pt>
                <c:pt idx="695">
                  <c:v>84.74</c:v>
                </c:pt>
                <c:pt idx="696">
                  <c:v>84.3</c:v>
                </c:pt>
                <c:pt idx="697">
                  <c:v>83.15</c:v>
                </c:pt>
                <c:pt idx="698">
                  <c:v>81.739999999999995</c:v>
                </c:pt>
                <c:pt idx="699">
                  <c:v>81.78</c:v>
                </c:pt>
                <c:pt idx="700">
                  <c:v>78.95</c:v>
                </c:pt>
                <c:pt idx="701">
                  <c:v>77.92</c:v>
                </c:pt>
                <c:pt idx="702">
                  <c:v>77.260000000000005</c:v>
                </c:pt>
                <c:pt idx="703">
                  <c:v>76.47</c:v>
                </c:pt>
                <c:pt idx="704">
                  <c:v>76.2</c:v>
                </c:pt>
                <c:pt idx="705">
                  <c:v>75.44</c:v>
                </c:pt>
                <c:pt idx="706">
                  <c:v>74.61</c:v>
                </c:pt>
                <c:pt idx="707">
                  <c:v>74.8</c:v>
                </c:pt>
                <c:pt idx="708">
                  <c:v>73.349999999999994</c:v>
                </c:pt>
                <c:pt idx="709">
                  <c:v>72.680000000000007</c:v>
                </c:pt>
                <c:pt idx="710">
                  <c:v>71.63</c:v>
                </c:pt>
                <c:pt idx="711">
                  <c:v>71.78</c:v>
                </c:pt>
                <c:pt idx="712">
                  <c:v>72.64</c:v>
                </c:pt>
                <c:pt idx="713">
                  <c:v>71.95</c:v>
                </c:pt>
                <c:pt idx="714">
                  <c:v>72.66</c:v>
                </c:pt>
                <c:pt idx="715">
                  <c:v>73.19</c:v>
                </c:pt>
                <c:pt idx="716">
                  <c:v>74.78</c:v>
                </c:pt>
                <c:pt idx="717">
                  <c:v>73.52</c:v>
                </c:pt>
                <c:pt idx="718">
                  <c:v>74.52</c:v>
                </c:pt>
                <c:pt idx="719">
                  <c:v>74.849999999999994</c:v>
                </c:pt>
                <c:pt idx="720">
                  <c:v>72.5</c:v>
                </c:pt>
                <c:pt idx="721">
                  <c:v>71.42</c:v>
                </c:pt>
                <c:pt idx="722">
                  <c:v>83.08</c:v>
                </c:pt>
                <c:pt idx="723">
                  <c:v>82.81</c:v>
                </c:pt>
                <c:pt idx="724">
                  <c:v>82.59</c:v>
                </c:pt>
                <c:pt idx="725">
                  <c:v>82.36</c:v>
                </c:pt>
                <c:pt idx="726">
                  <c:v>83.93</c:v>
                </c:pt>
                <c:pt idx="727">
                  <c:v>82.61</c:v>
                </c:pt>
                <c:pt idx="728">
                  <c:v>83.09</c:v>
                </c:pt>
                <c:pt idx="729">
                  <c:v>83.88</c:v>
                </c:pt>
                <c:pt idx="730">
                  <c:v>84.19</c:v>
                </c:pt>
                <c:pt idx="731">
                  <c:v>83.35</c:v>
                </c:pt>
                <c:pt idx="732">
                  <c:v>83.41</c:v>
                </c:pt>
                <c:pt idx="733">
                  <c:v>83.46</c:v>
                </c:pt>
                <c:pt idx="734">
                  <c:v>83.02</c:v>
                </c:pt>
                <c:pt idx="735">
                  <c:v>83.2</c:v>
                </c:pt>
                <c:pt idx="736">
                  <c:v>83.61</c:v>
                </c:pt>
                <c:pt idx="737">
                  <c:v>83.61</c:v>
                </c:pt>
                <c:pt idx="738">
                  <c:v>84.09</c:v>
                </c:pt>
                <c:pt idx="739">
                  <c:v>84.34</c:v>
                </c:pt>
                <c:pt idx="740">
                  <c:v>83.81</c:v>
                </c:pt>
                <c:pt idx="741">
                  <c:v>83.78</c:v>
                </c:pt>
                <c:pt idx="742">
                  <c:v>83.69</c:v>
                </c:pt>
                <c:pt idx="743">
                  <c:v>83.48</c:v>
                </c:pt>
                <c:pt idx="744">
                  <c:v>83.5</c:v>
                </c:pt>
                <c:pt idx="745">
                  <c:v>83.67</c:v>
                </c:pt>
                <c:pt idx="746">
                  <c:v>83.82</c:v>
                </c:pt>
                <c:pt idx="747">
                  <c:v>83.62</c:v>
                </c:pt>
                <c:pt idx="748">
                  <c:v>83.49</c:v>
                </c:pt>
                <c:pt idx="749">
                  <c:v>83.89</c:v>
                </c:pt>
                <c:pt idx="750">
                  <c:v>83.57</c:v>
                </c:pt>
                <c:pt idx="751">
                  <c:v>83.43</c:v>
                </c:pt>
                <c:pt idx="752">
                  <c:v>83.25</c:v>
                </c:pt>
                <c:pt idx="753">
                  <c:v>82.27</c:v>
                </c:pt>
                <c:pt idx="754">
                  <c:v>82.39</c:v>
                </c:pt>
                <c:pt idx="755">
                  <c:v>82</c:v>
                </c:pt>
                <c:pt idx="756">
                  <c:v>81.27</c:v>
                </c:pt>
                <c:pt idx="757">
                  <c:v>81.34</c:v>
                </c:pt>
                <c:pt idx="758">
                  <c:v>81.12</c:v>
                </c:pt>
                <c:pt idx="759">
                  <c:v>80.069999999999993</c:v>
                </c:pt>
                <c:pt idx="760">
                  <c:v>80.36</c:v>
                </c:pt>
                <c:pt idx="761">
                  <c:v>80.48</c:v>
                </c:pt>
                <c:pt idx="762">
                  <c:v>81.209999999999994</c:v>
                </c:pt>
                <c:pt idx="763">
                  <c:v>81.540000000000006</c:v>
                </c:pt>
                <c:pt idx="764">
                  <c:v>81.31</c:v>
                </c:pt>
                <c:pt idx="765">
                  <c:v>82.15</c:v>
                </c:pt>
                <c:pt idx="766">
                  <c:v>81.87</c:v>
                </c:pt>
                <c:pt idx="767">
                  <c:v>82.49</c:v>
                </c:pt>
                <c:pt idx="768">
                  <c:v>82.61</c:v>
                </c:pt>
                <c:pt idx="769">
                  <c:v>82.43</c:v>
                </c:pt>
                <c:pt idx="770">
                  <c:v>81.83</c:v>
                </c:pt>
                <c:pt idx="771">
                  <c:v>81.680000000000007</c:v>
                </c:pt>
                <c:pt idx="772">
                  <c:v>80.98</c:v>
                </c:pt>
                <c:pt idx="773">
                  <c:v>81.03</c:v>
                </c:pt>
                <c:pt idx="774">
                  <c:v>79.959999999999994</c:v>
                </c:pt>
                <c:pt idx="775">
                  <c:v>80.5</c:v>
                </c:pt>
                <c:pt idx="776">
                  <c:v>80.34</c:v>
                </c:pt>
                <c:pt idx="777">
                  <c:v>80.34</c:v>
                </c:pt>
                <c:pt idx="778">
                  <c:v>80.13</c:v>
                </c:pt>
                <c:pt idx="779">
                  <c:v>80.14</c:v>
                </c:pt>
                <c:pt idx="780">
                  <c:v>80.47</c:v>
                </c:pt>
                <c:pt idx="781">
                  <c:v>80.47</c:v>
                </c:pt>
                <c:pt idx="782">
                  <c:v>80.44</c:v>
                </c:pt>
                <c:pt idx="783">
                  <c:v>80.59</c:v>
                </c:pt>
                <c:pt idx="784">
                  <c:v>80.22</c:v>
                </c:pt>
                <c:pt idx="785">
                  <c:v>80.37</c:v>
                </c:pt>
                <c:pt idx="786">
                  <c:v>79.28</c:v>
                </c:pt>
                <c:pt idx="787">
                  <c:v>79.48</c:v>
                </c:pt>
                <c:pt idx="788">
                  <c:v>79.11</c:v>
                </c:pt>
                <c:pt idx="789">
                  <c:v>79.25</c:v>
                </c:pt>
                <c:pt idx="790">
                  <c:v>79.06</c:v>
                </c:pt>
                <c:pt idx="791">
                  <c:v>79.22</c:v>
                </c:pt>
                <c:pt idx="792">
                  <c:v>79.45</c:v>
                </c:pt>
                <c:pt idx="793">
                  <c:v>78.459999999999994</c:v>
                </c:pt>
                <c:pt idx="794">
                  <c:v>78.61</c:v>
                </c:pt>
                <c:pt idx="795">
                  <c:v>78.22</c:v>
                </c:pt>
                <c:pt idx="796">
                  <c:v>78.650000000000006</c:v>
                </c:pt>
                <c:pt idx="797">
                  <c:v>78.81</c:v>
                </c:pt>
                <c:pt idx="798">
                  <c:v>78.25</c:v>
                </c:pt>
                <c:pt idx="799">
                  <c:v>78.540000000000006</c:v>
                </c:pt>
                <c:pt idx="800">
                  <c:v>79.400000000000006</c:v>
                </c:pt>
                <c:pt idx="801">
                  <c:v>80</c:v>
                </c:pt>
                <c:pt idx="802">
                  <c:v>79.61</c:v>
                </c:pt>
                <c:pt idx="803">
                  <c:v>78.7</c:v>
                </c:pt>
                <c:pt idx="804">
                  <c:v>78.83</c:v>
                </c:pt>
                <c:pt idx="805">
                  <c:v>78.709999999999994</c:v>
                </c:pt>
                <c:pt idx="806">
                  <c:v>79.38</c:v>
                </c:pt>
                <c:pt idx="807">
                  <c:v>79.680000000000007</c:v>
                </c:pt>
                <c:pt idx="808">
                  <c:v>79.56</c:v>
                </c:pt>
                <c:pt idx="809">
                  <c:v>78.87</c:v>
                </c:pt>
                <c:pt idx="810">
                  <c:v>79.3</c:v>
                </c:pt>
                <c:pt idx="811">
                  <c:v>78.849999999999994</c:v>
                </c:pt>
                <c:pt idx="812">
                  <c:v>78.08</c:v>
                </c:pt>
                <c:pt idx="813">
                  <c:v>77.72</c:v>
                </c:pt>
                <c:pt idx="814">
                  <c:v>77.56</c:v>
                </c:pt>
                <c:pt idx="815">
                  <c:v>78.05</c:v>
                </c:pt>
                <c:pt idx="816">
                  <c:v>77.81</c:v>
                </c:pt>
                <c:pt idx="817">
                  <c:v>76.75</c:v>
                </c:pt>
                <c:pt idx="818">
                  <c:v>78.09</c:v>
                </c:pt>
                <c:pt idx="819">
                  <c:v>78.92</c:v>
                </c:pt>
                <c:pt idx="820">
                  <c:v>78.89</c:v>
                </c:pt>
                <c:pt idx="821">
                  <c:v>78.069999999999993</c:v>
                </c:pt>
                <c:pt idx="822">
                  <c:v>77.849999999999994</c:v>
                </c:pt>
                <c:pt idx="823">
                  <c:v>77.459999999999994</c:v>
                </c:pt>
                <c:pt idx="824">
                  <c:v>77.06</c:v>
                </c:pt>
                <c:pt idx="825">
                  <c:v>77.87</c:v>
                </c:pt>
                <c:pt idx="826">
                  <c:v>77.540000000000006</c:v>
                </c:pt>
                <c:pt idx="827">
                  <c:v>77.62</c:v>
                </c:pt>
                <c:pt idx="828">
                  <c:v>77.959999999999994</c:v>
                </c:pt>
                <c:pt idx="829">
                  <c:v>76.989999999999995</c:v>
                </c:pt>
                <c:pt idx="830">
                  <c:v>75.680000000000007</c:v>
                </c:pt>
                <c:pt idx="831">
                  <c:v>75.66</c:v>
                </c:pt>
                <c:pt idx="832">
                  <c:v>76.62</c:v>
                </c:pt>
                <c:pt idx="833">
                  <c:v>76.290000000000006</c:v>
                </c:pt>
                <c:pt idx="834">
                  <c:v>76.33</c:v>
                </c:pt>
                <c:pt idx="835">
                  <c:v>76.06</c:v>
                </c:pt>
                <c:pt idx="836">
                  <c:v>76.31</c:v>
                </c:pt>
                <c:pt idx="837">
                  <c:v>75.430000000000007</c:v>
                </c:pt>
                <c:pt idx="838">
                  <c:v>75.08</c:v>
                </c:pt>
                <c:pt idx="839">
                  <c:v>74.239999999999995</c:v>
                </c:pt>
                <c:pt idx="840">
                  <c:v>73.73</c:v>
                </c:pt>
                <c:pt idx="841">
                  <c:v>75.22</c:v>
                </c:pt>
                <c:pt idx="842">
                  <c:v>75.88</c:v>
                </c:pt>
                <c:pt idx="843">
                  <c:v>75.56</c:v>
                </c:pt>
                <c:pt idx="844">
                  <c:v>75.27</c:v>
                </c:pt>
                <c:pt idx="845">
                  <c:v>75.819999999999993</c:v>
                </c:pt>
                <c:pt idx="846">
                  <c:v>77.37</c:v>
                </c:pt>
                <c:pt idx="847">
                  <c:v>77.67</c:v>
                </c:pt>
                <c:pt idx="848">
                  <c:v>77.5</c:v>
                </c:pt>
                <c:pt idx="849">
                  <c:v>77.260000000000005</c:v>
                </c:pt>
                <c:pt idx="850">
                  <c:v>76.95</c:v>
                </c:pt>
                <c:pt idx="851">
                  <c:v>76.67</c:v>
                </c:pt>
                <c:pt idx="852">
                  <c:v>76.2</c:v>
                </c:pt>
                <c:pt idx="853">
                  <c:v>76.680000000000007</c:v>
                </c:pt>
                <c:pt idx="854">
                  <c:v>76.45</c:v>
                </c:pt>
                <c:pt idx="855">
                  <c:v>77.75</c:v>
                </c:pt>
                <c:pt idx="856">
                  <c:v>78.34</c:v>
                </c:pt>
                <c:pt idx="857">
                  <c:v>78.290000000000006</c:v>
                </c:pt>
                <c:pt idx="858">
                  <c:v>78.989999999999995</c:v>
                </c:pt>
                <c:pt idx="859">
                  <c:v>78.489999999999995</c:v>
                </c:pt>
                <c:pt idx="860">
                  <c:v>77.55</c:v>
                </c:pt>
                <c:pt idx="861">
                  <c:v>76.989999999999995</c:v>
                </c:pt>
                <c:pt idx="862">
                  <c:v>77.69</c:v>
                </c:pt>
                <c:pt idx="863">
                  <c:v>77.900000000000006</c:v>
                </c:pt>
                <c:pt idx="864">
                  <c:v>78.209999999999994</c:v>
                </c:pt>
                <c:pt idx="865">
                  <c:v>78.56</c:v>
                </c:pt>
                <c:pt idx="866">
                  <c:v>78.03</c:v>
                </c:pt>
                <c:pt idx="867">
                  <c:v>77.72</c:v>
                </c:pt>
                <c:pt idx="868">
                  <c:v>78.45</c:v>
                </c:pt>
                <c:pt idx="869">
                  <c:v>76.67</c:v>
                </c:pt>
                <c:pt idx="870">
                  <c:v>77.78</c:v>
                </c:pt>
                <c:pt idx="871">
                  <c:v>77.72</c:v>
                </c:pt>
                <c:pt idx="872">
                  <c:v>77.42</c:v>
                </c:pt>
                <c:pt idx="873">
                  <c:v>77.010000000000005</c:v>
                </c:pt>
                <c:pt idx="874">
                  <c:v>76.8</c:v>
                </c:pt>
                <c:pt idx="875">
                  <c:v>76.2</c:v>
                </c:pt>
                <c:pt idx="876">
                  <c:v>76.510000000000005</c:v>
                </c:pt>
                <c:pt idx="877">
                  <c:v>76.150000000000006</c:v>
                </c:pt>
                <c:pt idx="878">
                  <c:v>76.489999999999995</c:v>
                </c:pt>
                <c:pt idx="879">
                  <c:v>76.27</c:v>
                </c:pt>
                <c:pt idx="880">
                  <c:v>76.209999999999994</c:v>
                </c:pt>
                <c:pt idx="881">
                  <c:v>75.58</c:v>
                </c:pt>
                <c:pt idx="882">
                  <c:v>74.66</c:v>
                </c:pt>
                <c:pt idx="883">
                  <c:v>74.45</c:v>
                </c:pt>
                <c:pt idx="884">
                  <c:v>74.89</c:v>
                </c:pt>
                <c:pt idx="885">
                  <c:v>74.2</c:v>
                </c:pt>
                <c:pt idx="886">
                  <c:v>73.53</c:v>
                </c:pt>
                <c:pt idx="887">
                  <c:v>74.95</c:v>
                </c:pt>
                <c:pt idx="888">
                  <c:v>74.08</c:v>
                </c:pt>
                <c:pt idx="889">
                  <c:v>76.599999999999994</c:v>
                </c:pt>
                <c:pt idx="890">
                  <c:v>77.3</c:v>
                </c:pt>
                <c:pt idx="891">
                  <c:v>76.53</c:v>
                </c:pt>
                <c:pt idx="892">
                  <c:v>77.03</c:v>
                </c:pt>
                <c:pt idx="893">
                  <c:v>76.5</c:v>
                </c:pt>
                <c:pt idx="894">
                  <c:v>76.97</c:v>
                </c:pt>
                <c:pt idx="895">
                  <c:v>79.31</c:v>
                </c:pt>
                <c:pt idx="896">
                  <c:v>80.38</c:v>
                </c:pt>
                <c:pt idx="897">
                  <c:v>80.319999999999993</c:v>
                </c:pt>
                <c:pt idx="898">
                  <c:v>79.97</c:v>
                </c:pt>
                <c:pt idx="899">
                  <c:v>79.81</c:v>
                </c:pt>
                <c:pt idx="900">
                  <c:v>80.09</c:v>
                </c:pt>
                <c:pt idx="901">
                  <c:v>79.95</c:v>
                </c:pt>
                <c:pt idx="902">
                  <c:v>79.05</c:v>
                </c:pt>
                <c:pt idx="903">
                  <c:v>80.349999999999994</c:v>
                </c:pt>
                <c:pt idx="904">
                  <c:v>80.63</c:v>
                </c:pt>
                <c:pt idx="905">
                  <c:v>80.349999999999994</c:v>
                </c:pt>
                <c:pt idx="906">
                  <c:v>80.78</c:v>
                </c:pt>
                <c:pt idx="907">
                  <c:v>79.81</c:v>
                </c:pt>
                <c:pt idx="908">
                  <c:v>80.73</c:v>
                </c:pt>
                <c:pt idx="909">
                  <c:v>79.86</c:v>
                </c:pt>
                <c:pt idx="910">
                  <c:v>80.8</c:v>
                </c:pt>
                <c:pt idx="911">
                  <c:v>81.08</c:v>
                </c:pt>
                <c:pt idx="912">
                  <c:v>80.72</c:v>
                </c:pt>
                <c:pt idx="913">
                  <c:v>80.75</c:v>
                </c:pt>
                <c:pt idx="914">
                  <c:v>80.22</c:v>
                </c:pt>
                <c:pt idx="915">
                  <c:v>79.94</c:v>
                </c:pt>
                <c:pt idx="916">
                  <c:v>79.97</c:v>
                </c:pt>
                <c:pt idx="917">
                  <c:v>79.42</c:v>
                </c:pt>
                <c:pt idx="918">
                  <c:v>79.09</c:v>
                </c:pt>
                <c:pt idx="919">
                  <c:v>77.25</c:v>
                </c:pt>
                <c:pt idx="920">
                  <c:v>77.52</c:v>
                </c:pt>
                <c:pt idx="921">
                  <c:v>77.02</c:v>
                </c:pt>
                <c:pt idx="922">
                  <c:v>77.150000000000006</c:v>
                </c:pt>
                <c:pt idx="923">
                  <c:v>77.430000000000007</c:v>
                </c:pt>
                <c:pt idx="924">
                  <c:v>78.510000000000005</c:v>
                </c:pt>
                <c:pt idx="925">
                  <c:v>79.010000000000005</c:v>
                </c:pt>
                <c:pt idx="926">
                  <c:v>79.66</c:v>
                </c:pt>
                <c:pt idx="927">
                  <c:v>78.53</c:v>
                </c:pt>
                <c:pt idx="928">
                  <c:v>79.33</c:v>
                </c:pt>
                <c:pt idx="929">
                  <c:v>80.34</c:v>
                </c:pt>
                <c:pt idx="930">
                  <c:v>79.569999999999993</c:v>
                </c:pt>
                <c:pt idx="931">
                  <c:v>80.02</c:v>
                </c:pt>
                <c:pt idx="932">
                  <c:v>80.33</c:v>
                </c:pt>
                <c:pt idx="933">
                  <c:v>80.31</c:v>
                </c:pt>
                <c:pt idx="934">
                  <c:v>80.12</c:v>
                </c:pt>
                <c:pt idx="935">
                  <c:v>80.010000000000005</c:v>
                </c:pt>
                <c:pt idx="936">
                  <c:v>79.78</c:v>
                </c:pt>
                <c:pt idx="937">
                  <c:v>79.05</c:v>
                </c:pt>
                <c:pt idx="938">
                  <c:v>79.709999999999994</c:v>
                </c:pt>
                <c:pt idx="939">
                  <c:v>77.36</c:v>
                </c:pt>
                <c:pt idx="940">
                  <c:v>77.33</c:v>
                </c:pt>
                <c:pt idx="941">
                  <c:v>76.97</c:v>
                </c:pt>
                <c:pt idx="942">
                  <c:v>76.45</c:v>
                </c:pt>
                <c:pt idx="943">
                  <c:v>75.72</c:v>
                </c:pt>
                <c:pt idx="944">
                  <c:v>75.760000000000005</c:v>
                </c:pt>
                <c:pt idx="945">
                  <c:v>76.010000000000005</c:v>
                </c:pt>
                <c:pt idx="946">
                  <c:v>75.33</c:v>
                </c:pt>
                <c:pt idx="947">
                  <c:v>75.83</c:v>
                </c:pt>
                <c:pt idx="948">
                  <c:v>75.510000000000005</c:v>
                </c:pt>
                <c:pt idx="949">
                  <c:v>75.510000000000005</c:v>
                </c:pt>
                <c:pt idx="950">
                  <c:v>75.31</c:v>
                </c:pt>
                <c:pt idx="951">
                  <c:v>75.02</c:v>
                </c:pt>
                <c:pt idx="952">
                  <c:v>74.3</c:v>
                </c:pt>
                <c:pt idx="953">
                  <c:v>76.349999999999994</c:v>
                </c:pt>
                <c:pt idx="954">
                  <c:v>75.67</c:v>
                </c:pt>
                <c:pt idx="955">
                  <c:v>75.510000000000005</c:v>
                </c:pt>
                <c:pt idx="956">
                  <c:v>75.41</c:v>
                </c:pt>
                <c:pt idx="957">
                  <c:v>75.11</c:v>
                </c:pt>
                <c:pt idx="958">
                  <c:v>75.45</c:v>
                </c:pt>
                <c:pt idx="959">
                  <c:v>74.7</c:v>
                </c:pt>
                <c:pt idx="960">
                  <c:v>74.19</c:v>
                </c:pt>
                <c:pt idx="961">
                  <c:v>74.08</c:v>
                </c:pt>
                <c:pt idx="962">
                  <c:v>73.72</c:v>
                </c:pt>
                <c:pt idx="963">
                  <c:v>72.319999999999993</c:v>
                </c:pt>
                <c:pt idx="964">
                  <c:v>72.86</c:v>
                </c:pt>
                <c:pt idx="965">
                  <c:v>72.510000000000005</c:v>
                </c:pt>
                <c:pt idx="966">
                  <c:v>71.81</c:v>
                </c:pt>
                <c:pt idx="967">
                  <c:v>70.28</c:v>
                </c:pt>
                <c:pt idx="968">
                  <c:v>70.239999999999995</c:v>
                </c:pt>
                <c:pt idx="969">
                  <c:v>71.02</c:v>
                </c:pt>
                <c:pt idx="970">
                  <c:v>71.52</c:v>
                </c:pt>
                <c:pt idx="971">
                  <c:v>71.099999999999994</c:v>
                </c:pt>
                <c:pt idx="972">
                  <c:v>72.02</c:v>
                </c:pt>
                <c:pt idx="973">
                  <c:v>72.16</c:v>
                </c:pt>
                <c:pt idx="974">
                  <c:v>72.38</c:v>
                </c:pt>
                <c:pt idx="975">
                  <c:v>72.56</c:v>
                </c:pt>
                <c:pt idx="976">
                  <c:v>72.92</c:v>
                </c:pt>
                <c:pt idx="977">
                  <c:v>72.52</c:v>
                </c:pt>
                <c:pt idx="978">
                  <c:v>72.95</c:v>
                </c:pt>
                <c:pt idx="979">
                  <c:v>73.13</c:v>
                </c:pt>
                <c:pt idx="980">
                  <c:v>74.430000000000007</c:v>
                </c:pt>
                <c:pt idx="981">
                  <c:v>74.680000000000007</c:v>
                </c:pt>
                <c:pt idx="982">
                  <c:v>74.739999999999995</c:v>
                </c:pt>
                <c:pt idx="983">
                  <c:v>74.16</c:v>
                </c:pt>
                <c:pt idx="984">
                  <c:v>74.099999999999994</c:v>
                </c:pt>
                <c:pt idx="985">
                  <c:v>74.09</c:v>
                </c:pt>
                <c:pt idx="986">
                  <c:v>74.180000000000007</c:v>
                </c:pt>
                <c:pt idx="987">
                  <c:v>74.010000000000005</c:v>
                </c:pt>
                <c:pt idx="988">
                  <c:v>73.739999999999995</c:v>
                </c:pt>
                <c:pt idx="989">
                  <c:v>73.790000000000006</c:v>
                </c:pt>
                <c:pt idx="990">
                  <c:v>73.13</c:v>
                </c:pt>
                <c:pt idx="991">
                  <c:v>72.34</c:v>
                </c:pt>
                <c:pt idx="992">
                  <c:v>72.05</c:v>
                </c:pt>
                <c:pt idx="993">
                  <c:v>71.41</c:v>
                </c:pt>
                <c:pt idx="994">
                  <c:v>71.16</c:v>
                </c:pt>
                <c:pt idx="995">
                  <c:v>71.3</c:v>
                </c:pt>
                <c:pt idx="996">
                  <c:v>70.94</c:v>
                </c:pt>
                <c:pt idx="997">
                  <c:v>70.94</c:v>
                </c:pt>
                <c:pt idx="998">
                  <c:v>72.03</c:v>
                </c:pt>
                <c:pt idx="999">
                  <c:v>72.28</c:v>
                </c:pt>
                <c:pt idx="1000">
                  <c:v>72.44</c:v>
                </c:pt>
                <c:pt idx="1001">
                  <c:v>71.83</c:v>
                </c:pt>
                <c:pt idx="1002">
                  <c:v>72.34</c:v>
                </c:pt>
                <c:pt idx="1003">
                  <c:v>71.900000000000006</c:v>
                </c:pt>
                <c:pt idx="1004">
                  <c:v>71.89</c:v>
                </c:pt>
              </c:numCache>
            </c:numRef>
          </c:val>
          <c:smooth val="0"/>
          <c:extLst>
            <c:ext xmlns:c16="http://schemas.microsoft.com/office/drawing/2014/chart" uri="{C3380CC4-5D6E-409C-BE32-E72D297353CC}">
              <c16:uniqueId val="{00000002-CA3D-4FBE-AE8D-DFED4CA80E2E}"/>
            </c:ext>
          </c:extLst>
        </c:ser>
        <c:dLbls>
          <c:showLegendKey val="0"/>
          <c:showVal val="0"/>
          <c:showCatName val="0"/>
          <c:showSerName val="0"/>
          <c:showPercent val="0"/>
          <c:showBubbleSize val="0"/>
        </c:dLbls>
        <c:smooth val="0"/>
        <c:axId val="-2097272936"/>
        <c:axId val="-2097270104"/>
      </c:lineChart>
      <c:dateAx>
        <c:axId val="-2097272936"/>
        <c:scaling>
          <c:orientation val="minMax"/>
        </c:scaling>
        <c:delete val="0"/>
        <c:axPos val="b"/>
        <c:numFmt formatCode="m/d/yyyy" sourceLinked="1"/>
        <c:majorTickMark val="none"/>
        <c:minorTickMark val="none"/>
        <c:tickLblPos val="nextTo"/>
        <c:crossAx val="-2097270104"/>
        <c:crosses val="autoZero"/>
        <c:auto val="1"/>
        <c:lblOffset val="100"/>
        <c:baseTimeUnit val="days"/>
      </c:dateAx>
      <c:valAx>
        <c:axId val="-2097270104"/>
        <c:scaling>
          <c:orientation val="minMax"/>
        </c:scaling>
        <c:delete val="0"/>
        <c:axPos val="l"/>
        <c:majorGridlines/>
        <c:title>
          <c:overlay val="0"/>
        </c:title>
        <c:numFmt formatCode="General" sourceLinked="1"/>
        <c:majorTickMark val="none"/>
        <c:minorTickMark val="none"/>
        <c:tickLblPos val="nextTo"/>
        <c:crossAx val="-2097272936"/>
        <c:crosses val="autoZero"/>
        <c:crossBetween val="between"/>
      </c:valAx>
    </c:plotArea>
    <c:plotVisOnly val="1"/>
    <c:dispBlanksAs val="gap"/>
    <c:showDLblsOverMax val="0"/>
  </c:chart>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lineChart>
        <c:grouping val="standard"/>
        <c:varyColors val="0"/>
        <c:ser>
          <c:idx val="0"/>
          <c:order val="0"/>
          <c:tx>
            <c:v>Close Data - 1 Year</c:v>
          </c:tx>
          <c:marker>
            <c:symbol val="none"/>
          </c:marker>
          <c:dLbls>
            <c:dLbl>
              <c:idx val="251"/>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401F-4AD5-B8D6-7F90F70FDC9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trendline>
            <c:trendlineType val="linear"/>
            <c:dispRSqr val="1"/>
            <c:dispEq val="1"/>
            <c:trendlineLbl>
              <c:layout>
                <c:manualLayout>
                  <c:x val="-8.9834706895749003E-2"/>
                  <c:y val="-0.168496517535662"/>
                </c:manualLayout>
              </c:layout>
              <c:numFmt formatCode="General" sourceLinked="0"/>
            </c:trendlineLbl>
          </c:trendline>
          <c:cat>
            <c:numRef>
              <c:f>Analysis!$AE$7:$AE$258</c:f>
              <c:numCache>
                <c:formatCode>m/d/yyyy</c:formatCode>
                <c:ptCount val="252"/>
                <c:pt idx="0">
                  <c:v>42958</c:v>
                </c:pt>
                <c:pt idx="1">
                  <c:v>42957</c:v>
                </c:pt>
                <c:pt idx="2">
                  <c:v>42956</c:v>
                </c:pt>
                <c:pt idx="3">
                  <c:v>42955</c:v>
                </c:pt>
                <c:pt idx="4">
                  <c:v>42954</c:v>
                </c:pt>
                <c:pt idx="5">
                  <c:v>42951</c:v>
                </c:pt>
                <c:pt idx="6">
                  <c:v>42950</c:v>
                </c:pt>
                <c:pt idx="7">
                  <c:v>42949</c:v>
                </c:pt>
                <c:pt idx="8">
                  <c:v>42948</c:v>
                </c:pt>
                <c:pt idx="9">
                  <c:v>42947</c:v>
                </c:pt>
                <c:pt idx="10">
                  <c:v>42944</c:v>
                </c:pt>
                <c:pt idx="11">
                  <c:v>42943</c:v>
                </c:pt>
                <c:pt idx="12">
                  <c:v>42942</c:v>
                </c:pt>
                <c:pt idx="13">
                  <c:v>42941</c:v>
                </c:pt>
                <c:pt idx="14">
                  <c:v>42940</c:v>
                </c:pt>
                <c:pt idx="15">
                  <c:v>42937</c:v>
                </c:pt>
                <c:pt idx="16">
                  <c:v>42936</c:v>
                </c:pt>
                <c:pt idx="17">
                  <c:v>42935</c:v>
                </c:pt>
                <c:pt idx="18">
                  <c:v>42934</c:v>
                </c:pt>
                <c:pt idx="19">
                  <c:v>42933</c:v>
                </c:pt>
                <c:pt idx="20">
                  <c:v>42930</c:v>
                </c:pt>
                <c:pt idx="21">
                  <c:v>42929</c:v>
                </c:pt>
                <c:pt idx="22">
                  <c:v>42928</c:v>
                </c:pt>
                <c:pt idx="23">
                  <c:v>42927</c:v>
                </c:pt>
                <c:pt idx="24">
                  <c:v>42926</c:v>
                </c:pt>
                <c:pt idx="25">
                  <c:v>42923</c:v>
                </c:pt>
                <c:pt idx="26">
                  <c:v>42922</c:v>
                </c:pt>
                <c:pt idx="27">
                  <c:v>42921</c:v>
                </c:pt>
                <c:pt idx="28">
                  <c:v>42919</c:v>
                </c:pt>
                <c:pt idx="29">
                  <c:v>42916</c:v>
                </c:pt>
                <c:pt idx="30">
                  <c:v>42915</c:v>
                </c:pt>
                <c:pt idx="31">
                  <c:v>42914</c:v>
                </c:pt>
                <c:pt idx="32">
                  <c:v>42913</c:v>
                </c:pt>
                <c:pt idx="33">
                  <c:v>42912</c:v>
                </c:pt>
                <c:pt idx="34">
                  <c:v>42909</c:v>
                </c:pt>
                <c:pt idx="35">
                  <c:v>42908</c:v>
                </c:pt>
                <c:pt idx="36">
                  <c:v>42907</c:v>
                </c:pt>
                <c:pt idx="37">
                  <c:v>42906</c:v>
                </c:pt>
                <c:pt idx="38">
                  <c:v>42905</c:v>
                </c:pt>
                <c:pt idx="39">
                  <c:v>42902</c:v>
                </c:pt>
                <c:pt idx="40">
                  <c:v>42901</c:v>
                </c:pt>
                <c:pt idx="41">
                  <c:v>42900</c:v>
                </c:pt>
                <c:pt idx="42">
                  <c:v>42899</c:v>
                </c:pt>
                <c:pt idx="43">
                  <c:v>42898</c:v>
                </c:pt>
                <c:pt idx="44">
                  <c:v>42895</c:v>
                </c:pt>
                <c:pt idx="45">
                  <c:v>42894</c:v>
                </c:pt>
                <c:pt idx="46">
                  <c:v>42893</c:v>
                </c:pt>
                <c:pt idx="47">
                  <c:v>42892</c:v>
                </c:pt>
                <c:pt idx="48">
                  <c:v>42891</c:v>
                </c:pt>
                <c:pt idx="49">
                  <c:v>42888</c:v>
                </c:pt>
                <c:pt idx="50">
                  <c:v>42887</c:v>
                </c:pt>
                <c:pt idx="51">
                  <c:v>42886</c:v>
                </c:pt>
                <c:pt idx="52">
                  <c:v>42885</c:v>
                </c:pt>
                <c:pt idx="53">
                  <c:v>42881</c:v>
                </c:pt>
                <c:pt idx="54">
                  <c:v>42880</c:v>
                </c:pt>
                <c:pt idx="55">
                  <c:v>42879</c:v>
                </c:pt>
                <c:pt idx="56">
                  <c:v>42878</c:v>
                </c:pt>
                <c:pt idx="57">
                  <c:v>42877</c:v>
                </c:pt>
                <c:pt idx="58">
                  <c:v>42874</c:v>
                </c:pt>
                <c:pt idx="59">
                  <c:v>42873</c:v>
                </c:pt>
                <c:pt idx="60">
                  <c:v>42872</c:v>
                </c:pt>
                <c:pt idx="61">
                  <c:v>42871</c:v>
                </c:pt>
                <c:pt idx="62">
                  <c:v>42870</c:v>
                </c:pt>
                <c:pt idx="63">
                  <c:v>42867</c:v>
                </c:pt>
                <c:pt idx="64">
                  <c:v>42866</c:v>
                </c:pt>
                <c:pt idx="65">
                  <c:v>42865</c:v>
                </c:pt>
                <c:pt idx="66">
                  <c:v>42864</c:v>
                </c:pt>
                <c:pt idx="67">
                  <c:v>42863</c:v>
                </c:pt>
                <c:pt idx="68">
                  <c:v>42860</c:v>
                </c:pt>
                <c:pt idx="69">
                  <c:v>42859</c:v>
                </c:pt>
                <c:pt idx="70">
                  <c:v>42858</c:v>
                </c:pt>
                <c:pt idx="71">
                  <c:v>42857</c:v>
                </c:pt>
                <c:pt idx="72">
                  <c:v>42856</c:v>
                </c:pt>
                <c:pt idx="73">
                  <c:v>42853</c:v>
                </c:pt>
                <c:pt idx="74">
                  <c:v>42852</c:v>
                </c:pt>
                <c:pt idx="75">
                  <c:v>42851</c:v>
                </c:pt>
                <c:pt idx="76">
                  <c:v>42850</c:v>
                </c:pt>
                <c:pt idx="77">
                  <c:v>42849</c:v>
                </c:pt>
                <c:pt idx="78">
                  <c:v>42846</c:v>
                </c:pt>
                <c:pt idx="79">
                  <c:v>42845</c:v>
                </c:pt>
                <c:pt idx="80">
                  <c:v>42844</c:v>
                </c:pt>
                <c:pt idx="81">
                  <c:v>42843</c:v>
                </c:pt>
                <c:pt idx="82">
                  <c:v>42842</c:v>
                </c:pt>
                <c:pt idx="83">
                  <c:v>42838</c:v>
                </c:pt>
                <c:pt idx="84">
                  <c:v>42837</c:v>
                </c:pt>
                <c:pt idx="85">
                  <c:v>42836</c:v>
                </c:pt>
                <c:pt idx="86">
                  <c:v>42835</c:v>
                </c:pt>
                <c:pt idx="87">
                  <c:v>42832</c:v>
                </c:pt>
                <c:pt idx="88">
                  <c:v>42831</c:v>
                </c:pt>
                <c:pt idx="89">
                  <c:v>42830</c:v>
                </c:pt>
                <c:pt idx="90">
                  <c:v>42829</c:v>
                </c:pt>
                <c:pt idx="91">
                  <c:v>42828</c:v>
                </c:pt>
                <c:pt idx="92">
                  <c:v>42825</c:v>
                </c:pt>
                <c:pt idx="93">
                  <c:v>42824</c:v>
                </c:pt>
                <c:pt idx="94">
                  <c:v>42823</c:v>
                </c:pt>
                <c:pt idx="95">
                  <c:v>42822</c:v>
                </c:pt>
                <c:pt idx="96">
                  <c:v>42821</c:v>
                </c:pt>
                <c:pt idx="97">
                  <c:v>42818</c:v>
                </c:pt>
                <c:pt idx="98">
                  <c:v>42817</c:v>
                </c:pt>
                <c:pt idx="99">
                  <c:v>42816</c:v>
                </c:pt>
                <c:pt idx="100">
                  <c:v>42815</c:v>
                </c:pt>
                <c:pt idx="101">
                  <c:v>42814</c:v>
                </c:pt>
                <c:pt idx="102">
                  <c:v>42811</c:v>
                </c:pt>
                <c:pt idx="103">
                  <c:v>42810</c:v>
                </c:pt>
                <c:pt idx="104">
                  <c:v>42809</c:v>
                </c:pt>
                <c:pt idx="105">
                  <c:v>42808</c:v>
                </c:pt>
                <c:pt idx="106">
                  <c:v>42807</c:v>
                </c:pt>
                <c:pt idx="107">
                  <c:v>42804</c:v>
                </c:pt>
                <c:pt idx="108">
                  <c:v>42803</c:v>
                </c:pt>
                <c:pt idx="109">
                  <c:v>42802</c:v>
                </c:pt>
                <c:pt idx="110">
                  <c:v>42801</c:v>
                </c:pt>
                <c:pt idx="111">
                  <c:v>42800</c:v>
                </c:pt>
                <c:pt idx="112">
                  <c:v>42797</c:v>
                </c:pt>
                <c:pt idx="113">
                  <c:v>42796</c:v>
                </c:pt>
                <c:pt idx="114">
                  <c:v>42795</c:v>
                </c:pt>
                <c:pt idx="115">
                  <c:v>42794</c:v>
                </c:pt>
                <c:pt idx="116">
                  <c:v>42793</c:v>
                </c:pt>
                <c:pt idx="117">
                  <c:v>42790</c:v>
                </c:pt>
                <c:pt idx="118">
                  <c:v>42789</c:v>
                </c:pt>
                <c:pt idx="119">
                  <c:v>42788</c:v>
                </c:pt>
                <c:pt idx="120">
                  <c:v>42787</c:v>
                </c:pt>
                <c:pt idx="121">
                  <c:v>42783</c:v>
                </c:pt>
                <c:pt idx="122">
                  <c:v>42782</c:v>
                </c:pt>
                <c:pt idx="123">
                  <c:v>42781</c:v>
                </c:pt>
                <c:pt idx="124">
                  <c:v>42780</c:v>
                </c:pt>
                <c:pt idx="125">
                  <c:v>42779</c:v>
                </c:pt>
                <c:pt idx="126">
                  <c:v>42776</c:v>
                </c:pt>
                <c:pt idx="127">
                  <c:v>42775</c:v>
                </c:pt>
                <c:pt idx="128">
                  <c:v>42774</c:v>
                </c:pt>
                <c:pt idx="129">
                  <c:v>42773</c:v>
                </c:pt>
                <c:pt idx="130">
                  <c:v>42772</c:v>
                </c:pt>
                <c:pt idx="131">
                  <c:v>42769</c:v>
                </c:pt>
                <c:pt idx="132">
                  <c:v>42768</c:v>
                </c:pt>
                <c:pt idx="133">
                  <c:v>42767</c:v>
                </c:pt>
                <c:pt idx="134">
                  <c:v>42766</c:v>
                </c:pt>
                <c:pt idx="135">
                  <c:v>42765</c:v>
                </c:pt>
                <c:pt idx="136">
                  <c:v>42762</c:v>
                </c:pt>
                <c:pt idx="137">
                  <c:v>42761</c:v>
                </c:pt>
                <c:pt idx="138">
                  <c:v>42760</c:v>
                </c:pt>
                <c:pt idx="139">
                  <c:v>42759</c:v>
                </c:pt>
                <c:pt idx="140">
                  <c:v>42758</c:v>
                </c:pt>
                <c:pt idx="141">
                  <c:v>42755</c:v>
                </c:pt>
                <c:pt idx="142">
                  <c:v>42754</c:v>
                </c:pt>
                <c:pt idx="143">
                  <c:v>42753</c:v>
                </c:pt>
                <c:pt idx="144">
                  <c:v>42752</c:v>
                </c:pt>
                <c:pt idx="145">
                  <c:v>42748</c:v>
                </c:pt>
                <c:pt idx="146">
                  <c:v>42747</c:v>
                </c:pt>
                <c:pt idx="147">
                  <c:v>42746</c:v>
                </c:pt>
                <c:pt idx="148">
                  <c:v>42745</c:v>
                </c:pt>
                <c:pt idx="149">
                  <c:v>42744</c:v>
                </c:pt>
                <c:pt idx="150">
                  <c:v>42741</c:v>
                </c:pt>
                <c:pt idx="151">
                  <c:v>42740</c:v>
                </c:pt>
                <c:pt idx="152">
                  <c:v>42739</c:v>
                </c:pt>
                <c:pt idx="153">
                  <c:v>42738</c:v>
                </c:pt>
                <c:pt idx="154">
                  <c:v>42734</c:v>
                </c:pt>
                <c:pt idx="155">
                  <c:v>42733</c:v>
                </c:pt>
                <c:pt idx="156">
                  <c:v>42732</c:v>
                </c:pt>
                <c:pt idx="157">
                  <c:v>42731</c:v>
                </c:pt>
                <c:pt idx="158">
                  <c:v>42727</c:v>
                </c:pt>
                <c:pt idx="159">
                  <c:v>42726</c:v>
                </c:pt>
                <c:pt idx="160">
                  <c:v>42725</c:v>
                </c:pt>
                <c:pt idx="161">
                  <c:v>42724</c:v>
                </c:pt>
                <c:pt idx="162">
                  <c:v>42723</c:v>
                </c:pt>
                <c:pt idx="163">
                  <c:v>42720</c:v>
                </c:pt>
                <c:pt idx="164">
                  <c:v>42719</c:v>
                </c:pt>
                <c:pt idx="165">
                  <c:v>42718</c:v>
                </c:pt>
                <c:pt idx="166">
                  <c:v>42717</c:v>
                </c:pt>
                <c:pt idx="167">
                  <c:v>42716</c:v>
                </c:pt>
                <c:pt idx="168">
                  <c:v>42713</c:v>
                </c:pt>
                <c:pt idx="169">
                  <c:v>42712</c:v>
                </c:pt>
                <c:pt idx="170">
                  <c:v>42711</c:v>
                </c:pt>
                <c:pt idx="171">
                  <c:v>42710</c:v>
                </c:pt>
                <c:pt idx="172">
                  <c:v>42709</c:v>
                </c:pt>
                <c:pt idx="173">
                  <c:v>42706</c:v>
                </c:pt>
                <c:pt idx="174">
                  <c:v>42705</c:v>
                </c:pt>
                <c:pt idx="175">
                  <c:v>42704</c:v>
                </c:pt>
                <c:pt idx="176">
                  <c:v>42703</c:v>
                </c:pt>
                <c:pt idx="177">
                  <c:v>42702</c:v>
                </c:pt>
                <c:pt idx="178">
                  <c:v>42699</c:v>
                </c:pt>
                <c:pt idx="179">
                  <c:v>42697</c:v>
                </c:pt>
                <c:pt idx="180">
                  <c:v>42696</c:v>
                </c:pt>
                <c:pt idx="181">
                  <c:v>42695</c:v>
                </c:pt>
                <c:pt idx="182">
                  <c:v>42692</c:v>
                </c:pt>
                <c:pt idx="183">
                  <c:v>42691</c:v>
                </c:pt>
                <c:pt idx="184">
                  <c:v>42690</c:v>
                </c:pt>
                <c:pt idx="185">
                  <c:v>42689</c:v>
                </c:pt>
                <c:pt idx="186">
                  <c:v>42688</c:v>
                </c:pt>
                <c:pt idx="187">
                  <c:v>42685</c:v>
                </c:pt>
                <c:pt idx="188">
                  <c:v>42684</c:v>
                </c:pt>
                <c:pt idx="189">
                  <c:v>42683</c:v>
                </c:pt>
                <c:pt idx="190">
                  <c:v>42682</c:v>
                </c:pt>
                <c:pt idx="191">
                  <c:v>42681</c:v>
                </c:pt>
                <c:pt idx="192">
                  <c:v>42678</c:v>
                </c:pt>
                <c:pt idx="193">
                  <c:v>42677</c:v>
                </c:pt>
                <c:pt idx="194">
                  <c:v>42676</c:v>
                </c:pt>
                <c:pt idx="195">
                  <c:v>42675</c:v>
                </c:pt>
                <c:pt idx="196">
                  <c:v>42674</c:v>
                </c:pt>
                <c:pt idx="197">
                  <c:v>42671</c:v>
                </c:pt>
                <c:pt idx="198">
                  <c:v>42670</c:v>
                </c:pt>
                <c:pt idx="199">
                  <c:v>42669</c:v>
                </c:pt>
                <c:pt idx="200">
                  <c:v>42668</c:v>
                </c:pt>
                <c:pt idx="201">
                  <c:v>42667</c:v>
                </c:pt>
                <c:pt idx="202">
                  <c:v>42664</c:v>
                </c:pt>
                <c:pt idx="203">
                  <c:v>42663</c:v>
                </c:pt>
                <c:pt idx="204">
                  <c:v>42662</c:v>
                </c:pt>
                <c:pt idx="205">
                  <c:v>42661</c:v>
                </c:pt>
                <c:pt idx="206">
                  <c:v>42660</c:v>
                </c:pt>
                <c:pt idx="207">
                  <c:v>42657</c:v>
                </c:pt>
                <c:pt idx="208">
                  <c:v>42656</c:v>
                </c:pt>
                <c:pt idx="209">
                  <c:v>42655</c:v>
                </c:pt>
                <c:pt idx="210">
                  <c:v>42654</c:v>
                </c:pt>
                <c:pt idx="211">
                  <c:v>42653</c:v>
                </c:pt>
                <c:pt idx="212">
                  <c:v>42650</c:v>
                </c:pt>
                <c:pt idx="213">
                  <c:v>42649</c:v>
                </c:pt>
                <c:pt idx="214">
                  <c:v>42648</c:v>
                </c:pt>
                <c:pt idx="215">
                  <c:v>42647</c:v>
                </c:pt>
                <c:pt idx="216">
                  <c:v>42646</c:v>
                </c:pt>
                <c:pt idx="217">
                  <c:v>42643</c:v>
                </c:pt>
                <c:pt idx="218">
                  <c:v>42642</c:v>
                </c:pt>
                <c:pt idx="219">
                  <c:v>42641</c:v>
                </c:pt>
                <c:pt idx="220">
                  <c:v>42640</c:v>
                </c:pt>
                <c:pt idx="221">
                  <c:v>42639</c:v>
                </c:pt>
                <c:pt idx="222">
                  <c:v>42636</c:v>
                </c:pt>
                <c:pt idx="223">
                  <c:v>42635</c:v>
                </c:pt>
                <c:pt idx="224">
                  <c:v>42634</c:v>
                </c:pt>
                <c:pt idx="225">
                  <c:v>42633</c:v>
                </c:pt>
                <c:pt idx="226">
                  <c:v>42632</c:v>
                </c:pt>
                <c:pt idx="227">
                  <c:v>42629</c:v>
                </c:pt>
                <c:pt idx="228">
                  <c:v>42628</c:v>
                </c:pt>
                <c:pt idx="229">
                  <c:v>42627</c:v>
                </c:pt>
                <c:pt idx="230">
                  <c:v>42626</c:v>
                </c:pt>
                <c:pt idx="231">
                  <c:v>42625</c:v>
                </c:pt>
                <c:pt idx="232">
                  <c:v>42622</c:v>
                </c:pt>
                <c:pt idx="233">
                  <c:v>42621</c:v>
                </c:pt>
                <c:pt idx="234">
                  <c:v>42620</c:v>
                </c:pt>
                <c:pt idx="235">
                  <c:v>42619</c:v>
                </c:pt>
                <c:pt idx="236">
                  <c:v>42615</c:v>
                </c:pt>
                <c:pt idx="237">
                  <c:v>42614</c:v>
                </c:pt>
                <c:pt idx="238">
                  <c:v>42613</c:v>
                </c:pt>
                <c:pt idx="239">
                  <c:v>42612</c:v>
                </c:pt>
                <c:pt idx="240">
                  <c:v>42611</c:v>
                </c:pt>
                <c:pt idx="241">
                  <c:v>42608</c:v>
                </c:pt>
                <c:pt idx="242">
                  <c:v>42607</c:v>
                </c:pt>
                <c:pt idx="243">
                  <c:v>42606</c:v>
                </c:pt>
                <c:pt idx="244">
                  <c:v>42605</c:v>
                </c:pt>
                <c:pt idx="245">
                  <c:v>42604</c:v>
                </c:pt>
                <c:pt idx="246">
                  <c:v>42601</c:v>
                </c:pt>
                <c:pt idx="247">
                  <c:v>42600</c:v>
                </c:pt>
                <c:pt idx="248">
                  <c:v>42599</c:v>
                </c:pt>
                <c:pt idx="249">
                  <c:v>42598</c:v>
                </c:pt>
                <c:pt idx="250">
                  <c:v>42597</c:v>
                </c:pt>
                <c:pt idx="251">
                  <c:v>42594</c:v>
                </c:pt>
              </c:numCache>
            </c:numRef>
          </c:cat>
          <c:val>
            <c:numRef>
              <c:f>Analysis!$AJ$7:$AJ$258</c:f>
              <c:numCache>
                <c:formatCode>General</c:formatCode>
                <c:ptCount val="252"/>
                <c:pt idx="0">
                  <c:v>108.81</c:v>
                </c:pt>
                <c:pt idx="1">
                  <c:v>108.9</c:v>
                </c:pt>
                <c:pt idx="2">
                  <c:v>109.66</c:v>
                </c:pt>
                <c:pt idx="3">
                  <c:v>108.51</c:v>
                </c:pt>
                <c:pt idx="4">
                  <c:v>112.17</c:v>
                </c:pt>
                <c:pt idx="5">
                  <c:v>111.39</c:v>
                </c:pt>
                <c:pt idx="6">
                  <c:v>111.77</c:v>
                </c:pt>
                <c:pt idx="7">
                  <c:v>115.25</c:v>
                </c:pt>
                <c:pt idx="8">
                  <c:v>116.78</c:v>
                </c:pt>
                <c:pt idx="9">
                  <c:v>118.91</c:v>
                </c:pt>
                <c:pt idx="10">
                  <c:v>117.38</c:v>
                </c:pt>
                <c:pt idx="11">
                  <c:v>115.63</c:v>
                </c:pt>
                <c:pt idx="12">
                  <c:v>105.98</c:v>
                </c:pt>
                <c:pt idx="13">
                  <c:v>103.18</c:v>
                </c:pt>
                <c:pt idx="14">
                  <c:v>103.54</c:v>
                </c:pt>
                <c:pt idx="15">
                  <c:v>104.58</c:v>
                </c:pt>
                <c:pt idx="16">
                  <c:v>103.34</c:v>
                </c:pt>
                <c:pt idx="17">
                  <c:v>102.75</c:v>
                </c:pt>
                <c:pt idx="18">
                  <c:v>101.3</c:v>
                </c:pt>
                <c:pt idx="19">
                  <c:v>101.7</c:v>
                </c:pt>
                <c:pt idx="20">
                  <c:v>101.35</c:v>
                </c:pt>
                <c:pt idx="21">
                  <c:v>101.63</c:v>
                </c:pt>
                <c:pt idx="22">
                  <c:v>102.5</c:v>
                </c:pt>
                <c:pt idx="23">
                  <c:v>101.84</c:v>
                </c:pt>
                <c:pt idx="24">
                  <c:v>103.66</c:v>
                </c:pt>
                <c:pt idx="25">
                  <c:v>105.14</c:v>
                </c:pt>
                <c:pt idx="26">
                  <c:v>103.44</c:v>
                </c:pt>
                <c:pt idx="27">
                  <c:v>104.07</c:v>
                </c:pt>
                <c:pt idx="28">
                  <c:v>102.42</c:v>
                </c:pt>
                <c:pt idx="29">
                  <c:v>102.46</c:v>
                </c:pt>
                <c:pt idx="30">
                  <c:v>101.46</c:v>
                </c:pt>
                <c:pt idx="31">
                  <c:v>102.68</c:v>
                </c:pt>
                <c:pt idx="32">
                  <c:v>101.5</c:v>
                </c:pt>
                <c:pt idx="33">
                  <c:v>102.21</c:v>
                </c:pt>
                <c:pt idx="34">
                  <c:v>101.41</c:v>
                </c:pt>
                <c:pt idx="35">
                  <c:v>101.91</c:v>
                </c:pt>
                <c:pt idx="36">
                  <c:v>102.5</c:v>
                </c:pt>
                <c:pt idx="37">
                  <c:v>102.48</c:v>
                </c:pt>
                <c:pt idx="38">
                  <c:v>104.11</c:v>
                </c:pt>
                <c:pt idx="39">
                  <c:v>103.49</c:v>
                </c:pt>
                <c:pt idx="40">
                  <c:v>102.17</c:v>
                </c:pt>
                <c:pt idx="41">
                  <c:v>101.25</c:v>
                </c:pt>
                <c:pt idx="42">
                  <c:v>101.87</c:v>
                </c:pt>
                <c:pt idx="43">
                  <c:v>101.54</c:v>
                </c:pt>
                <c:pt idx="44">
                  <c:v>100.11</c:v>
                </c:pt>
                <c:pt idx="45">
                  <c:v>100.77</c:v>
                </c:pt>
                <c:pt idx="46">
                  <c:v>100.94</c:v>
                </c:pt>
                <c:pt idx="47">
                  <c:v>101.2</c:v>
                </c:pt>
                <c:pt idx="48">
                  <c:v>101.1</c:v>
                </c:pt>
                <c:pt idx="49">
                  <c:v>100.98</c:v>
                </c:pt>
                <c:pt idx="50">
                  <c:v>103.35</c:v>
                </c:pt>
                <c:pt idx="51">
                  <c:v>102.37</c:v>
                </c:pt>
                <c:pt idx="52">
                  <c:v>101.53</c:v>
                </c:pt>
                <c:pt idx="53">
                  <c:v>101.35</c:v>
                </c:pt>
                <c:pt idx="54">
                  <c:v>101.16</c:v>
                </c:pt>
                <c:pt idx="55">
                  <c:v>99.98</c:v>
                </c:pt>
                <c:pt idx="56">
                  <c:v>99.53</c:v>
                </c:pt>
                <c:pt idx="57">
                  <c:v>99.45</c:v>
                </c:pt>
                <c:pt idx="58">
                  <c:v>98.62</c:v>
                </c:pt>
                <c:pt idx="59">
                  <c:v>98.35</c:v>
                </c:pt>
                <c:pt idx="60">
                  <c:v>97.3</c:v>
                </c:pt>
                <c:pt idx="61">
                  <c:v>98.32</c:v>
                </c:pt>
                <c:pt idx="62">
                  <c:v>98.45</c:v>
                </c:pt>
                <c:pt idx="63">
                  <c:v>97.17</c:v>
                </c:pt>
                <c:pt idx="64">
                  <c:v>96.46</c:v>
                </c:pt>
                <c:pt idx="65">
                  <c:v>96.63</c:v>
                </c:pt>
                <c:pt idx="66">
                  <c:v>97.08</c:v>
                </c:pt>
                <c:pt idx="67">
                  <c:v>96.7</c:v>
                </c:pt>
                <c:pt idx="68">
                  <c:v>99.29</c:v>
                </c:pt>
                <c:pt idx="69">
                  <c:v>99.1</c:v>
                </c:pt>
                <c:pt idx="70">
                  <c:v>97.51</c:v>
                </c:pt>
                <c:pt idx="71">
                  <c:v>104.01</c:v>
                </c:pt>
                <c:pt idx="72">
                  <c:v>103.97</c:v>
                </c:pt>
                <c:pt idx="73">
                  <c:v>104.49</c:v>
                </c:pt>
                <c:pt idx="74">
                  <c:v>105.16</c:v>
                </c:pt>
                <c:pt idx="75">
                  <c:v>104.86</c:v>
                </c:pt>
                <c:pt idx="76">
                  <c:v>105.01</c:v>
                </c:pt>
                <c:pt idx="77">
                  <c:v>104.14</c:v>
                </c:pt>
                <c:pt idx="78">
                  <c:v>102.69</c:v>
                </c:pt>
                <c:pt idx="79">
                  <c:v>103.04</c:v>
                </c:pt>
                <c:pt idx="80">
                  <c:v>102.07</c:v>
                </c:pt>
                <c:pt idx="81">
                  <c:v>101.93</c:v>
                </c:pt>
                <c:pt idx="82">
                  <c:v>101.86</c:v>
                </c:pt>
                <c:pt idx="83">
                  <c:v>101.26</c:v>
                </c:pt>
                <c:pt idx="84">
                  <c:v>101.95</c:v>
                </c:pt>
                <c:pt idx="85">
                  <c:v>102.09</c:v>
                </c:pt>
                <c:pt idx="86">
                  <c:v>102.14</c:v>
                </c:pt>
                <c:pt idx="87">
                  <c:v>102.19</c:v>
                </c:pt>
                <c:pt idx="88">
                  <c:v>101.75</c:v>
                </c:pt>
                <c:pt idx="89">
                  <c:v>101.93</c:v>
                </c:pt>
                <c:pt idx="90">
                  <c:v>101.45</c:v>
                </c:pt>
                <c:pt idx="91">
                  <c:v>101.27</c:v>
                </c:pt>
                <c:pt idx="92">
                  <c:v>102.39</c:v>
                </c:pt>
                <c:pt idx="93">
                  <c:v>102.17</c:v>
                </c:pt>
                <c:pt idx="94">
                  <c:v>102.13</c:v>
                </c:pt>
                <c:pt idx="95">
                  <c:v>103.28</c:v>
                </c:pt>
                <c:pt idx="96">
                  <c:v>102.91</c:v>
                </c:pt>
                <c:pt idx="97">
                  <c:v>103.38</c:v>
                </c:pt>
                <c:pt idx="98">
                  <c:v>103.52</c:v>
                </c:pt>
                <c:pt idx="99">
                  <c:v>103.68</c:v>
                </c:pt>
                <c:pt idx="100">
                  <c:v>103.12</c:v>
                </c:pt>
                <c:pt idx="101">
                  <c:v>104.45</c:v>
                </c:pt>
                <c:pt idx="102">
                  <c:v>105.11</c:v>
                </c:pt>
                <c:pt idx="103">
                  <c:v>104.25</c:v>
                </c:pt>
                <c:pt idx="104">
                  <c:v>104.67</c:v>
                </c:pt>
                <c:pt idx="105">
                  <c:v>103.97</c:v>
                </c:pt>
                <c:pt idx="106">
                  <c:v>104.84</c:v>
                </c:pt>
                <c:pt idx="107">
                  <c:v>104.55</c:v>
                </c:pt>
                <c:pt idx="108">
                  <c:v>103.4</c:v>
                </c:pt>
                <c:pt idx="109">
                  <c:v>103.71</c:v>
                </c:pt>
                <c:pt idx="110">
                  <c:v>104.27</c:v>
                </c:pt>
                <c:pt idx="111">
                  <c:v>104.95</c:v>
                </c:pt>
                <c:pt idx="112">
                  <c:v>104.5</c:v>
                </c:pt>
                <c:pt idx="113">
                  <c:v>104.07</c:v>
                </c:pt>
                <c:pt idx="114">
                  <c:v>104.53</c:v>
                </c:pt>
                <c:pt idx="115">
                  <c:v>102.62</c:v>
                </c:pt>
                <c:pt idx="116">
                  <c:v>102.7</c:v>
                </c:pt>
                <c:pt idx="117">
                  <c:v>103</c:v>
                </c:pt>
                <c:pt idx="118">
                  <c:v>101.64</c:v>
                </c:pt>
                <c:pt idx="119">
                  <c:v>100.42</c:v>
                </c:pt>
                <c:pt idx="120">
                  <c:v>99.22</c:v>
                </c:pt>
                <c:pt idx="121">
                  <c:v>99.68</c:v>
                </c:pt>
                <c:pt idx="122">
                  <c:v>99.88</c:v>
                </c:pt>
                <c:pt idx="123">
                  <c:v>99.65</c:v>
                </c:pt>
                <c:pt idx="124">
                  <c:v>99.44</c:v>
                </c:pt>
                <c:pt idx="125">
                  <c:v>98.58</c:v>
                </c:pt>
                <c:pt idx="126">
                  <c:v>97.82</c:v>
                </c:pt>
                <c:pt idx="127">
                  <c:v>97.65</c:v>
                </c:pt>
                <c:pt idx="128">
                  <c:v>96.58</c:v>
                </c:pt>
                <c:pt idx="129">
                  <c:v>96.29</c:v>
                </c:pt>
                <c:pt idx="130">
                  <c:v>96.47</c:v>
                </c:pt>
                <c:pt idx="131">
                  <c:v>96.87</c:v>
                </c:pt>
                <c:pt idx="132">
                  <c:v>96.32</c:v>
                </c:pt>
                <c:pt idx="133">
                  <c:v>95.25</c:v>
                </c:pt>
                <c:pt idx="134">
                  <c:v>100.99</c:v>
                </c:pt>
                <c:pt idx="135">
                  <c:v>101.97</c:v>
                </c:pt>
                <c:pt idx="136">
                  <c:v>101.71</c:v>
                </c:pt>
                <c:pt idx="137">
                  <c:v>102.04</c:v>
                </c:pt>
                <c:pt idx="138">
                  <c:v>102.7</c:v>
                </c:pt>
                <c:pt idx="139">
                  <c:v>103.24</c:v>
                </c:pt>
                <c:pt idx="140">
                  <c:v>102.2</c:v>
                </c:pt>
                <c:pt idx="141">
                  <c:v>103.24</c:v>
                </c:pt>
                <c:pt idx="142">
                  <c:v>102.97</c:v>
                </c:pt>
                <c:pt idx="143">
                  <c:v>102.91</c:v>
                </c:pt>
                <c:pt idx="144">
                  <c:v>103.07</c:v>
                </c:pt>
                <c:pt idx="145">
                  <c:v>103.77</c:v>
                </c:pt>
                <c:pt idx="146">
                  <c:v>103.8</c:v>
                </c:pt>
                <c:pt idx="147">
                  <c:v>103.2</c:v>
                </c:pt>
                <c:pt idx="148">
                  <c:v>102.2</c:v>
                </c:pt>
                <c:pt idx="149">
                  <c:v>102.47</c:v>
                </c:pt>
                <c:pt idx="150">
                  <c:v>103.11</c:v>
                </c:pt>
                <c:pt idx="151">
                  <c:v>103.04</c:v>
                </c:pt>
                <c:pt idx="152">
                  <c:v>103.66</c:v>
                </c:pt>
                <c:pt idx="153">
                  <c:v>103.5</c:v>
                </c:pt>
                <c:pt idx="154">
                  <c:v>102.78</c:v>
                </c:pt>
                <c:pt idx="155">
                  <c:v>103.45</c:v>
                </c:pt>
                <c:pt idx="156">
                  <c:v>103.05</c:v>
                </c:pt>
                <c:pt idx="157">
                  <c:v>103.31</c:v>
                </c:pt>
                <c:pt idx="158">
                  <c:v>102.93</c:v>
                </c:pt>
                <c:pt idx="159">
                  <c:v>102.6</c:v>
                </c:pt>
                <c:pt idx="160">
                  <c:v>102.47</c:v>
                </c:pt>
                <c:pt idx="161">
                  <c:v>102.33</c:v>
                </c:pt>
                <c:pt idx="162">
                  <c:v>101.09</c:v>
                </c:pt>
                <c:pt idx="163">
                  <c:v>100.85</c:v>
                </c:pt>
                <c:pt idx="164">
                  <c:v>98.76</c:v>
                </c:pt>
                <c:pt idx="165">
                  <c:v>97.69</c:v>
                </c:pt>
                <c:pt idx="166">
                  <c:v>98.4</c:v>
                </c:pt>
                <c:pt idx="167">
                  <c:v>98.06</c:v>
                </c:pt>
                <c:pt idx="168">
                  <c:v>98.22</c:v>
                </c:pt>
                <c:pt idx="169">
                  <c:v>98.19</c:v>
                </c:pt>
                <c:pt idx="170">
                  <c:v>97.57</c:v>
                </c:pt>
                <c:pt idx="171">
                  <c:v>96</c:v>
                </c:pt>
                <c:pt idx="172">
                  <c:v>96.05</c:v>
                </c:pt>
                <c:pt idx="173">
                  <c:v>95.24</c:v>
                </c:pt>
                <c:pt idx="174">
                  <c:v>95.77</c:v>
                </c:pt>
                <c:pt idx="175">
                  <c:v>96.02</c:v>
                </c:pt>
                <c:pt idx="176">
                  <c:v>97.04</c:v>
                </c:pt>
                <c:pt idx="177">
                  <c:v>96.57</c:v>
                </c:pt>
                <c:pt idx="178">
                  <c:v>96.92</c:v>
                </c:pt>
                <c:pt idx="179">
                  <c:v>96.65</c:v>
                </c:pt>
                <c:pt idx="180">
                  <c:v>96.39</c:v>
                </c:pt>
                <c:pt idx="181">
                  <c:v>95.59</c:v>
                </c:pt>
                <c:pt idx="182">
                  <c:v>94.39</c:v>
                </c:pt>
                <c:pt idx="183">
                  <c:v>94.38</c:v>
                </c:pt>
                <c:pt idx="184">
                  <c:v>93.27</c:v>
                </c:pt>
                <c:pt idx="185">
                  <c:v>92.34</c:v>
                </c:pt>
                <c:pt idx="186">
                  <c:v>91.89</c:v>
                </c:pt>
                <c:pt idx="187">
                  <c:v>91.08</c:v>
                </c:pt>
                <c:pt idx="188">
                  <c:v>91.39</c:v>
                </c:pt>
                <c:pt idx="189">
                  <c:v>90.9</c:v>
                </c:pt>
                <c:pt idx="190">
                  <c:v>91.15</c:v>
                </c:pt>
                <c:pt idx="191">
                  <c:v>90.6</c:v>
                </c:pt>
                <c:pt idx="192">
                  <c:v>89.08</c:v>
                </c:pt>
                <c:pt idx="193">
                  <c:v>89.33</c:v>
                </c:pt>
                <c:pt idx="194">
                  <c:v>89.98</c:v>
                </c:pt>
                <c:pt idx="195">
                  <c:v>86.92</c:v>
                </c:pt>
                <c:pt idx="196">
                  <c:v>87.06</c:v>
                </c:pt>
                <c:pt idx="197">
                  <c:v>87.16</c:v>
                </c:pt>
                <c:pt idx="198">
                  <c:v>86.66</c:v>
                </c:pt>
                <c:pt idx="199">
                  <c:v>87.19</c:v>
                </c:pt>
                <c:pt idx="200">
                  <c:v>87.5</c:v>
                </c:pt>
                <c:pt idx="201">
                  <c:v>87.67</c:v>
                </c:pt>
                <c:pt idx="202">
                  <c:v>86.72</c:v>
                </c:pt>
                <c:pt idx="203">
                  <c:v>86.84</c:v>
                </c:pt>
                <c:pt idx="204">
                  <c:v>87.43</c:v>
                </c:pt>
                <c:pt idx="205">
                  <c:v>87.38</c:v>
                </c:pt>
                <c:pt idx="206">
                  <c:v>87.24</c:v>
                </c:pt>
                <c:pt idx="207">
                  <c:v>87.56</c:v>
                </c:pt>
                <c:pt idx="208">
                  <c:v>86.89</c:v>
                </c:pt>
                <c:pt idx="209">
                  <c:v>86.87</c:v>
                </c:pt>
                <c:pt idx="210">
                  <c:v>86.09</c:v>
                </c:pt>
                <c:pt idx="211">
                  <c:v>87.77</c:v>
                </c:pt>
                <c:pt idx="212">
                  <c:v>87.37</c:v>
                </c:pt>
                <c:pt idx="213">
                  <c:v>87.56</c:v>
                </c:pt>
                <c:pt idx="214">
                  <c:v>87.58</c:v>
                </c:pt>
                <c:pt idx="215">
                  <c:v>87.17</c:v>
                </c:pt>
                <c:pt idx="216">
                  <c:v>87.63</c:v>
                </c:pt>
                <c:pt idx="217">
                  <c:v>88.2</c:v>
                </c:pt>
                <c:pt idx="218">
                  <c:v>87.21</c:v>
                </c:pt>
                <c:pt idx="219">
                  <c:v>87.45</c:v>
                </c:pt>
                <c:pt idx="220">
                  <c:v>88.95</c:v>
                </c:pt>
                <c:pt idx="221">
                  <c:v>88.19</c:v>
                </c:pt>
                <c:pt idx="222">
                  <c:v>88.47</c:v>
                </c:pt>
                <c:pt idx="223">
                  <c:v>89.46</c:v>
                </c:pt>
                <c:pt idx="224">
                  <c:v>88.88</c:v>
                </c:pt>
                <c:pt idx="225">
                  <c:v>87.79</c:v>
                </c:pt>
                <c:pt idx="226">
                  <c:v>86.56</c:v>
                </c:pt>
                <c:pt idx="227">
                  <c:v>86.75</c:v>
                </c:pt>
                <c:pt idx="228">
                  <c:v>87.48</c:v>
                </c:pt>
                <c:pt idx="229">
                  <c:v>86.69</c:v>
                </c:pt>
                <c:pt idx="230">
                  <c:v>86.69</c:v>
                </c:pt>
                <c:pt idx="231">
                  <c:v>88.14</c:v>
                </c:pt>
                <c:pt idx="232">
                  <c:v>86.57</c:v>
                </c:pt>
                <c:pt idx="233">
                  <c:v>89.47</c:v>
                </c:pt>
                <c:pt idx="234">
                  <c:v>89.96</c:v>
                </c:pt>
                <c:pt idx="235">
                  <c:v>89.86</c:v>
                </c:pt>
                <c:pt idx="236">
                  <c:v>90.39</c:v>
                </c:pt>
                <c:pt idx="237">
                  <c:v>90.63</c:v>
                </c:pt>
                <c:pt idx="238">
                  <c:v>89.81</c:v>
                </c:pt>
                <c:pt idx="239">
                  <c:v>89.79</c:v>
                </c:pt>
                <c:pt idx="240">
                  <c:v>89.59</c:v>
                </c:pt>
                <c:pt idx="241">
                  <c:v>89.79</c:v>
                </c:pt>
                <c:pt idx="242">
                  <c:v>89.77</c:v>
                </c:pt>
                <c:pt idx="243">
                  <c:v>89.68</c:v>
                </c:pt>
                <c:pt idx="244">
                  <c:v>89.98</c:v>
                </c:pt>
                <c:pt idx="245">
                  <c:v>89.91</c:v>
                </c:pt>
                <c:pt idx="246">
                  <c:v>89.85</c:v>
                </c:pt>
                <c:pt idx="247">
                  <c:v>89.83</c:v>
                </c:pt>
                <c:pt idx="248">
                  <c:v>89.33</c:v>
                </c:pt>
                <c:pt idx="249">
                  <c:v>89.56</c:v>
                </c:pt>
                <c:pt idx="250">
                  <c:v>90.35</c:v>
                </c:pt>
                <c:pt idx="251">
                  <c:v>90.13</c:v>
                </c:pt>
              </c:numCache>
            </c:numRef>
          </c:val>
          <c:smooth val="0"/>
          <c:extLst>
            <c:ext xmlns:c16="http://schemas.microsoft.com/office/drawing/2014/chart" uri="{C3380CC4-5D6E-409C-BE32-E72D297353CC}">
              <c16:uniqueId val="{00000002-401F-4AD5-B8D6-7F90F70FDC97}"/>
            </c:ext>
          </c:extLst>
        </c:ser>
        <c:dLbls>
          <c:showLegendKey val="0"/>
          <c:showVal val="0"/>
          <c:showCatName val="0"/>
          <c:showSerName val="0"/>
          <c:showPercent val="0"/>
          <c:showBubbleSize val="0"/>
        </c:dLbls>
        <c:smooth val="0"/>
        <c:axId val="-2097218472"/>
        <c:axId val="-2097215720"/>
      </c:lineChart>
      <c:dateAx>
        <c:axId val="-2097218472"/>
        <c:scaling>
          <c:orientation val="minMax"/>
        </c:scaling>
        <c:delete val="0"/>
        <c:axPos val="b"/>
        <c:numFmt formatCode="m/d/yyyy" sourceLinked="1"/>
        <c:majorTickMark val="none"/>
        <c:minorTickMark val="none"/>
        <c:tickLblPos val="nextTo"/>
        <c:crossAx val="-2097215720"/>
        <c:crosses val="autoZero"/>
        <c:auto val="1"/>
        <c:lblOffset val="100"/>
        <c:baseTimeUnit val="days"/>
      </c:dateAx>
      <c:valAx>
        <c:axId val="-2097215720"/>
        <c:scaling>
          <c:orientation val="minMax"/>
        </c:scaling>
        <c:delete val="0"/>
        <c:axPos val="l"/>
        <c:majorGridlines/>
        <c:title>
          <c:overlay val="0"/>
        </c:title>
        <c:numFmt formatCode="General" sourceLinked="1"/>
        <c:majorTickMark val="none"/>
        <c:minorTickMark val="none"/>
        <c:tickLblPos val="nextTo"/>
        <c:crossAx val="-2097218472"/>
        <c:crosses val="autoZero"/>
        <c:crossBetween val="between"/>
      </c:valAx>
    </c:plotArea>
    <c:plotVisOnly val="1"/>
    <c:dispBlanksAs val="gap"/>
    <c:showDLblsOverMax val="0"/>
  </c:chart>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lineChart>
        <c:grouping val="standard"/>
        <c:varyColors val="0"/>
        <c:ser>
          <c:idx val="0"/>
          <c:order val="0"/>
          <c:tx>
            <c:v>Close Data - 9 Month</c:v>
          </c:tx>
          <c:marker>
            <c:symbol val="none"/>
          </c:marker>
          <c:dLbls>
            <c:dLbl>
              <c:idx val="186"/>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8B48-4B6E-A94E-4215B4820F0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trendline>
            <c:trendlineType val="linear"/>
            <c:dispRSqr val="1"/>
            <c:dispEq val="1"/>
            <c:trendlineLbl>
              <c:layout>
                <c:manualLayout>
                  <c:x val="-1.4312888063938701E-2"/>
                  <c:y val="-0.172950029617497"/>
                </c:manualLayout>
              </c:layout>
              <c:numFmt formatCode="General" sourceLinked="0"/>
            </c:trendlineLbl>
          </c:trendline>
          <c:cat>
            <c:numRef>
              <c:f>Analysis!$AE$7:$AE$193</c:f>
              <c:numCache>
                <c:formatCode>m/d/yyyy</c:formatCode>
                <c:ptCount val="187"/>
                <c:pt idx="0">
                  <c:v>42958</c:v>
                </c:pt>
                <c:pt idx="1">
                  <c:v>42957</c:v>
                </c:pt>
                <c:pt idx="2">
                  <c:v>42956</c:v>
                </c:pt>
                <c:pt idx="3">
                  <c:v>42955</c:v>
                </c:pt>
                <c:pt idx="4">
                  <c:v>42954</c:v>
                </c:pt>
                <c:pt idx="5">
                  <c:v>42951</c:v>
                </c:pt>
                <c:pt idx="6">
                  <c:v>42950</c:v>
                </c:pt>
                <c:pt idx="7">
                  <c:v>42949</c:v>
                </c:pt>
                <c:pt idx="8">
                  <c:v>42948</c:v>
                </c:pt>
                <c:pt idx="9">
                  <c:v>42947</c:v>
                </c:pt>
                <c:pt idx="10">
                  <c:v>42944</c:v>
                </c:pt>
                <c:pt idx="11">
                  <c:v>42943</c:v>
                </c:pt>
                <c:pt idx="12">
                  <c:v>42942</c:v>
                </c:pt>
                <c:pt idx="13">
                  <c:v>42941</c:v>
                </c:pt>
                <c:pt idx="14">
                  <c:v>42940</c:v>
                </c:pt>
                <c:pt idx="15">
                  <c:v>42937</c:v>
                </c:pt>
                <c:pt idx="16">
                  <c:v>42936</c:v>
                </c:pt>
                <c:pt idx="17">
                  <c:v>42935</c:v>
                </c:pt>
                <c:pt idx="18">
                  <c:v>42934</c:v>
                </c:pt>
                <c:pt idx="19">
                  <c:v>42933</c:v>
                </c:pt>
                <c:pt idx="20">
                  <c:v>42930</c:v>
                </c:pt>
                <c:pt idx="21">
                  <c:v>42929</c:v>
                </c:pt>
                <c:pt idx="22">
                  <c:v>42928</c:v>
                </c:pt>
                <c:pt idx="23">
                  <c:v>42927</c:v>
                </c:pt>
                <c:pt idx="24">
                  <c:v>42926</c:v>
                </c:pt>
                <c:pt idx="25">
                  <c:v>42923</c:v>
                </c:pt>
                <c:pt idx="26">
                  <c:v>42922</c:v>
                </c:pt>
                <c:pt idx="27">
                  <c:v>42921</c:v>
                </c:pt>
                <c:pt idx="28">
                  <c:v>42919</c:v>
                </c:pt>
                <c:pt idx="29">
                  <c:v>42916</c:v>
                </c:pt>
                <c:pt idx="30">
                  <c:v>42915</c:v>
                </c:pt>
                <c:pt idx="31">
                  <c:v>42914</c:v>
                </c:pt>
                <c:pt idx="32">
                  <c:v>42913</c:v>
                </c:pt>
                <c:pt idx="33">
                  <c:v>42912</c:v>
                </c:pt>
                <c:pt idx="34">
                  <c:v>42909</c:v>
                </c:pt>
                <c:pt idx="35">
                  <c:v>42908</c:v>
                </c:pt>
                <c:pt idx="36">
                  <c:v>42907</c:v>
                </c:pt>
                <c:pt idx="37">
                  <c:v>42906</c:v>
                </c:pt>
                <c:pt idx="38">
                  <c:v>42905</c:v>
                </c:pt>
                <c:pt idx="39">
                  <c:v>42902</c:v>
                </c:pt>
                <c:pt idx="40">
                  <c:v>42901</c:v>
                </c:pt>
                <c:pt idx="41">
                  <c:v>42900</c:v>
                </c:pt>
                <c:pt idx="42">
                  <c:v>42899</c:v>
                </c:pt>
                <c:pt idx="43">
                  <c:v>42898</c:v>
                </c:pt>
                <c:pt idx="44">
                  <c:v>42895</c:v>
                </c:pt>
                <c:pt idx="45">
                  <c:v>42894</c:v>
                </c:pt>
                <c:pt idx="46">
                  <c:v>42893</c:v>
                </c:pt>
                <c:pt idx="47">
                  <c:v>42892</c:v>
                </c:pt>
                <c:pt idx="48">
                  <c:v>42891</c:v>
                </c:pt>
                <c:pt idx="49">
                  <c:v>42888</c:v>
                </c:pt>
                <c:pt idx="50">
                  <c:v>42887</c:v>
                </c:pt>
                <c:pt idx="51">
                  <c:v>42886</c:v>
                </c:pt>
                <c:pt idx="52">
                  <c:v>42885</c:v>
                </c:pt>
                <c:pt idx="53">
                  <c:v>42881</c:v>
                </c:pt>
                <c:pt idx="54">
                  <c:v>42880</c:v>
                </c:pt>
                <c:pt idx="55">
                  <c:v>42879</c:v>
                </c:pt>
                <c:pt idx="56">
                  <c:v>42878</c:v>
                </c:pt>
                <c:pt idx="57">
                  <c:v>42877</c:v>
                </c:pt>
                <c:pt idx="58">
                  <c:v>42874</c:v>
                </c:pt>
                <c:pt idx="59">
                  <c:v>42873</c:v>
                </c:pt>
                <c:pt idx="60">
                  <c:v>42872</c:v>
                </c:pt>
                <c:pt idx="61">
                  <c:v>42871</c:v>
                </c:pt>
                <c:pt idx="62">
                  <c:v>42870</c:v>
                </c:pt>
                <c:pt idx="63">
                  <c:v>42867</c:v>
                </c:pt>
                <c:pt idx="64">
                  <c:v>42866</c:v>
                </c:pt>
                <c:pt idx="65">
                  <c:v>42865</c:v>
                </c:pt>
                <c:pt idx="66">
                  <c:v>42864</c:v>
                </c:pt>
                <c:pt idx="67">
                  <c:v>42863</c:v>
                </c:pt>
                <c:pt idx="68">
                  <c:v>42860</c:v>
                </c:pt>
                <c:pt idx="69">
                  <c:v>42859</c:v>
                </c:pt>
                <c:pt idx="70">
                  <c:v>42858</c:v>
                </c:pt>
                <c:pt idx="71">
                  <c:v>42857</c:v>
                </c:pt>
                <c:pt idx="72">
                  <c:v>42856</c:v>
                </c:pt>
                <c:pt idx="73">
                  <c:v>42853</c:v>
                </c:pt>
                <c:pt idx="74">
                  <c:v>42852</c:v>
                </c:pt>
                <c:pt idx="75">
                  <c:v>42851</c:v>
                </c:pt>
                <c:pt idx="76">
                  <c:v>42850</c:v>
                </c:pt>
                <c:pt idx="77">
                  <c:v>42849</c:v>
                </c:pt>
                <c:pt idx="78">
                  <c:v>42846</c:v>
                </c:pt>
                <c:pt idx="79">
                  <c:v>42845</c:v>
                </c:pt>
                <c:pt idx="80">
                  <c:v>42844</c:v>
                </c:pt>
                <c:pt idx="81">
                  <c:v>42843</c:v>
                </c:pt>
                <c:pt idx="82">
                  <c:v>42842</c:v>
                </c:pt>
                <c:pt idx="83">
                  <c:v>42838</c:v>
                </c:pt>
                <c:pt idx="84">
                  <c:v>42837</c:v>
                </c:pt>
                <c:pt idx="85">
                  <c:v>42836</c:v>
                </c:pt>
                <c:pt idx="86">
                  <c:v>42835</c:v>
                </c:pt>
                <c:pt idx="87">
                  <c:v>42832</c:v>
                </c:pt>
                <c:pt idx="88">
                  <c:v>42831</c:v>
                </c:pt>
                <c:pt idx="89">
                  <c:v>42830</c:v>
                </c:pt>
                <c:pt idx="90">
                  <c:v>42829</c:v>
                </c:pt>
                <c:pt idx="91">
                  <c:v>42828</c:v>
                </c:pt>
                <c:pt idx="92">
                  <c:v>42825</c:v>
                </c:pt>
                <c:pt idx="93">
                  <c:v>42824</c:v>
                </c:pt>
                <c:pt idx="94">
                  <c:v>42823</c:v>
                </c:pt>
                <c:pt idx="95">
                  <c:v>42822</c:v>
                </c:pt>
                <c:pt idx="96">
                  <c:v>42821</c:v>
                </c:pt>
                <c:pt idx="97">
                  <c:v>42818</c:v>
                </c:pt>
                <c:pt idx="98">
                  <c:v>42817</c:v>
                </c:pt>
                <c:pt idx="99">
                  <c:v>42816</c:v>
                </c:pt>
                <c:pt idx="100">
                  <c:v>42815</c:v>
                </c:pt>
                <c:pt idx="101">
                  <c:v>42814</c:v>
                </c:pt>
                <c:pt idx="102">
                  <c:v>42811</c:v>
                </c:pt>
                <c:pt idx="103">
                  <c:v>42810</c:v>
                </c:pt>
                <c:pt idx="104">
                  <c:v>42809</c:v>
                </c:pt>
                <c:pt idx="105">
                  <c:v>42808</c:v>
                </c:pt>
                <c:pt idx="106">
                  <c:v>42807</c:v>
                </c:pt>
                <c:pt idx="107">
                  <c:v>42804</c:v>
                </c:pt>
                <c:pt idx="108">
                  <c:v>42803</c:v>
                </c:pt>
                <c:pt idx="109">
                  <c:v>42802</c:v>
                </c:pt>
                <c:pt idx="110">
                  <c:v>42801</c:v>
                </c:pt>
                <c:pt idx="111">
                  <c:v>42800</c:v>
                </c:pt>
                <c:pt idx="112">
                  <c:v>42797</c:v>
                </c:pt>
                <c:pt idx="113">
                  <c:v>42796</c:v>
                </c:pt>
                <c:pt idx="114">
                  <c:v>42795</c:v>
                </c:pt>
                <c:pt idx="115">
                  <c:v>42794</c:v>
                </c:pt>
                <c:pt idx="116">
                  <c:v>42793</c:v>
                </c:pt>
                <c:pt idx="117">
                  <c:v>42790</c:v>
                </c:pt>
                <c:pt idx="118">
                  <c:v>42789</c:v>
                </c:pt>
                <c:pt idx="119">
                  <c:v>42788</c:v>
                </c:pt>
                <c:pt idx="120">
                  <c:v>42787</c:v>
                </c:pt>
                <c:pt idx="121">
                  <c:v>42783</c:v>
                </c:pt>
                <c:pt idx="122">
                  <c:v>42782</c:v>
                </c:pt>
                <c:pt idx="123">
                  <c:v>42781</c:v>
                </c:pt>
                <c:pt idx="124">
                  <c:v>42780</c:v>
                </c:pt>
                <c:pt idx="125">
                  <c:v>42779</c:v>
                </c:pt>
                <c:pt idx="126">
                  <c:v>42776</c:v>
                </c:pt>
                <c:pt idx="127">
                  <c:v>42775</c:v>
                </c:pt>
                <c:pt idx="128">
                  <c:v>42774</c:v>
                </c:pt>
                <c:pt idx="129">
                  <c:v>42773</c:v>
                </c:pt>
                <c:pt idx="130">
                  <c:v>42772</c:v>
                </c:pt>
                <c:pt idx="131">
                  <c:v>42769</c:v>
                </c:pt>
                <c:pt idx="132">
                  <c:v>42768</c:v>
                </c:pt>
                <c:pt idx="133">
                  <c:v>42767</c:v>
                </c:pt>
                <c:pt idx="134">
                  <c:v>42766</c:v>
                </c:pt>
                <c:pt idx="135">
                  <c:v>42765</c:v>
                </c:pt>
                <c:pt idx="136">
                  <c:v>42762</c:v>
                </c:pt>
                <c:pt idx="137">
                  <c:v>42761</c:v>
                </c:pt>
                <c:pt idx="138">
                  <c:v>42760</c:v>
                </c:pt>
                <c:pt idx="139">
                  <c:v>42759</c:v>
                </c:pt>
                <c:pt idx="140">
                  <c:v>42758</c:v>
                </c:pt>
                <c:pt idx="141">
                  <c:v>42755</c:v>
                </c:pt>
                <c:pt idx="142">
                  <c:v>42754</c:v>
                </c:pt>
                <c:pt idx="143">
                  <c:v>42753</c:v>
                </c:pt>
                <c:pt idx="144">
                  <c:v>42752</c:v>
                </c:pt>
                <c:pt idx="145">
                  <c:v>42748</c:v>
                </c:pt>
                <c:pt idx="146">
                  <c:v>42747</c:v>
                </c:pt>
                <c:pt idx="147">
                  <c:v>42746</c:v>
                </c:pt>
                <c:pt idx="148">
                  <c:v>42745</c:v>
                </c:pt>
                <c:pt idx="149">
                  <c:v>42744</c:v>
                </c:pt>
                <c:pt idx="150">
                  <c:v>42741</c:v>
                </c:pt>
                <c:pt idx="151">
                  <c:v>42740</c:v>
                </c:pt>
                <c:pt idx="152">
                  <c:v>42739</c:v>
                </c:pt>
                <c:pt idx="153">
                  <c:v>42738</c:v>
                </c:pt>
                <c:pt idx="154">
                  <c:v>42734</c:v>
                </c:pt>
                <c:pt idx="155">
                  <c:v>42733</c:v>
                </c:pt>
                <c:pt idx="156">
                  <c:v>42732</c:v>
                </c:pt>
                <c:pt idx="157">
                  <c:v>42731</c:v>
                </c:pt>
                <c:pt idx="158">
                  <c:v>42727</c:v>
                </c:pt>
                <c:pt idx="159">
                  <c:v>42726</c:v>
                </c:pt>
                <c:pt idx="160">
                  <c:v>42725</c:v>
                </c:pt>
                <c:pt idx="161">
                  <c:v>42724</c:v>
                </c:pt>
                <c:pt idx="162">
                  <c:v>42723</c:v>
                </c:pt>
                <c:pt idx="163">
                  <c:v>42720</c:v>
                </c:pt>
                <c:pt idx="164">
                  <c:v>42719</c:v>
                </c:pt>
                <c:pt idx="165">
                  <c:v>42718</c:v>
                </c:pt>
                <c:pt idx="166">
                  <c:v>42717</c:v>
                </c:pt>
                <c:pt idx="167">
                  <c:v>42716</c:v>
                </c:pt>
                <c:pt idx="168">
                  <c:v>42713</c:v>
                </c:pt>
                <c:pt idx="169">
                  <c:v>42712</c:v>
                </c:pt>
                <c:pt idx="170">
                  <c:v>42711</c:v>
                </c:pt>
                <c:pt idx="171">
                  <c:v>42710</c:v>
                </c:pt>
                <c:pt idx="172">
                  <c:v>42709</c:v>
                </c:pt>
                <c:pt idx="173">
                  <c:v>42706</c:v>
                </c:pt>
                <c:pt idx="174">
                  <c:v>42705</c:v>
                </c:pt>
                <c:pt idx="175">
                  <c:v>42704</c:v>
                </c:pt>
                <c:pt idx="176">
                  <c:v>42703</c:v>
                </c:pt>
                <c:pt idx="177">
                  <c:v>42702</c:v>
                </c:pt>
                <c:pt idx="178">
                  <c:v>42699</c:v>
                </c:pt>
                <c:pt idx="179">
                  <c:v>42697</c:v>
                </c:pt>
                <c:pt idx="180">
                  <c:v>42696</c:v>
                </c:pt>
                <c:pt idx="181">
                  <c:v>42695</c:v>
                </c:pt>
                <c:pt idx="182">
                  <c:v>42692</c:v>
                </c:pt>
                <c:pt idx="183">
                  <c:v>42691</c:v>
                </c:pt>
                <c:pt idx="184">
                  <c:v>42690</c:v>
                </c:pt>
                <c:pt idx="185">
                  <c:v>42689</c:v>
                </c:pt>
                <c:pt idx="186">
                  <c:v>42688</c:v>
                </c:pt>
              </c:numCache>
            </c:numRef>
          </c:cat>
          <c:val>
            <c:numRef>
              <c:f>Analysis!$AJ$7:$AJ$193</c:f>
              <c:numCache>
                <c:formatCode>General</c:formatCode>
                <c:ptCount val="187"/>
                <c:pt idx="0">
                  <c:v>108.81</c:v>
                </c:pt>
                <c:pt idx="1">
                  <c:v>108.9</c:v>
                </c:pt>
                <c:pt idx="2">
                  <c:v>109.66</c:v>
                </c:pt>
                <c:pt idx="3">
                  <c:v>108.51</c:v>
                </c:pt>
                <c:pt idx="4">
                  <c:v>112.17</c:v>
                </c:pt>
                <c:pt idx="5">
                  <c:v>111.39</c:v>
                </c:pt>
                <c:pt idx="6">
                  <c:v>111.77</c:v>
                </c:pt>
                <c:pt idx="7">
                  <c:v>115.25</c:v>
                </c:pt>
                <c:pt idx="8">
                  <c:v>116.78</c:v>
                </c:pt>
                <c:pt idx="9">
                  <c:v>118.91</c:v>
                </c:pt>
                <c:pt idx="10">
                  <c:v>117.38</c:v>
                </c:pt>
                <c:pt idx="11">
                  <c:v>115.63</c:v>
                </c:pt>
                <c:pt idx="12">
                  <c:v>105.98</c:v>
                </c:pt>
                <c:pt idx="13">
                  <c:v>103.18</c:v>
                </c:pt>
                <c:pt idx="14">
                  <c:v>103.54</c:v>
                </c:pt>
                <c:pt idx="15">
                  <c:v>104.58</c:v>
                </c:pt>
                <c:pt idx="16">
                  <c:v>103.34</c:v>
                </c:pt>
                <c:pt idx="17">
                  <c:v>102.75</c:v>
                </c:pt>
                <c:pt idx="18">
                  <c:v>101.3</c:v>
                </c:pt>
                <c:pt idx="19">
                  <c:v>101.7</c:v>
                </c:pt>
                <c:pt idx="20">
                  <c:v>101.35</c:v>
                </c:pt>
                <c:pt idx="21">
                  <c:v>101.63</c:v>
                </c:pt>
                <c:pt idx="22">
                  <c:v>102.5</c:v>
                </c:pt>
                <c:pt idx="23">
                  <c:v>101.84</c:v>
                </c:pt>
                <c:pt idx="24">
                  <c:v>103.66</c:v>
                </c:pt>
                <c:pt idx="25">
                  <c:v>105.14</c:v>
                </c:pt>
                <c:pt idx="26">
                  <c:v>103.44</c:v>
                </c:pt>
                <c:pt idx="27">
                  <c:v>104.07</c:v>
                </c:pt>
                <c:pt idx="28">
                  <c:v>102.42</c:v>
                </c:pt>
                <c:pt idx="29">
                  <c:v>102.46</c:v>
                </c:pt>
                <c:pt idx="30">
                  <c:v>101.46</c:v>
                </c:pt>
                <c:pt idx="31">
                  <c:v>102.68</c:v>
                </c:pt>
                <c:pt idx="32">
                  <c:v>101.5</c:v>
                </c:pt>
                <c:pt idx="33">
                  <c:v>102.21</c:v>
                </c:pt>
                <c:pt idx="34">
                  <c:v>101.41</c:v>
                </c:pt>
                <c:pt idx="35">
                  <c:v>101.91</c:v>
                </c:pt>
                <c:pt idx="36">
                  <c:v>102.5</c:v>
                </c:pt>
                <c:pt idx="37">
                  <c:v>102.48</c:v>
                </c:pt>
                <c:pt idx="38">
                  <c:v>104.11</c:v>
                </c:pt>
                <c:pt idx="39">
                  <c:v>103.49</c:v>
                </c:pt>
                <c:pt idx="40">
                  <c:v>102.17</c:v>
                </c:pt>
                <c:pt idx="41">
                  <c:v>101.25</c:v>
                </c:pt>
                <c:pt idx="42">
                  <c:v>101.87</c:v>
                </c:pt>
                <c:pt idx="43">
                  <c:v>101.54</c:v>
                </c:pt>
                <c:pt idx="44">
                  <c:v>100.11</c:v>
                </c:pt>
                <c:pt idx="45">
                  <c:v>100.77</c:v>
                </c:pt>
                <c:pt idx="46">
                  <c:v>100.94</c:v>
                </c:pt>
                <c:pt idx="47">
                  <c:v>101.2</c:v>
                </c:pt>
                <c:pt idx="48">
                  <c:v>101.1</c:v>
                </c:pt>
                <c:pt idx="49">
                  <c:v>100.98</c:v>
                </c:pt>
                <c:pt idx="50">
                  <c:v>103.35</c:v>
                </c:pt>
                <c:pt idx="51">
                  <c:v>102.37</c:v>
                </c:pt>
                <c:pt idx="52">
                  <c:v>101.53</c:v>
                </c:pt>
                <c:pt idx="53">
                  <c:v>101.35</c:v>
                </c:pt>
                <c:pt idx="54">
                  <c:v>101.16</c:v>
                </c:pt>
                <c:pt idx="55">
                  <c:v>99.98</c:v>
                </c:pt>
                <c:pt idx="56">
                  <c:v>99.53</c:v>
                </c:pt>
                <c:pt idx="57">
                  <c:v>99.45</c:v>
                </c:pt>
                <c:pt idx="58">
                  <c:v>98.62</c:v>
                </c:pt>
                <c:pt idx="59">
                  <c:v>98.35</c:v>
                </c:pt>
                <c:pt idx="60">
                  <c:v>97.3</c:v>
                </c:pt>
                <c:pt idx="61">
                  <c:v>98.32</c:v>
                </c:pt>
                <c:pt idx="62">
                  <c:v>98.45</c:v>
                </c:pt>
                <c:pt idx="63">
                  <c:v>97.17</c:v>
                </c:pt>
                <c:pt idx="64">
                  <c:v>96.46</c:v>
                </c:pt>
                <c:pt idx="65">
                  <c:v>96.63</c:v>
                </c:pt>
                <c:pt idx="66">
                  <c:v>97.08</c:v>
                </c:pt>
                <c:pt idx="67">
                  <c:v>96.7</c:v>
                </c:pt>
                <c:pt idx="68">
                  <c:v>99.29</c:v>
                </c:pt>
                <c:pt idx="69">
                  <c:v>99.1</c:v>
                </c:pt>
                <c:pt idx="70">
                  <c:v>97.51</c:v>
                </c:pt>
                <c:pt idx="71">
                  <c:v>104.01</c:v>
                </c:pt>
                <c:pt idx="72">
                  <c:v>103.97</c:v>
                </c:pt>
                <c:pt idx="73">
                  <c:v>104.49</c:v>
                </c:pt>
                <c:pt idx="74">
                  <c:v>105.16</c:v>
                </c:pt>
                <c:pt idx="75">
                  <c:v>104.86</c:v>
                </c:pt>
                <c:pt idx="76">
                  <c:v>105.01</c:v>
                </c:pt>
                <c:pt idx="77">
                  <c:v>104.14</c:v>
                </c:pt>
                <c:pt idx="78">
                  <c:v>102.69</c:v>
                </c:pt>
                <c:pt idx="79">
                  <c:v>103.04</c:v>
                </c:pt>
                <c:pt idx="80">
                  <c:v>102.07</c:v>
                </c:pt>
                <c:pt idx="81">
                  <c:v>101.93</c:v>
                </c:pt>
                <c:pt idx="82">
                  <c:v>101.86</c:v>
                </c:pt>
                <c:pt idx="83">
                  <c:v>101.26</c:v>
                </c:pt>
                <c:pt idx="84">
                  <c:v>101.95</c:v>
                </c:pt>
                <c:pt idx="85">
                  <c:v>102.09</c:v>
                </c:pt>
                <c:pt idx="86">
                  <c:v>102.14</c:v>
                </c:pt>
                <c:pt idx="87">
                  <c:v>102.19</c:v>
                </c:pt>
                <c:pt idx="88">
                  <c:v>101.75</c:v>
                </c:pt>
                <c:pt idx="89">
                  <c:v>101.93</c:v>
                </c:pt>
                <c:pt idx="90">
                  <c:v>101.45</c:v>
                </c:pt>
                <c:pt idx="91">
                  <c:v>101.27</c:v>
                </c:pt>
                <c:pt idx="92">
                  <c:v>102.39</c:v>
                </c:pt>
                <c:pt idx="93">
                  <c:v>102.17</c:v>
                </c:pt>
                <c:pt idx="94">
                  <c:v>102.13</c:v>
                </c:pt>
                <c:pt idx="95">
                  <c:v>103.28</c:v>
                </c:pt>
                <c:pt idx="96">
                  <c:v>102.91</c:v>
                </c:pt>
                <c:pt idx="97">
                  <c:v>103.38</c:v>
                </c:pt>
                <c:pt idx="98">
                  <c:v>103.52</c:v>
                </c:pt>
                <c:pt idx="99">
                  <c:v>103.68</c:v>
                </c:pt>
                <c:pt idx="100">
                  <c:v>103.12</c:v>
                </c:pt>
                <c:pt idx="101">
                  <c:v>104.45</c:v>
                </c:pt>
                <c:pt idx="102">
                  <c:v>105.11</c:v>
                </c:pt>
                <c:pt idx="103">
                  <c:v>104.25</c:v>
                </c:pt>
                <c:pt idx="104">
                  <c:v>104.67</c:v>
                </c:pt>
                <c:pt idx="105">
                  <c:v>103.97</c:v>
                </c:pt>
                <c:pt idx="106">
                  <c:v>104.84</c:v>
                </c:pt>
                <c:pt idx="107">
                  <c:v>104.55</c:v>
                </c:pt>
                <c:pt idx="108">
                  <c:v>103.4</c:v>
                </c:pt>
                <c:pt idx="109">
                  <c:v>103.71</c:v>
                </c:pt>
                <c:pt idx="110">
                  <c:v>104.27</c:v>
                </c:pt>
                <c:pt idx="111">
                  <c:v>104.95</c:v>
                </c:pt>
                <c:pt idx="112">
                  <c:v>104.5</c:v>
                </c:pt>
                <c:pt idx="113">
                  <c:v>104.07</c:v>
                </c:pt>
                <c:pt idx="114">
                  <c:v>104.53</c:v>
                </c:pt>
                <c:pt idx="115">
                  <c:v>102.62</c:v>
                </c:pt>
                <c:pt idx="116">
                  <c:v>102.7</c:v>
                </c:pt>
                <c:pt idx="117">
                  <c:v>103</c:v>
                </c:pt>
                <c:pt idx="118">
                  <c:v>101.64</c:v>
                </c:pt>
                <c:pt idx="119">
                  <c:v>100.42</c:v>
                </c:pt>
                <c:pt idx="120">
                  <c:v>99.22</c:v>
                </c:pt>
                <c:pt idx="121">
                  <c:v>99.68</c:v>
                </c:pt>
                <c:pt idx="122">
                  <c:v>99.88</c:v>
                </c:pt>
                <c:pt idx="123">
                  <c:v>99.65</c:v>
                </c:pt>
                <c:pt idx="124">
                  <c:v>99.44</c:v>
                </c:pt>
                <c:pt idx="125">
                  <c:v>98.58</c:v>
                </c:pt>
                <c:pt idx="126">
                  <c:v>97.82</c:v>
                </c:pt>
                <c:pt idx="127">
                  <c:v>97.65</c:v>
                </c:pt>
                <c:pt idx="128">
                  <c:v>96.58</c:v>
                </c:pt>
                <c:pt idx="129">
                  <c:v>96.29</c:v>
                </c:pt>
                <c:pt idx="130">
                  <c:v>96.47</c:v>
                </c:pt>
                <c:pt idx="131">
                  <c:v>96.87</c:v>
                </c:pt>
                <c:pt idx="132">
                  <c:v>96.32</c:v>
                </c:pt>
                <c:pt idx="133">
                  <c:v>95.25</c:v>
                </c:pt>
                <c:pt idx="134">
                  <c:v>100.99</c:v>
                </c:pt>
                <c:pt idx="135">
                  <c:v>101.97</c:v>
                </c:pt>
                <c:pt idx="136">
                  <c:v>101.71</c:v>
                </c:pt>
                <c:pt idx="137">
                  <c:v>102.04</c:v>
                </c:pt>
                <c:pt idx="138">
                  <c:v>102.7</c:v>
                </c:pt>
                <c:pt idx="139">
                  <c:v>103.24</c:v>
                </c:pt>
                <c:pt idx="140">
                  <c:v>102.2</c:v>
                </c:pt>
                <c:pt idx="141">
                  <c:v>103.24</c:v>
                </c:pt>
                <c:pt idx="142">
                  <c:v>102.97</c:v>
                </c:pt>
                <c:pt idx="143">
                  <c:v>102.91</c:v>
                </c:pt>
                <c:pt idx="144">
                  <c:v>103.07</c:v>
                </c:pt>
                <c:pt idx="145">
                  <c:v>103.77</c:v>
                </c:pt>
                <c:pt idx="146">
                  <c:v>103.8</c:v>
                </c:pt>
                <c:pt idx="147">
                  <c:v>103.2</c:v>
                </c:pt>
                <c:pt idx="148">
                  <c:v>102.2</c:v>
                </c:pt>
                <c:pt idx="149">
                  <c:v>102.47</c:v>
                </c:pt>
                <c:pt idx="150">
                  <c:v>103.11</c:v>
                </c:pt>
                <c:pt idx="151">
                  <c:v>103.04</c:v>
                </c:pt>
                <c:pt idx="152">
                  <c:v>103.66</c:v>
                </c:pt>
                <c:pt idx="153">
                  <c:v>103.5</c:v>
                </c:pt>
                <c:pt idx="154">
                  <c:v>102.78</c:v>
                </c:pt>
                <c:pt idx="155">
                  <c:v>103.45</c:v>
                </c:pt>
                <c:pt idx="156">
                  <c:v>103.05</c:v>
                </c:pt>
                <c:pt idx="157">
                  <c:v>103.31</c:v>
                </c:pt>
                <c:pt idx="158">
                  <c:v>102.93</c:v>
                </c:pt>
                <c:pt idx="159">
                  <c:v>102.6</c:v>
                </c:pt>
                <c:pt idx="160">
                  <c:v>102.47</c:v>
                </c:pt>
                <c:pt idx="161">
                  <c:v>102.33</c:v>
                </c:pt>
                <c:pt idx="162">
                  <c:v>101.09</c:v>
                </c:pt>
                <c:pt idx="163">
                  <c:v>100.85</c:v>
                </c:pt>
                <c:pt idx="164">
                  <c:v>98.76</c:v>
                </c:pt>
                <c:pt idx="165">
                  <c:v>97.69</c:v>
                </c:pt>
                <c:pt idx="166">
                  <c:v>98.4</c:v>
                </c:pt>
                <c:pt idx="167">
                  <c:v>98.06</c:v>
                </c:pt>
                <c:pt idx="168">
                  <c:v>98.22</c:v>
                </c:pt>
                <c:pt idx="169">
                  <c:v>98.19</c:v>
                </c:pt>
                <c:pt idx="170">
                  <c:v>97.57</c:v>
                </c:pt>
                <c:pt idx="171">
                  <c:v>96</c:v>
                </c:pt>
                <c:pt idx="172">
                  <c:v>96.05</c:v>
                </c:pt>
                <c:pt idx="173">
                  <c:v>95.24</c:v>
                </c:pt>
                <c:pt idx="174">
                  <c:v>95.77</c:v>
                </c:pt>
                <c:pt idx="175">
                  <c:v>96.02</c:v>
                </c:pt>
                <c:pt idx="176">
                  <c:v>97.04</c:v>
                </c:pt>
                <c:pt idx="177">
                  <c:v>96.57</c:v>
                </c:pt>
                <c:pt idx="178">
                  <c:v>96.92</c:v>
                </c:pt>
                <c:pt idx="179">
                  <c:v>96.65</c:v>
                </c:pt>
                <c:pt idx="180">
                  <c:v>96.39</c:v>
                </c:pt>
                <c:pt idx="181">
                  <c:v>95.59</c:v>
                </c:pt>
                <c:pt idx="182">
                  <c:v>94.39</c:v>
                </c:pt>
                <c:pt idx="183">
                  <c:v>94.38</c:v>
                </c:pt>
                <c:pt idx="184">
                  <c:v>93.27</c:v>
                </c:pt>
                <c:pt idx="185">
                  <c:v>92.34</c:v>
                </c:pt>
                <c:pt idx="186">
                  <c:v>91.89</c:v>
                </c:pt>
              </c:numCache>
            </c:numRef>
          </c:val>
          <c:smooth val="0"/>
          <c:extLst>
            <c:ext xmlns:c16="http://schemas.microsoft.com/office/drawing/2014/chart" uri="{C3380CC4-5D6E-409C-BE32-E72D297353CC}">
              <c16:uniqueId val="{00000002-8B48-4B6E-A94E-4215B4820F05}"/>
            </c:ext>
          </c:extLst>
        </c:ser>
        <c:dLbls>
          <c:showLegendKey val="0"/>
          <c:showVal val="0"/>
          <c:showCatName val="0"/>
          <c:showSerName val="0"/>
          <c:showPercent val="0"/>
          <c:showBubbleSize val="0"/>
        </c:dLbls>
        <c:smooth val="0"/>
        <c:axId val="-2097180056"/>
        <c:axId val="-2097177320"/>
      </c:lineChart>
      <c:dateAx>
        <c:axId val="-2097180056"/>
        <c:scaling>
          <c:orientation val="minMax"/>
        </c:scaling>
        <c:delete val="0"/>
        <c:axPos val="b"/>
        <c:numFmt formatCode="m/d/yyyy" sourceLinked="1"/>
        <c:majorTickMark val="none"/>
        <c:minorTickMark val="none"/>
        <c:tickLblPos val="nextTo"/>
        <c:crossAx val="-2097177320"/>
        <c:crosses val="autoZero"/>
        <c:auto val="1"/>
        <c:lblOffset val="100"/>
        <c:baseTimeUnit val="days"/>
      </c:dateAx>
      <c:valAx>
        <c:axId val="-2097177320"/>
        <c:scaling>
          <c:orientation val="minMax"/>
        </c:scaling>
        <c:delete val="0"/>
        <c:axPos val="l"/>
        <c:majorGridlines/>
        <c:title>
          <c:overlay val="0"/>
        </c:title>
        <c:numFmt formatCode="General" sourceLinked="1"/>
        <c:majorTickMark val="none"/>
        <c:minorTickMark val="none"/>
        <c:tickLblPos val="nextTo"/>
        <c:crossAx val="-2097180056"/>
        <c:crosses val="autoZero"/>
        <c:crossBetween val="between"/>
      </c:valAx>
    </c:plotArea>
    <c:plotVisOnly val="1"/>
    <c:dispBlanksAs val="gap"/>
    <c:showDLblsOverMax val="0"/>
  </c:chart>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6"/>
          <c:order val="0"/>
          <c:tx>
            <c:v>Volume Difference</c:v>
          </c:tx>
          <c:spPr>
            <a:ln w="12700"/>
          </c:spPr>
          <c:marker>
            <c:symbol val="none"/>
          </c:marker>
          <c:cat>
            <c:numRef>
              <c:f>Analysis!$AE$7:$AE$37</c:f>
              <c:numCache>
                <c:formatCode>m/d/yyyy</c:formatCode>
                <c:ptCount val="31"/>
                <c:pt idx="0">
                  <c:v>42958</c:v>
                </c:pt>
                <c:pt idx="1">
                  <c:v>42957</c:v>
                </c:pt>
                <c:pt idx="2">
                  <c:v>42956</c:v>
                </c:pt>
                <c:pt idx="3">
                  <c:v>42955</c:v>
                </c:pt>
                <c:pt idx="4">
                  <c:v>42954</c:v>
                </c:pt>
                <c:pt idx="5">
                  <c:v>42951</c:v>
                </c:pt>
                <c:pt idx="6">
                  <c:v>42950</c:v>
                </c:pt>
                <c:pt idx="7">
                  <c:v>42949</c:v>
                </c:pt>
                <c:pt idx="8">
                  <c:v>42948</c:v>
                </c:pt>
                <c:pt idx="9">
                  <c:v>42947</c:v>
                </c:pt>
                <c:pt idx="10">
                  <c:v>42944</c:v>
                </c:pt>
                <c:pt idx="11">
                  <c:v>42943</c:v>
                </c:pt>
                <c:pt idx="12">
                  <c:v>42942</c:v>
                </c:pt>
                <c:pt idx="13">
                  <c:v>42941</c:v>
                </c:pt>
                <c:pt idx="14">
                  <c:v>42940</c:v>
                </c:pt>
                <c:pt idx="15">
                  <c:v>42937</c:v>
                </c:pt>
                <c:pt idx="16">
                  <c:v>42936</c:v>
                </c:pt>
                <c:pt idx="17">
                  <c:v>42935</c:v>
                </c:pt>
                <c:pt idx="18">
                  <c:v>42934</c:v>
                </c:pt>
                <c:pt idx="19">
                  <c:v>42933</c:v>
                </c:pt>
                <c:pt idx="20">
                  <c:v>42930</c:v>
                </c:pt>
                <c:pt idx="21">
                  <c:v>42929</c:v>
                </c:pt>
                <c:pt idx="22">
                  <c:v>42928</c:v>
                </c:pt>
                <c:pt idx="23">
                  <c:v>42927</c:v>
                </c:pt>
                <c:pt idx="24">
                  <c:v>42926</c:v>
                </c:pt>
                <c:pt idx="25">
                  <c:v>42923</c:v>
                </c:pt>
                <c:pt idx="26">
                  <c:v>42922</c:v>
                </c:pt>
                <c:pt idx="27">
                  <c:v>42921</c:v>
                </c:pt>
                <c:pt idx="28">
                  <c:v>42919</c:v>
                </c:pt>
                <c:pt idx="29">
                  <c:v>42916</c:v>
                </c:pt>
                <c:pt idx="30">
                  <c:v>42915</c:v>
                </c:pt>
              </c:numCache>
            </c:numRef>
          </c:cat>
          <c:val>
            <c:numRef>
              <c:f>Analysis!$AN$7:$AN$37</c:f>
              <c:numCache>
                <c:formatCode>General</c:formatCode>
                <c:ptCount val="31"/>
                <c:pt idx="1">
                  <c:v>4.9637958605227999</c:v>
                </c:pt>
                <c:pt idx="2">
                  <c:v>41.816031573788187</c:v>
                </c:pt>
                <c:pt idx="3">
                  <c:v>13.607599303320308</c:v>
                </c:pt>
                <c:pt idx="4">
                  <c:v>-142.00585227564409</c:v>
                </c:pt>
                <c:pt idx="5">
                  <c:v>50.516940878023853</c:v>
                </c:pt>
                <c:pt idx="6">
                  <c:v>9.9293301643142815</c:v>
                </c:pt>
                <c:pt idx="7">
                  <c:v>9.7233469097997229</c:v>
                </c:pt>
                <c:pt idx="8">
                  <c:v>-77.70128713580479</c:v>
                </c:pt>
                <c:pt idx="9">
                  <c:v>31.440023063823759</c:v>
                </c:pt>
                <c:pt idx="10">
                  <c:v>-3.8780251249400886</c:v>
                </c:pt>
                <c:pt idx="11">
                  <c:v>73.589097725751387</c:v>
                </c:pt>
                <c:pt idx="12">
                  <c:v>-431.08109358852909</c:v>
                </c:pt>
                <c:pt idx="13">
                  <c:v>-73.871146039069274</c:v>
                </c:pt>
                <c:pt idx="14">
                  <c:v>40.185683782240368</c:v>
                </c:pt>
                <c:pt idx="15">
                  <c:v>-45.132552927007303</c:v>
                </c:pt>
                <c:pt idx="16">
                  <c:v>-19.650529390851752</c:v>
                </c:pt>
                <c:pt idx="17">
                  <c:v>15.428381597630095</c:v>
                </c:pt>
                <c:pt idx="18">
                  <c:v>-54.708578268397943</c:v>
                </c:pt>
                <c:pt idx="19">
                  <c:v>24.505223291297433</c:v>
                </c:pt>
                <c:pt idx="20">
                  <c:v>-10.998053494880688</c:v>
                </c:pt>
                <c:pt idx="21">
                  <c:v>39.76066833680099</c:v>
                </c:pt>
                <c:pt idx="22">
                  <c:v>-52.619516906835088</c:v>
                </c:pt>
                <c:pt idx="23">
                  <c:v>39.339750325389929</c:v>
                </c:pt>
                <c:pt idx="24">
                  <c:v>6.1826171988448513</c:v>
                </c:pt>
                <c:pt idx="25">
                  <c:v>-95.486247540663314</c:v>
                </c:pt>
                <c:pt idx="26">
                  <c:v>-1.8134773975946064</c:v>
                </c:pt>
                <c:pt idx="27">
                  <c:v>3.9475247374668143</c:v>
                </c:pt>
                <c:pt idx="28">
                  <c:v>-78.288693422330326</c:v>
                </c:pt>
                <c:pt idx="29">
                  <c:v>46.222059681949098</c:v>
                </c:pt>
                <c:pt idx="30">
                  <c:v>22.137880904433214</c:v>
                </c:pt>
              </c:numCache>
            </c:numRef>
          </c:val>
          <c:smooth val="0"/>
          <c:extLst>
            <c:ext xmlns:c16="http://schemas.microsoft.com/office/drawing/2014/chart" uri="{C3380CC4-5D6E-409C-BE32-E72D297353CC}">
              <c16:uniqueId val="{00000000-975F-449D-9348-01368E018B00}"/>
            </c:ext>
          </c:extLst>
        </c:ser>
        <c:dLbls>
          <c:showLegendKey val="0"/>
          <c:showVal val="0"/>
          <c:showCatName val="0"/>
          <c:showSerName val="0"/>
          <c:showPercent val="0"/>
          <c:showBubbleSize val="0"/>
        </c:dLbls>
        <c:smooth val="0"/>
        <c:axId val="-2098104936"/>
        <c:axId val="-2098107976"/>
      </c:lineChart>
      <c:dateAx>
        <c:axId val="-2098104936"/>
        <c:scaling>
          <c:orientation val="minMax"/>
        </c:scaling>
        <c:delete val="0"/>
        <c:axPos val="b"/>
        <c:numFmt formatCode="m/d/yyyy" sourceLinked="1"/>
        <c:majorTickMark val="out"/>
        <c:minorTickMark val="none"/>
        <c:tickLblPos val="nextTo"/>
        <c:crossAx val="-2098107976"/>
        <c:crosses val="autoZero"/>
        <c:auto val="1"/>
        <c:lblOffset val="100"/>
        <c:baseTimeUnit val="days"/>
      </c:dateAx>
      <c:valAx>
        <c:axId val="-2098107976"/>
        <c:scaling>
          <c:orientation val="minMax"/>
        </c:scaling>
        <c:delete val="0"/>
        <c:axPos val="l"/>
        <c:majorGridlines/>
        <c:numFmt formatCode="General" sourceLinked="1"/>
        <c:majorTickMark val="out"/>
        <c:minorTickMark val="none"/>
        <c:tickLblPos val="nextTo"/>
        <c:crossAx val="-2098104936"/>
        <c:crosses val="autoZero"/>
        <c:crossBetween val="between"/>
      </c:valAx>
    </c:plotArea>
    <c:plotVisOnly val="1"/>
    <c:dispBlanksAs val="gap"/>
    <c:showDLblsOverMax val="0"/>
  </c:chart>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Analysis!$AG$6</c:f>
              <c:strCache>
                <c:ptCount val="1"/>
                <c:pt idx="0">
                  <c:v>Volume</c:v>
                </c:pt>
              </c:strCache>
            </c:strRef>
          </c:tx>
          <c:spPr>
            <a:ln w="47625">
              <a:noFill/>
            </a:ln>
          </c:spPr>
          <c:invertIfNegative val="0"/>
          <c:cat>
            <c:numRef>
              <c:f>Analysis!$AE$7:$AE$37</c:f>
              <c:numCache>
                <c:formatCode>m/d/yyyy</c:formatCode>
                <c:ptCount val="31"/>
                <c:pt idx="0">
                  <c:v>42958</c:v>
                </c:pt>
                <c:pt idx="1">
                  <c:v>42957</c:v>
                </c:pt>
                <c:pt idx="2">
                  <c:v>42956</c:v>
                </c:pt>
                <c:pt idx="3">
                  <c:v>42955</c:v>
                </c:pt>
                <c:pt idx="4">
                  <c:v>42954</c:v>
                </c:pt>
                <c:pt idx="5">
                  <c:v>42951</c:v>
                </c:pt>
                <c:pt idx="6">
                  <c:v>42950</c:v>
                </c:pt>
                <c:pt idx="7">
                  <c:v>42949</c:v>
                </c:pt>
                <c:pt idx="8">
                  <c:v>42948</c:v>
                </c:pt>
                <c:pt idx="9">
                  <c:v>42947</c:v>
                </c:pt>
                <c:pt idx="10">
                  <c:v>42944</c:v>
                </c:pt>
                <c:pt idx="11">
                  <c:v>42943</c:v>
                </c:pt>
                <c:pt idx="12">
                  <c:v>42942</c:v>
                </c:pt>
                <c:pt idx="13">
                  <c:v>42941</c:v>
                </c:pt>
                <c:pt idx="14">
                  <c:v>42940</c:v>
                </c:pt>
                <c:pt idx="15">
                  <c:v>42937</c:v>
                </c:pt>
                <c:pt idx="16">
                  <c:v>42936</c:v>
                </c:pt>
                <c:pt idx="17">
                  <c:v>42935</c:v>
                </c:pt>
                <c:pt idx="18">
                  <c:v>42934</c:v>
                </c:pt>
                <c:pt idx="19">
                  <c:v>42933</c:v>
                </c:pt>
                <c:pt idx="20">
                  <c:v>42930</c:v>
                </c:pt>
                <c:pt idx="21">
                  <c:v>42929</c:v>
                </c:pt>
                <c:pt idx="22">
                  <c:v>42928</c:v>
                </c:pt>
                <c:pt idx="23">
                  <c:v>42927</c:v>
                </c:pt>
                <c:pt idx="24">
                  <c:v>42926</c:v>
                </c:pt>
                <c:pt idx="25">
                  <c:v>42923</c:v>
                </c:pt>
                <c:pt idx="26">
                  <c:v>42922</c:v>
                </c:pt>
                <c:pt idx="27">
                  <c:v>42921</c:v>
                </c:pt>
                <c:pt idx="28">
                  <c:v>42919</c:v>
                </c:pt>
                <c:pt idx="29">
                  <c:v>42916</c:v>
                </c:pt>
                <c:pt idx="30">
                  <c:v>42915</c:v>
                </c:pt>
              </c:numCache>
            </c:numRef>
          </c:cat>
          <c:val>
            <c:numRef>
              <c:f>Analysis!$AG$7:$AG$37</c:f>
              <c:numCache>
                <c:formatCode>General</c:formatCode>
                <c:ptCount val="31"/>
                <c:pt idx="0">
                  <c:v>4639179</c:v>
                </c:pt>
                <c:pt idx="1">
                  <c:v>4881486</c:v>
                </c:pt>
                <c:pt idx="2">
                  <c:v>8389744</c:v>
                </c:pt>
                <c:pt idx="3">
                  <c:v>9711206</c:v>
                </c:pt>
                <c:pt idx="4">
                  <c:v>4012798</c:v>
                </c:pt>
                <c:pt idx="5">
                  <c:v>8109438</c:v>
                </c:pt>
                <c:pt idx="6">
                  <c:v>9003417</c:v>
                </c:pt>
                <c:pt idx="7">
                  <c:v>9973140</c:v>
                </c:pt>
                <c:pt idx="8">
                  <c:v>5612306</c:v>
                </c:pt>
                <c:pt idx="9">
                  <c:v>8185980</c:v>
                </c:pt>
                <c:pt idx="10">
                  <c:v>7880377</c:v>
                </c:pt>
                <c:pt idx="11">
                  <c:v>29837591</c:v>
                </c:pt>
                <c:pt idx="12">
                  <c:v>5618274</c:v>
                </c:pt>
                <c:pt idx="13">
                  <c:v>3231286</c:v>
                </c:pt>
                <c:pt idx="14">
                  <c:v>5402195</c:v>
                </c:pt>
                <c:pt idx="15">
                  <c:v>3722249</c:v>
                </c:pt>
                <c:pt idx="16">
                  <c:v>3110934</c:v>
                </c:pt>
                <c:pt idx="17">
                  <c:v>3678461</c:v>
                </c:pt>
                <c:pt idx="18">
                  <c:v>2377671</c:v>
                </c:pt>
                <c:pt idx="19">
                  <c:v>3149451</c:v>
                </c:pt>
                <c:pt idx="20">
                  <c:v>2837393</c:v>
                </c:pt>
                <c:pt idx="21">
                  <c:v>4710200</c:v>
                </c:pt>
                <c:pt idx="22">
                  <c:v>3086237</c:v>
                </c:pt>
                <c:pt idx="23">
                  <c:v>5087742</c:v>
                </c:pt>
                <c:pt idx="24">
                  <c:v>5423027</c:v>
                </c:pt>
                <c:pt idx="25">
                  <c:v>2774122</c:v>
                </c:pt>
                <c:pt idx="26">
                  <c:v>2724710</c:v>
                </c:pt>
                <c:pt idx="27">
                  <c:v>2836689</c:v>
                </c:pt>
                <c:pt idx="28">
                  <c:v>1591065</c:v>
                </c:pt>
                <c:pt idx="29">
                  <c:v>2958583</c:v>
                </c:pt>
                <c:pt idx="30">
                  <c:v>3799772</c:v>
                </c:pt>
              </c:numCache>
            </c:numRef>
          </c:val>
          <c:extLst>
            <c:ext xmlns:c16="http://schemas.microsoft.com/office/drawing/2014/chart" uri="{C3380CC4-5D6E-409C-BE32-E72D297353CC}">
              <c16:uniqueId val="{00000000-88BB-4A54-9EE1-A53924991F46}"/>
            </c:ext>
          </c:extLst>
        </c:ser>
        <c:dLbls>
          <c:showLegendKey val="0"/>
          <c:showVal val="0"/>
          <c:showCatName val="0"/>
          <c:showSerName val="0"/>
          <c:showPercent val="0"/>
          <c:showBubbleSize val="0"/>
        </c:dLbls>
        <c:gapWidth val="150"/>
        <c:axId val="-2098151928"/>
        <c:axId val="-2098155208"/>
      </c:barChart>
      <c:stockChart>
        <c:ser>
          <c:idx val="1"/>
          <c:order val="1"/>
          <c:tx>
            <c:strRef>
              <c:f>Analysis!$AH$6</c:f>
              <c:strCache>
                <c:ptCount val="1"/>
                <c:pt idx="0">
                  <c:v>High</c:v>
                </c:pt>
              </c:strCache>
            </c:strRef>
          </c:tx>
          <c:spPr>
            <a:ln w="47625">
              <a:noFill/>
            </a:ln>
          </c:spPr>
          <c:marker>
            <c:symbol val="none"/>
          </c:marker>
          <c:val>
            <c:numRef>
              <c:f>Analysis!$AH$7:$AH$37</c:f>
              <c:numCache>
                <c:formatCode>General</c:formatCode>
                <c:ptCount val="31"/>
                <c:pt idx="0">
                  <c:v>109.68</c:v>
                </c:pt>
                <c:pt idx="1">
                  <c:v>109.84</c:v>
                </c:pt>
                <c:pt idx="2">
                  <c:v>110.11</c:v>
                </c:pt>
                <c:pt idx="3">
                  <c:v>112.56</c:v>
                </c:pt>
                <c:pt idx="4">
                  <c:v>114</c:v>
                </c:pt>
                <c:pt idx="5">
                  <c:v>113.92</c:v>
                </c:pt>
                <c:pt idx="6">
                  <c:v>113.85</c:v>
                </c:pt>
                <c:pt idx="7">
                  <c:v>116.44</c:v>
                </c:pt>
                <c:pt idx="8">
                  <c:v>119.38</c:v>
                </c:pt>
                <c:pt idx="9">
                  <c:v>121.77</c:v>
                </c:pt>
                <c:pt idx="10">
                  <c:v>117.66</c:v>
                </c:pt>
                <c:pt idx="11">
                  <c:v>120</c:v>
                </c:pt>
                <c:pt idx="12">
                  <c:v>106.06</c:v>
                </c:pt>
                <c:pt idx="13">
                  <c:v>104.05</c:v>
                </c:pt>
                <c:pt idx="14">
                  <c:v>104.44</c:v>
                </c:pt>
                <c:pt idx="15">
                  <c:v>104.94</c:v>
                </c:pt>
                <c:pt idx="16">
                  <c:v>103.47</c:v>
                </c:pt>
                <c:pt idx="17">
                  <c:v>103.07</c:v>
                </c:pt>
                <c:pt idx="18">
                  <c:v>101.38</c:v>
                </c:pt>
                <c:pt idx="19">
                  <c:v>101.81</c:v>
                </c:pt>
                <c:pt idx="20">
                  <c:v>101.9</c:v>
                </c:pt>
                <c:pt idx="21">
                  <c:v>102.68</c:v>
                </c:pt>
                <c:pt idx="22">
                  <c:v>103.46</c:v>
                </c:pt>
                <c:pt idx="23">
                  <c:v>103.6</c:v>
                </c:pt>
                <c:pt idx="24">
                  <c:v>105.37</c:v>
                </c:pt>
                <c:pt idx="25">
                  <c:v>105.41</c:v>
                </c:pt>
                <c:pt idx="26">
                  <c:v>103.76</c:v>
                </c:pt>
                <c:pt idx="27">
                  <c:v>104.12</c:v>
                </c:pt>
                <c:pt idx="28">
                  <c:v>103.14</c:v>
                </c:pt>
                <c:pt idx="29">
                  <c:v>102.81</c:v>
                </c:pt>
                <c:pt idx="30">
                  <c:v>102.54</c:v>
                </c:pt>
              </c:numCache>
            </c:numRef>
          </c:val>
          <c:smooth val="0"/>
          <c:extLst>
            <c:ext xmlns:c16="http://schemas.microsoft.com/office/drawing/2014/chart" uri="{C3380CC4-5D6E-409C-BE32-E72D297353CC}">
              <c16:uniqueId val="{00000001-88BB-4A54-9EE1-A53924991F46}"/>
            </c:ext>
          </c:extLst>
        </c:ser>
        <c:ser>
          <c:idx val="2"/>
          <c:order val="2"/>
          <c:tx>
            <c:strRef>
              <c:f>Analysis!$AI$6</c:f>
              <c:strCache>
                <c:ptCount val="1"/>
                <c:pt idx="0">
                  <c:v>Low</c:v>
                </c:pt>
              </c:strCache>
            </c:strRef>
          </c:tx>
          <c:spPr>
            <a:ln w="47625">
              <a:noFill/>
            </a:ln>
          </c:spPr>
          <c:marker>
            <c:symbol val="none"/>
          </c:marker>
          <c:val>
            <c:numRef>
              <c:f>Analysis!$AI$7:$AI$37</c:f>
              <c:numCache>
                <c:formatCode>General</c:formatCode>
                <c:ptCount val="31"/>
                <c:pt idx="0">
                  <c:v>108.22</c:v>
                </c:pt>
                <c:pt idx="1">
                  <c:v>107.9</c:v>
                </c:pt>
                <c:pt idx="2">
                  <c:v>108.06</c:v>
                </c:pt>
                <c:pt idx="3">
                  <c:v>108.07</c:v>
                </c:pt>
                <c:pt idx="4">
                  <c:v>111.05</c:v>
                </c:pt>
                <c:pt idx="5">
                  <c:v>110.1</c:v>
                </c:pt>
                <c:pt idx="6">
                  <c:v>111</c:v>
                </c:pt>
                <c:pt idx="7">
                  <c:v>114.12</c:v>
                </c:pt>
                <c:pt idx="8">
                  <c:v>116.33</c:v>
                </c:pt>
                <c:pt idx="9">
                  <c:v>117.87</c:v>
                </c:pt>
                <c:pt idx="10">
                  <c:v>115</c:v>
                </c:pt>
                <c:pt idx="11">
                  <c:v>103.5</c:v>
                </c:pt>
                <c:pt idx="12">
                  <c:v>103.02</c:v>
                </c:pt>
                <c:pt idx="13">
                  <c:v>102.7</c:v>
                </c:pt>
                <c:pt idx="14">
                  <c:v>102.46</c:v>
                </c:pt>
                <c:pt idx="15">
                  <c:v>102.68</c:v>
                </c:pt>
                <c:pt idx="16">
                  <c:v>102.83</c:v>
                </c:pt>
                <c:pt idx="17">
                  <c:v>101.2</c:v>
                </c:pt>
                <c:pt idx="18">
                  <c:v>100.51</c:v>
                </c:pt>
                <c:pt idx="19">
                  <c:v>101.22</c:v>
                </c:pt>
                <c:pt idx="20">
                  <c:v>101.24</c:v>
                </c:pt>
                <c:pt idx="21">
                  <c:v>101.42</c:v>
                </c:pt>
                <c:pt idx="22">
                  <c:v>102.33</c:v>
                </c:pt>
                <c:pt idx="23">
                  <c:v>101.15</c:v>
                </c:pt>
                <c:pt idx="24">
                  <c:v>103.64</c:v>
                </c:pt>
                <c:pt idx="25">
                  <c:v>103.42</c:v>
                </c:pt>
                <c:pt idx="26">
                  <c:v>102.8</c:v>
                </c:pt>
                <c:pt idx="27">
                  <c:v>101.88</c:v>
                </c:pt>
                <c:pt idx="28">
                  <c:v>101.91</c:v>
                </c:pt>
                <c:pt idx="29">
                  <c:v>101.76</c:v>
                </c:pt>
                <c:pt idx="30">
                  <c:v>101.07</c:v>
                </c:pt>
              </c:numCache>
            </c:numRef>
          </c:val>
          <c:smooth val="0"/>
          <c:extLst>
            <c:ext xmlns:c16="http://schemas.microsoft.com/office/drawing/2014/chart" uri="{C3380CC4-5D6E-409C-BE32-E72D297353CC}">
              <c16:uniqueId val="{00000002-88BB-4A54-9EE1-A53924991F46}"/>
            </c:ext>
          </c:extLst>
        </c:ser>
        <c:ser>
          <c:idx val="3"/>
          <c:order val="3"/>
          <c:tx>
            <c:strRef>
              <c:f>Analysis!$AJ$6</c:f>
              <c:strCache>
                <c:ptCount val="1"/>
                <c:pt idx="0">
                  <c:v>Close</c:v>
                </c:pt>
              </c:strCache>
            </c:strRef>
          </c:tx>
          <c:spPr>
            <a:ln w="47625">
              <a:noFill/>
            </a:ln>
          </c:spPr>
          <c:marker>
            <c:symbol val="dot"/>
            <c:size val="5"/>
          </c:marker>
          <c:val>
            <c:numRef>
              <c:f>Analysis!$AJ$7:$AJ$37</c:f>
              <c:numCache>
                <c:formatCode>General</c:formatCode>
                <c:ptCount val="31"/>
                <c:pt idx="0">
                  <c:v>108.81</c:v>
                </c:pt>
                <c:pt idx="1">
                  <c:v>108.9</c:v>
                </c:pt>
                <c:pt idx="2">
                  <c:v>109.66</c:v>
                </c:pt>
                <c:pt idx="3">
                  <c:v>108.51</c:v>
                </c:pt>
                <c:pt idx="4">
                  <c:v>112.17</c:v>
                </c:pt>
                <c:pt idx="5">
                  <c:v>111.39</c:v>
                </c:pt>
                <c:pt idx="6">
                  <c:v>111.77</c:v>
                </c:pt>
                <c:pt idx="7">
                  <c:v>115.25</c:v>
                </c:pt>
                <c:pt idx="8">
                  <c:v>116.78</c:v>
                </c:pt>
                <c:pt idx="9">
                  <c:v>118.91</c:v>
                </c:pt>
                <c:pt idx="10">
                  <c:v>117.38</c:v>
                </c:pt>
                <c:pt idx="11">
                  <c:v>115.63</c:v>
                </c:pt>
                <c:pt idx="12">
                  <c:v>105.98</c:v>
                </c:pt>
                <c:pt idx="13">
                  <c:v>103.18</c:v>
                </c:pt>
                <c:pt idx="14">
                  <c:v>103.54</c:v>
                </c:pt>
                <c:pt idx="15">
                  <c:v>104.58</c:v>
                </c:pt>
                <c:pt idx="16">
                  <c:v>103.34</c:v>
                </c:pt>
                <c:pt idx="17">
                  <c:v>102.75</c:v>
                </c:pt>
                <c:pt idx="18">
                  <c:v>101.3</c:v>
                </c:pt>
                <c:pt idx="19">
                  <c:v>101.7</c:v>
                </c:pt>
                <c:pt idx="20">
                  <c:v>101.35</c:v>
                </c:pt>
                <c:pt idx="21">
                  <c:v>101.63</c:v>
                </c:pt>
                <c:pt idx="22">
                  <c:v>102.5</c:v>
                </c:pt>
                <c:pt idx="23">
                  <c:v>101.84</c:v>
                </c:pt>
                <c:pt idx="24">
                  <c:v>103.66</c:v>
                </c:pt>
                <c:pt idx="25">
                  <c:v>105.14</c:v>
                </c:pt>
                <c:pt idx="26">
                  <c:v>103.44</c:v>
                </c:pt>
                <c:pt idx="27">
                  <c:v>104.07</c:v>
                </c:pt>
                <c:pt idx="28">
                  <c:v>102.42</c:v>
                </c:pt>
                <c:pt idx="29">
                  <c:v>102.46</c:v>
                </c:pt>
                <c:pt idx="30">
                  <c:v>101.46</c:v>
                </c:pt>
              </c:numCache>
            </c:numRef>
          </c:val>
          <c:smooth val="0"/>
          <c:extLst>
            <c:ext xmlns:c16="http://schemas.microsoft.com/office/drawing/2014/chart" uri="{C3380CC4-5D6E-409C-BE32-E72D297353CC}">
              <c16:uniqueId val="{00000003-88BB-4A54-9EE1-A53924991F46}"/>
            </c:ext>
          </c:extLst>
        </c:ser>
        <c:dLbls>
          <c:showLegendKey val="0"/>
          <c:showVal val="0"/>
          <c:showCatName val="0"/>
          <c:showSerName val="0"/>
          <c:showPercent val="0"/>
          <c:showBubbleSize val="0"/>
        </c:dLbls>
        <c:hiLowLines/>
        <c:axId val="-2098161176"/>
        <c:axId val="-2098158248"/>
      </c:stockChart>
      <c:dateAx>
        <c:axId val="-2098151928"/>
        <c:scaling>
          <c:orientation val="minMax"/>
        </c:scaling>
        <c:delete val="0"/>
        <c:axPos val="b"/>
        <c:numFmt formatCode="m/d/yyyy" sourceLinked="1"/>
        <c:majorTickMark val="out"/>
        <c:minorTickMark val="none"/>
        <c:tickLblPos val="nextTo"/>
        <c:crossAx val="-2098155208"/>
        <c:crosses val="autoZero"/>
        <c:auto val="1"/>
        <c:lblOffset val="100"/>
        <c:baseTimeUnit val="days"/>
      </c:dateAx>
      <c:valAx>
        <c:axId val="-2098155208"/>
        <c:scaling>
          <c:orientation val="minMax"/>
        </c:scaling>
        <c:delete val="0"/>
        <c:axPos val="l"/>
        <c:majorGridlines/>
        <c:numFmt formatCode="General" sourceLinked="1"/>
        <c:majorTickMark val="out"/>
        <c:minorTickMark val="none"/>
        <c:tickLblPos val="nextTo"/>
        <c:crossAx val="-2098151928"/>
        <c:crosses val="autoZero"/>
        <c:crossBetween val="between"/>
      </c:valAx>
      <c:valAx>
        <c:axId val="-2098158248"/>
        <c:scaling>
          <c:orientation val="minMax"/>
        </c:scaling>
        <c:delete val="0"/>
        <c:axPos val="r"/>
        <c:numFmt formatCode="General" sourceLinked="1"/>
        <c:majorTickMark val="out"/>
        <c:minorTickMark val="none"/>
        <c:tickLblPos val="nextTo"/>
        <c:crossAx val="-2098161176"/>
        <c:crosses val="max"/>
        <c:crossBetween val="between"/>
      </c:valAx>
      <c:catAx>
        <c:axId val="-2098161176"/>
        <c:scaling>
          <c:orientation val="minMax"/>
        </c:scaling>
        <c:delete val="1"/>
        <c:axPos val="b"/>
        <c:majorTickMark val="out"/>
        <c:minorTickMark val="none"/>
        <c:tickLblPos val="nextTo"/>
        <c:crossAx val="-2098158248"/>
        <c:crosses val="autoZero"/>
        <c:auto val="1"/>
        <c:lblAlgn val="ctr"/>
        <c:lblOffset val="100"/>
        <c:noMultiLvlLbl val="0"/>
      </c:catAx>
    </c:plotArea>
    <c:legend>
      <c:legendPos val="r"/>
      <c:overlay val="0"/>
    </c:legend>
    <c:plotVisOnly val="1"/>
    <c:dispBlanksAs val="gap"/>
    <c:showDLblsOverMax val="0"/>
  </c:chart>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a:t>
            </a:r>
            <a:r>
              <a:rPr lang="en-US" baseline="0"/>
              <a:t> Every 3 weeks for a year</a:t>
            </a:r>
            <a:endParaRPr lang="en-US"/>
          </a:p>
        </c:rich>
      </c:tx>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Analysis!$BR$7:$CI$7</c:f>
              <c:numCache>
                <c:formatCode>General</c:formatCode>
                <c:ptCount val="18"/>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numCache>
            </c:numRef>
          </c:cat>
          <c:val>
            <c:numRef>
              <c:f>Analysis!$BR$8:$CI$8</c:f>
              <c:numCache>
                <c:formatCode>General</c:formatCode>
                <c:ptCount val="18"/>
                <c:pt idx="0">
                  <c:v>101.62331476231205</c:v>
                </c:pt>
                <c:pt idx="1">
                  <c:v>105.77683534223686</c:v>
                </c:pt>
                <c:pt idx="2">
                  <c:v>111.92009038590963</c:v>
                </c:pt>
                <c:pt idx="3">
                  <c:v>117.72310765968236</c:v>
                </c:pt>
                <c:pt idx="4">
                  <c:v>118.38464939873975</c:v>
                </c:pt>
                <c:pt idx="5">
                  <c:v>112.1444014095165</c:v>
                </c:pt>
                <c:pt idx="6">
                  <c:v>108.63420866507734</c:v>
                </c:pt>
                <c:pt idx="7">
                  <c:v>107.59656969375496</c:v>
                </c:pt>
                <c:pt idx="8">
                  <c:v>115.6666455436779</c:v>
                </c:pt>
                <c:pt idx="9">
                  <c:v>117.26442476550474</c:v>
                </c:pt>
                <c:pt idx="10">
                  <c:v>110.4334607055782</c:v>
                </c:pt>
                <c:pt idx="11">
                  <c:v>111.59537321217637</c:v>
                </c:pt>
                <c:pt idx="12">
                  <c:v>110.86290629869002</c:v>
                </c:pt>
                <c:pt idx="13">
                  <c:v>105.49705587418435</c:v>
                </c:pt>
                <c:pt idx="14">
                  <c:v>116.97934453633594</c:v>
                </c:pt>
                <c:pt idx="15">
                  <c:v>110.95474421667689</c:v>
                </c:pt>
                <c:pt idx="16">
                  <c:v>120.65914868891349</c:v>
                </c:pt>
                <c:pt idx="17">
                  <c:v>116.68154541406669</c:v>
                </c:pt>
              </c:numCache>
            </c:numRef>
          </c:val>
          <c:smooth val="0"/>
          <c:extLst>
            <c:ext xmlns:c16="http://schemas.microsoft.com/office/drawing/2014/chart" uri="{C3380CC4-5D6E-409C-BE32-E72D297353CC}">
              <c16:uniqueId val="{00000001-13CA-490C-A249-87B58210E7E9}"/>
            </c:ext>
          </c:extLst>
        </c:ser>
        <c:dLbls>
          <c:showLegendKey val="0"/>
          <c:showVal val="0"/>
          <c:showCatName val="0"/>
          <c:showSerName val="0"/>
          <c:showPercent val="0"/>
          <c:showBubbleSize val="0"/>
        </c:dLbls>
        <c:smooth val="0"/>
        <c:axId val="-2098195720"/>
        <c:axId val="-2098199240"/>
      </c:lineChart>
      <c:catAx>
        <c:axId val="-2098195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199240"/>
        <c:crosses val="autoZero"/>
        <c:auto val="1"/>
        <c:lblAlgn val="ctr"/>
        <c:lblOffset val="100"/>
        <c:noMultiLvlLbl val="0"/>
      </c:catAx>
      <c:valAx>
        <c:axId val="-2098199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19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Analysis!$BR$19:$BR$29</c:f>
              <c:numCache>
                <c:formatCode>General</c:formatCode>
                <c:ptCount val="11"/>
                <c:pt idx="0">
                  <c:v>23.079888180442776</c:v>
                </c:pt>
                <c:pt idx="1">
                  <c:v>48.027147845199146</c:v>
                </c:pt>
                <c:pt idx="2">
                  <c:v>68.816530899162785</c:v>
                </c:pt>
                <c:pt idx="3">
                  <c:v>85.448037342333706</c:v>
                </c:pt>
                <c:pt idx="4">
                  <c:v>97.921667174711885</c:v>
                </c:pt>
                <c:pt idx="5">
                  <c:v>106.23742039629734</c:v>
                </c:pt>
                <c:pt idx="6">
                  <c:v>110.39529700709006</c:v>
                </c:pt>
                <c:pt idx="7">
                  <c:v>114.55317361788279</c:v>
                </c:pt>
                <c:pt idx="8">
                  <c:v>122.86892683946824</c:v>
                </c:pt>
                <c:pt idx="9">
                  <c:v>135.34255667184644</c:v>
                </c:pt>
                <c:pt idx="10">
                  <c:v>151.97406311501734</c:v>
                </c:pt>
              </c:numCache>
            </c:numRef>
          </c:cat>
          <c:val>
            <c:numRef>
              <c:f>Analysis!$BS$19:$BS$29</c:f>
              <c:numCache>
                <c:formatCode>General</c:formatCode>
                <c:ptCount val="11"/>
                <c:pt idx="0">
                  <c:v>0</c:v>
                </c:pt>
                <c:pt idx="1">
                  <c:v>0</c:v>
                </c:pt>
                <c:pt idx="2">
                  <c:v>0</c:v>
                </c:pt>
                <c:pt idx="3">
                  <c:v>0</c:v>
                </c:pt>
                <c:pt idx="4">
                  <c:v>1</c:v>
                </c:pt>
                <c:pt idx="5">
                  <c:v>21</c:v>
                </c:pt>
                <c:pt idx="6">
                  <c:v>23</c:v>
                </c:pt>
                <c:pt idx="7">
                  <c:v>34</c:v>
                </c:pt>
                <c:pt idx="8">
                  <c:v>21</c:v>
                </c:pt>
                <c:pt idx="9">
                  <c:v>0</c:v>
                </c:pt>
                <c:pt idx="10">
                  <c:v>0</c:v>
                </c:pt>
              </c:numCache>
            </c:numRef>
          </c:val>
          <c:extLst>
            <c:ext xmlns:c16="http://schemas.microsoft.com/office/drawing/2014/chart" uri="{C3380CC4-5D6E-409C-BE32-E72D297353CC}">
              <c16:uniqueId val="{00000000-62A1-4556-85AA-41AFC707E9D2}"/>
            </c:ext>
          </c:extLst>
        </c:ser>
        <c:dLbls>
          <c:showLegendKey val="0"/>
          <c:showVal val="0"/>
          <c:showCatName val="0"/>
          <c:showSerName val="0"/>
          <c:showPercent val="0"/>
          <c:showBubbleSize val="0"/>
        </c:dLbls>
        <c:gapWidth val="219"/>
        <c:overlap val="-27"/>
        <c:axId val="-2076038664"/>
        <c:axId val="-2076034936"/>
      </c:barChart>
      <c:catAx>
        <c:axId val="-2076038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034936"/>
        <c:crosses val="autoZero"/>
        <c:auto val="1"/>
        <c:lblAlgn val="ctr"/>
        <c:lblOffset val="100"/>
        <c:noMultiLvlLbl val="0"/>
      </c:catAx>
      <c:valAx>
        <c:axId val="-2076034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038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Number of indicators in the time period</a:t>
            </a:r>
          </a:p>
        </c:rich>
      </c:tx>
      <c:overlay val="0"/>
    </c:title>
    <c:autoTitleDeleted val="0"/>
    <c:plotArea>
      <c:layout/>
      <c:barChart>
        <c:barDir val="col"/>
        <c:grouping val="clustered"/>
        <c:varyColors val="0"/>
        <c:ser>
          <c:idx val="0"/>
          <c:order val="0"/>
          <c:tx>
            <c:strRef>
              <c:f>Analysis!$AT$1</c:f>
              <c:strCache>
                <c:ptCount val="1"/>
                <c:pt idx="0">
                  <c:v>BULLISH</c:v>
                </c:pt>
              </c:strCache>
            </c:strRef>
          </c:tx>
          <c:invertIfNegative val="0"/>
          <c:cat>
            <c:strRef>
              <c:f>Analysis!$AN$2:$AS$5</c:f>
              <c:strCache>
                <c:ptCount val="4"/>
                <c:pt idx="0">
                  <c:v>3 months</c:v>
                </c:pt>
                <c:pt idx="1">
                  <c:v>9 months</c:v>
                </c:pt>
                <c:pt idx="2">
                  <c:v>1 year</c:v>
                </c:pt>
                <c:pt idx="3">
                  <c:v>4 years</c:v>
                </c:pt>
              </c:strCache>
            </c:strRef>
          </c:cat>
          <c:val>
            <c:numRef>
              <c:f>Analysis!$AT$2:$AT$5</c:f>
              <c:numCache>
                <c:formatCode>General</c:formatCode>
                <c:ptCount val="4"/>
                <c:pt idx="0">
                  <c:v>8</c:v>
                </c:pt>
                <c:pt idx="1">
                  <c:v>20</c:v>
                </c:pt>
                <c:pt idx="2">
                  <c:v>26</c:v>
                </c:pt>
                <c:pt idx="3">
                  <c:v>95</c:v>
                </c:pt>
              </c:numCache>
            </c:numRef>
          </c:val>
          <c:extLst>
            <c:ext xmlns:c16="http://schemas.microsoft.com/office/drawing/2014/chart" uri="{C3380CC4-5D6E-409C-BE32-E72D297353CC}">
              <c16:uniqueId val="{00000000-BECB-4835-8621-4E2E3B142370}"/>
            </c:ext>
          </c:extLst>
        </c:ser>
        <c:ser>
          <c:idx val="1"/>
          <c:order val="1"/>
          <c:tx>
            <c:strRef>
              <c:f>Analysis!$AU$1</c:f>
              <c:strCache>
                <c:ptCount val="1"/>
                <c:pt idx="0">
                  <c:v>BEARISH</c:v>
                </c:pt>
              </c:strCache>
            </c:strRef>
          </c:tx>
          <c:invertIfNegative val="0"/>
          <c:cat>
            <c:strRef>
              <c:f>Analysis!$AN$2:$AS$5</c:f>
              <c:strCache>
                <c:ptCount val="4"/>
                <c:pt idx="0">
                  <c:v>3 months</c:v>
                </c:pt>
                <c:pt idx="1">
                  <c:v>9 months</c:v>
                </c:pt>
                <c:pt idx="2">
                  <c:v>1 year</c:v>
                </c:pt>
                <c:pt idx="3">
                  <c:v>4 years</c:v>
                </c:pt>
              </c:strCache>
            </c:strRef>
          </c:cat>
          <c:val>
            <c:numRef>
              <c:f>Analysis!$AU$2:$AU$5</c:f>
              <c:numCache>
                <c:formatCode>General</c:formatCode>
                <c:ptCount val="4"/>
                <c:pt idx="0">
                  <c:v>19</c:v>
                </c:pt>
                <c:pt idx="1">
                  <c:v>36</c:v>
                </c:pt>
                <c:pt idx="2">
                  <c:v>43</c:v>
                </c:pt>
                <c:pt idx="3">
                  <c:v>173</c:v>
                </c:pt>
              </c:numCache>
            </c:numRef>
          </c:val>
          <c:extLst>
            <c:ext xmlns:c16="http://schemas.microsoft.com/office/drawing/2014/chart" uri="{C3380CC4-5D6E-409C-BE32-E72D297353CC}">
              <c16:uniqueId val="{00000001-BECB-4835-8621-4E2E3B142370}"/>
            </c:ext>
          </c:extLst>
        </c:ser>
        <c:dLbls>
          <c:showLegendKey val="0"/>
          <c:showVal val="0"/>
          <c:showCatName val="0"/>
          <c:showSerName val="0"/>
          <c:showPercent val="0"/>
          <c:showBubbleSize val="0"/>
        </c:dLbls>
        <c:gapWidth val="150"/>
        <c:axId val="-2076007304"/>
        <c:axId val="-2076004328"/>
      </c:barChart>
      <c:catAx>
        <c:axId val="-2076007304"/>
        <c:scaling>
          <c:orientation val="minMax"/>
        </c:scaling>
        <c:delete val="0"/>
        <c:axPos val="b"/>
        <c:numFmt formatCode="General" sourceLinked="0"/>
        <c:majorTickMark val="out"/>
        <c:minorTickMark val="none"/>
        <c:tickLblPos val="nextTo"/>
        <c:crossAx val="-2076004328"/>
        <c:crosses val="autoZero"/>
        <c:auto val="1"/>
        <c:lblAlgn val="ctr"/>
        <c:lblOffset val="100"/>
        <c:noMultiLvlLbl val="0"/>
      </c:catAx>
      <c:valAx>
        <c:axId val="-2076004328"/>
        <c:scaling>
          <c:orientation val="minMax"/>
        </c:scaling>
        <c:delete val="0"/>
        <c:axPos val="l"/>
        <c:majorGridlines/>
        <c:numFmt formatCode="General" sourceLinked="1"/>
        <c:majorTickMark val="out"/>
        <c:minorTickMark val="none"/>
        <c:tickLblPos val="nextTo"/>
        <c:crossAx val="-207600730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63500</xdr:colOff>
      <xdr:row>8</xdr:row>
      <xdr:rowOff>38100</xdr:rowOff>
    </xdr:from>
    <xdr:to>
      <xdr:col>1</xdr:col>
      <xdr:colOff>1905000</xdr:colOff>
      <xdr:row>10</xdr:row>
      <xdr:rowOff>12700</xdr:rowOff>
    </xdr:to>
    <xdr:sp macro="" textlink="">
      <xdr:nvSpPr>
        <xdr:cNvPr id="707586" name="Button 7" hidden="1">
          <a:extLst>
            <a:ext uri="{63B3BB69-23CF-44E3-9099-C40C66FF867C}">
              <a14:compatExt xmlns:a14="http://schemas.microsoft.com/office/drawing/2010/main" spid="_x0000_s707586"/>
            </a:ext>
            <a:ext uri="{FF2B5EF4-FFF2-40B4-BE49-F238E27FC236}">
              <a16:creationId xmlns:a16="http://schemas.microsoft.com/office/drawing/2014/main" id="{00000000-0008-0000-0000-000002CC0A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Get the info</a:t>
          </a:r>
        </a:p>
      </xdr:txBody>
    </xdr:sp>
    <xdr:clientData fPrintsWithSheet="0"/>
  </xdr:twoCellAnchor>
  <xdr:twoCellAnchor>
    <xdr:from>
      <xdr:col>8</xdr:col>
      <xdr:colOff>50800</xdr:colOff>
      <xdr:row>6</xdr:row>
      <xdr:rowOff>88900</xdr:rowOff>
    </xdr:from>
    <xdr:to>
      <xdr:col>25</xdr:col>
      <xdr:colOff>292100</xdr:colOff>
      <xdr:row>29</xdr:row>
      <xdr:rowOff>139700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30</xdr:row>
      <xdr:rowOff>76200</xdr:rowOff>
    </xdr:from>
    <xdr:to>
      <xdr:col>25</xdr:col>
      <xdr:colOff>304800</xdr:colOff>
      <xdr:row>51</xdr:row>
      <xdr:rowOff>38100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51</xdr:col>
      <xdr:colOff>12700</xdr:colOff>
      <xdr:row>13</xdr:row>
      <xdr:rowOff>177801</xdr:rowOff>
    </xdr:from>
    <xdr:to>
      <xdr:col>52</xdr:col>
      <xdr:colOff>457200</xdr:colOff>
      <xdr:row>34</xdr:row>
      <xdr:rowOff>469901</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51</xdr:col>
      <xdr:colOff>25400</xdr:colOff>
      <xdr:row>40</xdr:row>
      <xdr:rowOff>88900</xdr:rowOff>
    </xdr:from>
    <xdr:to>
      <xdr:col>52</xdr:col>
      <xdr:colOff>511414</xdr:colOff>
      <xdr:row>64</xdr:row>
      <xdr:rowOff>139700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51</xdr:col>
      <xdr:colOff>63500</xdr:colOff>
      <xdr:row>70</xdr:row>
      <xdr:rowOff>63500</xdr:rowOff>
    </xdr:from>
    <xdr:to>
      <xdr:col>52</xdr:col>
      <xdr:colOff>444500</xdr:colOff>
      <xdr:row>92</xdr:row>
      <xdr:rowOff>139700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228600</xdr:colOff>
      <xdr:row>7</xdr:row>
      <xdr:rowOff>101600</xdr:rowOff>
    </xdr:from>
    <xdr:to>
      <xdr:col>61</xdr:col>
      <xdr:colOff>7078134</xdr:colOff>
      <xdr:row>20</xdr:row>
      <xdr:rowOff>127000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58</xdr:col>
      <xdr:colOff>228600</xdr:colOff>
      <xdr:row>20</xdr:row>
      <xdr:rowOff>330200</xdr:rowOff>
    </xdr:from>
    <xdr:to>
      <xdr:col>61</xdr:col>
      <xdr:colOff>7179734</xdr:colOff>
      <xdr:row>46</xdr:row>
      <xdr:rowOff>241300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69</xdr:col>
      <xdr:colOff>579</xdr:colOff>
      <xdr:row>8</xdr:row>
      <xdr:rowOff>403513</xdr:rowOff>
    </xdr:from>
    <xdr:to>
      <xdr:col>83</xdr:col>
      <xdr:colOff>750455</xdr:colOff>
      <xdr:row>16</xdr:row>
      <xdr:rowOff>447387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71</xdr:col>
      <xdr:colOff>470476</xdr:colOff>
      <xdr:row>17</xdr:row>
      <xdr:rowOff>417946</xdr:rowOff>
    </xdr:from>
    <xdr:to>
      <xdr:col>82</xdr:col>
      <xdr:colOff>851476</xdr:colOff>
      <xdr:row>28</xdr:row>
      <xdr:rowOff>548408</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59170</xdr:colOff>
      <xdr:row>1</xdr:row>
      <xdr:rowOff>136524</xdr:rowOff>
    </xdr:from>
    <xdr:to>
      <xdr:col>38</xdr:col>
      <xdr:colOff>736022</xdr:colOff>
      <xdr:row>4</xdr:row>
      <xdr:rowOff>606136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youtube.com/watch?v=RtCvcP43C1U"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000"/>
  </sheetPr>
  <dimension ref="A1:AC106"/>
  <sheetViews>
    <sheetView showGridLines="0" tabSelected="1" workbookViewId="0">
      <selection activeCell="B4" sqref="B4"/>
    </sheetView>
  </sheetViews>
  <sheetFormatPr defaultColWidth="11.42578125" defaultRowHeight="12"/>
  <cols>
    <col min="1" max="1" width="34.28515625" style="35" bestFit="1" customWidth="1"/>
    <col min="2" max="2" width="29.85546875" bestFit="1" customWidth="1"/>
    <col min="3" max="3" width="16.28515625" bestFit="1" customWidth="1"/>
    <col min="4" max="4" width="18" bestFit="1" customWidth="1"/>
    <col min="5" max="5" width="18.7109375" bestFit="1" customWidth="1"/>
    <col min="6" max="6" width="16.28515625" style="84" bestFit="1" customWidth="1"/>
    <col min="7" max="7" width="8.7109375" bestFit="1" customWidth="1"/>
    <col min="8" max="8" width="12.140625" style="35" bestFit="1" customWidth="1"/>
    <col min="9" max="9" width="20.28515625" bestFit="1" customWidth="1"/>
    <col min="10" max="12" width="8.42578125" bestFit="1" customWidth="1"/>
    <col min="13" max="13" width="8.140625" bestFit="1" customWidth="1"/>
    <col min="14" max="14" width="8.28515625" bestFit="1" customWidth="1"/>
    <col min="15" max="20" width="8.42578125" bestFit="1" customWidth="1"/>
    <col min="21" max="21" width="8.28515625" bestFit="1" customWidth="1"/>
    <col min="22" max="28" width="8.42578125" bestFit="1" customWidth="1"/>
    <col min="29" max="29" width="12.140625" bestFit="1" customWidth="1"/>
    <col min="30" max="30" width="7.42578125" bestFit="1" customWidth="1"/>
    <col min="31" max="31" width="12.140625" bestFit="1" customWidth="1"/>
  </cols>
  <sheetData>
    <row r="1" spans="1:29" s="35" customFormat="1" ht="20.100000000000001" thickBot="1">
      <c r="A1" s="133" t="s">
        <v>0</v>
      </c>
      <c r="B1" s="137" t="s">
        <v>1</v>
      </c>
      <c r="F1" s="84"/>
    </row>
    <row r="2" spans="1:29" s="35" customFormat="1" ht="15.95" thickTop="1">
      <c r="B2" s="137"/>
      <c r="F2" s="84"/>
    </row>
    <row r="3" spans="1:29" s="35" customFormat="1" ht="21.95">
      <c r="B3" s="110" t="s">
        <v>2</v>
      </c>
      <c r="C3" s="137" t="s">
        <v>3</v>
      </c>
      <c r="F3" s="84"/>
      <c r="I3" s="117" t="s">
        <v>4</v>
      </c>
      <c r="J3" s="63"/>
      <c r="K3" s="63"/>
      <c r="L3" s="63"/>
      <c r="M3" s="118"/>
      <c r="N3" s="63"/>
      <c r="O3" s="63"/>
      <c r="P3" s="63"/>
      <c r="Q3" s="63"/>
      <c r="R3" s="63"/>
      <c r="S3" s="63"/>
      <c r="T3" s="63"/>
      <c r="U3" s="63"/>
      <c r="V3" s="63"/>
      <c r="W3" s="63"/>
      <c r="X3" s="63"/>
      <c r="Y3" s="63"/>
      <c r="Z3" s="63"/>
      <c r="AA3" s="63"/>
      <c r="AB3" s="63"/>
    </row>
    <row r="4" spans="1:29" ht="20.100000000000001" thickBot="1">
      <c r="A4" s="121" t="s">
        <v>5</v>
      </c>
      <c r="B4" s="51" t="s">
        <v>6</v>
      </c>
      <c r="C4" s="35" t="s">
        <v>7</v>
      </c>
      <c r="D4" s="113">
        <f>Analysis!$F$8</f>
        <v>108.81</v>
      </c>
      <c r="E4" s="35"/>
      <c r="G4" s="35"/>
      <c r="I4" s="63" t="str">
        <f>Analysis!$BP$6</f>
        <v>Simulated demands</v>
      </c>
      <c r="J4" s="63"/>
      <c r="K4" s="63"/>
      <c r="L4" s="63"/>
      <c r="M4" s="118"/>
      <c r="N4" s="63"/>
      <c r="O4" s="63"/>
      <c r="P4" s="63"/>
      <c r="Q4" s="63"/>
      <c r="R4" s="63"/>
      <c r="S4" s="63"/>
      <c r="T4" s="63"/>
      <c r="U4" s="63"/>
      <c r="V4" s="63"/>
      <c r="W4" s="63"/>
      <c r="X4" s="63"/>
      <c r="Y4" s="63"/>
      <c r="Z4" s="63"/>
      <c r="AA4" s="63"/>
      <c r="AB4" s="63"/>
      <c r="AC4" s="35"/>
    </row>
    <row r="5" spans="1:29" ht="12.95" thickTop="1">
      <c r="B5" s="108">
        <f ca="1">TODAY() - 1500</f>
        <v>41459</v>
      </c>
      <c r="C5" s="35"/>
      <c r="D5" s="35" t="s">
        <v>8</v>
      </c>
      <c r="E5" s="35"/>
      <c r="G5" s="35"/>
      <c r="I5" s="63" t="str">
        <f>Analysis!BP7</f>
        <v>3 weeks</v>
      </c>
      <c r="J5" s="63">
        <f>Analysis!BQ7</f>
        <v>0</v>
      </c>
      <c r="K5" s="63">
        <f>Analysis!BR7</f>
        <v>3</v>
      </c>
      <c r="L5" s="63">
        <f>Analysis!BS7</f>
        <v>6</v>
      </c>
      <c r="M5" s="118">
        <f>Analysis!BT7</f>
        <v>9</v>
      </c>
      <c r="N5" s="63">
        <f>Analysis!BU7</f>
        <v>12</v>
      </c>
      <c r="O5" s="63">
        <f>Analysis!BV7</f>
        <v>15</v>
      </c>
      <c r="P5" s="63">
        <f>Analysis!BW7</f>
        <v>18</v>
      </c>
      <c r="Q5" s="63">
        <f>Analysis!BX7</f>
        <v>21</v>
      </c>
      <c r="R5" s="63">
        <f>Analysis!BY7</f>
        <v>24</v>
      </c>
      <c r="S5" s="63">
        <f>Analysis!BZ7</f>
        <v>27</v>
      </c>
      <c r="T5" s="63">
        <f>Analysis!CA7</f>
        <v>30</v>
      </c>
      <c r="U5" s="63">
        <f>Analysis!CB7</f>
        <v>33</v>
      </c>
      <c r="V5" s="63">
        <f>Analysis!CC7</f>
        <v>36</v>
      </c>
      <c r="W5" s="63">
        <f>Analysis!CD7</f>
        <v>39</v>
      </c>
      <c r="X5" s="63">
        <f>Analysis!CE7</f>
        <v>42</v>
      </c>
      <c r="Y5" s="63">
        <f>Analysis!CF7</f>
        <v>45</v>
      </c>
      <c r="Z5" s="63">
        <f>Analysis!CG7</f>
        <v>48</v>
      </c>
      <c r="AA5" s="63">
        <f>Analysis!CH7</f>
        <v>51</v>
      </c>
      <c r="AB5" s="63">
        <f>Analysis!CI7</f>
        <v>54</v>
      </c>
      <c r="AC5" s="35"/>
    </row>
    <row r="6" spans="1:29">
      <c r="B6" s="108">
        <f ca="1">TODAY()</f>
        <v>42959</v>
      </c>
      <c r="C6" s="35"/>
      <c r="D6" s="35"/>
      <c r="E6" s="35"/>
      <c r="G6" s="35"/>
      <c r="I6" s="63" t="str">
        <f>Analysis!BP8</f>
        <v>Pricing</v>
      </c>
      <c r="J6" s="119">
        <f>Analysis!BQ8</f>
        <v>108.81</v>
      </c>
      <c r="K6" s="119">
        <f ca="1">Analysis!BR8</f>
        <v>101.62331476231205</v>
      </c>
      <c r="L6" s="119">
        <f ca="1">Analysis!BS8</f>
        <v>105.77683534223686</v>
      </c>
      <c r="M6" s="120">
        <f ca="1">Analysis!BT8</f>
        <v>111.92009038590963</v>
      </c>
      <c r="N6" s="119">
        <f ca="1">Analysis!BU8</f>
        <v>117.72310765968236</v>
      </c>
      <c r="O6" s="119">
        <f ca="1">Analysis!BV8</f>
        <v>118.38464939873975</v>
      </c>
      <c r="P6" s="119">
        <f ca="1">Analysis!BW8</f>
        <v>112.1444014095165</v>
      </c>
      <c r="Q6" s="119">
        <f ca="1">Analysis!BX8</f>
        <v>108.63420866507734</v>
      </c>
      <c r="R6" s="119">
        <f ca="1">Analysis!BY8</f>
        <v>107.59656969375496</v>
      </c>
      <c r="S6" s="119">
        <f ca="1">Analysis!BZ8</f>
        <v>115.6666455436779</v>
      </c>
      <c r="T6" s="119">
        <f ca="1">Analysis!CA8</f>
        <v>117.26442476550474</v>
      </c>
      <c r="U6" s="119">
        <f ca="1">Analysis!CB8</f>
        <v>110.4334607055782</v>
      </c>
      <c r="V6" s="119">
        <f ca="1">Analysis!CC8</f>
        <v>111.59537321217637</v>
      </c>
      <c r="W6" s="119">
        <f ca="1">Analysis!CD8</f>
        <v>110.86290629869002</v>
      </c>
      <c r="X6" s="119">
        <f ca="1">Analysis!CE8</f>
        <v>105.49705587418435</v>
      </c>
      <c r="Y6" s="119">
        <f ca="1">Analysis!CF8</f>
        <v>116.97934453633594</v>
      </c>
      <c r="Z6" s="119">
        <f ca="1">Analysis!CG8</f>
        <v>110.95474421667689</v>
      </c>
      <c r="AA6" s="119">
        <f ca="1">Analysis!CH8</f>
        <v>120.65914868891349</v>
      </c>
      <c r="AB6" s="119">
        <f ca="1">Analysis!CI8</f>
        <v>116.68154541406669</v>
      </c>
      <c r="AC6" s="35"/>
    </row>
    <row r="7" spans="1:29">
      <c r="B7" s="35"/>
      <c r="C7" s="35"/>
      <c r="D7" s="35"/>
      <c r="E7" s="35"/>
      <c r="G7" s="35"/>
      <c r="I7" s="35"/>
      <c r="J7" s="84"/>
      <c r="K7" s="84"/>
      <c r="L7" s="84"/>
      <c r="M7" s="84"/>
      <c r="N7" s="84"/>
      <c r="O7" s="84"/>
      <c r="P7" s="35"/>
      <c r="Q7" s="35"/>
      <c r="R7" s="35"/>
      <c r="S7" s="35"/>
      <c r="T7" s="35"/>
      <c r="U7" s="35"/>
      <c r="V7" s="35"/>
      <c r="W7" s="35"/>
      <c r="X7" s="35"/>
      <c r="Y7" s="35"/>
      <c r="Z7" s="35">
        <f>Analysis!CG9</f>
        <v>1</v>
      </c>
      <c r="AA7" s="111">
        <f ca="1">Analysis!CH9</f>
        <v>119.5415193601475</v>
      </c>
      <c r="AB7" s="35" t="str">
        <f>Analysis!CI9</f>
        <v>MEAN</v>
      </c>
      <c r="AC7" s="111">
        <f ca="1">Analysis!CJ9</f>
        <v>110.39529700709006</v>
      </c>
    </row>
    <row r="8" spans="1:29" ht="21.95">
      <c r="B8" s="110" t="s">
        <v>9</v>
      </c>
      <c r="C8" s="35"/>
      <c r="D8" s="35"/>
      <c r="E8" s="35"/>
      <c r="G8" s="35"/>
      <c r="I8" s="35"/>
      <c r="J8" s="84"/>
      <c r="K8" s="84"/>
      <c r="L8" s="84"/>
      <c r="M8" s="84"/>
      <c r="N8" s="84"/>
      <c r="O8" s="84"/>
      <c r="P8" s="35"/>
      <c r="Q8" s="35"/>
      <c r="R8" s="35"/>
      <c r="S8" s="35"/>
      <c r="T8" s="35"/>
      <c r="U8" s="35"/>
      <c r="V8" s="35"/>
      <c r="W8" s="35"/>
      <c r="X8" s="35"/>
      <c r="Y8" s="35"/>
      <c r="Z8" s="35">
        <f>Analysis!CG10</f>
        <v>2</v>
      </c>
      <c r="AA8" s="111">
        <f ca="1">Analysis!CH10</f>
        <v>104.29241206307066</v>
      </c>
      <c r="AB8" s="35" t="str">
        <f>Analysis!CI10</f>
        <v>STDEV</v>
      </c>
      <c r="AC8" s="35">
        <f ca="1">Analysis!CJ10</f>
        <v>4.9982478503385854</v>
      </c>
    </row>
    <row r="9" spans="1:29">
      <c r="B9" s="35"/>
      <c r="C9" s="35"/>
      <c r="D9" s="35"/>
      <c r="E9" s="35"/>
      <c r="G9" s="35"/>
      <c r="I9" s="35"/>
      <c r="J9" s="35"/>
      <c r="K9" s="84"/>
      <c r="L9" s="84"/>
      <c r="M9" s="84"/>
      <c r="N9" s="84"/>
      <c r="O9" s="84"/>
      <c r="P9" s="35"/>
      <c r="Q9" s="35"/>
      <c r="R9" s="35"/>
      <c r="S9" s="35"/>
      <c r="T9" s="35"/>
      <c r="U9" s="35"/>
      <c r="V9" s="35"/>
      <c r="W9" s="35"/>
      <c r="X9" s="35"/>
      <c r="Y9" s="35"/>
      <c r="Z9" s="35">
        <f>Analysis!CG11</f>
        <v>3</v>
      </c>
      <c r="AA9" s="111">
        <f ca="1">Analysis!CH11</f>
        <v>118.39880004682406</v>
      </c>
      <c r="AB9" s="35"/>
      <c r="AC9" s="35"/>
    </row>
    <row r="10" spans="1:29" ht="15">
      <c r="A10" s="44" t="s">
        <v>10</v>
      </c>
      <c r="B10" s="35"/>
      <c r="C10" s="35"/>
      <c r="D10" s="35"/>
      <c r="E10" s="35"/>
      <c r="G10" s="35"/>
      <c r="I10" s="35"/>
      <c r="J10" s="35"/>
      <c r="K10" s="84"/>
      <c r="L10" s="84"/>
      <c r="M10" s="84"/>
      <c r="N10" s="84"/>
      <c r="O10" s="84"/>
      <c r="P10" s="35"/>
      <c r="Q10" s="35"/>
      <c r="R10" s="35"/>
      <c r="S10" s="35"/>
      <c r="T10" s="35"/>
      <c r="U10" s="35"/>
      <c r="V10" s="35"/>
      <c r="W10" s="35"/>
      <c r="X10" s="35"/>
      <c r="Y10" s="35"/>
      <c r="Z10" s="35">
        <f>Analysis!CG12</f>
        <v>4</v>
      </c>
      <c r="AA10" s="111">
        <f ca="1">Analysis!CH12</f>
        <v>111.07644973118104</v>
      </c>
      <c r="AB10" s="35"/>
      <c r="AC10" s="35"/>
    </row>
    <row r="11" spans="1:29">
      <c r="B11" s="35"/>
      <c r="C11" s="35"/>
      <c r="D11" s="35"/>
      <c r="E11" s="35"/>
      <c r="G11" s="35"/>
      <c r="I11" s="35"/>
      <c r="J11" s="35"/>
      <c r="K11" s="84"/>
      <c r="L11" s="84"/>
      <c r="M11" s="84"/>
      <c r="N11" s="84"/>
      <c r="O11" s="84"/>
      <c r="P11" s="35"/>
      <c r="Q11" s="35"/>
      <c r="R11" s="35"/>
      <c r="S11" s="35"/>
      <c r="T11" s="35"/>
      <c r="U11" s="35"/>
      <c r="V11" s="35"/>
      <c r="W11" s="35"/>
      <c r="X11" s="35"/>
      <c r="Y11" s="35"/>
      <c r="Z11" s="35">
        <f>Analysis!CG13</f>
        <v>5</v>
      </c>
      <c r="AA11" s="111">
        <f ca="1">Analysis!CH13</f>
        <v>96.143268723138505</v>
      </c>
      <c r="AB11" s="35"/>
      <c r="AC11" s="35"/>
    </row>
    <row r="12" spans="1:29">
      <c r="B12" s="35"/>
      <c r="C12" s="35"/>
      <c r="D12" s="35"/>
      <c r="E12" s="35"/>
      <c r="G12" s="35"/>
      <c r="I12" s="35"/>
      <c r="J12" s="35"/>
      <c r="K12" s="84"/>
      <c r="L12" s="84"/>
      <c r="M12" s="84"/>
      <c r="N12" s="84"/>
      <c r="O12" s="84"/>
      <c r="P12" s="35"/>
      <c r="Q12" s="35"/>
      <c r="R12" s="35"/>
      <c r="S12" s="35"/>
      <c r="T12" s="35"/>
      <c r="U12" s="35"/>
      <c r="V12" s="35"/>
      <c r="W12" s="35"/>
      <c r="X12" s="35"/>
      <c r="Y12" s="35"/>
      <c r="Z12" s="35">
        <f>Analysis!CG14</f>
        <v>6</v>
      </c>
      <c r="AA12" s="111">
        <f ca="1">Analysis!CH14</f>
        <v>105.6882135452247</v>
      </c>
      <c r="AB12" s="35"/>
      <c r="AC12" s="35"/>
    </row>
    <row r="13" spans="1:29" ht="21.95">
      <c r="A13" s="44" t="s">
        <v>11</v>
      </c>
      <c r="B13" s="110" t="s">
        <v>12</v>
      </c>
      <c r="C13" s="35"/>
      <c r="D13" s="35"/>
      <c r="E13" s="35"/>
      <c r="G13" s="35"/>
      <c r="I13" s="35"/>
      <c r="J13" s="35"/>
      <c r="K13" s="84"/>
      <c r="L13" s="84"/>
      <c r="M13" s="84"/>
      <c r="N13" s="84"/>
      <c r="O13" s="84"/>
      <c r="P13" s="35"/>
      <c r="Q13" s="35"/>
      <c r="R13" s="35"/>
      <c r="S13" s="35"/>
      <c r="T13" s="35"/>
      <c r="U13" s="35"/>
      <c r="V13" s="35"/>
      <c r="W13" s="35"/>
      <c r="X13" s="35"/>
      <c r="Y13" s="35"/>
      <c r="Z13" s="35">
        <f>Analysis!CG15</f>
        <v>7</v>
      </c>
      <c r="AA13" s="111">
        <f ca="1">Analysis!CH15</f>
        <v>116.11916357587319</v>
      </c>
      <c r="AB13" s="35"/>
      <c r="AC13" s="35"/>
    </row>
    <row r="14" spans="1:29">
      <c r="B14" s="35"/>
      <c r="C14" s="35"/>
      <c r="D14" s="35"/>
      <c r="E14" s="35"/>
      <c r="G14" s="35"/>
      <c r="I14" s="35"/>
      <c r="J14" s="35"/>
      <c r="K14" s="84"/>
      <c r="L14" s="84"/>
      <c r="M14" s="84"/>
      <c r="N14" s="84"/>
      <c r="O14" s="84"/>
      <c r="P14" s="35"/>
      <c r="Q14" s="35"/>
      <c r="R14" s="35"/>
      <c r="S14" s="35"/>
      <c r="T14" s="35"/>
      <c r="U14" s="35"/>
      <c r="V14" s="35"/>
      <c r="W14" s="35"/>
      <c r="X14" s="35"/>
      <c r="Y14" s="35"/>
      <c r="Z14" s="35">
        <f>Analysis!CG16</f>
        <v>8</v>
      </c>
      <c r="AA14" s="111">
        <f ca="1">Analysis!CH16</f>
        <v>112.08457945277715</v>
      </c>
      <c r="AB14" s="35"/>
      <c r="AC14" s="35"/>
    </row>
    <row r="15" spans="1:29" ht="21.95">
      <c r="B15" s="110" t="s">
        <v>13</v>
      </c>
      <c r="C15" s="137" t="s">
        <v>14</v>
      </c>
      <c r="D15" s="35"/>
      <c r="E15" s="35"/>
      <c r="G15" s="35"/>
      <c r="I15" s="35"/>
      <c r="J15" s="84"/>
      <c r="K15" s="84"/>
      <c r="L15" s="84"/>
      <c r="M15" s="84"/>
      <c r="N15" s="84"/>
      <c r="O15" s="84"/>
      <c r="P15" s="35"/>
      <c r="Q15" s="35"/>
      <c r="R15" s="35"/>
      <c r="S15" s="35"/>
      <c r="T15" s="35"/>
      <c r="U15" s="35"/>
      <c r="V15" s="35"/>
      <c r="W15" s="35"/>
      <c r="X15" s="35"/>
      <c r="Y15" s="35"/>
      <c r="Z15" s="35">
        <f>Analysis!CG17</f>
        <v>9</v>
      </c>
      <c r="AA15" s="111">
        <f ca="1">Analysis!CH17</f>
        <v>105.41977428854396</v>
      </c>
      <c r="AB15" s="35"/>
      <c r="AC15" s="35"/>
    </row>
    <row r="16" spans="1:29" ht="17.100000000000001" thickBot="1">
      <c r="B16" s="35"/>
      <c r="C16" s="150" t="s">
        <v>15</v>
      </c>
      <c r="D16" s="150"/>
      <c r="E16" s="142"/>
      <c r="F16" s="151" t="s">
        <v>16</v>
      </c>
      <c r="G16" s="151"/>
      <c r="H16" s="143"/>
      <c r="I16" s="35"/>
      <c r="J16" s="84"/>
      <c r="K16" s="35"/>
      <c r="L16" s="35"/>
      <c r="M16" s="35"/>
      <c r="N16" s="35"/>
      <c r="O16" s="35"/>
      <c r="P16" s="35"/>
      <c r="Q16" s="35"/>
      <c r="R16" s="35"/>
      <c r="S16" s="35"/>
      <c r="T16" s="35"/>
      <c r="U16" s="35"/>
      <c r="V16" s="35"/>
      <c r="W16" s="35"/>
      <c r="X16" s="35"/>
      <c r="Y16" s="35"/>
      <c r="Z16" s="35">
        <f>Analysis!CG18</f>
        <v>10</v>
      </c>
      <c r="AA16" s="111">
        <f ca="1">Analysis!CH18</f>
        <v>112.42508233255276</v>
      </c>
      <c r="AB16" s="35"/>
      <c r="AC16" s="35"/>
    </row>
    <row r="17" spans="1:27" ht="12.95" thickTop="1">
      <c r="B17" s="4"/>
      <c r="C17" s="138" t="str">
        <f>Analysis!AT1</f>
        <v>BULLISH</v>
      </c>
      <c r="D17" s="138" t="str">
        <f>Analysis!AU1</f>
        <v>BEARISH</v>
      </c>
      <c r="E17" s="138" t="s">
        <v>17</v>
      </c>
      <c r="F17" s="139" t="str">
        <f>Analysis!AV1</f>
        <v>BULLISH</v>
      </c>
      <c r="G17" s="140" t="str">
        <f>Analysis!AW1</f>
        <v>BEARISH</v>
      </c>
      <c r="H17" s="138" t="s">
        <v>17</v>
      </c>
      <c r="I17" s="35"/>
      <c r="J17" s="84"/>
      <c r="K17" s="35"/>
      <c r="L17" s="35"/>
      <c r="M17" s="35"/>
      <c r="N17" s="35"/>
      <c r="O17" s="35"/>
      <c r="P17" s="35"/>
      <c r="Q17" s="35"/>
      <c r="R17" s="35"/>
      <c r="S17" s="35"/>
      <c r="T17" s="35"/>
      <c r="U17" s="35"/>
      <c r="V17" s="35"/>
      <c r="W17" s="35"/>
      <c r="X17" s="35"/>
      <c r="Y17" s="35"/>
      <c r="Z17" s="35">
        <f>Analysis!CG19</f>
        <v>11</v>
      </c>
      <c r="AA17" s="111">
        <f ca="1">Analysis!CH19</f>
        <v>113.44584115340628</v>
      </c>
    </row>
    <row r="18" spans="1:27">
      <c r="B18" s="75" t="str">
        <f>Analysis!AN2</f>
        <v>3 months</v>
      </c>
      <c r="C18" s="14">
        <f>Analysis!AT2</f>
        <v>8</v>
      </c>
      <c r="D18" s="14">
        <f>Analysis!AU2</f>
        <v>19</v>
      </c>
      <c r="E18" s="144">
        <f>C18/(D18+C18)</f>
        <v>0.29629629629629628</v>
      </c>
      <c r="F18" s="141">
        <f>Analysis!AV2</f>
        <v>6</v>
      </c>
      <c r="G18" s="138">
        <f>Analysis!AW2</f>
        <v>12</v>
      </c>
      <c r="H18" s="145">
        <f>F18/(G18+F18)</f>
        <v>0.33333333333333331</v>
      </c>
      <c r="I18" s="35"/>
      <c r="J18" s="84"/>
      <c r="K18" s="35"/>
      <c r="L18" s="35"/>
      <c r="M18" s="35"/>
      <c r="N18" s="35"/>
      <c r="O18" s="35"/>
      <c r="P18" s="35"/>
      <c r="Q18" s="35"/>
      <c r="R18" s="35"/>
      <c r="S18" s="35"/>
      <c r="T18" s="35"/>
      <c r="U18" s="35"/>
      <c r="V18" s="35"/>
      <c r="W18" s="35"/>
      <c r="X18" s="35"/>
      <c r="Y18" s="35"/>
      <c r="Z18" s="35">
        <f>Analysis!CG20</f>
        <v>12</v>
      </c>
      <c r="AA18" s="111">
        <f ca="1">Analysis!CH20</f>
        <v>117.69399370952439</v>
      </c>
    </row>
    <row r="19" spans="1:27">
      <c r="B19" s="4" t="str">
        <f>Analysis!AN3</f>
        <v>9 months</v>
      </c>
      <c r="C19" s="14">
        <f>Analysis!AT3</f>
        <v>20</v>
      </c>
      <c r="D19" s="14">
        <f>Analysis!AU3</f>
        <v>36</v>
      </c>
      <c r="E19" s="144">
        <f>C19/(D19+C19)</f>
        <v>0.35714285714285715</v>
      </c>
      <c r="F19" s="139">
        <f>Analysis!AV3</f>
        <v>17</v>
      </c>
      <c r="G19" s="138">
        <f>Analysis!AW3</f>
        <v>31</v>
      </c>
      <c r="H19" s="145">
        <f>F19/(G19+F19)</f>
        <v>0.35416666666666669</v>
      </c>
      <c r="I19" s="35"/>
      <c r="J19" s="84"/>
      <c r="K19" s="35"/>
      <c r="L19" s="35"/>
      <c r="M19" s="35"/>
      <c r="N19" s="35"/>
      <c r="O19" s="35"/>
      <c r="P19" s="35"/>
      <c r="Q19" s="35"/>
      <c r="R19" s="35"/>
      <c r="S19" s="35"/>
      <c r="T19" s="35"/>
      <c r="U19" s="35"/>
      <c r="V19" s="35"/>
      <c r="W19" s="35"/>
      <c r="X19" s="35"/>
      <c r="Y19" s="35"/>
      <c r="Z19" s="35">
        <f>Analysis!CG21</f>
        <v>13</v>
      </c>
      <c r="AA19" s="111">
        <f ca="1">Analysis!CH21</f>
        <v>105.34190300134897</v>
      </c>
    </row>
    <row r="20" spans="1:27">
      <c r="B20" s="4" t="str">
        <f>Analysis!AN4</f>
        <v>1 year</v>
      </c>
      <c r="C20" s="14">
        <f>Analysis!AT4</f>
        <v>26</v>
      </c>
      <c r="D20" s="14">
        <f>Analysis!AU4</f>
        <v>43</v>
      </c>
      <c r="E20" s="144">
        <f>C20/(D20+C20)</f>
        <v>0.37681159420289856</v>
      </c>
      <c r="F20" s="139">
        <f>Analysis!AV4</f>
        <v>34</v>
      </c>
      <c r="G20" s="14">
        <f>Analysis!AW4</f>
        <v>71</v>
      </c>
      <c r="H20" s="145">
        <f>F20/(G20+F20)</f>
        <v>0.32380952380952382</v>
      </c>
      <c r="I20" s="35"/>
      <c r="J20" s="84"/>
      <c r="K20" s="35"/>
      <c r="L20" s="35"/>
      <c r="M20" s="35"/>
      <c r="N20" s="35"/>
      <c r="O20" s="35"/>
      <c r="P20" s="35"/>
      <c r="Q20" s="35"/>
      <c r="R20" s="35"/>
      <c r="S20" s="35"/>
      <c r="T20" s="35"/>
      <c r="U20" s="35"/>
      <c r="V20" s="35"/>
      <c r="W20" s="35"/>
      <c r="X20" s="35"/>
      <c r="Y20" s="35"/>
      <c r="Z20" s="35">
        <f>Analysis!CG22</f>
        <v>14</v>
      </c>
      <c r="AA20" s="111">
        <f ca="1">Analysis!CH22</f>
        <v>100.5373690556457</v>
      </c>
    </row>
    <row r="21" spans="1:27">
      <c r="B21" s="25" t="str">
        <f>Analysis!AN5</f>
        <v>4 years</v>
      </c>
      <c r="C21" s="14">
        <f>Analysis!AT5</f>
        <v>95</v>
      </c>
      <c r="D21" s="14">
        <f>Analysis!AU5</f>
        <v>173</v>
      </c>
      <c r="E21" s="144">
        <f>C21/(D21+C21)</f>
        <v>0.35447761194029853</v>
      </c>
      <c r="F21" s="12"/>
      <c r="G21" s="35"/>
      <c r="I21" s="35"/>
      <c r="J21" s="84"/>
      <c r="K21" s="35"/>
      <c r="L21" s="35"/>
      <c r="M21" s="35"/>
      <c r="N21" s="35"/>
      <c r="O21" s="35"/>
      <c r="P21" s="35"/>
      <c r="Q21" s="35"/>
      <c r="R21" s="35"/>
      <c r="S21" s="35"/>
      <c r="T21" s="35"/>
      <c r="U21" s="35"/>
      <c r="V21" s="35"/>
      <c r="W21" s="35"/>
      <c r="X21" s="35"/>
      <c r="Y21" s="35"/>
      <c r="Z21" s="35">
        <f>Analysis!CG23</f>
        <v>15</v>
      </c>
      <c r="AA21" s="111">
        <f ca="1">Analysis!CH23</f>
        <v>112.55769360954054</v>
      </c>
    </row>
    <row r="22" spans="1:27" ht="15">
      <c r="A22" s="44" t="s">
        <v>18</v>
      </c>
      <c r="B22" s="70" t="s">
        <v>19</v>
      </c>
      <c r="C22" s="35"/>
      <c r="D22" s="35"/>
      <c r="E22" s="35"/>
      <c r="G22" s="35"/>
      <c r="I22" s="35"/>
      <c r="J22" s="35"/>
      <c r="K22" s="35"/>
      <c r="L22" s="35"/>
      <c r="M22" s="35"/>
      <c r="N22" s="35"/>
      <c r="O22" s="35"/>
      <c r="P22" s="35"/>
      <c r="Q22" s="35"/>
      <c r="R22" s="35"/>
      <c r="S22" s="35"/>
      <c r="T22" s="35"/>
      <c r="U22" s="35"/>
      <c r="V22" s="35"/>
      <c r="W22" s="35"/>
      <c r="X22" s="35"/>
      <c r="Y22" s="35"/>
      <c r="Z22" s="35">
        <f>Analysis!CG24</f>
        <v>16</v>
      </c>
      <c r="AA22" s="111">
        <f ca="1">Analysis!CH24</f>
        <v>118.00205909945726</v>
      </c>
    </row>
    <row r="23" spans="1:27">
      <c r="B23" s="35"/>
      <c r="C23" s="35"/>
      <c r="D23" s="35"/>
      <c r="E23" s="35"/>
      <c r="G23" s="35"/>
      <c r="I23" s="35"/>
      <c r="J23" s="35"/>
      <c r="K23" s="35"/>
      <c r="L23" s="35"/>
      <c r="M23" s="35"/>
      <c r="N23" s="35"/>
      <c r="O23" s="35"/>
      <c r="P23" s="35"/>
      <c r="Q23" s="35"/>
      <c r="R23" s="35"/>
      <c r="S23" s="35"/>
      <c r="T23" s="35"/>
      <c r="U23" s="35"/>
      <c r="V23" s="35"/>
      <c r="W23" s="35"/>
      <c r="X23" s="35"/>
      <c r="Y23" s="35"/>
      <c r="Z23" s="35">
        <f>Analysis!CG25</f>
        <v>17</v>
      </c>
      <c r="AA23" s="111">
        <f ca="1">Analysis!CH25</f>
        <v>120.20974049835849</v>
      </c>
    </row>
    <row r="24" spans="1:27">
      <c r="B24" s="35"/>
      <c r="C24" s="35"/>
      <c r="D24" s="35"/>
      <c r="E24" s="35"/>
      <c r="G24" s="35"/>
      <c r="I24" s="35"/>
      <c r="J24" s="35"/>
      <c r="K24" s="35"/>
      <c r="L24" s="35"/>
      <c r="M24" s="35"/>
      <c r="N24" s="35"/>
      <c r="O24" s="35"/>
      <c r="P24" s="35"/>
      <c r="Q24" s="35"/>
      <c r="R24" s="35"/>
      <c r="S24" s="35"/>
      <c r="T24" s="35"/>
      <c r="U24" s="35"/>
      <c r="V24" s="35"/>
      <c r="W24" s="35"/>
      <c r="X24" s="35"/>
      <c r="Y24" s="35"/>
      <c r="Z24" s="35">
        <f>Analysis!CG26</f>
        <v>18</v>
      </c>
      <c r="AA24" s="111">
        <f ca="1">Analysis!CH26</f>
        <v>112.54671304536802</v>
      </c>
    </row>
    <row r="25" spans="1:27" ht="21.95">
      <c r="B25" s="110" t="s">
        <v>13</v>
      </c>
      <c r="C25" s="137" t="s">
        <v>20</v>
      </c>
      <c r="D25" s="35"/>
      <c r="E25" s="35"/>
      <c r="G25" s="35"/>
      <c r="I25" s="35"/>
      <c r="J25" s="35"/>
      <c r="K25" s="35"/>
      <c r="L25" s="35"/>
      <c r="M25" s="35"/>
      <c r="N25" s="35"/>
      <c r="O25" s="35"/>
      <c r="P25" s="35"/>
      <c r="Q25" s="35"/>
      <c r="R25" s="35"/>
      <c r="S25" s="35"/>
      <c r="T25" s="35"/>
      <c r="U25" s="35"/>
      <c r="V25" s="35"/>
      <c r="W25" s="35"/>
      <c r="X25" s="35"/>
      <c r="Y25" s="35"/>
      <c r="Z25" s="35">
        <f>Analysis!CG27</f>
        <v>19</v>
      </c>
      <c r="AA25" s="111">
        <f ca="1">Analysis!CH27</f>
        <v>113.22235042345845</v>
      </c>
    </row>
    <row r="26" spans="1:27" ht="15">
      <c r="A26" s="44" t="s">
        <v>18</v>
      </c>
      <c r="B26" s="70" t="s">
        <v>21</v>
      </c>
      <c r="C26" s="35"/>
      <c r="D26" s="35"/>
      <c r="E26" s="35"/>
      <c r="G26" s="35"/>
      <c r="I26" s="35"/>
      <c r="J26" s="35"/>
      <c r="K26" s="35"/>
      <c r="L26" s="35"/>
      <c r="M26" s="35"/>
      <c r="N26" s="35"/>
      <c r="O26" s="35"/>
      <c r="P26" s="35"/>
      <c r="Q26" s="35"/>
      <c r="R26" s="35"/>
      <c r="S26" s="35"/>
      <c r="T26" s="35"/>
      <c r="U26" s="35"/>
      <c r="V26" s="35"/>
      <c r="W26" s="35"/>
      <c r="X26" s="35"/>
      <c r="Y26" s="35"/>
      <c r="Z26" s="35">
        <f>Analysis!CG28</f>
        <v>20</v>
      </c>
      <c r="AA26" s="111">
        <f ca="1">Analysis!CH28</f>
        <v>111.16810847750386</v>
      </c>
    </row>
    <row r="27" spans="1:27">
      <c r="B27" s="35"/>
      <c r="C27" s="35"/>
      <c r="D27" s="35"/>
      <c r="E27" s="35"/>
      <c r="G27" s="35"/>
      <c r="I27" s="35"/>
      <c r="J27" s="35"/>
      <c r="K27" s="35"/>
      <c r="L27" s="35"/>
      <c r="M27" s="35"/>
      <c r="N27" s="35"/>
      <c r="O27" s="35"/>
      <c r="P27" s="35"/>
      <c r="Q27" s="35"/>
      <c r="R27" s="35"/>
      <c r="S27" s="35"/>
      <c r="T27" s="35"/>
      <c r="U27" s="35"/>
      <c r="V27" s="35"/>
      <c r="W27" s="35"/>
      <c r="X27" s="35"/>
      <c r="Y27" s="35"/>
      <c r="Z27" s="35">
        <f>Analysis!CG29</f>
        <v>21</v>
      </c>
      <c r="AA27" s="111">
        <f ca="1">Analysis!CH29</f>
        <v>108.77258814729032</v>
      </c>
    </row>
    <row r="28" spans="1:27">
      <c r="B28" s="35"/>
      <c r="C28" s="35"/>
      <c r="D28" s="35"/>
      <c r="E28" s="35"/>
      <c r="G28" s="109"/>
      <c r="H28" s="109"/>
      <c r="I28" s="35"/>
      <c r="J28" s="111"/>
      <c r="K28" s="35"/>
      <c r="L28" s="35"/>
      <c r="M28" s="35"/>
      <c r="N28" s="35"/>
      <c r="O28" s="35"/>
      <c r="P28" s="35"/>
      <c r="Q28" s="35"/>
      <c r="R28" s="35"/>
      <c r="S28" s="35"/>
      <c r="T28" s="35"/>
      <c r="U28" s="35"/>
      <c r="V28" s="35"/>
      <c r="W28" s="35"/>
      <c r="X28" s="35"/>
      <c r="Y28" s="35"/>
      <c r="Z28" s="35">
        <f>Analysis!CG30</f>
        <v>22</v>
      </c>
      <c r="AA28" s="111">
        <f ca="1">Analysis!CH30</f>
        <v>111.61425489854449</v>
      </c>
    </row>
    <row r="29" spans="1:27">
      <c r="B29" s="35" t="s">
        <v>22</v>
      </c>
      <c r="C29" s="35"/>
      <c r="D29" s="35"/>
      <c r="E29" s="35"/>
      <c r="G29" s="109"/>
      <c r="H29" s="109"/>
      <c r="I29" s="35"/>
      <c r="J29" s="111"/>
      <c r="K29" s="35"/>
      <c r="L29" s="35"/>
      <c r="M29" s="35"/>
      <c r="N29" s="35"/>
      <c r="O29" s="35"/>
      <c r="P29" s="35"/>
      <c r="Q29" s="35"/>
      <c r="R29" s="35"/>
      <c r="S29" s="35"/>
      <c r="T29" s="35"/>
      <c r="U29" s="35"/>
      <c r="V29" s="35"/>
      <c r="W29" s="35"/>
      <c r="X29" s="35"/>
      <c r="Y29" s="35"/>
      <c r="Z29" s="35">
        <f>Analysis!CG31</f>
        <v>23</v>
      </c>
      <c r="AA29" s="111">
        <f ca="1">Analysis!CH31</f>
        <v>115.17115295375108</v>
      </c>
    </row>
    <row r="30" spans="1:27">
      <c r="B30" s="35"/>
      <c r="C30" s="35"/>
      <c r="D30" s="35"/>
      <c r="E30" s="35"/>
      <c r="G30" s="35"/>
      <c r="I30" s="35"/>
      <c r="J30" s="111"/>
      <c r="K30" s="35"/>
      <c r="L30" s="35"/>
      <c r="M30" s="35"/>
      <c r="N30" s="35"/>
      <c r="O30" s="35"/>
      <c r="P30" s="35"/>
      <c r="Q30" s="35"/>
      <c r="R30" s="35"/>
      <c r="S30" s="35"/>
      <c r="T30" s="35"/>
      <c r="U30" s="35"/>
      <c r="V30" s="35"/>
      <c r="W30" s="35"/>
      <c r="X30" s="35"/>
      <c r="Y30" s="35"/>
      <c r="Z30" s="35">
        <f>Analysis!CG32</f>
        <v>24</v>
      </c>
      <c r="AA30" s="111">
        <f ca="1">Analysis!CH32</f>
        <v>111.52412380314522</v>
      </c>
    </row>
    <row r="31" spans="1:27">
      <c r="B31" s="35"/>
      <c r="C31" s="35"/>
      <c r="D31" s="35"/>
      <c r="E31" s="35"/>
      <c r="G31" s="35"/>
      <c r="I31" s="35"/>
      <c r="J31" s="111"/>
      <c r="K31" s="35"/>
      <c r="L31" s="35"/>
      <c r="M31" s="35"/>
      <c r="N31" s="35"/>
      <c r="O31" s="35"/>
      <c r="P31" s="35"/>
      <c r="Q31" s="35"/>
      <c r="R31" s="35"/>
      <c r="S31" s="35"/>
      <c r="T31" s="35"/>
      <c r="U31" s="35"/>
      <c r="V31" s="35"/>
      <c r="W31" s="35"/>
      <c r="X31" s="35"/>
      <c r="Y31" s="35"/>
      <c r="Z31" s="35">
        <f>Analysis!CG33</f>
        <v>25</v>
      </c>
      <c r="AA31" s="111">
        <f ca="1">Analysis!CH33</f>
        <v>110.57805453777655</v>
      </c>
    </row>
    <row r="32" spans="1:27">
      <c r="B32" s="35" t="str">
        <f>Analysis!AZ37</f>
        <v>Over a 4 year span</v>
      </c>
      <c r="C32" s="35"/>
      <c r="D32" s="35"/>
      <c r="E32" s="35"/>
      <c r="G32" s="109"/>
      <c r="H32" s="109"/>
      <c r="I32" s="35"/>
      <c r="J32" s="111"/>
      <c r="K32" s="35"/>
      <c r="L32" s="115"/>
      <c r="M32" s="35"/>
      <c r="N32" s="35"/>
      <c r="O32" s="35"/>
      <c r="P32" s="35"/>
      <c r="Q32" s="35"/>
      <c r="R32" s="35"/>
      <c r="S32" s="35"/>
      <c r="T32" s="35"/>
      <c r="U32" s="35"/>
      <c r="V32" s="35"/>
      <c r="W32" s="35"/>
      <c r="X32" s="35"/>
      <c r="Y32" s="35"/>
      <c r="Z32" s="35">
        <f>Analysis!CG34</f>
        <v>26</v>
      </c>
      <c r="AA32" s="111">
        <f ca="1">Analysis!CH34</f>
        <v>112.60686108304489</v>
      </c>
    </row>
    <row r="33" spans="2:27">
      <c r="B33" s="35" t="str">
        <f>Analysis!AZ38</f>
        <v>Slope</v>
      </c>
      <c r="C33" s="35">
        <f>Analysis!BA38</f>
        <v>1.8679767334282883E-2</v>
      </c>
      <c r="D33" s="35"/>
      <c r="E33" s="35"/>
      <c r="G33" s="109"/>
      <c r="H33" s="109"/>
      <c r="I33" s="35"/>
      <c r="J33" s="111"/>
      <c r="K33" s="35"/>
      <c r="L33" s="35"/>
      <c r="M33" s="116"/>
      <c r="N33" s="35"/>
      <c r="O33" s="35"/>
      <c r="P33" s="35"/>
      <c r="Q33" s="35"/>
      <c r="R33" s="35"/>
      <c r="S33" s="35"/>
      <c r="T33" s="35"/>
      <c r="U33" s="35"/>
      <c r="V33" s="35"/>
      <c r="W33" s="35"/>
      <c r="X33" s="35"/>
      <c r="Y33" s="35"/>
      <c r="Z33" s="35">
        <f>Analysis!CG35</f>
        <v>27</v>
      </c>
      <c r="AA33" s="111">
        <f ca="1">Analysis!CH35</f>
        <v>113.45194625996798</v>
      </c>
    </row>
    <row r="34" spans="2:27">
      <c r="B34" s="35" t="str">
        <f>Analysis!AZ39</f>
        <v>R-square</v>
      </c>
      <c r="C34" s="35">
        <f>Analysis!BA39</f>
        <v>0.76132965980154621</v>
      </c>
      <c r="D34" s="35"/>
      <c r="E34" s="35"/>
      <c r="G34" s="109"/>
      <c r="H34" s="109"/>
      <c r="I34" s="35"/>
      <c r="J34" s="111"/>
      <c r="K34" s="35"/>
      <c r="L34" s="35"/>
      <c r="M34" s="116"/>
      <c r="N34" s="35"/>
      <c r="O34" s="35"/>
      <c r="P34" s="35"/>
      <c r="Q34" s="35"/>
      <c r="R34" s="35"/>
      <c r="S34" s="35"/>
      <c r="T34" s="35"/>
      <c r="U34" s="35"/>
      <c r="V34" s="35"/>
      <c r="W34" s="35"/>
      <c r="X34" s="35"/>
      <c r="Y34" s="35"/>
      <c r="Z34" s="35">
        <f>Analysis!CG36</f>
        <v>28</v>
      </c>
      <c r="AA34" s="111">
        <f ca="1">Analysis!CH36</f>
        <v>104.2520305856185</v>
      </c>
    </row>
    <row r="35" spans="2:27">
      <c r="B35" s="35"/>
      <c r="C35" s="35"/>
      <c r="D35" s="35"/>
      <c r="E35" s="35"/>
      <c r="G35" s="109"/>
      <c r="H35" s="109"/>
      <c r="I35" s="35"/>
      <c r="J35" s="111"/>
      <c r="K35" s="35"/>
      <c r="L35" s="35"/>
      <c r="M35" s="116"/>
      <c r="N35" s="35"/>
      <c r="O35" s="35"/>
      <c r="P35" s="35"/>
      <c r="Q35" s="35"/>
      <c r="R35" s="35"/>
      <c r="S35" s="35"/>
      <c r="T35" s="35"/>
      <c r="U35" s="35"/>
      <c r="V35" s="35"/>
      <c r="W35" s="35"/>
      <c r="X35" s="35"/>
      <c r="Y35" s="35"/>
      <c r="Z35" s="35">
        <f>Analysis!CG37</f>
        <v>29</v>
      </c>
      <c r="AA35" s="111">
        <f ca="1">Analysis!CH37</f>
        <v>109.31436056078267</v>
      </c>
    </row>
    <row r="36" spans="2:27">
      <c r="B36" s="35" t="str">
        <f>Analysis!AZ67</f>
        <v>Over a 1 year span</v>
      </c>
      <c r="C36" s="35"/>
      <c r="D36" s="35"/>
      <c r="E36" s="35"/>
      <c r="G36" s="109"/>
      <c r="H36" s="109"/>
      <c r="I36" s="35"/>
      <c r="J36" s="111"/>
      <c r="K36" s="35"/>
      <c r="L36" s="35"/>
      <c r="M36" s="116"/>
      <c r="N36" s="35"/>
      <c r="O36" s="35"/>
      <c r="P36" s="35"/>
      <c r="Q36" s="35"/>
      <c r="R36" s="35"/>
      <c r="S36" s="35"/>
      <c r="T36" s="35"/>
      <c r="U36" s="35"/>
      <c r="V36" s="35"/>
      <c r="W36" s="35"/>
      <c r="X36" s="35"/>
      <c r="Y36" s="35"/>
      <c r="Z36" s="35">
        <f>Analysis!CG38</f>
        <v>30</v>
      </c>
      <c r="AA36" s="111">
        <f ca="1">Analysis!CH38</f>
        <v>109.39594331473693</v>
      </c>
    </row>
    <row r="37" spans="2:27">
      <c r="B37" s="35" t="str">
        <f>Analysis!AZ68</f>
        <v>Slope</v>
      </c>
      <c r="C37" s="35">
        <f>Analysis!BA68</f>
        <v>5.3287188422769548E-2</v>
      </c>
      <c r="D37" s="35"/>
      <c r="E37" s="35"/>
      <c r="G37" s="109"/>
      <c r="H37" s="109"/>
      <c r="I37" s="35"/>
      <c r="J37" s="111"/>
      <c r="K37" s="35"/>
      <c r="L37" s="35"/>
      <c r="M37" s="116"/>
      <c r="N37" s="35"/>
      <c r="O37" s="35"/>
      <c r="P37" s="35"/>
      <c r="Q37" s="35"/>
      <c r="R37" s="35"/>
      <c r="S37" s="35"/>
      <c r="T37" s="35"/>
      <c r="U37" s="35"/>
      <c r="V37" s="35"/>
      <c r="W37" s="35"/>
      <c r="X37" s="35"/>
      <c r="Y37" s="35"/>
      <c r="Z37" s="35">
        <f>Analysis!CG39</f>
        <v>31</v>
      </c>
      <c r="AA37" s="111">
        <f ca="1">Analysis!CH39</f>
        <v>106.90446127571224</v>
      </c>
    </row>
    <row r="38" spans="2:27">
      <c r="B38" s="35" t="str">
        <f>Analysis!AZ69</f>
        <v>R-square</v>
      </c>
      <c r="C38" s="35">
        <f>Analysis!BA69</f>
        <v>0.66892659767392348</v>
      </c>
      <c r="D38" s="35"/>
      <c r="E38" s="35"/>
      <c r="G38" s="109"/>
      <c r="H38" s="109"/>
      <c r="I38" s="35"/>
      <c r="J38" s="111"/>
      <c r="K38" s="35"/>
      <c r="L38" s="35"/>
      <c r="M38" s="116"/>
      <c r="N38" s="35"/>
      <c r="O38" s="35"/>
      <c r="P38" s="35"/>
      <c r="Q38" s="35"/>
      <c r="R38" s="35"/>
      <c r="S38" s="35"/>
      <c r="T38" s="35"/>
      <c r="U38" s="35"/>
      <c r="V38" s="35"/>
      <c r="W38" s="35"/>
      <c r="X38" s="35"/>
      <c r="Y38" s="35"/>
      <c r="Z38" s="35">
        <f>Analysis!CG40</f>
        <v>32</v>
      </c>
      <c r="AA38" s="111">
        <f ca="1">Analysis!CH40</f>
        <v>107.18785985510893</v>
      </c>
    </row>
    <row r="39" spans="2:27" ht="24" customHeight="1">
      <c r="B39" s="35"/>
      <c r="C39" s="35"/>
      <c r="D39" s="35"/>
      <c r="E39" s="35"/>
      <c r="G39" s="109"/>
      <c r="H39" s="109"/>
      <c r="I39" s="35"/>
      <c r="J39" s="111"/>
      <c r="K39" s="35"/>
      <c r="L39" s="35"/>
      <c r="M39" s="116"/>
      <c r="N39" s="35"/>
      <c r="O39" s="35"/>
      <c r="P39" s="35"/>
      <c r="Q39" s="35"/>
      <c r="R39" s="35"/>
      <c r="S39" s="35"/>
      <c r="T39" s="35"/>
      <c r="U39" s="35"/>
      <c r="V39" s="35"/>
      <c r="W39" s="35"/>
      <c r="X39" s="35"/>
      <c r="Y39" s="35"/>
      <c r="Z39" s="35">
        <f>Analysis!CG41</f>
        <v>33</v>
      </c>
      <c r="AA39" s="111">
        <f ca="1">Analysis!CH41</f>
        <v>118.88902829483611</v>
      </c>
    </row>
    <row r="40" spans="2:27" ht="30" customHeight="1">
      <c r="B40" s="54" t="str">
        <f>Analysis!AZ96</f>
        <v>Over a 9 month span</v>
      </c>
      <c r="C40" s="1"/>
      <c r="D40" s="35"/>
      <c r="E40" s="35"/>
      <c r="G40" s="109"/>
      <c r="H40" s="109"/>
      <c r="I40" s="35"/>
      <c r="J40" s="111"/>
      <c r="K40" s="35"/>
      <c r="L40" s="35"/>
      <c r="M40" s="116"/>
      <c r="N40" s="35"/>
      <c r="O40" s="35"/>
      <c r="P40" s="35"/>
      <c r="Q40" s="35"/>
      <c r="R40" s="35"/>
      <c r="S40" s="35"/>
      <c r="T40" s="35"/>
      <c r="U40" s="35"/>
      <c r="V40" s="35"/>
      <c r="W40" s="35"/>
      <c r="X40" s="35"/>
      <c r="Y40" s="35"/>
      <c r="Z40" s="35">
        <f>Analysis!CG42</f>
        <v>34</v>
      </c>
      <c r="AA40" s="111">
        <f ca="1">Analysis!CH42</f>
        <v>102.21753689420865</v>
      </c>
    </row>
    <row r="41" spans="2:27">
      <c r="B41" s="92" t="str">
        <f>Analysis!AZ97</f>
        <v>Slope</v>
      </c>
      <c r="C41" s="92">
        <f>Analysis!BA97</f>
        <v>3.0142906208292526E-2</v>
      </c>
      <c r="D41" s="35"/>
      <c r="E41" s="35"/>
      <c r="G41" s="109"/>
      <c r="H41" s="109"/>
      <c r="I41" s="35"/>
      <c r="J41" s="111"/>
      <c r="K41" s="35"/>
      <c r="L41" s="35"/>
      <c r="M41" s="116"/>
      <c r="N41" s="35"/>
      <c r="O41" s="35"/>
      <c r="P41" s="35"/>
      <c r="Q41" s="35"/>
      <c r="R41" s="35"/>
      <c r="S41" s="35"/>
      <c r="T41" s="35"/>
      <c r="U41" s="35"/>
      <c r="V41" s="35"/>
      <c r="W41" s="35"/>
      <c r="X41" s="35"/>
      <c r="Y41" s="35"/>
      <c r="Z41" s="35">
        <f>Analysis!CG43</f>
        <v>35</v>
      </c>
      <c r="AA41" s="111">
        <f ca="1">Analysis!CH43</f>
        <v>107.70329924642887</v>
      </c>
    </row>
    <row r="42" spans="2:27">
      <c r="B42" s="92" t="str">
        <f>Analysis!AZ98</f>
        <v>R-square</v>
      </c>
      <c r="C42" s="92">
        <f>Analysis!BA98</f>
        <v>0.31502278104509296</v>
      </c>
      <c r="D42" s="35"/>
      <c r="E42" s="35"/>
      <c r="G42" s="35"/>
      <c r="I42" s="35"/>
      <c r="J42" s="35"/>
      <c r="K42" s="35"/>
      <c r="L42" s="35"/>
      <c r="M42" s="116"/>
      <c r="N42" s="35"/>
      <c r="O42" s="35"/>
      <c r="P42" s="35"/>
      <c r="Q42" s="35"/>
      <c r="R42" s="35"/>
      <c r="S42" s="35"/>
      <c r="T42" s="35"/>
      <c r="U42" s="35"/>
      <c r="V42" s="35"/>
      <c r="W42" s="35"/>
      <c r="X42" s="35"/>
      <c r="Y42" s="35"/>
      <c r="Z42" s="35">
        <f>Analysis!CG44</f>
        <v>36</v>
      </c>
      <c r="AA42" s="111">
        <f ca="1">Analysis!CH44</f>
        <v>107.39144347170044</v>
      </c>
    </row>
    <row r="43" spans="2:27">
      <c r="B43" s="35"/>
      <c r="C43" s="35"/>
      <c r="D43" s="35"/>
      <c r="E43" s="35"/>
      <c r="G43" s="35"/>
      <c r="I43" s="35"/>
      <c r="J43" s="35"/>
      <c r="K43" s="35"/>
      <c r="L43" s="35"/>
      <c r="M43" s="116"/>
      <c r="N43" s="35"/>
      <c r="O43" s="35"/>
      <c r="P43" s="35"/>
      <c r="Q43" s="35"/>
      <c r="R43" s="35"/>
      <c r="S43" s="35"/>
      <c r="T43" s="35"/>
      <c r="U43" s="35"/>
      <c r="V43" s="35"/>
      <c r="W43" s="35"/>
      <c r="X43" s="35"/>
      <c r="Y43" s="35"/>
      <c r="Z43" s="35">
        <f>Analysis!CG45</f>
        <v>37</v>
      </c>
      <c r="AA43" s="111">
        <f ca="1">Analysis!CH45</f>
        <v>112.74914967327318</v>
      </c>
    </row>
    <row r="44" spans="2:27">
      <c r="B44" s="35"/>
      <c r="C44" s="35"/>
      <c r="D44" s="35"/>
      <c r="E44" s="35"/>
      <c r="G44" s="35"/>
      <c r="I44" s="35"/>
      <c r="J44" s="35"/>
      <c r="K44" s="35"/>
      <c r="L44" s="35"/>
      <c r="M44" s="35"/>
      <c r="N44" s="35"/>
      <c r="O44" s="35"/>
      <c r="P44" s="35"/>
      <c r="Q44" s="35"/>
      <c r="R44" s="35"/>
      <c r="S44" s="35"/>
      <c r="T44" s="35"/>
      <c r="U44" s="35"/>
      <c r="V44" s="35"/>
      <c r="W44" s="35"/>
      <c r="X44" s="35"/>
      <c r="Y44" s="35"/>
      <c r="Z44" s="35">
        <f>Analysis!CG46</f>
        <v>38</v>
      </c>
      <c r="AA44" s="111">
        <f ca="1">Analysis!CH46</f>
        <v>105.94677703303111</v>
      </c>
    </row>
    <row r="45" spans="2:27">
      <c r="B45" s="35"/>
      <c r="C45" s="35"/>
      <c r="D45" s="35"/>
      <c r="E45" s="35"/>
      <c r="G45" s="35"/>
      <c r="I45" s="35"/>
      <c r="J45" s="35"/>
      <c r="K45" s="35"/>
      <c r="L45" s="35"/>
      <c r="M45" s="35"/>
      <c r="N45" s="35"/>
      <c r="O45" s="35"/>
      <c r="P45" s="35"/>
      <c r="Q45" s="35"/>
      <c r="R45" s="35"/>
      <c r="S45" s="35"/>
      <c r="T45" s="35"/>
      <c r="U45" s="35"/>
      <c r="V45" s="35"/>
      <c r="W45" s="35"/>
      <c r="X45" s="35"/>
      <c r="Y45" s="35"/>
      <c r="Z45" s="35">
        <f>Analysis!CG47</f>
        <v>39</v>
      </c>
      <c r="AA45" s="111">
        <f ca="1">Analysis!CH47</f>
        <v>113.03576391051818</v>
      </c>
    </row>
    <row r="46" spans="2:27">
      <c r="B46" s="35"/>
      <c r="C46" s="35"/>
      <c r="D46" s="35"/>
      <c r="E46" s="35"/>
      <c r="G46" s="35"/>
      <c r="I46" s="35"/>
      <c r="J46" s="35"/>
      <c r="K46" s="35"/>
      <c r="L46" s="35"/>
      <c r="M46" s="35"/>
      <c r="N46" s="35"/>
      <c r="O46" s="35"/>
      <c r="P46" s="35"/>
      <c r="Q46" s="35"/>
      <c r="R46" s="35"/>
      <c r="S46" s="35"/>
      <c r="T46" s="35"/>
      <c r="U46" s="35"/>
      <c r="V46" s="35"/>
      <c r="W46" s="35"/>
      <c r="X46" s="35"/>
      <c r="Y46" s="35"/>
      <c r="Z46" s="35">
        <f>Analysis!CG48</f>
        <v>40</v>
      </c>
      <c r="AA46" s="111">
        <f ca="1">Analysis!CH48</f>
        <v>108.16022792541919</v>
      </c>
    </row>
    <row r="47" spans="2:27" ht="21.95">
      <c r="B47" s="110" t="s">
        <v>23</v>
      </c>
      <c r="C47" s="137" t="s">
        <v>24</v>
      </c>
      <c r="D47" s="35"/>
      <c r="E47" s="35"/>
      <c r="G47" s="35"/>
      <c r="I47" s="35"/>
      <c r="J47" s="35"/>
      <c r="K47" s="35"/>
      <c r="L47" s="35"/>
      <c r="M47" s="35"/>
      <c r="N47" s="35"/>
      <c r="O47" s="35"/>
      <c r="P47" s="35"/>
      <c r="Q47" s="35"/>
      <c r="R47" s="35"/>
      <c r="S47" s="35"/>
      <c r="T47" s="35"/>
      <c r="U47" s="35"/>
      <c r="V47" s="35"/>
      <c r="W47" s="35"/>
      <c r="X47" s="35"/>
      <c r="Y47" s="35"/>
      <c r="Z47" s="35">
        <f>Analysis!CG49</f>
        <v>41</v>
      </c>
      <c r="AA47" s="111">
        <f ca="1">Analysis!CH49</f>
        <v>103.49627243196598</v>
      </c>
    </row>
    <row r="48" spans="2:27" ht="24.95">
      <c r="B48" s="112" t="str">
        <f>Analysis!BK3</f>
        <v xml:space="preserve"> </v>
      </c>
      <c r="C48" s="84"/>
      <c r="D48" s="84" t="str">
        <f>Analysis!BM14</f>
        <v>Change in price based on the month volatility</v>
      </c>
      <c r="E48" s="84" t="str">
        <f>Analysis!BN14</f>
        <v>Change in price based on the Year volatility</v>
      </c>
      <c r="G48" s="35"/>
      <c r="I48" s="35"/>
      <c r="J48" s="35"/>
      <c r="K48" s="35"/>
      <c r="L48" s="35"/>
      <c r="M48" s="35"/>
      <c r="N48" s="35"/>
      <c r="O48" s="35"/>
      <c r="P48" s="35"/>
      <c r="Q48" s="35"/>
      <c r="R48" s="35"/>
      <c r="S48" s="35"/>
      <c r="T48" s="35"/>
      <c r="U48" s="35"/>
      <c r="V48" s="35"/>
      <c r="W48" s="35"/>
      <c r="X48" s="35"/>
      <c r="Y48" s="35"/>
      <c r="Z48" s="35">
        <f>Analysis!CG50</f>
        <v>42</v>
      </c>
      <c r="AA48" s="111">
        <f ca="1">Analysis!CH50</f>
        <v>113.36217253000721</v>
      </c>
    </row>
    <row r="49" spans="1:27" ht="15">
      <c r="B49" s="112" t="str">
        <f>Analysis!BK4</f>
        <v xml:space="preserve"> </v>
      </c>
      <c r="C49" s="84" t="str">
        <f>Analysis!BL15</f>
        <v>Current Close</v>
      </c>
      <c r="D49" s="114">
        <f>Analysis!BM15</f>
        <v>108.81</v>
      </c>
      <c r="E49" s="114"/>
      <c r="G49" s="35"/>
      <c r="I49" s="35"/>
      <c r="J49" s="35"/>
      <c r="K49" s="35"/>
      <c r="L49" s="35"/>
      <c r="M49" s="35"/>
      <c r="N49" s="35"/>
      <c r="O49" s="35"/>
      <c r="P49" s="35"/>
      <c r="Q49" s="35"/>
      <c r="R49" s="35"/>
      <c r="S49" s="35"/>
      <c r="T49" s="35"/>
      <c r="U49" s="35"/>
      <c r="V49" s="35"/>
      <c r="W49" s="35"/>
      <c r="X49" s="35"/>
      <c r="Y49" s="35"/>
      <c r="Z49" s="35">
        <f>Analysis!CG51</f>
        <v>43</v>
      </c>
      <c r="AA49" s="111">
        <f ca="1">Analysis!CH51</f>
        <v>112.87712171158149</v>
      </c>
    </row>
    <row r="50" spans="1:27" ht="24.95">
      <c r="B50" s="112" t="str">
        <f>Analysis!BK5</f>
        <v xml:space="preserve"> </v>
      </c>
      <c r="C50" s="84" t="str">
        <f>Analysis!BL16</f>
        <v>Upward Price based on 30 days</v>
      </c>
      <c r="D50" s="114">
        <f>Analysis!BM16</f>
        <v>113.33418554020356</v>
      </c>
      <c r="E50" s="114">
        <f>Analysis!BN16</f>
        <v>129.62453162207339</v>
      </c>
      <c r="F50" s="84" t="s">
        <v>25</v>
      </c>
      <c r="G50" s="35"/>
      <c r="I50" s="35"/>
      <c r="J50" s="35"/>
      <c r="K50" s="35"/>
      <c r="L50" s="35"/>
      <c r="M50" s="35"/>
      <c r="N50" s="35"/>
      <c r="O50" s="35"/>
      <c r="P50" s="35"/>
      <c r="Q50" s="35"/>
      <c r="R50" s="35"/>
      <c r="S50" s="35"/>
      <c r="T50" s="35"/>
      <c r="U50" s="35"/>
      <c r="V50" s="35"/>
      <c r="W50" s="35"/>
      <c r="X50" s="35"/>
      <c r="Y50" s="35"/>
      <c r="Z50" s="35">
        <f>Analysis!CG52</f>
        <v>44</v>
      </c>
      <c r="AA50" s="111">
        <f ca="1">Analysis!CH52</f>
        <v>106.93244561145306</v>
      </c>
    </row>
    <row r="51" spans="1:27" ht="24.95">
      <c r="B51" s="112" t="str">
        <f>Analysis!BK6</f>
        <v xml:space="preserve"> </v>
      </c>
      <c r="C51" s="84" t="str">
        <f>Analysis!BL17</f>
        <v>Downward Price based on 30 days</v>
      </c>
      <c r="D51" s="114">
        <f>Analysis!BM17</f>
        <v>104.28581445979643</v>
      </c>
      <c r="E51" s="114">
        <f>Analysis!BN17</f>
        <v>87.995468377926613</v>
      </c>
      <c r="F51" s="84" t="s">
        <v>26</v>
      </c>
      <c r="G51" s="35"/>
      <c r="I51" s="35"/>
      <c r="J51" s="35"/>
      <c r="K51" s="35"/>
      <c r="L51" s="35"/>
      <c r="M51" s="35"/>
      <c r="N51" s="35"/>
      <c r="O51" s="35"/>
      <c r="P51" s="35"/>
      <c r="Q51" s="35"/>
      <c r="R51" s="35"/>
      <c r="S51" s="35"/>
      <c r="T51" s="35"/>
      <c r="U51" s="35"/>
      <c r="V51" s="35"/>
      <c r="W51" s="35"/>
      <c r="X51" s="35"/>
      <c r="Y51" s="35"/>
      <c r="Z51" s="35">
        <f>Analysis!CG53</f>
        <v>45</v>
      </c>
      <c r="AA51" s="111">
        <f ca="1">Analysis!CH53</f>
        <v>116.77352959380636</v>
      </c>
    </row>
    <row r="52" spans="1:27" ht="15">
      <c r="B52" s="112" t="str">
        <f>Analysis!BK7</f>
        <v xml:space="preserve"> </v>
      </c>
      <c r="C52" s="35"/>
      <c r="D52" s="35"/>
      <c r="E52" s="35"/>
      <c r="G52" s="35"/>
      <c r="I52" s="35"/>
      <c r="J52" s="35"/>
      <c r="K52" s="35"/>
      <c r="L52" s="35"/>
      <c r="M52" s="35"/>
      <c r="N52" s="35"/>
      <c r="O52" s="35"/>
      <c r="P52" s="35"/>
      <c r="Q52" s="35"/>
      <c r="R52" s="35"/>
      <c r="S52" s="35"/>
      <c r="T52" s="35"/>
      <c r="U52" s="35"/>
      <c r="V52" s="35"/>
      <c r="W52" s="35"/>
      <c r="X52" s="35"/>
      <c r="Y52" s="35"/>
      <c r="Z52" s="35">
        <f>Analysis!CG54</f>
        <v>46</v>
      </c>
      <c r="AA52" s="111">
        <f ca="1">Analysis!CH54</f>
        <v>107.69337153230455</v>
      </c>
    </row>
    <row r="53" spans="1:27" ht="15">
      <c r="B53" s="112" t="str">
        <f>Analysis!BK8</f>
        <v xml:space="preserve"> </v>
      </c>
      <c r="C53" s="35"/>
      <c r="D53" s="35"/>
      <c r="E53" s="35"/>
      <c r="G53" s="35"/>
      <c r="I53" s="35"/>
      <c r="J53" s="35"/>
      <c r="K53" s="35"/>
      <c r="L53" s="35"/>
      <c r="M53" s="35"/>
      <c r="N53" s="35"/>
      <c r="O53" s="35"/>
      <c r="P53" s="35"/>
      <c r="Q53" s="35"/>
      <c r="R53" s="35"/>
      <c r="S53" s="35"/>
      <c r="T53" s="35"/>
      <c r="U53" s="35"/>
      <c r="V53" s="35"/>
      <c r="W53" s="35"/>
      <c r="X53" s="35"/>
      <c r="Y53" s="35"/>
      <c r="Z53" s="35">
        <f>Analysis!CG55</f>
        <v>47</v>
      </c>
      <c r="AA53" s="111">
        <f ca="1">Analysis!CH55</f>
        <v>112.09337319639765</v>
      </c>
    </row>
    <row r="54" spans="1:27" ht="15">
      <c r="B54" s="112" t="str">
        <f>Analysis!BK9</f>
        <v>Call Option ITM close to ATM</v>
      </c>
      <c r="C54" s="35"/>
      <c r="D54" s="35"/>
      <c r="E54" s="35"/>
      <c r="G54" s="35"/>
      <c r="I54" s="35"/>
      <c r="J54" s="35"/>
      <c r="K54" s="35"/>
      <c r="L54" s="35"/>
      <c r="M54" s="35"/>
      <c r="N54" s="35"/>
      <c r="O54" s="35"/>
      <c r="P54" s="35"/>
      <c r="Q54" s="35"/>
      <c r="R54" s="35"/>
      <c r="S54" s="35"/>
      <c r="T54" s="35"/>
      <c r="U54" s="35"/>
      <c r="V54" s="35"/>
      <c r="W54" s="35"/>
      <c r="X54" s="35"/>
      <c r="Y54" s="35"/>
      <c r="Z54" s="35">
        <f>Analysis!CG56</f>
        <v>48</v>
      </c>
      <c r="AA54" s="111">
        <f ca="1">Analysis!CH56</f>
        <v>114.52186040667384</v>
      </c>
    </row>
    <row r="55" spans="1:27" ht="15">
      <c r="B55" s="112" t="str">
        <f>Analysis!BK10</f>
        <v xml:space="preserve"> </v>
      </c>
      <c r="C55" s="35"/>
      <c r="D55" s="35"/>
      <c r="E55" s="35"/>
      <c r="G55" s="35"/>
      <c r="I55" s="35"/>
      <c r="J55" s="35"/>
      <c r="K55" s="35"/>
      <c r="L55" s="35"/>
      <c r="M55" s="35"/>
      <c r="N55" s="35"/>
      <c r="O55" s="35"/>
      <c r="P55" s="35"/>
      <c r="Q55" s="35"/>
      <c r="R55" s="35"/>
      <c r="S55" s="35"/>
      <c r="T55" s="35"/>
      <c r="U55" s="35"/>
      <c r="V55" s="35"/>
      <c r="W55" s="35"/>
      <c r="X55" s="35"/>
      <c r="Y55" s="35"/>
      <c r="Z55" s="35">
        <f>Analysis!CG57</f>
        <v>49</v>
      </c>
      <c r="AA55" s="111">
        <f ca="1">Analysis!CH57</f>
        <v>110.54002193481556</v>
      </c>
    </row>
    <row r="56" spans="1:27" ht="15">
      <c r="B56" s="112" t="str">
        <f>Analysis!BK11</f>
        <v xml:space="preserve"> </v>
      </c>
      <c r="C56" s="35"/>
      <c r="D56" s="35"/>
      <c r="E56" s="35"/>
      <c r="G56" s="35"/>
      <c r="I56" s="35"/>
      <c r="J56" s="35"/>
      <c r="K56" s="35"/>
      <c r="L56" s="35"/>
      <c r="M56" s="35"/>
      <c r="N56" s="35"/>
      <c r="O56" s="35"/>
      <c r="P56" s="35"/>
      <c r="Q56" s="35"/>
      <c r="R56" s="35"/>
      <c r="S56" s="35"/>
      <c r="T56" s="35"/>
      <c r="U56" s="35"/>
      <c r="V56" s="35"/>
      <c r="W56" s="35"/>
      <c r="X56" s="35"/>
      <c r="Y56" s="35"/>
      <c r="Z56" s="35">
        <f>Analysis!CG58</f>
        <v>50</v>
      </c>
      <c r="AA56" s="111">
        <f ca="1">Analysis!CH58</f>
        <v>105.42257003019601</v>
      </c>
    </row>
    <row r="57" spans="1:27" ht="15">
      <c r="B57" s="112" t="str">
        <f>Analysis!BK12</f>
        <v xml:space="preserve"> </v>
      </c>
      <c r="C57" s="35"/>
      <c r="D57" s="35"/>
      <c r="E57" s="35"/>
      <c r="G57" s="35"/>
      <c r="I57" s="35"/>
      <c r="J57" s="35"/>
      <c r="K57" s="35"/>
      <c r="L57" s="35"/>
      <c r="M57" s="35"/>
      <c r="N57" s="35"/>
      <c r="O57" s="35"/>
      <c r="P57" s="35"/>
      <c r="Q57" s="35"/>
      <c r="R57" s="35"/>
      <c r="S57" s="35"/>
      <c r="T57" s="35"/>
      <c r="U57" s="35"/>
      <c r="V57" s="35"/>
      <c r="W57" s="35"/>
      <c r="X57" s="35"/>
      <c r="Y57" s="35"/>
      <c r="Z57" s="35">
        <f>Analysis!CG59</f>
        <v>51</v>
      </c>
      <c r="AA57" s="111">
        <f ca="1">Analysis!CH59</f>
        <v>112.3126413960417</v>
      </c>
    </row>
    <row r="58" spans="1:27" ht="15">
      <c r="B58" s="112" t="str">
        <f>Analysis!BK13</f>
        <v xml:space="preserve"> </v>
      </c>
      <c r="C58" s="35"/>
      <c r="D58" s="35"/>
      <c r="E58" s="35"/>
      <c r="G58" s="35"/>
      <c r="I58" s="35"/>
      <c r="J58" s="35"/>
      <c r="K58" s="35"/>
      <c r="L58" s="35"/>
      <c r="M58" s="35"/>
      <c r="N58" s="35"/>
      <c r="O58" s="35"/>
      <c r="P58" s="35"/>
      <c r="Q58" s="35"/>
      <c r="R58" s="35"/>
      <c r="S58" s="35"/>
      <c r="T58" s="35"/>
      <c r="U58" s="35"/>
      <c r="V58" s="35"/>
      <c r="W58" s="35"/>
      <c r="X58" s="35"/>
      <c r="Y58" s="35"/>
      <c r="Z58" s="35">
        <f>Analysis!CG60</f>
        <v>52</v>
      </c>
      <c r="AA58" s="111">
        <f ca="1">Analysis!CH60</f>
        <v>110.74945141536853</v>
      </c>
    </row>
    <row r="59" spans="1:27" ht="15">
      <c r="B59" s="112" t="str">
        <f>Analysis!BK14</f>
        <v xml:space="preserve"> </v>
      </c>
      <c r="C59" s="35"/>
      <c r="D59" s="35"/>
      <c r="E59" s="35"/>
      <c r="G59" s="35"/>
      <c r="I59" s="35"/>
      <c r="J59" s="35"/>
      <c r="K59" s="35"/>
      <c r="L59" s="35"/>
      <c r="M59" s="35"/>
      <c r="N59" s="35"/>
      <c r="O59" s="35"/>
      <c r="P59" s="35"/>
      <c r="Q59" s="35"/>
      <c r="R59" s="35"/>
      <c r="S59" s="35"/>
      <c r="T59" s="35"/>
      <c r="U59" s="35"/>
      <c r="V59" s="35"/>
      <c r="W59" s="35"/>
      <c r="X59" s="35"/>
      <c r="Y59" s="35"/>
      <c r="Z59" s="35">
        <f>Analysis!CG61</f>
        <v>53</v>
      </c>
      <c r="AA59" s="111">
        <f ca="1">Analysis!CH61</f>
        <v>110.24585409477029</v>
      </c>
    </row>
    <row r="60" spans="1:27" ht="15">
      <c r="B60" s="147" t="str">
        <f>Analysis!BK15</f>
        <v xml:space="preserve"> </v>
      </c>
      <c r="C60" s="35"/>
      <c r="D60" s="35"/>
      <c r="E60" s="35"/>
      <c r="G60" s="35"/>
      <c r="I60" s="35"/>
      <c r="J60" s="35"/>
      <c r="K60" s="35"/>
      <c r="L60" s="35"/>
      <c r="M60" s="35"/>
      <c r="N60" s="35"/>
      <c r="O60" s="35"/>
      <c r="P60" s="35"/>
      <c r="Q60" s="35"/>
      <c r="R60" s="35"/>
      <c r="S60" s="35"/>
      <c r="T60" s="35"/>
      <c r="U60" s="35"/>
      <c r="V60" s="35"/>
      <c r="W60" s="35"/>
      <c r="X60" s="35"/>
      <c r="Y60" s="35"/>
      <c r="Z60" s="35">
        <f>Analysis!CG62</f>
        <v>54</v>
      </c>
      <c r="AA60" s="111">
        <f ca="1">Analysis!CH62</f>
        <v>113.1632512705946</v>
      </c>
    </row>
    <row r="61" spans="1:27">
      <c r="B61" s="35"/>
      <c r="C61" s="35"/>
      <c r="D61" s="35"/>
      <c r="E61" s="35"/>
      <c r="G61" s="35"/>
      <c r="I61" s="35"/>
      <c r="J61" s="35"/>
      <c r="K61" s="35"/>
      <c r="L61" s="35"/>
      <c r="M61" s="35"/>
      <c r="N61" s="35"/>
      <c r="O61" s="35"/>
      <c r="P61" s="35"/>
      <c r="Q61" s="35"/>
      <c r="R61" s="35"/>
      <c r="S61" s="35"/>
      <c r="T61" s="35"/>
      <c r="U61" s="35"/>
      <c r="V61" s="35"/>
      <c r="W61" s="35"/>
      <c r="X61" s="35"/>
      <c r="Y61" s="35"/>
      <c r="Z61" s="35">
        <f>Analysis!CG63</f>
        <v>55</v>
      </c>
      <c r="AA61" s="111">
        <f ca="1">Analysis!CH63</f>
        <v>114.60356472516652</v>
      </c>
    </row>
    <row r="62" spans="1:27" ht="21.95">
      <c r="B62" s="110" t="s">
        <v>27</v>
      </c>
      <c r="C62" s="137" t="s">
        <v>28</v>
      </c>
      <c r="D62" s="35"/>
      <c r="E62" s="35"/>
      <c r="G62" s="35"/>
      <c r="I62" s="35"/>
      <c r="J62" s="35"/>
      <c r="K62" s="35"/>
      <c r="L62" s="35"/>
      <c r="M62" s="35"/>
      <c r="N62" s="35"/>
      <c r="O62" s="35"/>
      <c r="P62" s="35"/>
      <c r="Q62" s="35"/>
      <c r="R62" s="35"/>
      <c r="S62" s="35"/>
      <c r="T62" s="35"/>
      <c r="U62" s="35"/>
      <c r="V62" s="35"/>
      <c r="W62" s="35"/>
      <c r="X62" s="35"/>
      <c r="Y62" s="35"/>
      <c r="Z62" s="35">
        <f>Analysis!CG64</f>
        <v>56</v>
      </c>
      <c r="AA62" s="111">
        <f ca="1">Analysis!CH64</f>
        <v>102.52812981202705</v>
      </c>
    </row>
    <row r="63" spans="1:27" ht="15">
      <c r="A63" s="44" t="s">
        <v>29</v>
      </c>
      <c r="B63" s="123" t="str">
        <f>Analysis!CQ5</f>
        <v>Commission per trade</v>
      </c>
      <c r="C63" s="122">
        <v>28.74</v>
      </c>
      <c r="D63" s="35"/>
      <c r="E63" s="35"/>
      <c r="G63" s="35"/>
      <c r="I63" s="35"/>
      <c r="J63" s="35"/>
      <c r="K63" s="35"/>
      <c r="L63" s="35"/>
      <c r="M63" s="35"/>
      <c r="N63" s="35"/>
      <c r="O63" s="35"/>
      <c r="P63" s="35"/>
      <c r="Q63" s="35"/>
      <c r="R63" s="35"/>
      <c r="S63" s="35"/>
      <c r="T63" s="35"/>
      <c r="U63" s="35"/>
      <c r="V63" s="35"/>
      <c r="W63" s="35"/>
      <c r="X63" s="35"/>
      <c r="Y63" s="35"/>
      <c r="Z63" s="35">
        <f>Analysis!CG65</f>
        <v>57</v>
      </c>
      <c r="AA63" s="111">
        <f ca="1">Analysis!CH65</f>
        <v>106.10174732552855</v>
      </c>
    </row>
    <row r="64" spans="1:27" ht="30">
      <c r="A64" s="44" t="s">
        <v>29</v>
      </c>
      <c r="B64" s="123" t="str">
        <f>Analysis!CQ6</f>
        <v>Calls I am going buy (contract)</v>
      </c>
      <c r="C64" s="35">
        <v>10</v>
      </c>
      <c r="D64" s="35"/>
      <c r="E64" s="35"/>
      <c r="G64" s="35"/>
      <c r="I64" s="35"/>
      <c r="J64" s="35"/>
      <c r="K64" s="35"/>
      <c r="L64" s="35"/>
      <c r="M64" s="35"/>
      <c r="N64" s="35"/>
      <c r="O64" s="35"/>
      <c r="P64" s="35"/>
      <c r="Q64" s="35"/>
      <c r="R64" s="35"/>
      <c r="S64" s="35"/>
      <c r="T64" s="35"/>
      <c r="U64" s="35"/>
      <c r="V64" s="35"/>
      <c r="W64" s="35"/>
      <c r="X64" s="35"/>
      <c r="Y64" s="35"/>
      <c r="Z64" s="35">
        <f>Analysis!CG66</f>
        <v>58</v>
      </c>
      <c r="AA64" s="111">
        <f ca="1">Analysis!CH66</f>
        <v>114.68786396087795</v>
      </c>
    </row>
    <row r="65" spans="1:27" ht="15">
      <c r="A65" s="44" t="s">
        <v>29</v>
      </c>
      <c r="B65" s="123" t="str">
        <f>Analysis!CQ7</f>
        <v>Each worth (stock price)</v>
      </c>
      <c r="C65" s="122">
        <v>0.01</v>
      </c>
      <c r="D65" s="35"/>
      <c r="E65" s="35"/>
      <c r="G65" s="35"/>
      <c r="I65" s="35"/>
      <c r="J65" s="35"/>
      <c r="K65" s="35"/>
      <c r="L65" s="35"/>
      <c r="M65" s="35"/>
      <c r="N65" s="35"/>
      <c r="O65" s="35"/>
      <c r="P65" s="35"/>
      <c r="Q65" s="35"/>
      <c r="R65" s="35"/>
      <c r="S65" s="35"/>
      <c r="T65" s="35"/>
      <c r="U65" s="35"/>
      <c r="V65" s="35"/>
      <c r="W65" s="35"/>
      <c r="X65" s="35"/>
      <c r="Y65" s="35"/>
      <c r="Z65" s="35">
        <f>Analysis!CG67</f>
        <v>59</v>
      </c>
      <c r="AA65" s="111">
        <f ca="1">Analysis!CH67</f>
        <v>118.2320648622584</v>
      </c>
    </row>
    <row r="66" spans="1:27">
      <c r="B66" s="84" t="str">
        <f>Analysis!CQ8</f>
        <v xml:space="preserve">Options </v>
      </c>
      <c r="C66" s="30">
        <v>100</v>
      </c>
      <c r="D66" s="35"/>
      <c r="E66" s="35"/>
      <c r="G66" s="35"/>
      <c r="I66" s="35"/>
      <c r="J66" s="35"/>
      <c r="K66" s="35"/>
      <c r="L66" s="35"/>
      <c r="M66" s="35"/>
      <c r="N66" s="35"/>
      <c r="O66" s="35"/>
      <c r="P66" s="35"/>
      <c r="Q66" s="35"/>
      <c r="R66" s="35"/>
      <c r="S66" s="35"/>
      <c r="T66" s="35"/>
      <c r="U66" s="35"/>
      <c r="V66" s="35"/>
      <c r="W66" s="35"/>
      <c r="X66" s="35"/>
      <c r="Y66" s="35"/>
      <c r="Z66" s="35">
        <f>Analysis!CG68</f>
        <v>60</v>
      </c>
      <c r="AA66" s="111">
        <f ca="1">Analysis!CH68</f>
        <v>107.68656685584277</v>
      </c>
    </row>
    <row r="67" spans="1:27">
      <c r="B67" s="84" t="str">
        <f>Analysis!CQ9</f>
        <v>Total of call Cost</v>
      </c>
      <c r="C67" s="20">
        <f>(C66*C65)*C64</f>
        <v>10</v>
      </c>
      <c r="D67" s="35"/>
      <c r="E67" s="35"/>
      <c r="G67" s="35"/>
      <c r="I67" s="35"/>
      <c r="J67" s="35"/>
      <c r="K67" s="35"/>
      <c r="L67" s="35"/>
      <c r="M67" s="35"/>
      <c r="N67" s="35"/>
      <c r="O67" s="35"/>
      <c r="P67" s="35"/>
      <c r="Q67" s="35"/>
      <c r="R67" s="35"/>
      <c r="S67" s="35"/>
      <c r="T67" s="35"/>
      <c r="U67" s="35"/>
      <c r="V67" s="35"/>
      <c r="W67" s="35"/>
      <c r="X67" s="35"/>
      <c r="Y67" s="35"/>
      <c r="Z67" s="35">
        <f>Analysis!CG69</f>
        <v>61</v>
      </c>
      <c r="AA67" s="111">
        <f ca="1">Analysis!CH69</f>
        <v>103.39000405804565</v>
      </c>
    </row>
    <row r="68" spans="1:27">
      <c r="B68" s="84" t="str">
        <f>Analysis!CQ10</f>
        <v>Total of all cost with commission</v>
      </c>
      <c r="C68" s="35">
        <f>C67+C63</f>
        <v>38.739999999999995</v>
      </c>
      <c r="D68" s="35"/>
      <c r="E68" s="35"/>
      <c r="G68" s="35"/>
      <c r="I68" s="35"/>
      <c r="J68" s="35"/>
      <c r="K68" s="35"/>
      <c r="L68" s="35"/>
      <c r="M68" s="35"/>
      <c r="N68" s="35"/>
      <c r="O68" s="35"/>
      <c r="P68" s="35"/>
      <c r="Q68" s="35"/>
      <c r="R68" s="35"/>
      <c r="S68" s="35"/>
      <c r="T68" s="35"/>
      <c r="U68" s="35"/>
      <c r="V68" s="35"/>
      <c r="W68" s="35"/>
      <c r="X68" s="35"/>
      <c r="Y68" s="35"/>
      <c r="Z68" s="35">
        <f>Analysis!CG70</f>
        <v>62</v>
      </c>
      <c r="AA68" s="111">
        <f ca="1">Analysis!CH70</f>
        <v>112.25139209336103</v>
      </c>
    </row>
    <row r="69" spans="1:27" ht="15">
      <c r="A69" s="44" t="s">
        <v>29</v>
      </c>
      <c r="B69" s="123" t="str">
        <f>Analysis!CQ11</f>
        <v>Charge per contract</v>
      </c>
      <c r="C69" s="35">
        <v>0</v>
      </c>
      <c r="D69" s="35"/>
      <c r="E69" s="35"/>
      <c r="G69" s="35"/>
      <c r="I69" s="35"/>
      <c r="J69" s="35"/>
      <c r="K69" s="35"/>
      <c r="L69" s="35"/>
      <c r="M69" s="35"/>
      <c r="N69" s="35"/>
      <c r="O69" s="35"/>
      <c r="P69" s="35"/>
      <c r="Q69" s="35"/>
      <c r="R69" s="35"/>
      <c r="S69" s="35"/>
      <c r="T69" s="35"/>
      <c r="U69" s="35"/>
      <c r="V69" s="35"/>
      <c r="W69" s="35"/>
      <c r="X69" s="35"/>
      <c r="Y69" s="35"/>
      <c r="Z69" s="35">
        <f>Analysis!CG71</f>
        <v>63</v>
      </c>
      <c r="AA69" s="111">
        <f ca="1">Analysis!CH71</f>
        <v>112.19859789625504</v>
      </c>
    </row>
    <row r="70" spans="1:27">
      <c r="B70" s="84" t="str">
        <f>Analysis!CQ12</f>
        <v>Charge per contract * contract</v>
      </c>
      <c r="C70" s="71">
        <f>C69*C64</f>
        <v>0</v>
      </c>
      <c r="D70" s="35"/>
      <c r="E70" s="35"/>
      <c r="G70" s="35"/>
      <c r="I70" s="35"/>
      <c r="J70" s="35"/>
      <c r="K70" s="35"/>
      <c r="L70" s="35"/>
      <c r="M70" s="35"/>
      <c r="N70" s="35"/>
      <c r="O70" s="35"/>
      <c r="P70" s="35"/>
      <c r="Q70" s="35"/>
      <c r="R70" s="35"/>
      <c r="S70" s="35"/>
      <c r="T70" s="35"/>
      <c r="U70" s="35"/>
      <c r="V70" s="35"/>
      <c r="W70" s="35"/>
      <c r="X70" s="35"/>
      <c r="Y70" s="35"/>
      <c r="Z70" s="35">
        <f>Analysis!CG72</f>
        <v>64</v>
      </c>
      <c r="AA70" s="111">
        <f ca="1">Analysis!CH72</f>
        <v>107.45144698926417</v>
      </c>
    </row>
    <row r="71" spans="1:27" ht="15.95" thickBot="1">
      <c r="B71" s="124" t="str">
        <f>Analysis!CQ13</f>
        <v>TOTAL COST OF TRADE</v>
      </c>
      <c r="C71" s="31">
        <f>C68+C70</f>
        <v>38.739999999999995</v>
      </c>
      <c r="D71" s="35"/>
      <c r="E71" s="35"/>
      <c r="G71" s="35"/>
      <c r="I71" s="35"/>
      <c r="J71" s="35"/>
      <c r="K71" s="35"/>
      <c r="L71" s="35"/>
      <c r="M71" s="35"/>
      <c r="N71" s="35"/>
      <c r="O71" s="35"/>
      <c r="P71" s="35"/>
      <c r="Q71" s="35"/>
      <c r="R71" s="35"/>
      <c r="S71" s="35"/>
      <c r="T71" s="35"/>
      <c r="U71" s="35"/>
      <c r="V71" s="35"/>
      <c r="W71" s="35"/>
      <c r="X71" s="35"/>
      <c r="Y71" s="35"/>
      <c r="Z71" s="35">
        <f>Analysis!CG73</f>
        <v>65</v>
      </c>
      <c r="AA71" s="111">
        <f ca="1">Analysis!CH73</f>
        <v>114.80949406046059</v>
      </c>
    </row>
    <row r="72" spans="1:27" ht="12.95" thickTop="1">
      <c r="B72" s="84"/>
      <c r="C72" s="35"/>
      <c r="D72" s="35"/>
      <c r="E72" s="35"/>
      <c r="G72" s="35"/>
      <c r="I72" s="35"/>
      <c r="J72" s="35"/>
      <c r="K72" s="35"/>
      <c r="L72" s="35"/>
      <c r="M72" s="35"/>
      <c r="N72" s="35"/>
      <c r="O72" s="35"/>
      <c r="P72" s="35"/>
      <c r="Q72" s="35"/>
      <c r="R72" s="35"/>
      <c r="S72" s="35"/>
      <c r="T72" s="35"/>
      <c r="U72" s="35"/>
      <c r="V72" s="35"/>
      <c r="W72" s="35"/>
      <c r="X72" s="35"/>
      <c r="Y72" s="35"/>
      <c r="Z72" s="35">
        <f>Analysis!CG74</f>
        <v>66</v>
      </c>
      <c r="AA72" s="111">
        <f ca="1">Analysis!CH74</f>
        <v>105.37846307379479</v>
      </c>
    </row>
    <row r="73" spans="1:27" ht="15" thickBot="1">
      <c r="B73" s="125" t="str">
        <f>Analysis!CQ15</f>
        <v>PROFIT</v>
      </c>
      <c r="C73" s="35"/>
      <c r="D73" s="35"/>
      <c r="E73" s="35"/>
      <c r="G73" s="35"/>
      <c r="I73" s="35"/>
      <c r="J73" s="35"/>
      <c r="K73" s="35"/>
      <c r="L73" s="35"/>
      <c r="M73" s="35"/>
      <c r="N73" s="35"/>
      <c r="O73" s="35"/>
      <c r="P73" s="35"/>
      <c r="Q73" s="35"/>
      <c r="R73" s="35"/>
      <c r="S73" s="35"/>
      <c r="T73" s="35"/>
      <c r="U73" s="35"/>
      <c r="V73" s="35"/>
      <c r="W73" s="35"/>
      <c r="X73" s="35"/>
      <c r="Y73" s="35"/>
      <c r="Z73" s="35">
        <f>Analysis!CG75</f>
        <v>67</v>
      </c>
      <c r="AA73" s="111">
        <f ca="1">Analysis!CH75</f>
        <v>102.97751456531363</v>
      </c>
    </row>
    <row r="74" spans="1:27" ht="15">
      <c r="A74" s="44" t="s">
        <v>29</v>
      </c>
      <c r="B74" s="123" t="str">
        <f>Analysis!CQ16</f>
        <v>Expiry price</v>
      </c>
      <c r="C74" s="122">
        <v>25</v>
      </c>
      <c r="D74" s="35"/>
      <c r="E74" s="35"/>
      <c r="G74" s="35"/>
      <c r="I74" s="35"/>
      <c r="J74" s="35"/>
      <c r="K74" s="35"/>
      <c r="L74" s="35"/>
      <c r="M74" s="35"/>
      <c r="N74" s="35"/>
      <c r="O74" s="35"/>
      <c r="P74" s="35"/>
      <c r="Q74" s="35"/>
      <c r="R74" s="35"/>
      <c r="S74" s="35"/>
      <c r="T74" s="35"/>
      <c r="U74" s="35"/>
      <c r="V74" s="35"/>
      <c r="W74" s="35"/>
      <c r="X74" s="35"/>
      <c r="Y74" s="35"/>
      <c r="Z74" s="35">
        <f>Analysis!CG76</f>
        <v>68</v>
      </c>
      <c r="AA74" s="111">
        <f ca="1">Analysis!CH76</f>
        <v>113.55212126833163</v>
      </c>
    </row>
    <row r="75" spans="1:27">
      <c r="B75" s="84" t="str">
        <f>Analysis!CQ17</f>
        <v>Total</v>
      </c>
      <c r="C75" s="35">
        <f>C74*C66*C64</f>
        <v>25000</v>
      </c>
      <c r="D75" s="35"/>
      <c r="E75" s="35"/>
      <c r="G75" s="35"/>
      <c r="I75" s="35"/>
      <c r="J75" s="35"/>
      <c r="K75" s="35"/>
      <c r="L75" s="35"/>
      <c r="M75" s="35"/>
      <c r="N75" s="35"/>
      <c r="O75" s="35"/>
      <c r="P75" s="35"/>
      <c r="Q75" s="35"/>
      <c r="R75" s="35"/>
      <c r="S75" s="35"/>
      <c r="T75" s="35"/>
      <c r="U75" s="35"/>
      <c r="V75" s="35"/>
      <c r="W75" s="35"/>
      <c r="X75" s="35"/>
      <c r="Y75" s="35"/>
      <c r="Z75" s="35">
        <f>Analysis!CG77</f>
        <v>69</v>
      </c>
      <c r="AA75" s="111">
        <f ca="1">Analysis!CH77</f>
        <v>115.52259176683152</v>
      </c>
    </row>
    <row r="76" spans="1:27" ht="15.95" thickBot="1">
      <c r="B76" s="124" t="str">
        <f>Analysis!CQ18</f>
        <v>Sell Cost</v>
      </c>
      <c r="C76" s="31">
        <f>(C75-C71)-(C63+C70)</f>
        <v>24932.519999999997</v>
      </c>
      <c r="D76" s="35"/>
      <c r="E76" s="35"/>
      <c r="G76" s="35"/>
      <c r="I76" s="35"/>
      <c r="J76" s="35"/>
      <c r="K76" s="35"/>
      <c r="L76" s="35"/>
      <c r="M76" s="35"/>
      <c r="N76" s="35"/>
      <c r="O76" s="35"/>
      <c r="P76" s="35"/>
      <c r="Q76" s="35"/>
      <c r="R76" s="35"/>
      <c r="S76" s="35"/>
      <c r="T76" s="35"/>
      <c r="U76" s="35"/>
      <c r="V76" s="35"/>
      <c r="W76" s="35"/>
      <c r="X76" s="35"/>
      <c r="Y76" s="35"/>
      <c r="Z76" s="35">
        <f>Analysis!CG78</f>
        <v>70</v>
      </c>
      <c r="AA76" s="111">
        <f ca="1">Analysis!CH78</f>
        <v>105.29904190489916</v>
      </c>
    </row>
    <row r="77" spans="1:27" ht="17.100000000000001" thickTop="1" thickBot="1">
      <c r="B77" s="124"/>
      <c r="C77" s="35"/>
      <c r="D77" s="35"/>
      <c r="E77" s="35"/>
      <c r="G77" s="35"/>
      <c r="I77" s="35"/>
      <c r="J77" s="35"/>
      <c r="K77" s="35"/>
      <c r="L77" s="35"/>
      <c r="M77" s="35"/>
      <c r="N77" s="35"/>
      <c r="O77" s="35"/>
      <c r="P77" s="35"/>
      <c r="Q77" s="35"/>
      <c r="R77" s="35"/>
      <c r="S77" s="35"/>
      <c r="T77" s="35"/>
      <c r="U77" s="35"/>
      <c r="V77" s="35"/>
      <c r="W77" s="35"/>
      <c r="X77" s="35"/>
      <c r="Y77" s="35"/>
      <c r="Z77" s="35">
        <f>Analysis!CG79</f>
        <v>71</v>
      </c>
      <c r="AA77" s="111">
        <f ca="1">Analysis!CH79</f>
        <v>106.38141208397519</v>
      </c>
    </row>
    <row r="78" spans="1:27" ht="23.1" thickTop="1" thickBot="1">
      <c r="B78" s="124" t="str">
        <f>Analysis!CQ20</f>
        <v>Profit/loss</v>
      </c>
      <c r="C78" s="33">
        <f>C76/C71</f>
        <v>643.58595766649455</v>
      </c>
      <c r="D78" s="35"/>
      <c r="E78" s="35"/>
      <c r="G78" s="35"/>
      <c r="I78" s="35"/>
      <c r="J78" s="35"/>
      <c r="K78" s="35"/>
      <c r="L78" s="35"/>
      <c r="M78" s="35"/>
      <c r="N78" s="35"/>
      <c r="O78" s="35"/>
      <c r="P78" s="35"/>
      <c r="Q78" s="35"/>
      <c r="R78" s="35"/>
      <c r="S78" s="35"/>
      <c r="T78" s="35"/>
      <c r="U78" s="35"/>
      <c r="V78" s="35"/>
      <c r="W78" s="35"/>
      <c r="X78" s="35"/>
      <c r="Y78" s="35"/>
      <c r="Z78" s="35">
        <f>Analysis!CG80</f>
        <v>72</v>
      </c>
      <c r="AA78" s="111">
        <f ca="1">Analysis!CH80</f>
        <v>110.31035763661492</v>
      </c>
    </row>
    <row r="79" spans="1:27" ht="12.95" thickTop="1">
      <c r="B79" s="35"/>
      <c r="C79" s="35"/>
      <c r="D79" s="35"/>
      <c r="E79" s="35"/>
      <c r="G79" s="35"/>
      <c r="I79" s="35"/>
      <c r="J79" s="35"/>
      <c r="K79" s="35"/>
      <c r="L79" s="35"/>
      <c r="M79" s="35"/>
      <c r="N79" s="35"/>
      <c r="O79" s="35"/>
      <c r="P79" s="35"/>
      <c r="Q79" s="35"/>
      <c r="R79" s="35"/>
      <c r="S79" s="35"/>
      <c r="T79" s="35"/>
      <c r="U79" s="35"/>
      <c r="V79" s="35"/>
      <c r="W79" s="35"/>
      <c r="X79" s="35"/>
      <c r="Y79" s="35"/>
      <c r="Z79" s="35">
        <f>Analysis!CG81</f>
        <v>73</v>
      </c>
      <c r="AA79" s="111">
        <f ca="1">Analysis!CH81</f>
        <v>102.74316545847671</v>
      </c>
    </row>
    <row r="80" spans="1:27">
      <c r="B80" s="35"/>
      <c r="C80" s="35"/>
      <c r="D80" s="35"/>
      <c r="E80" s="35"/>
      <c r="G80" s="35"/>
      <c r="I80" s="35"/>
      <c r="J80" s="35"/>
      <c r="K80" s="35"/>
      <c r="L80" s="35"/>
      <c r="M80" s="35"/>
      <c r="N80" s="35"/>
      <c r="O80" s="35"/>
      <c r="P80" s="35"/>
      <c r="Q80" s="35"/>
      <c r="R80" s="35"/>
      <c r="S80" s="35"/>
      <c r="T80" s="35"/>
      <c r="U80" s="35"/>
      <c r="V80" s="35"/>
      <c r="W80" s="35"/>
      <c r="X80" s="35"/>
      <c r="Y80" s="35"/>
      <c r="Z80" s="35">
        <f>Analysis!CG82</f>
        <v>74</v>
      </c>
      <c r="AA80" s="111">
        <f ca="1">Analysis!CH82</f>
        <v>116.19836728107231</v>
      </c>
    </row>
    <row r="81" spans="1:27" ht="21.95">
      <c r="A81" s="44" t="s">
        <v>11</v>
      </c>
      <c r="B81" s="110" t="s">
        <v>30</v>
      </c>
      <c r="C81" s="35"/>
      <c r="D81" s="35"/>
      <c r="E81" s="35"/>
      <c r="G81" s="35"/>
      <c r="I81" s="35"/>
      <c r="J81" s="35"/>
      <c r="K81" s="35"/>
      <c r="L81" s="35"/>
      <c r="M81" s="35"/>
      <c r="N81" s="35"/>
      <c r="O81" s="35"/>
      <c r="P81" s="35"/>
      <c r="Q81" s="35"/>
      <c r="R81" s="35"/>
      <c r="S81" s="35"/>
      <c r="T81" s="35"/>
      <c r="U81" s="35"/>
      <c r="V81" s="35"/>
      <c r="W81" s="35"/>
      <c r="X81" s="35"/>
      <c r="Y81" s="35"/>
      <c r="Z81" s="35">
        <f>Analysis!CG83</f>
        <v>75</v>
      </c>
      <c r="AA81" s="111">
        <f ca="1">Analysis!CH83</f>
        <v>120.86451583228987</v>
      </c>
    </row>
    <row r="82" spans="1:27">
      <c r="B82" s="35"/>
      <c r="C82" s="35"/>
      <c r="D82" s="35"/>
      <c r="E82" s="35"/>
      <c r="G82" s="35"/>
      <c r="I82" s="35"/>
      <c r="J82" s="35"/>
      <c r="K82" s="35"/>
      <c r="L82" s="35"/>
      <c r="M82" s="35"/>
      <c r="N82" s="35"/>
      <c r="O82" s="35"/>
      <c r="P82" s="35"/>
      <c r="Q82" s="35"/>
      <c r="R82" s="35"/>
      <c r="S82" s="35"/>
      <c r="T82" s="35"/>
      <c r="U82" s="35"/>
      <c r="V82" s="35"/>
      <c r="W82" s="35"/>
      <c r="X82" s="35"/>
      <c r="Y82" s="35"/>
      <c r="Z82" s="35">
        <f>Analysis!CG84</f>
        <v>76</v>
      </c>
      <c r="AA82" s="111">
        <f ca="1">Analysis!CH84</f>
        <v>107.52348132607013</v>
      </c>
    </row>
    <row r="83" spans="1:27">
      <c r="B83" s="35"/>
      <c r="C83" s="35"/>
      <c r="D83" s="35"/>
      <c r="E83" s="35"/>
      <c r="G83" s="35"/>
      <c r="I83" s="35"/>
      <c r="J83" s="35"/>
      <c r="K83" s="35"/>
      <c r="L83" s="35"/>
      <c r="M83" s="35"/>
      <c r="N83" s="35"/>
      <c r="O83" s="35"/>
      <c r="P83" s="35"/>
      <c r="Q83" s="35"/>
      <c r="R83" s="35"/>
      <c r="S83" s="35"/>
      <c r="T83" s="35"/>
      <c r="U83" s="35"/>
      <c r="V83" s="35"/>
      <c r="W83" s="35"/>
      <c r="X83" s="35"/>
      <c r="Y83" s="35"/>
      <c r="Z83" s="35">
        <f>Analysis!CG85</f>
        <v>77</v>
      </c>
      <c r="AA83" s="111">
        <f ca="1">Analysis!CH85</f>
        <v>112.44540552153637</v>
      </c>
    </row>
    <row r="84" spans="1:27">
      <c r="B84" s="35"/>
      <c r="C84" s="35"/>
      <c r="D84" s="35"/>
      <c r="E84" s="35"/>
      <c r="G84" s="35"/>
      <c r="I84" s="35"/>
      <c r="J84" s="35"/>
      <c r="K84" s="35"/>
      <c r="L84" s="35"/>
      <c r="M84" s="35"/>
      <c r="N84" s="35"/>
      <c r="O84" s="35"/>
      <c r="P84" s="35"/>
      <c r="Q84" s="35"/>
      <c r="R84" s="35"/>
      <c r="S84" s="35"/>
      <c r="T84" s="35"/>
      <c r="U84" s="35"/>
      <c r="V84" s="35"/>
      <c r="W84" s="35"/>
      <c r="X84" s="35"/>
      <c r="Y84" s="35"/>
      <c r="Z84" s="35">
        <f>Analysis!CG86</f>
        <v>78</v>
      </c>
      <c r="AA84" s="111">
        <f ca="1">Analysis!CH86</f>
        <v>112.51593889561764</v>
      </c>
    </row>
    <row r="85" spans="1:27">
      <c r="B85" s="35"/>
      <c r="C85" s="35"/>
      <c r="D85" s="35"/>
      <c r="E85" s="35"/>
      <c r="G85" s="35"/>
      <c r="I85" s="35"/>
      <c r="J85" s="35"/>
      <c r="K85" s="35"/>
      <c r="L85" s="35"/>
      <c r="M85" s="35"/>
      <c r="N85" s="35"/>
      <c r="O85" s="35"/>
      <c r="P85" s="35"/>
      <c r="Q85" s="35"/>
      <c r="R85" s="35"/>
      <c r="S85" s="35"/>
      <c r="T85" s="35"/>
      <c r="U85" s="35"/>
      <c r="V85" s="35"/>
      <c r="W85" s="35"/>
      <c r="X85" s="35"/>
      <c r="Y85" s="35"/>
      <c r="Z85" s="35">
        <f>Analysis!CG87</f>
        <v>79</v>
      </c>
      <c r="AA85" s="111">
        <f ca="1">Analysis!CH87</f>
        <v>119.5116391520092</v>
      </c>
    </row>
    <row r="86" spans="1:27">
      <c r="B86" s="35"/>
      <c r="C86" s="35"/>
      <c r="D86" s="35"/>
      <c r="E86" s="35"/>
      <c r="G86" s="35"/>
      <c r="I86" s="35"/>
      <c r="J86" s="35"/>
      <c r="K86" s="35"/>
      <c r="L86" s="35"/>
      <c r="M86" s="35"/>
      <c r="N86" s="35"/>
      <c r="O86" s="35"/>
      <c r="P86" s="35"/>
      <c r="Q86" s="35"/>
      <c r="R86" s="35"/>
      <c r="S86" s="35"/>
      <c r="T86" s="35"/>
      <c r="U86" s="35"/>
      <c r="V86" s="35"/>
      <c r="W86" s="35"/>
      <c r="X86" s="35"/>
      <c r="Y86" s="35"/>
      <c r="Z86" s="35">
        <f>Analysis!CG88</f>
        <v>80</v>
      </c>
      <c r="AA86" s="111">
        <f ca="1">Analysis!CH88</f>
        <v>115.29234407828636</v>
      </c>
    </row>
    <row r="87" spans="1:27">
      <c r="B87" s="35"/>
      <c r="C87" s="35"/>
      <c r="D87" s="35"/>
      <c r="E87" s="35"/>
      <c r="G87" s="35"/>
      <c r="I87" s="35"/>
      <c r="J87" s="35"/>
      <c r="K87" s="35"/>
      <c r="L87" s="35"/>
      <c r="M87" s="35"/>
      <c r="N87" s="35"/>
      <c r="O87" s="35"/>
      <c r="P87" s="35"/>
      <c r="Q87" s="35"/>
      <c r="R87" s="35"/>
      <c r="S87" s="35"/>
      <c r="T87" s="35"/>
      <c r="U87" s="35"/>
      <c r="V87" s="35"/>
      <c r="W87" s="35"/>
      <c r="X87" s="35"/>
      <c r="Y87" s="35"/>
      <c r="Z87" s="35">
        <f>Analysis!CG89</f>
        <v>81</v>
      </c>
      <c r="AA87" s="111">
        <f ca="1">Analysis!CH89</f>
        <v>110.20840780957668</v>
      </c>
    </row>
    <row r="88" spans="1:27">
      <c r="B88" s="35"/>
      <c r="C88" s="35"/>
      <c r="D88" s="35"/>
      <c r="E88" s="35"/>
      <c r="G88" s="35"/>
      <c r="I88" s="35"/>
      <c r="J88" s="35"/>
      <c r="K88" s="35"/>
      <c r="L88" s="35"/>
      <c r="M88" s="35"/>
      <c r="N88" s="35"/>
      <c r="O88" s="35"/>
      <c r="P88" s="35"/>
      <c r="Q88" s="35"/>
      <c r="R88" s="35"/>
      <c r="S88" s="35"/>
      <c r="T88" s="35"/>
      <c r="U88" s="35"/>
      <c r="V88" s="35"/>
      <c r="W88" s="35"/>
      <c r="X88" s="35"/>
      <c r="Y88" s="35"/>
      <c r="Z88" s="35">
        <f>Analysis!CG90</f>
        <v>82</v>
      </c>
      <c r="AA88" s="111">
        <f ca="1">Analysis!CH90</f>
        <v>109.18602823383323</v>
      </c>
    </row>
    <row r="89" spans="1:27">
      <c r="B89" s="35"/>
      <c r="C89" s="35"/>
      <c r="D89" s="35"/>
      <c r="E89" s="35"/>
      <c r="G89" s="35"/>
      <c r="I89" s="35"/>
      <c r="J89" s="35"/>
      <c r="K89" s="35"/>
      <c r="L89" s="35"/>
      <c r="M89" s="35"/>
      <c r="N89" s="35"/>
      <c r="O89" s="35"/>
      <c r="P89" s="35"/>
      <c r="Q89" s="35"/>
      <c r="R89" s="35"/>
      <c r="S89" s="35"/>
      <c r="T89" s="35"/>
      <c r="U89" s="35"/>
      <c r="V89" s="35"/>
      <c r="W89" s="35"/>
      <c r="X89" s="35"/>
      <c r="Y89" s="35"/>
      <c r="Z89" s="35">
        <f>Analysis!CG91</f>
        <v>83</v>
      </c>
      <c r="AA89" s="111">
        <f ca="1">Analysis!CH91</f>
        <v>109.75680815920417</v>
      </c>
    </row>
    <row r="90" spans="1:27">
      <c r="B90" s="35"/>
      <c r="C90" s="35"/>
      <c r="D90" s="35"/>
      <c r="E90" s="35"/>
      <c r="G90" s="35"/>
      <c r="I90" s="35"/>
      <c r="J90" s="35"/>
      <c r="K90" s="35"/>
      <c r="L90" s="35"/>
      <c r="M90" s="35"/>
      <c r="N90" s="35"/>
      <c r="O90" s="35"/>
      <c r="P90" s="35"/>
      <c r="Q90" s="35"/>
      <c r="R90" s="35"/>
      <c r="S90" s="35"/>
      <c r="T90" s="35"/>
      <c r="U90" s="35"/>
      <c r="V90" s="35"/>
      <c r="W90" s="35"/>
      <c r="X90" s="35"/>
      <c r="Y90" s="35"/>
      <c r="Z90" s="35">
        <f>Analysis!CG92</f>
        <v>84</v>
      </c>
      <c r="AA90" s="111">
        <f ca="1">Analysis!CH92</f>
        <v>116.0808078392585</v>
      </c>
    </row>
    <row r="91" spans="1:27">
      <c r="B91" s="35"/>
      <c r="C91" s="35"/>
      <c r="D91" s="35"/>
      <c r="E91" s="35"/>
      <c r="G91" s="35"/>
      <c r="I91" s="35"/>
      <c r="J91" s="35"/>
      <c r="K91" s="35"/>
      <c r="L91" s="35"/>
      <c r="M91" s="35"/>
      <c r="N91" s="35"/>
      <c r="O91" s="35"/>
      <c r="P91" s="35"/>
      <c r="Q91" s="35"/>
      <c r="R91" s="35"/>
      <c r="S91" s="35"/>
      <c r="T91" s="35"/>
      <c r="U91" s="35"/>
      <c r="V91" s="35"/>
      <c r="W91" s="35"/>
      <c r="X91" s="35"/>
      <c r="Y91" s="35"/>
      <c r="Z91" s="35">
        <f>Analysis!CG93</f>
        <v>85</v>
      </c>
      <c r="AA91" s="111">
        <f ca="1">Analysis!CH93</f>
        <v>106.67723026845168</v>
      </c>
    </row>
    <row r="92" spans="1:27">
      <c r="B92" s="35"/>
      <c r="C92" s="35"/>
      <c r="D92" s="35"/>
      <c r="E92" s="35"/>
      <c r="G92" s="35"/>
      <c r="I92" s="35"/>
      <c r="J92" s="35"/>
      <c r="K92" s="35"/>
      <c r="L92" s="35"/>
      <c r="M92" s="35"/>
      <c r="N92" s="35"/>
      <c r="O92" s="35"/>
      <c r="P92" s="35"/>
      <c r="Q92" s="35"/>
      <c r="R92" s="35"/>
      <c r="S92" s="35"/>
      <c r="T92" s="35"/>
      <c r="U92" s="35"/>
      <c r="V92" s="35"/>
      <c r="W92" s="35"/>
      <c r="X92" s="35"/>
      <c r="Y92" s="35"/>
      <c r="Z92" s="35">
        <f>Analysis!CG94</f>
        <v>86</v>
      </c>
      <c r="AA92" s="111">
        <f ca="1">Analysis!CH94</f>
        <v>111.2753619660115</v>
      </c>
    </row>
    <row r="93" spans="1:27">
      <c r="B93" s="35"/>
      <c r="C93" s="35"/>
      <c r="D93" s="35"/>
      <c r="E93" s="35"/>
      <c r="G93" s="35"/>
      <c r="I93" s="35"/>
      <c r="J93" s="35"/>
      <c r="K93" s="35"/>
      <c r="L93" s="35"/>
      <c r="M93" s="35"/>
      <c r="N93" s="35"/>
      <c r="O93" s="35"/>
      <c r="P93" s="35"/>
      <c r="Q93" s="35"/>
      <c r="R93" s="35"/>
      <c r="S93" s="35"/>
      <c r="T93" s="35"/>
      <c r="U93" s="35"/>
      <c r="V93" s="35"/>
      <c r="W93" s="35"/>
      <c r="X93" s="35"/>
      <c r="Y93" s="35"/>
      <c r="Z93" s="35">
        <f>Analysis!CG95</f>
        <v>87</v>
      </c>
      <c r="AA93" s="111">
        <f ca="1">Analysis!CH95</f>
        <v>112.62539409961794</v>
      </c>
    </row>
    <row r="94" spans="1:27">
      <c r="B94" s="35"/>
      <c r="C94" s="35"/>
      <c r="D94" s="35"/>
      <c r="E94" s="35"/>
      <c r="G94" s="35"/>
      <c r="I94" s="35"/>
      <c r="J94" s="35"/>
      <c r="K94" s="35"/>
      <c r="L94" s="35"/>
      <c r="M94" s="35"/>
      <c r="N94" s="35"/>
      <c r="O94" s="35"/>
      <c r="P94" s="35"/>
      <c r="Q94" s="35"/>
      <c r="R94" s="35"/>
      <c r="S94" s="35"/>
      <c r="T94" s="35"/>
      <c r="U94" s="35"/>
      <c r="V94" s="35"/>
      <c r="W94" s="35"/>
      <c r="X94" s="35"/>
      <c r="Y94" s="35"/>
      <c r="Z94" s="35">
        <f>Analysis!CG96</f>
        <v>88</v>
      </c>
      <c r="AA94" s="111">
        <f ca="1">Analysis!CH96</f>
        <v>113.71122459778096</v>
      </c>
    </row>
    <row r="95" spans="1:27">
      <c r="B95" s="35"/>
      <c r="C95" s="35"/>
      <c r="D95" s="35"/>
      <c r="E95" s="35"/>
      <c r="G95" s="35"/>
      <c r="I95" s="35"/>
      <c r="J95" s="35"/>
      <c r="K95" s="35"/>
      <c r="L95" s="35"/>
      <c r="M95" s="35"/>
      <c r="N95" s="35"/>
      <c r="O95" s="35"/>
      <c r="P95" s="35"/>
      <c r="Q95" s="35"/>
      <c r="R95" s="35"/>
      <c r="S95" s="35"/>
      <c r="T95" s="35"/>
      <c r="U95" s="35"/>
      <c r="V95" s="35"/>
      <c r="W95" s="35"/>
      <c r="X95" s="35"/>
      <c r="Y95" s="35"/>
      <c r="Z95" s="35">
        <f>Analysis!CG97</f>
        <v>89</v>
      </c>
      <c r="AA95" s="111">
        <f ca="1">Analysis!CH97</f>
        <v>111.28678110022349</v>
      </c>
    </row>
    <row r="96" spans="1:27">
      <c r="B96" s="35"/>
      <c r="C96" s="35"/>
      <c r="D96" s="35"/>
      <c r="E96" s="35"/>
      <c r="G96" s="35"/>
      <c r="I96" s="35"/>
      <c r="J96" s="35"/>
      <c r="K96" s="35"/>
      <c r="L96" s="35"/>
      <c r="M96" s="35"/>
      <c r="N96" s="35"/>
      <c r="O96" s="35"/>
      <c r="P96" s="35"/>
      <c r="Q96" s="35"/>
      <c r="R96" s="35"/>
      <c r="S96" s="35"/>
      <c r="T96" s="35"/>
      <c r="U96" s="35"/>
      <c r="V96" s="35"/>
      <c r="W96" s="35"/>
      <c r="X96" s="35"/>
      <c r="Y96" s="35"/>
      <c r="Z96" s="35">
        <f>Analysis!CG98</f>
        <v>90</v>
      </c>
      <c r="AA96" s="111">
        <f ca="1">Analysis!CH98</f>
        <v>106.28226083961005</v>
      </c>
    </row>
    <row r="97" spans="26:27">
      <c r="Z97" s="35">
        <f>Analysis!CG99</f>
        <v>91</v>
      </c>
      <c r="AA97" s="111">
        <f ca="1">Analysis!CH99</f>
        <v>115.26128749902753</v>
      </c>
    </row>
    <row r="98" spans="26:27">
      <c r="Z98" s="35">
        <f>Analysis!CG100</f>
        <v>92</v>
      </c>
      <c r="AA98" s="111">
        <f ca="1">Analysis!CH100</f>
        <v>114.74727094839109</v>
      </c>
    </row>
    <row r="99" spans="26:27">
      <c r="Z99" s="35">
        <f>Analysis!CG101</f>
        <v>93</v>
      </c>
      <c r="AA99" s="111">
        <f ca="1">Analysis!CH101</f>
        <v>103.4720593098637</v>
      </c>
    </row>
    <row r="100" spans="26:27">
      <c r="Z100" s="35">
        <f>Analysis!CG102</f>
        <v>94</v>
      </c>
      <c r="AA100" s="111">
        <f ca="1">Analysis!CH102</f>
        <v>105.34251290230516</v>
      </c>
    </row>
    <row r="101" spans="26:27">
      <c r="Z101" s="35">
        <f>Analysis!CG103</f>
        <v>95</v>
      </c>
      <c r="AA101" s="111">
        <f ca="1">Analysis!CH103</f>
        <v>107.94680850565814</v>
      </c>
    </row>
    <row r="102" spans="26:27">
      <c r="Z102" s="35">
        <f>Analysis!CG104</f>
        <v>96</v>
      </c>
      <c r="AA102" s="111">
        <f ca="1">Analysis!CH104</f>
        <v>99.028640933967864</v>
      </c>
    </row>
    <row r="103" spans="26:27">
      <c r="Z103" s="35">
        <f>Analysis!CG105</f>
        <v>97</v>
      </c>
      <c r="AA103" s="111">
        <f ca="1">Analysis!CH105</f>
        <v>102.61742049009531</v>
      </c>
    </row>
    <row r="104" spans="26:27">
      <c r="Z104" s="35">
        <f>Analysis!CG106</f>
        <v>98</v>
      </c>
      <c r="AA104" s="111">
        <f ca="1">Analysis!CH106</f>
        <v>111.34014689876918</v>
      </c>
    </row>
    <row r="105" spans="26:27">
      <c r="Z105" s="35">
        <f>Analysis!CG107</f>
        <v>99</v>
      </c>
      <c r="AA105" s="111">
        <f ca="1">Analysis!CH107</f>
        <v>106.91891737701036</v>
      </c>
    </row>
    <row r="106" spans="26:27">
      <c r="Z106" s="35">
        <f>Analysis!CG108</f>
        <v>100</v>
      </c>
      <c r="AA106" s="111">
        <f ca="1">Analysis!CH108</f>
        <v>112.34126237233001</v>
      </c>
    </row>
  </sheetData>
  <dataConsolidate/>
  <mergeCells count="2">
    <mergeCell ref="C16:D16"/>
    <mergeCell ref="F16:G16"/>
  </mergeCells>
  <conditionalFormatting sqref="B26">
    <cfRule type="containsText" dxfId="62" priority="12" operator="containsText" text="Down - Regression is low">
      <formula>NOT(ISERROR(SEARCH("Down - Regression is low",B26)))</formula>
    </cfRule>
    <cfRule type="containsText" dxfId="61" priority="13" operator="containsText" text="Down - Regression is ok">
      <formula>NOT(ISERROR(SEARCH("Down - Regression is ok",B26)))</formula>
    </cfRule>
    <cfRule type="containsText" dxfId="60" priority="14" operator="containsText" text="Down - Regression is great">
      <formula>NOT(ISERROR(SEARCH("Down - Regression is great",B26)))</formula>
    </cfRule>
    <cfRule type="containsText" dxfId="59" priority="15" operator="containsText" text="Up - Regression is great">
      <formula>NOT(ISERROR(SEARCH("Up - Regression is great",B26)))</formula>
    </cfRule>
    <cfRule type="containsText" dxfId="58" priority="16" operator="containsText" text="Up - Regression is ok">
      <formula>NOT(ISERROR(SEARCH("Up - Regression is ok",B26)))</formula>
    </cfRule>
    <cfRule type="containsText" dxfId="57" priority="17" operator="containsText" text="Up - Regression is low">
      <formula>NOT(ISERROR(SEARCH("Up - Regression is low",B26)))</formula>
    </cfRule>
    <cfRule type="containsText" dxfId="56" priority="18" operator="containsText" text="Neutral">
      <formula>NOT(ISERROR(SEARCH("Neutral",B26)))</formula>
    </cfRule>
    <cfRule type="containsText" dxfId="55" priority="19" operator="containsText" text="Down">
      <formula>NOT(ISERROR(SEARCH("Down",B26)))</formula>
    </cfRule>
    <cfRule type="containsText" dxfId="54" priority="20" operator="containsText" text="Up">
      <formula>NOT(ISERROR(SEARCH("Up",B26)))</formula>
    </cfRule>
  </conditionalFormatting>
  <conditionalFormatting sqref="C34">
    <cfRule type="iconSet" priority="6">
      <iconSet>
        <cfvo type="percent" val="0"/>
        <cfvo type="num" val="0.33"/>
        <cfvo type="num" val="0.67"/>
      </iconSet>
    </cfRule>
  </conditionalFormatting>
  <conditionalFormatting sqref="C38">
    <cfRule type="iconSet" priority="5">
      <iconSet>
        <cfvo type="percent" val="0"/>
        <cfvo type="num" val="0.33"/>
        <cfvo type="num" val="0.67"/>
      </iconSet>
    </cfRule>
  </conditionalFormatting>
  <conditionalFormatting sqref="C42">
    <cfRule type="iconSet" priority="4">
      <iconSet>
        <cfvo type="percent" val="0"/>
        <cfvo type="num" val="0.33"/>
        <cfvo type="num" val="0.67"/>
      </iconSet>
    </cfRule>
  </conditionalFormatting>
  <conditionalFormatting sqref="B22">
    <cfRule type="containsText" dxfId="53" priority="1" operator="containsText" text="Neutral">
      <formula>NOT(ISERROR(SEARCH("Neutral",B22)))</formula>
    </cfRule>
    <cfRule type="containsText" dxfId="52" priority="2" operator="containsText" text="Down">
      <formula>NOT(ISERROR(SEARCH("Down",B22)))</formula>
    </cfRule>
    <cfRule type="containsText" dxfId="51" priority="3" operator="containsText" text="Up">
      <formula>NOT(ISERROR(SEARCH("Up",B22)))</formula>
    </cfRule>
  </conditionalFormatting>
  <pageMargins left="0.75" right="0.75" top="1" bottom="1" header="0.5" footer="0.5"/>
  <pageSetup orientation="portrait" horizontalDpi="4294967292" verticalDpi="4294967292"/>
  <drawing r:id="rId1"/>
  <extLst>
    <ext xmlns:x14="http://schemas.microsoft.com/office/spreadsheetml/2009/9/main" uri="{CCE6A557-97BC-4b89-ADB6-D9C93CAAB3DF}">
      <x14:dataValidations xmlns:xm="http://schemas.microsoft.com/office/excel/2006/main" count="2">
        <x14:dataValidation type="list" showInputMessage="1" showErrorMessage="1" xr:uid="{00000000-0002-0000-0000-000000000000}">
          <x14:formula1>
            <xm:f>'Drop Down Sheet'!$G$3:$G$8</xm:f>
          </x14:formula1>
          <xm:sqref>B26</xm:sqref>
        </x14:dataValidation>
        <x14:dataValidation type="list" showInputMessage="1" showErrorMessage="1" xr:uid="{00000000-0002-0000-0000-000001000000}">
          <x14:formula1>
            <xm:f>'Drop Down Sheet'!$F$3:$F$5</xm:f>
          </x14:formula1>
          <xm:sqref>B22</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pageSetUpPr fitToPage="1"/>
  </sheetPr>
  <dimension ref="A1:CS1121"/>
  <sheetViews>
    <sheetView zoomScale="88" zoomScaleNormal="88" zoomScaleSheetLayoutView="75" zoomScalePageLayoutView="88" workbookViewId="0">
      <selection activeCell="BR8" sqref="BR8"/>
    </sheetView>
  </sheetViews>
  <sheetFormatPr defaultColWidth="8.85546875" defaultRowHeight="15"/>
  <cols>
    <col min="1" max="1" width="28.42578125" style="4" bestFit="1" customWidth="1"/>
    <col min="2" max="2" width="9" style="2" hidden="1" customWidth="1"/>
    <col min="3" max="3" width="12.7109375" style="3" hidden="1" customWidth="1"/>
    <col min="4" max="4" width="22.28515625" style="3" hidden="1" customWidth="1"/>
    <col min="5" max="5" width="26.85546875" style="3" hidden="1" customWidth="1"/>
    <col min="6" max="6" width="11.7109375" style="102" bestFit="1" customWidth="1"/>
    <col min="7" max="7" width="12.7109375" style="102" hidden="1" customWidth="1"/>
    <col min="8" max="8" width="12.28515625" style="102" hidden="1" customWidth="1"/>
    <col min="9" max="9" width="20.85546875" style="102" hidden="1" customWidth="1"/>
    <col min="10" max="10" width="14.28515625" style="102" hidden="1" customWidth="1"/>
    <col min="11" max="11" width="20.85546875" style="102" hidden="1" customWidth="1"/>
    <col min="12" max="13" width="20.28515625" style="102" hidden="1" customWidth="1"/>
    <col min="14" max="14" width="33.85546875" style="102" hidden="1" customWidth="1"/>
    <col min="15" max="15" width="8.140625" style="102" hidden="1" customWidth="1"/>
    <col min="16" max="16" width="8.42578125" style="102" hidden="1" customWidth="1"/>
    <col min="17" max="17" width="5.7109375" style="102" hidden="1" customWidth="1"/>
    <col min="18" max="18" width="15.140625" style="102" hidden="1" customWidth="1"/>
    <col min="19" max="19" width="13.140625" style="102" hidden="1" customWidth="1"/>
    <col min="20" max="20" width="14.42578125" style="102" hidden="1" customWidth="1"/>
    <col min="21" max="21" width="26" style="102" hidden="1" customWidth="1"/>
    <col min="22" max="22" width="17.28515625" style="102" hidden="1" customWidth="1"/>
    <col min="23" max="29" width="15.7109375" style="102" hidden="1" customWidth="1"/>
    <col min="30" max="30" width="11.42578125" style="102" customWidth="1"/>
    <col min="31" max="40" width="11.42578125" style="4" customWidth="1"/>
    <col min="41" max="45" width="11.42578125" style="4" hidden="1" customWidth="1"/>
    <col min="46" max="50" width="11.42578125" style="13" customWidth="1"/>
    <col min="51" max="51" width="15.7109375" style="4" bestFit="1" customWidth="1"/>
    <col min="52" max="52" width="120.42578125" style="4" bestFit="1" customWidth="1"/>
    <col min="53" max="53" width="13.7109375" style="4" bestFit="1" customWidth="1"/>
    <col min="54" max="54" width="17.140625" style="4" bestFit="1" customWidth="1"/>
    <col min="55" max="55" width="19.42578125" style="4" bestFit="1" customWidth="1"/>
    <col min="56" max="56" width="31.42578125" style="4" bestFit="1" customWidth="1"/>
    <col min="57" max="57" width="20.7109375" style="4" bestFit="1" customWidth="1"/>
    <col min="58" max="59" width="13.7109375" style="4" customWidth="1"/>
    <col min="60" max="60" width="55.42578125" style="4" bestFit="1" customWidth="1"/>
    <col min="61" max="61" width="20.85546875" style="4" customWidth="1"/>
    <col min="62" max="62" width="96.42578125" style="4" customWidth="1"/>
    <col min="63" max="63" width="81.7109375" style="83" bestFit="1" customWidth="1"/>
    <col min="64" max="64" width="27.42578125" style="4" customWidth="1"/>
    <col min="65" max="65" width="89.28515625" style="4" bestFit="1" customWidth="1"/>
    <col min="66" max="66" width="36.85546875" style="4" bestFit="1" customWidth="1"/>
    <col min="67" max="68" width="17.28515625" style="4" bestFit="1" customWidth="1"/>
    <col min="69" max="69" width="47" style="4" bestFit="1" customWidth="1"/>
    <col min="70" max="71" width="11.42578125" style="4" customWidth="1"/>
    <col min="72" max="72" width="12.140625" style="4" bestFit="1" customWidth="1"/>
    <col min="73" max="73" width="11.42578125" style="4" customWidth="1"/>
    <col min="74" max="74" width="12.140625" style="4" bestFit="1" customWidth="1"/>
    <col min="75" max="94" width="11.42578125" style="4" customWidth="1"/>
    <col min="95" max="95" width="76.42578125" style="4" bestFit="1" customWidth="1"/>
    <col min="96" max="96" width="12.85546875" style="4" bestFit="1" customWidth="1"/>
    <col min="97" max="99" width="43.7109375" style="4" customWidth="1"/>
    <col min="100" max="275" width="11.42578125" style="4" customWidth="1"/>
    <col min="276" max="16384" width="8.85546875" style="4"/>
  </cols>
  <sheetData>
    <row r="1" spans="1:97" ht="33">
      <c r="A1" s="87" t="s">
        <v>31</v>
      </c>
      <c r="B1" s="152" t="s">
        <v>32</v>
      </c>
      <c r="C1" s="152"/>
      <c r="D1" s="152"/>
      <c r="E1" s="152"/>
      <c r="F1" s="152"/>
      <c r="G1" s="152"/>
      <c r="H1" s="152"/>
      <c r="I1" s="152"/>
      <c r="J1" s="152"/>
      <c r="K1" s="152"/>
      <c r="L1" s="152"/>
      <c r="M1" s="152"/>
      <c r="N1" s="153"/>
      <c r="O1" s="148"/>
      <c r="P1" s="148"/>
      <c r="Q1" s="148"/>
      <c r="R1" s="148"/>
      <c r="S1" s="148"/>
      <c r="T1" s="148"/>
      <c r="U1" s="148"/>
      <c r="V1" s="148"/>
      <c r="W1" s="148"/>
      <c r="X1" s="148"/>
      <c r="Y1" s="148"/>
      <c r="Z1" s="148"/>
      <c r="AA1" s="148"/>
      <c r="AB1" s="148"/>
      <c r="AC1" s="148"/>
      <c r="AD1" s="148"/>
      <c r="AE1" s="154" t="s">
        <v>33</v>
      </c>
      <c r="AF1" s="152"/>
      <c r="AG1" s="152"/>
      <c r="AH1" s="152"/>
      <c r="AI1" s="152"/>
      <c r="AJ1" s="152"/>
      <c r="AK1" s="152"/>
      <c r="AL1" s="152"/>
      <c r="AM1" s="153"/>
      <c r="AT1" s="13" t="s">
        <v>34</v>
      </c>
      <c r="AU1" s="13" t="s">
        <v>35</v>
      </c>
      <c r="AV1" s="13" t="s">
        <v>34</v>
      </c>
      <c r="AW1" s="13" t="s">
        <v>35</v>
      </c>
      <c r="AZ1" s="52" t="s">
        <v>36</v>
      </c>
      <c r="BH1" s="73" t="s">
        <v>37</v>
      </c>
      <c r="BK1" s="73" t="s">
        <v>38</v>
      </c>
      <c r="BM1" s="52" t="s">
        <v>39</v>
      </c>
      <c r="BQ1" s="57" t="s">
        <v>40</v>
      </c>
      <c r="BR1" s="155" t="s">
        <v>41</v>
      </c>
      <c r="BS1" s="155"/>
      <c r="BT1" s="155"/>
      <c r="BU1" s="155"/>
      <c r="BV1" s="155"/>
      <c r="BW1" s="155"/>
      <c r="BX1" s="155"/>
      <c r="BY1" s="155"/>
      <c r="BZ1" s="155"/>
      <c r="CA1" s="155"/>
      <c r="CB1" s="155"/>
      <c r="CC1" s="155"/>
      <c r="CD1" s="155"/>
      <c r="CE1" s="155"/>
      <c r="CF1" s="155"/>
      <c r="CG1" s="155"/>
      <c r="CH1" s="155"/>
      <c r="CI1" s="155"/>
      <c r="CJ1" s="155"/>
      <c r="CK1" s="149"/>
      <c r="CL1" s="149"/>
      <c r="CM1" s="149"/>
      <c r="CQ1" s="52" t="s">
        <v>42</v>
      </c>
    </row>
    <row r="2" spans="1:97" s="75" customFormat="1" ht="75">
      <c r="A2" s="88" t="s">
        <v>43</v>
      </c>
      <c r="B2" s="160"/>
      <c r="C2" s="160"/>
      <c r="D2" s="160"/>
      <c r="E2" s="160"/>
      <c r="F2" s="160"/>
      <c r="G2" s="160"/>
      <c r="H2" s="148"/>
      <c r="I2" s="148"/>
      <c r="J2" s="148"/>
      <c r="K2" s="148"/>
      <c r="L2" s="148"/>
      <c r="M2" s="148"/>
      <c r="N2" s="148"/>
      <c r="O2" s="148"/>
      <c r="P2" s="148"/>
      <c r="Q2" s="148"/>
      <c r="R2" s="148"/>
      <c r="S2" s="148"/>
      <c r="T2" s="148"/>
      <c r="U2" s="148"/>
      <c r="V2" s="148"/>
      <c r="W2" s="148"/>
      <c r="X2" s="148"/>
      <c r="Y2" s="148"/>
      <c r="Z2" s="148"/>
      <c r="AA2" s="148"/>
      <c r="AB2" s="148"/>
      <c r="AC2" s="148"/>
      <c r="AD2" s="148"/>
      <c r="AN2" s="75" t="s">
        <v>44</v>
      </c>
      <c r="AT2" s="95">
        <f>COUNTIF(AT6:AT100, "BULLISH")</f>
        <v>8</v>
      </c>
      <c r="AU2" s="95">
        <f>COUNTIF(AU6:AU100, "BEARISH")</f>
        <v>19</v>
      </c>
      <c r="AV2" s="75">
        <f>COUNTIF(AT950:AT1013, "BULLISH")</f>
        <v>6</v>
      </c>
      <c r="AW2" s="4">
        <f>COUNTIF(AU950:AU1013, "BEARISH")</f>
        <v>12</v>
      </c>
      <c r="AX2" s="95"/>
      <c r="AZ2" s="56" t="s">
        <v>45</v>
      </c>
      <c r="BH2" s="72" t="s">
        <v>46</v>
      </c>
      <c r="BK2" s="60" t="s">
        <v>47</v>
      </c>
      <c r="BM2" s="61" t="s">
        <v>48</v>
      </c>
      <c r="BQ2" s="99" t="s">
        <v>49</v>
      </c>
      <c r="BR2" s="75">
        <v>0</v>
      </c>
      <c r="CQ2" s="60" t="s">
        <v>50</v>
      </c>
    </row>
    <row r="3" spans="1:97" ht="56.1" customHeight="1" thickBot="1">
      <c r="A3" s="89" t="s">
        <v>51</v>
      </c>
      <c r="F3" s="12"/>
      <c r="G3" s="12"/>
      <c r="H3" s="12"/>
      <c r="I3" s="12"/>
      <c r="J3" s="12"/>
      <c r="K3" s="14"/>
      <c r="L3" s="14"/>
      <c r="M3" s="14"/>
      <c r="N3" s="23"/>
      <c r="O3" s="148"/>
      <c r="P3" s="148"/>
      <c r="Q3" s="148"/>
      <c r="R3" s="148"/>
      <c r="S3" s="148"/>
      <c r="T3" s="148"/>
      <c r="U3" s="148"/>
      <c r="V3" s="148"/>
      <c r="W3" s="148"/>
      <c r="X3" s="148"/>
      <c r="Y3" s="148"/>
      <c r="Z3" s="148"/>
      <c r="AA3" s="148"/>
      <c r="AB3" s="148"/>
      <c r="AC3" s="148"/>
      <c r="AD3" s="148"/>
      <c r="AN3" s="4" t="s">
        <v>52</v>
      </c>
      <c r="AT3" s="95">
        <f>COUNTIF(AT6:AT195, "BULLISH")</f>
        <v>20</v>
      </c>
      <c r="AU3" s="95">
        <f>COUNTIF(AU6:AU195, "BEARISH")</f>
        <v>36</v>
      </c>
      <c r="AV3" s="75">
        <f>COUNTIF(AT824:AT1013, "BULLISH")</f>
        <v>17</v>
      </c>
      <c r="AW3" s="4">
        <f>COUNTIF(AU824:AU1013, "BEARISH")</f>
        <v>31</v>
      </c>
      <c r="AX3" s="95"/>
      <c r="AZ3" s="55" t="s">
        <v>53</v>
      </c>
      <c r="BH3" s="72" t="s">
        <v>54</v>
      </c>
      <c r="BK3" s="76" t="str">
        <f>IF(AND(AZ6="Up - Regression is great",BH6="Up - Bullish"),"Call Option Try OTM"," ")</f>
        <v xml:space="preserve"> </v>
      </c>
      <c r="BM3" s="55" t="s">
        <v>55</v>
      </c>
      <c r="BQ3" s="99" t="s">
        <v>56</v>
      </c>
      <c r="BR3" s="4">
        <f>BC45</f>
        <v>98.436095617529958</v>
      </c>
    </row>
    <row r="4" spans="1:97" ht="180.95" thickTop="1">
      <c r="A4" s="90" t="s">
        <v>57</v>
      </c>
      <c r="F4" s="12"/>
      <c r="G4" s="12"/>
      <c r="H4" s="12"/>
      <c r="I4" s="12"/>
      <c r="J4" s="12"/>
      <c r="K4" s="14"/>
      <c r="L4" s="14"/>
      <c r="M4" s="14"/>
      <c r="N4" s="23"/>
      <c r="O4" s="148"/>
      <c r="P4" s="148"/>
      <c r="Q4" s="148"/>
      <c r="R4" s="148"/>
      <c r="S4" s="148"/>
      <c r="T4" s="148"/>
      <c r="U4" s="148"/>
      <c r="V4" s="148"/>
      <c r="W4" s="148"/>
      <c r="X4" s="148"/>
      <c r="Y4" s="148"/>
      <c r="Z4" s="148"/>
      <c r="AA4" s="148"/>
      <c r="AB4" s="148"/>
      <c r="AC4" s="148"/>
      <c r="AD4" s="148"/>
      <c r="AN4" s="4" t="s">
        <v>58</v>
      </c>
      <c r="AT4" s="95">
        <f>COUNTIF(AT6:AT259, "BULLISH")</f>
        <v>26</v>
      </c>
      <c r="AU4" s="95">
        <f>COUNTIF(AU7:AU259, "BEARISH")</f>
        <v>43</v>
      </c>
      <c r="AV4" s="75">
        <f>COUNTIF(AT615:AT1015, "BULLISH")</f>
        <v>34</v>
      </c>
      <c r="AW4" s="4">
        <f>COUNTIF(AU615:AU1015, "BEARISH")</f>
        <v>71</v>
      </c>
      <c r="AX4" s="95"/>
      <c r="AZ4" s="68" t="s">
        <v>59</v>
      </c>
      <c r="BH4" s="86" t="s">
        <v>60</v>
      </c>
      <c r="BI4" s="3" t="s">
        <v>61</v>
      </c>
      <c r="BK4" s="77" t="str">
        <f>IF(AND(AZ6="Up - Regression is ok",BH6="Up - Bullish"),"Call Option ITM"," ")</f>
        <v xml:space="preserve"> </v>
      </c>
      <c r="BM4" s="67" t="s">
        <v>62</v>
      </c>
      <c r="BQ4" s="4" t="s">
        <v>63</v>
      </c>
      <c r="BR4" s="4">
        <f>BL12</f>
        <v>4.1578766107927283</v>
      </c>
    </row>
    <row r="5" spans="1:97" s="1" customFormat="1" ht="50.1" thickBot="1">
      <c r="A5" s="91" t="s">
        <v>64</v>
      </c>
      <c r="B5" s="156" t="s">
        <v>65</v>
      </c>
      <c r="C5" s="156"/>
      <c r="D5" s="156"/>
      <c r="E5" s="156"/>
      <c r="F5" s="24"/>
      <c r="G5" s="24"/>
      <c r="H5" s="24"/>
      <c r="I5" s="24"/>
      <c r="J5" s="24"/>
      <c r="K5" s="24"/>
      <c r="L5" s="24"/>
      <c r="M5" s="24"/>
      <c r="N5" s="16"/>
      <c r="O5" s="148"/>
      <c r="P5" s="148"/>
      <c r="Q5" s="148"/>
      <c r="R5" s="148"/>
      <c r="S5" s="148"/>
      <c r="T5" s="148"/>
      <c r="U5" s="148"/>
      <c r="V5" s="148"/>
      <c r="W5" s="148"/>
      <c r="X5" s="148"/>
      <c r="Y5" s="148"/>
      <c r="Z5" s="148"/>
      <c r="AA5" s="148"/>
      <c r="AB5" s="148"/>
      <c r="AC5" s="148"/>
      <c r="AD5" s="148"/>
      <c r="AN5" s="25" t="s">
        <v>66</v>
      </c>
      <c r="AT5" s="95">
        <f>COUNTIF(AT7:AT1121, "BULLISH")</f>
        <v>95</v>
      </c>
      <c r="AU5" s="95">
        <f>COUNTIF(AU7:AU1121, "BEARISH")</f>
        <v>173</v>
      </c>
      <c r="AV5" s="95"/>
      <c r="AW5" s="95"/>
      <c r="AX5" s="95"/>
      <c r="AZ5" s="68" t="s">
        <v>67</v>
      </c>
      <c r="BK5" s="77" t="str">
        <f>IF(AND(AZ6="Up - Regression is low",BH6="Neutral"),"Call Option ITM close to ATM"," ")</f>
        <v xml:space="preserve"> </v>
      </c>
      <c r="BM5" s="67" t="s">
        <v>68</v>
      </c>
      <c r="CQ5" s="35" t="s">
        <v>69</v>
      </c>
      <c r="CR5" s="122">
        <f>Summary!C63</f>
        <v>28.74</v>
      </c>
      <c r="CS5" s="134"/>
    </row>
    <row r="6" spans="1:97" s="1" customFormat="1" ht="66" thickBot="1">
      <c r="A6" s="45"/>
      <c r="B6" s="47" t="s">
        <v>70</v>
      </c>
      <c r="C6" s="43" t="s">
        <v>71</v>
      </c>
      <c r="D6" s="43" t="s">
        <v>72</v>
      </c>
      <c r="E6" s="43" t="s">
        <v>73</v>
      </c>
      <c r="F6" s="44" t="s">
        <v>74</v>
      </c>
      <c r="G6" s="44" t="s">
        <v>75</v>
      </c>
      <c r="H6" s="44" t="s">
        <v>76</v>
      </c>
      <c r="I6" s="44" t="s">
        <v>77</v>
      </c>
      <c r="J6" s="44" t="s">
        <v>78</v>
      </c>
      <c r="K6" s="44" t="s">
        <v>79</v>
      </c>
      <c r="L6" s="44" t="s">
        <v>80</v>
      </c>
      <c r="M6" s="44" t="s">
        <v>81</v>
      </c>
      <c r="N6" s="36" t="s">
        <v>82</v>
      </c>
      <c r="O6" s="148"/>
      <c r="P6" s="148"/>
      <c r="Q6" s="148"/>
      <c r="R6" s="148"/>
      <c r="S6" s="148"/>
      <c r="T6" s="148"/>
      <c r="U6" s="148"/>
      <c r="V6" s="160"/>
      <c r="W6" s="160"/>
      <c r="X6" s="160"/>
      <c r="Y6" s="160"/>
      <c r="Z6" s="160"/>
      <c r="AA6" s="160"/>
      <c r="AB6" s="160"/>
      <c r="AC6" s="160"/>
      <c r="AD6" s="148"/>
      <c r="AE6" s="35" t="str">
        <f>Data!A1</f>
        <v>ï»¿Date</v>
      </c>
      <c r="AF6" s="35" t="str">
        <f>Data!B1</f>
        <v>Open</v>
      </c>
      <c r="AG6" s="35" t="str">
        <f>Data!F1</f>
        <v>Volume</v>
      </c>
      <c r="AH6" s="35" t="str">
        <f>Data!C1</f>
        <v>High</v>
      </c>
      <c r="AI6" s="35" t="str">
        <f>Data!D1</f>
        <v>Low</v>
      </c>
      <c r="AJ6" s="35" t="str">
        <f>Data!E1</f>
        <v>Close</v>
      </c>
      <c r="AK6" s="35" t="str">
        <f>Data!F1</f>
        <v>Volume</v>
      </c>
      <c r="AL6" s="35" t="str">
        <f t="shared" ref="AL6:AL69" si="0">AJ6</f>
        <v>Close</v>
      </c>
      <c r="AM6" s="84" t="s">
        <v>83</v>
      </c>
      <c r="AN6" s="85" t="s">
        <v>84</v>
      </c>
      <c r="AO6" s="161" t="s">
        <v>85</v>
      </c>
      <c r="AP6" s="161" t="s">
        <v>86</v>
      </c>
      <c r="AQ6" s="161" t="s">
        <v>87</v>
      </c>
      <c r="AR6" s="161" t="s">
        <v>88</v>
      </c>
      <c r="AS6" s="161" t="s">
        <v>89</v>
      </c>
      <c r="AT6" s="96"/>
      <c r="AU6" s="96"/>
      <c r="AV6" s="96"/>
      <c r="AW6" s="96"/>
      <c r="AX6" s="96"/>
      <c r="AY6" s="15" t="s">
        <v>18</v>
      </c>
      <c r="AZ6" s="70" t="str">
        <f>Summary!B26</f>
        <v>Up - Regression is great</v>
      </c>
      <c r="BA6" s="35"/>
      <c r="BB6" s="35"/>
      <c r="BC6" s="35"/>
      <c r="BD6" s="35"/>
      <c r="BE6" s="35"/>
      <c r="BF6" s="35"/>
      <c r="BG6" s="15" t="s">
        <v>18</v>
      </c>
      <c r="BH6" s="70" t="str">
        <f>Summary!B22</f>
        <v>Neutral</v>
      </c>
      <c r="BI6" s="35"/>
      <c r="BJ6" s="35"/>
      <c r="BK6" s="78" t="str">
        <f>IF(AND(AZ6="Down - Regression is low",BH6="Neutral"),"Put Option ITM close to ATM"," ")</f>
        <v xml:space="preserve"> </v>
      </c>
      <c r="BL6" s="35"/>
      <c r="BM6" s="35"/>
      <c r="BP6" s="20" t="s">
        <v>90</v>
      </c>
      <c r="BR6" s="35"/>
      <c r="BS6" s="35"/>
      <c r="BT6" s="98"/>
      <c r="BU6" s="35"/>
      <c r="BV6" s="35"/>
      <c r="BW6" s="35"/>
      <c r="BX6" s="35"/>
      <c r="BY6" s="35"/>
      <c r="BZ6" s="35"/>
      <c r="CA6" s="35"/>
      <c r="CB6" s="35"/>
      <c r="CC6" s="35"/>
      <c r="CQ6" s="35" t="s">
        <v>91</v>
      </c>
      <c r="CR6" s="128">
        <f>Summary!C64</f>
        <v>10</v>
      </c>
      <c r="CS6" s="134"/>
    </row>
    <row r="7" spans="1:97" s="1" customFormat="1" ht="51.95" customHeight="1">
      <c r="A7" s="45"/>
      <c r="B7" s="48" t="s">
        <v>92</v>
      </c>
      <c r="C7" s="15" t="s">
        <v>18</v>
      </c>
      <c r="D7" s="15" t="s">
        <v>18</v>
      </c>
      <c r="E7" s="15" t="s">
        <v>18</v>
      </c>
      <c r="F7" s="48" t="s">
        <v>92</v>
      </c>
      <c r="G7" s="48" t="s">
        <v>92</v>
      </c>
      <c r="H7" s="48" t="s">
        <v>92</v>
      </c>
      <c r="I7" s="48" t="s">
        <v>92</v>
      </c>
      <c r="J7" s="48" t="s">
        <v>92</v>
      </c>
      <c r="K7" s="48" t="s">
        <v>92</v>
      </c>
      <c r="L7" s="48" t="s">
        <v>92</v>
      </c>
      <c r="M7" s="48" t="s">
        <v>92</v>
      </c>
      <c r="N7" s="17"/>
      <c r="O7" s="148"/>
      <c r="P7" s="148"/>
      <c r="Q7" s="148"/>
      <c r="R7" s="148"/>
      <c r="S7" s="148"/>
      <c r="T7" s="148"/>
      <c r="U7" s="148"/>
      <c r="V7" s="148"/>
      <c r="W7" s="148"/>
      <c r="X7" s="148"/>
      <c r="Y7" s="148"/>
      <c r="Z7" s="148"/>
      <c r="AA7" s="148"/>
      <c r="AB7" s="148"/>
      <c r="AC7" s="148"/>
      <c r="AD7" s="148"/>
      <c r="AE7" s="26">
        <f>Data!A2</f>
        <v>42958</v>
      </c>
      <c r="AF7" s="35">
        <f>Data!B2</f>
        <v>108.77</v>
      </c>
      <c r="AG7" s="35">
        <f>Data!F2</f>
        <v>4639179</v>
      </c>
      <c r="AH7" s="35">
        <f>Data!C2</f>
        <v>109.68</v>
      </c>
      <c r="AI7" s="35">
        <f>Data!D2</f>
        <v>108.22</v>
      </c>
      <c r="AJ7" s="35">
        <f>Data!E2</f>
        <v>108.81</v>
      </c>
      <c r="AK7" s="35">
        <f>Data!F2</f>
        <v>4639179</v>
      </c>
      <c r="AL7" s="35">
        <f t="shared" si="0"/>
        <v>108.81</v>
      </c>
      <c r="AM7" s="35"/>
      <c r="AN7" s="35"/>
      <c r="AO7" s="35"/>
      <c r="AP7" s="35"/>
      <c r="AQ7" s="35"/>
      <c r="AR7" s="35"/>
      <c r="AS7" s="35"/>
      <c r="AT7" s="20"/>
      <c r="AU7" s="20"/>
      <c r="AV7" s="20"/>
      <c r="AW7" s="20"/>
      <c r="AX7" s="20"/>
      <c r="AY7" s="35"/>
      <c r="AZ7" s="35" t="s">
        <v>93</v>
      </c>
      <c r="BA7" s="35"/>
      <c r="BB7" s="35"/>
      <c r="BC7" s="35"/>
      <c r="BD7" s="35" t="s">
        <v>94</v>
      </c>
      <c r="BE7" s="35" t="s">
        <v>95</v>
      </c>
      <c r="BF7" s="35" t="s">
        <v>96</v>
      </c>
      <c r="BG7" s="35"/>
      <c r="BH7" s="35"/>
      <c r="BI7" s="35"/>
      <c r="BJ7" s="35"/>
      <c r="BK7" s="78" t="str">
        <f>IF(AND(AZ6="Down - Regression is ok",BH6="Down - Bearish"),"Put Option ITM"," ")</f>
        <v xml:space="preserve"> </v>
      </c>
      <c r="BL7" s="35">
        <f>STDEV(AM8:AM257)</f>
        <v>1.2002755902492153</v>
      </c>
      <c r="BM7" s="35" t="s">
        <v>97</v>
      </c>
      <c r="BP7" s="35" t="s">
        <v>98</v>
      </c>
      <c r="BQ7" s="101">
        <v>0</v>
      </c>
      <c r="BR7" s="35">
        <v>3</v>
      </c>
      <c r="BS7" s="35">
        <v>6</v>
      </c>
      <c r="BT7" s="35">
        <v>9</v>
      </c>
      <c r="BU7" s="35">
        <v>12</v>
      </c>
      <c r="BV7" s="35">
        <v>15</v>
      </c>
      <c r="BW7" s="35">
        <v>18</v>
      </c>
      <c r="BX7" s="35">
        <v>21</v>
      </c>
      <c r="BY7" s="35">
        <v>24</v>
      </c>
      <c r="BZ7" s="35">
        <v>27</v>
      </c>
      <c r="CA7" s="35">
        <v>30</v>
      </c>
      <c r="CB7" s="35">
        <v>33</v>
      </c>
      <c r="CC7" s="35">
        <v>36</v>
      </c>
      <c r="CD7" s="35">
        <v>39</v>
      </c>
      <c r="CE7" s="35">
        <v>42</v>
      </c>
      <c r="CF7" s="35">
        <v>45</v>
      </c>
      <c r="CG7" s="35">
        <v>48</v>
      </c>
      <c r="CH7" s="35">
        <v>51</v>
      </c>
      <c r="CI7" s="35">
        <v>54</v>
      </c>
      <c r="CQ7" s="35" t="s">
        <v>99</v>
      </c>
      <c r="CR7" s="122">
        <f>Summary!C65</f>
        <v>0.01</v>
      </c>
      <c r="CS7" s="134"/>
    </row>
    <row r="8" spans="1:97" s="1" customFormat="1" ht="68.099999999999994" customHeight="1" thickBot="1">
      <c r="A8" s="45"/>
      <c r="C8" s="37" t="s">
        <v>100</v>
      </c>
      <c r="D8" s="37" t="s">
        <v>101</v>
      </c>
      <c r="E8" s="37" t="s">
        <v>100</v>
      </c>
      <c r="F8" s="38">
        <f>$AJ$7</f>
        <v>108.81</v>
      </c>
      <c r="G8" s="38"/>
      <c r="H8" s="38">
        <v>1.07</v>
      </c>
      <c r="I8" s="38">
        <v>22.45</v>
      </c>
      <c r="J8" s="162">
        <v>589673</v>
      </c>
      <c r="K8" s="162">
        <v>494341</v>
      </c>
      <c r="L8" s="38"/>
      <c r="M8" s="38"/>
      <c r="N8" s="42" t="str">
        <f>IF(AND($H12="yes",$I12="yes",$J11="Heart and mind kick ass",$L11="This gets you a decent amount compared to industry standard",$C8="High"),"Great Buy, Stop Here","Not a straight stock buy, so move onto step 2 as option is more likely")</f>
        <v>Not a straight stock buy, so move onto step 2 as option is more likely</v>
      </c>
      <c r="O8" s="148"/>
      <c r="P8" s="148"/>
      <c r="Q8" s="148"/>
      <c r="R8" s="148"/>
      <c r="S8" s="148"/>
      <c r="T8" s="148"/>
      <c r="U8" s="148"/>
      <c r="V8" s="148"/>
      <c r="W8" s="148"/>
      <c r="X8" s="148"/>
      <c r="Y8" s="148"/>
      <c r="Z8" s="148"/>
      <c r="AA8" s="148"/>
      <c r="AB8" s="148"/>
      <c r="AC8" s="148"/>
      <c r="AD8" s="148"/>
      <c r="AE8" s="26">
        <f>Data!A3</f>
        <v>42957</v>
      </c>
      <c r="AF8" s="35">
        <f>Data!B3</f>
        <v>108.8</v>
      </c>
      <c r="AG8" s="35">
        <f>Data!F3</f>
        <v>4881486</v>
      </c>
      <c r="AH8" s="35">
        <f>Data!C3</f>
        <v>109.84</v>
      </c>
      <c r="AI8" s="35">
        <f>Data!D3</f>
        <v>107.9</v>
      </c>
      <c r="AJ8" s="35">
        <f>Data!E3</f>
        <v>108.9</v>
      </c>
      <c r="AK8" s="35">
        <f>Data!F3</f>
        <v>4881486</v>
      </c>
      <c r="AL8" s="35">
        <f t="shared" si="0"/>
        <v>108.9</v>
      </c>
      <c r="AM8" s="35">
        <f>(AL8-AL7)/AL8*100</f>
        <v>8.2644628099176679E-2</v>
      </c>
      <c r="AN8" s="35">
        <f>(AK8-AK7)/AK8*100</f>
        <v>4.9637958605227999</v>
      </c>
      <c r="AO8" s="35" t="str">
        <f>IF(AN8&lt;-8,"FITS BITCH",IF(AN8&gt;-8,"no"))</f>
        <v>no</v>
      </c>
      <c r="AP8" s="35" t="str">
        <f>IF(AH9&lt;AH8,"FITS BITCH",IF(AH9&gt;AH8,"no"))</f>
        <v>no</v>
      </c>
      <c r="AQ8" s="35" t="str">
        <f>IF(AI9&lt;AI8,"FITS BITCH",IF(AI9&gt;AI8,"no"))</f>
        <v>no</v>
      </c>
      <c r="AR8" s="35" t="str">
        <f>IF(AJ8&lt;AH9,"FITS BITCH",IF(AJ8&gt;AH9,"no"))</f>
        <v>FITS BITCH</v>
      </c>
      <c r="AS8" s="35" t="str">
        <f>IF(AJ8&gt;AJ9,"FITS BITCH",IF(AJ8&lt;AJ9,"no"))</f>
        <v>no</v>
      </c>
      <c r="AT8" s="20" t="str">
        <f>IF(AND($AO8="FITS BITCH",$AP8="FITS BITCH",$AR8="FITS BITCH"),"BULLISH","")</f>
        <v/>
      </c>
      <c r="AU8" s="20" t="str">
        <f>IF(AND($AO8="FITS BITCH",$AQ8="FITS BITCH",$AS8="FITS BITCH"),"BEARISH","")</f>
        <v/>
      </c>
      <c r="AV8" s="20"/>
      <c r="AW8" s="20"/>
      <c r="AX8" s="20"/>
      <c r="AZ8" s="35">
        <f>MIN(AJ7:AJ27)</f>
        <v>101.3</v>
      </c>
      <c r="BA8" s="35"/>
      <c r="BB8" s="35" t="s">
        <v>102</v>
      </c>
      <c r="BC8" s="63">
        <f>MIN(AJ7:AJ28)</f>
        <v>101.3</v>
      </c>
      <c r="BD8" s="35" t="s">
        <v>103</v>
      </c>
      <c r="BE8" s="94">
        <f>BC10-3*BC12</f>
        <v>90.860644156263533</v>
      </c>
      <c r="BF8" s="35">
        <f t="array" ref="BF8:BF15">FREQUENCY(AJ7:AJ28,BE8:BE14)</f>
        <v>0</v>
      </c>
      <c r="BG8" s="35"/>
      <c r="BH8" s="35"/>
      <c r="BI8" s="35"/>
      <c r="BJ8" s="35"/>
      <c r="BK8" s="78" t="str">
        <f>IF(AND(AZ6="Down - Regression is great",BH6="Down - Bearish"),"Put Option try OTM"," ")</f>
        <v xml:space="preserve"> </v>
      </c>
      <c r="BL8" s="35">
        <f>SQRT(254)</f>
        <v>15.937377450509228</v>
      </c>
      <c r="BM8" s="35" t="s">
        <v>104</v>
      </c>
      <c r="BP8" s="25" t="s">
        <v>105</v>
      </c>
      <c r="BQ8" s="1">
        <f>$F$8</f>
        <v>108.81</v>
      </c>
      <c r="BR8" s="1">
        <f ca="1">MAX(_xlfn.NORM.INV(RAND(),BQ8,$BR$4*BQ8/$BR$3),$BR$2)</f>
        <v>101.62331476231205</v>
      </c>
      <c r="BS8" s="1">
        <f ca="1">MAX(_xlfn.NORM.INV(RAND(),BR8,$BR$4*BR8/$BR$3),$BR$2)</f>
        <v>105.77683534223686</v>
      </c>
      <c r="BT8" s="1">
        <f t="shared" ref="BT8:CG8" ca="1" si="1">MAX(_xlfn.NORM.INV(RAND(),BS8,$BR$4*BS8/$BR$3),$BR$2)</f>
        <v>111.92009038590963</v>
      </c>
      <c r="BU8" s="1">
        <f t="shared" ca="1" si="1"/>
        <v>117.72310765968236</v>
      </c>
      <c r="BV8" s="1">
        <f t="shared" ca="1" si="1"/>
        <v>118.38464939873975</v>
      </c>
      <c r="BW8" s="1">
        <f t="shared" ca="1" si="1"/>
        <v>112.1444014095165</v>
      </c>
      <c r="BX8" s="1">
        <f t="shared" ca="1" si="1"/>
        <v>108.63420866507734</v>
      </c>
      <c r="BY8" s="1">
        <f t="shared" ca="1" si="1"/>
        <v>107.59656969375496</v>
      </c>
      <c r="BZ8" s="1">
        <f t="shared" ca="1" si="1"/>
        <v>115.6666455436779</v>
      </c>
      <c r="CA8" s="1">
        <f t="shared" ca="1" si="1"/>
        <v>117.26442476550474</v>
      </c>
      <c r="CB8" s="1">
        <f t="shared" ca="1" si="1"/>
        <v>110.4334607055782</v>
      </c>
      <c r="CC8" s="1">
        <f t="shared" ca="1" si="1"/>
        <v>111.59537321217637</v>
      </c>
      <c r="CD8" s="1">
        <f t="shared" ca="1" si="1"/>
        <v>110.86290629869002</v>
      </c>
      <c r="CE8" s="1">
        <f t="shared" ca="1" si="1"/>
        <v>105.49705587418435</v>
      </c>
      <c r="CF8" s="1">
        <f t="shared" ca="1" si="1"/>
        <v>116.97934453633594</v>
      </c>
      <c r="CG8" s="1">
        <f t="shared" ca="1" si="1"/>
        <v>110.95474421667689</v>
      </c>
      <c r="CH8" s="1">
        <f t="array" ref="CH8:CH108" ca="1">MAX(_xlfn.NORM.INV(RAND(),CG8,$BR$4*CG8/$BR$3),$BR$2)</f>
        <v>120.65914868891349</v>
      </c>
      <c r="CI8" s="1">
        <f t="shared" ref="CI8" ca="1" si="2">MAX(_xlfn.NORM.INV(RAND(),CH8,$BR$4*CH8/$BR$3),$BR$2)</f>
        <v>116.68154541406669</v>
      </c>
      <c r="CL8" s="106">
        <v>43118</v>
      </c>
      <c r="CM8" s="107">
        <f t="shared" ref="CM8:CM71" si="3">$BA$68*CL8+$BA$70</f>
        <v>116.57305894081946</v>
      </c>
      <c r="CQ8" s="25" t="s">
        <v>106</v>
      </c>
      <c r="CR8" s="129">
        <f>Summary!C66</f>
        <v>100</v>
      </c>
      <c r="CS8" s="135"/>
    </row>
    <row r="9" spans="1:97" s="1" customFormat="1" ht="44.1" thickTop="1">
      <c r="A9" s="45"/>
      <c r="C9" s="39"/>
      <c r="D9" s="37" t="s">
        <v>107</v>
      </c>
      <c r="E9" s="37"/>
      <c r="F9" s="38"/>
      <c r="G9" s="38"/>
      <c r="H9" s="38"/>
      <c r="I9" s="38">
        <v>28.02</v>
      </c>
      <c r="J9" s="38"/>
      <c r="K9" s="38"/>
      <c r="L9" s="38"/>
      <c r="M9" s="38"/>
      <c r="N9" s="38"/>
      <c r="O9" s="148"/>
      <c r="P9" s="148"/>
      <c r="Q9" s="148"/>
      <c r="R9" s="148"/>
      <c r="S9" s="148"/>
      <c r="T9" s="148"/>
      <c r="U9" s="148"/>
      <c r="V9" s="148"/>
      <c r="W9" s="148"/>
      <c r="X9" s="148"/>
      <c r="Y9" s="148"/>
      <c r="Z9" s="148"/>
      <c r="AA9" s="148"/>
      <c r="AB9" s="148"/>
      <c r="AC9" s="148"/>
      <c r="AD9" s="148"/>
      <c r="AE9" s="26">
        <f>Data!A4</f>
        <v>42956</v>
      </c>
      <c r="AF9" s="35">
        <f>Data!B4</f>
        <v>108.84</v>
      </c>
      <c r="AG9" s="35">
        <f>Data!F4</f>
        <v>8389744</v>
      </c>
      <c r="AH9" s="35">
        <f>Data!C4</f>
        <v>110.11</v>
      </c>
      <c r="AI9" s="35">
        <f>Data!D4</f>
        <v>108.06</v>
      </c>
      <c r="AJ9" s="35">
        <f>Data!E4</f>
        <v>109.66</v>
      </c>
      <c r="AK9" s="35">
        <f>Data!F4</f>
        <v>8389744</v>
      </c>
      <c r="AL9" s="35">
        <f t="shared" si="0"/>
        <v>109.66</v>
      </c>
      <c r="AM9" s="35">
        <f t="shared" ref="AM9:AM72" si="4">(AL9-AL8)/AL9*100</f>
        <v>0.69305124931605955</v>
      </c>
      <c r="AN9" s="35">
        <f>(AK9-AK8)/AK9*100</f>
        <v>41.816031573788187</v>
      </c>
      <c r="AO9" s="35" t="str">
        <f t="shared" ref="AO9:AO72" si="5">IF(AN9&lt;-8,"FITS BITCH",IF(AN9&gt;-8,"no"))</f>
        <v>no</v>
      </c>
      <c r="AP9" s="35" t="str">
        <f t="shared" ref="AP9:AQ72" si="6">IF(AH10&lt;AH9,"FITS BITCH",IF(AH10&gt;AH9,"no"))</f>
        <v>no</v>
      </c>
      <c r="AQ9" s="35" t="str">
        <f t="shared" si="6"/>
        <v>no</v>
      </c>
      <c r="AR9" s="35" t="str">
        <f t="shared" ref="AR9:AR72" si="7">IF(AJ9&lt;AH10,"FITS BITCH",IF(AJ9&gt;AH10,"no"))</f>
        <v>FITS BITCH</v>
      </c>
      <c r="AS9" s="35" t="str">
        <f t="shared" ref="AS9:AS72" si="8">IF(AJ9&gt;AJ10,"FITS BITCH",IF(AJ9&lt;AJ10,"no"))</f>
        <v>FITS BITCH</v>
      </c>
      <c r="AT9" s="20" t="str">
        <f t="shared" ref="AT9:AT72" si="9">IF(AND($AO9="FITS BITCH",$AP9="FITS BITCH",$AR9="FITS BITCH"),"BULLISH","")</f>
        <v/>
      </c>
      <c r="AU9" s="20" t="str">
        <f t="shared" ref="AU9:AU72" si="10">IF(AND($AO9="FITS BITCH",$AQ9="FITS BITCH",$AS9="FITS BITCH"),"BEARISH","")</f>
        <v/>
      </c>
      <c r="AV9" s="20"/>
      <c r="AW9" s="20"/>
      <c r="AX9" s="20"/>
      <c r="AZ9" s="35">
        <f>MIN(AJ8:AJ27)</f>
        <v>101.3</v>
      </c>
      <c r="BA9" s="35"/>
      <c r="BB9" s="35" t="s">
        <v>108</v>
      </c>
      <c r="BC9" s="63">
        <f>MAX(AJ7:AJ28)</f>
        <v>118.91</v>
      </c>
      <c r="BD9" s="35" t="s">
        <v>109</v>
      </c>
      <c r="BE9" s="94">
        <f>BC10-2*BC12</f>
        <v>96.702702164781755</v>
      </c>
      <c r="BF9" s="35">
        <v>0</v>
      </c>
      <c r="BG9" s="35"/>
      <c r="BH9" s="35"/>
      <c r="BI9" s="35"/>
      <c r="BJ9" s="35"/>
      <c r="BK9" s="78" t="str">
        <f>IF(AND(AZ6="Up - Regression is great",BH6="Neutral"),"Call Option ITM close to ATM"," ")</f>
        <v>Call Option ITM close to ATM</v>
      </c>
      <c r="BL9" s="20">
        <f>BL8*BL7</f>
        <v>19.129245126434498</v>
      </c>
      <c r="BM9" s="35" t="s">
        <v>110</v>
      </c>
      <c r="CG9" s="1">
        <v>1</v>
      </c>
      <c r="CH9" s="1">
        <f ca="1"/>
        <v>119.5415193601475</v>
      </c>
      <c r="CI9" s="95" t="s">
        <v>111</v>
      </c>
      <c r="CJ9" s="1">
        <f ca="1">AVERAGE(CH9:CH108)</f>
        <v>110.39529700709006</v>
      </c>
      <c r="CL9" s="106">
        <v>43117</v>
      </c>
      <c r="CM9" s="107">
        <f t="shared" si="3"/>
        <v>116.51977175239654</v>
      </c>
      <c r="CQ9" s="20" t="s">
        <v>112</v>
      </c>
      <c r="CR9" s="126">
        <f>Summary!C67</f>
        <v>10</v>
      </c>
      <c r="CS9" s="135"/>
    </row>
    <row r="10" spans="1:97" s="1" customFormat="1" ht="42.95">
      <c r="A10" s="45"/>
      <c r="C10" s="39"/>
      <c r="D10" s="37" t="s">
        <v>113</v>
      </c>
      <c r="E10" s="37"/>
      <c r="F10" s="38"/>
      <c r="G10" s="38"/>
      <c r="H10" s="38"/>
      <c r="I10" s="38">
        <f>SUM(I8:I9)/2</f>
        <v>25.234999999999999</v>
      </c>
      <c r="J10" s="38"/>
      <c r="K10" s="38"/>
      <c r="L10" s="38"/>
      <c r="M10" s="38"/>
      <c r="N10" s="38"/>
      <c r="O10" s="148"/>
      <c r="P10" s="148"/>
      <c r="Q10" s="148"/>
      <c r="R10" s="148"/>
      <c r="S10" s="148"/>
      <c r="T10" s="148"/>
      <c r="U10" s="148"/>
      <c r="V10" s="148"/>
      <c r="W10" s="148"/>
      <c r="X10" s="148"/>
      <c r="Y10" s="148"/>
      <c r="Z10" s="148"/>
      <c r="AA10" s="148"/>
      <c r="AB10" s="148"/>
      <c r="AC10" s="148"/>
      <c r="AD10" s="148"/>
      <c r="AE10" s="26">
        <f>Data!A5</f>
        <v>42955</v>
      </c>
      <c r="AF10" s="35">
        <f>Data!B5</f>
        <v>112.2</v>
      </c>
      <c r="AG10" s="35">
        <f>Data!F5</f>
        <v>9711206</v>
      </c>
      <c r="AH10" s="35">
        <f>Data!C5</f>
        <v>112.56</v>
      </c>
      <c r="AI10" s="35">
        <f>Data!D5</f>
        <v>108.07</v>
      </c>
      <c r="AJ10" s="35">
        <f>Data!E5</f>
        <v>108.51</v>
      </c>
      <c r="AK10" s="35">
        <f>Data!F5</f>
        <v>9711206</v>
      </c>
      <c r="AL10" s="35">
        <f t="shared" si="0"/>
        <v>108.51</v>
      </c>
      <c r="AM10" s="35">
        <f t="shared" si="4"/>
        <v>-1.0598101557460062</v>
      </c>
      <c r="AN10" s="35">
        <f t="shared" ref="AN10:AN73" si="11">(AK10-AK9)/AK10*100</f>
        <v>13.607599303320308</v>
      </c>
      <c r="AO10" s="35" t="str">
        <f t="shared" si="5"/>
        <v>no</v>
      </c>
      <c r="AP10" s="35" t="str">
        <f t="shared" si="6"/>
        <v>no</v>
      </c>
      <c r="AQ10" s="35" t="str">
        <f t="shared" si="6"/>
        <v>no</v>
      </c>
      <c r="AR10" s="35" t="str">
        <f t="shared" si="7"/>
        <v>FITS BITCH</v>
      </c>
      <c r="AS10" s="35" t="str">
        <f t="shared" si="8"/>
        <v>no</v>
      </c>
      <c r="AT10" s="20" t="str">
        <f t="shared" si="9"/>
        <v/>
      </c>
      <c r="AU10" s="20" t="str">
        <f t="shared" si="10"/>
        <v/>
      </c>
      <c r="AV10" s="20"/>
      <c r="AW10" s="20"/>
      <c r="AX10" s="20"/>
      <c r="AZ10" s="35">
        <f>MIN(AJ9:AJ27)</f>
        <v>101.3</v>
      </c>
      <c r="BA10" s="35"/>
      <c r="BB10" s="93" t="s">
        <v>114</v>
      </c>
      <c r="BC10" s="63">
        <f>AVERAGE(AJ7:AJ28)</f>
        <v>108.38681818181817</v>
      </c>
      <c r="BD10" s="35" t="s">
        <v>115</v>
      </c>
      <c r="BE10" s="94">
        <f>BC10-BC12</f>
        <v>102.54476017329996</v>
      </c>
      <c r="BF10" s="35">
        <v>4</v>
      </c>
      <c r="BG10" s="35"/>
      <c r="BH10" s="35"/>
      <c r="BI10" s="35"/>
      <c r="BJ10" s="35"/>
      <c r="BK10" s="78" t="str">
        <f>IF(AND(AZ6="Up - Regression is ok",BH6="Down - Bearish"),"Put Option ITM"," ")</f>
        <v xml:space="preserve"> </v>
      </c>
      <c r="BL10" s="27">
        <f>BL9/BL8</f>
        <v>1.2002755902492153</v>
      </c>
      <c r="BM10" s="35" t="s">
        <v>116</v>
      </c>
      <c r="BN10" s="29"/>
      <c r="CG10" s="1">
        <v>2</v>
      </c>
      <c r="CH10" s="1">
        <f ca="1"/>
        <v>104.29241206307066</v>
      </c>
      <c r="CI10" s="95" t="s">
        <v>117</v>
      </c>
      <c r="CJ10" s="1">
        <f ca="1">STDEV(CH9:CH108)</f>
        <v>4.9982478503385854</v>
      </c>
      <c r="CL10" s="106">
        <v>43116</v>
      </c>
      <c r="CM10" s="107">
        <f t="shared" si="3"/>
        <v>116.46648456397406</v>
      </c>
      <c r="CQ10" s="35" t="s">
        <v>118</v>
      </c>
      <c r="CR10" s="122">
        <f>Summary!C68</f>
        <v>38.739999999999995</v>
      </c>
      <c r="CS10" s="135"/>
    </row>
    <row r="11" spans="1:97" s="1" customFormat="1" ht="42.95">
      <c r="A11" s="45"/>
      <c r="B11" s="49"/>
      <c r="C11" s="39"/>
      <c r="D11" s="39"/>
      <c r="E11" s="37"/>
      <c r="F11" s="38"/>
      <c r="G11" s="38"/>
      <c r="H11" s="41" t="str">
        <f>IF(H8&lt;1,"Low Volatility",IF(H8&gt;1,"High Volatility",IF(H8=1,"even")))</f>
        <v>High Volatility</v>
      </c>
      <c r="I11" s="41" t="str">
        <f>IF(F8&lt;I10,"current close is below 52 week avg",IF(F8&gt;I10,"current close is above 52 week avg"))</f>
        <v>current close is above 52 week avg</v>
      </c>
      <c r="J11" s="41" t="str">
        <f>IF(AND(J8&lt;K8,F8&lt;G8,F8&lt;I10),"Heart and mind aint there at all",IF(AND(J8&lt;K8,F8&lt;G8,F8&gt;I10),"Part mind No heart",IF(AND(J8&lt;K8,F8&gt;G8,F8&lt;I10),"Part mind No heart",IF(AND(J8&gt;K8,F8&gt;G8,F8&gt;I10),"Heart and mind kick ass",IF(AND(J8&lt;K8,F8&gt;G8,F8&gt;I10),"Mind is there",IF(AND(J8&gt;K8,F8&lt;G8,F8&lt;I10),"Heart is there","Heart and mind aint there at all"))))))</f>
        <v>Heart and mind kick ass</v>
      </c>
      <c r="K11" s="40"/>
      <c r="L11" s="41" t="b">
        <f>IF(M8&lt;L8,"Spend a lot of dollars to get 1",IF(M8&gt;L8,"This gets you a decent amount compared to industry standard"))</f>
        <v>0</v>
      </c>
      <c r="M11" s="38"/>
      <c r="N11" s="38"/>
      <c r="O11" s="148"/>
      <c r="P11" s="148"/>
      <c r="Q11" s="148"/>
      <c r="R11" s="148"/>
      <c r="S11" s="148"/>
      <c r="T11" s="148"/>
      <c r="U11" s="148"/>
      <c r="V11" s="148"/>
      <c r="W11" s="148"/>
      <c r="X11" s="148"/>
      <c r="Y11" s="148"/>
      <c r="Z11" s="148"/>
      <c r="AA11" s="148"/>
      <c r="AB11" s="148"/>
      <c r="AC11" s="148"/>
      <c r="AD11" s="148"/>
      <c r="AE11" s="26">
        <f>Data!A6</f>
        <v>42954</v>
      </c>
      <c r="AF11" s="35">
        <f>Data!B6</f>
        <v>111.5</v>
      </c>
      <c r="AG11" s="35">
        <f>Data!F6</f>
        <v>4012798</v>
      </c>
      <c r="AH11" s="35">
        <f>Data!C6</f>
        <v>114</v>
      </c>
      <c r="AI11" s="35">
        <f>Data!D6</f>
        <v>111.05</v>
      </c>
      <c r="AJ11" s="35">
        <f>Data!E6</f>
        <v>112.17</v>
      </c>
      <c r="AK11" s="35">
        <f>Data!F6</f>
        <v>4012798</v>
      </c>
      <c r="AL11" s="35">
        <f t="shared" si="0"/>
        <v>112.17</v>
      </c>
      <c r="AM11" s="35">
        <f t="shared" si="4"/>
        <v>3.2629045199251103</v>
      </c>
      <c r="AN11" s="35">
        <f t="shared" si="11"/>
        <v>-142.00585227564409</v>
      </c>
      <c r="AO11" s="35" t="str">
        <f t="shared" si="5"/>
        <v>FITS BITCH</v>
      </c>
      <c r="AP11" s="35" t="str">
        <f t="shared" si="6"/>
        <v>FITS BITCH</v>
      </c>
      <c r="AQ11" s="35" t="str">
        <f t="shared" si="6"/>
        <v>FITS BITCH</v>
      </c>
      <c r="AR11" s="35" t="str">
        <f t="shared" si="7"/>
        <v>FITS BITCH</v>
      </c>
      <c r="AS11" s="35" t="str">
        <f t="shared" si="8"/>
        <v>FITS BITCH</v>
      </c>
      <c r="AT11" s="20" t="str">
        <f t="shared" si="9"/>
        <v>BULLISH</v>
      </c>
      <c r="AU11" s="20" t="str">
        <f t="shared" si="10"/>
        <v>BEARISH</v>
      </c>
      <c r="AV11" s="20"/>
      <c r="AW11" s="20"/>
      <c r="AX11" s="20"/>
      <c r="AZ11" s="35">
        <f>AVERAGE(AZ8:AZ10)</f>
        <v>101.3</v>
      </c>
      <c r="BA11" s="35"/>
      <c r="BB11" s="93" t="s">
        <v>119</v>
      </c>
      <c r="BC11" s="63">
        <f>VAR(AJ7:AJ28)</f>
        <v>34.129641774891766</v>
      </c>
      <c r="BD11" s="35" t="s">
        <v>120</v>
      </c>
      <c r="BE11" s="94">
        <f>BC10</f>
        <v>108.38681818181817</v>
      </c>
      <c r="BF11" s="35">
        <v>6</v>
      </c>
      <c r="BG11" s="35"/>
      <c r="BH11" s="35"/>
      <c r="BI11" s="35"/>
      <c r="BJ11" s="35"/>
      <c r="BK11" s="78" t="str">
        <f>IF(AND(AZ6="Up - Regression is low",BH6="Down - Bearish"),"Put Option"," ")</f>
        <v xml:space="preserve"> </v>
      </c>
      <c r="BL11" s="1">
        <f>SQRT(254/12)</f>
        <v>4.6007245806140871</v>
      </c>
      <c r="BM11" s="35" t="s">
        <v>121</v>
      </c>
      <c r="CG11" s="1">
        <v>3</v>
      </c>
      <c r="CH11" s="1">
        <f ca="1"/>
        <v>118.39880004682406</v>
      </c>
      <c r="CL11" s="106">
        <v>43115</v>
      </c>
      <c r="CM11" s="107">
        <f t="shared" si="3"/>
        <v>116.41319737555114</v>
      </c>
      <c r="CQ11" s="35" t="s">
        <v>122</v>
      </c>
      <c r="CR11" s="130">
        <f>Summary!C69</f>
        <v>0</v>
      </c>
      <c r="CS11" s="134"/>
    </row>
    <row r="12" spans="1:97" s="1" customFormat="1" ht="42.95">
      <c r="A12" s="45"/>
      <c r="B12" s="50"/>
      <c r="C12" s="39"/>
      <c r="D12" s="39"/>
      <c r="E12" s="37"/>
      <c r="F12" s="38"/>
      <c r="G12" s="38"/>
      <c r="H12" s="41" t="str">
        <f>IF(H8&lt;1,"yes",IF(H8&gt;1,"no",IF(H8=1,"maybe")))</f>
        <v>no</v>
      </c>
      <c r="I12" s="41" t="str">
        <f>IF(F8&lt;I10,"no",IF(F8&gt;I10,"yes"))</f>
        <v>yes</v>
      </c>
      <c r="J12" s="40"/>
      <c r="K12" s="40"/>
      <c r="L12" s="40"/>
      <c r="M12" s="38"/>
      <c r="N12" s="38"/>
      <c r="O12" s="148"/>
      <c r="P12" s="148"/>
      <c r="Q12" s="148"/>
      <c r="R12" s="148"/>
      <c r="S12" s="148"/>
      <c r="T12" s="148"/>
      <c r="U12" s="148"/>
      <c r="V12" s="148"/>
      <c r="W12" s="148"/>
      <c r="X12" s="148"/>
      <c r="Y12" s="148"/>
      <c r="Z12" s="148"/>
      <c r="AA12" s="148"/>
      <c r="AB12" s="148"/>
      <c r="AC12" s="148"/>
      <c r="AD12" s="148"/>
      <c r="AE12" s="26">
        <f>Data!A7</f>
        <v>42951</v>
      </c>
      <c r="AF12" s="35">
        <f>Data!B7</f>
        <v>113.5</v>
      </c>
      <c r="AG12" s="35">
        <f>Data!F7</f>
        <v>8109438</v>
      </c>
      <c r="AH12" s="35">
        <f>Data!C7</f>
        <v>113.92</v>
      </c>
      <c r="AI12" s="35">
        <f>Data!D7</f>
        <v>110.1</v>
      </c>
      <c r="AJ12" s="35">
        <f>Data!E7</f>
        <v>111.39</v>
      </c>
      <c r="AK12" s="35">
        <f>Data!F7</f>
        <v>8109438</v>
      </c>
      <c r="AL12" s="35">
        <f t="shared" si="0"/>
        <v>111.39</v>
      </c>
      <c r="AM12" s="35">
        <f t="shared" si="4"/>
        <v>-0.70024239159709234</v>
      </c>
      <c r="AN12" s="35">
        <f t="shared" si="11"/>
        <v>50.516940878023853</v>
      </c>
      <c r="AO12" s="35" t="str">
        <f t="shared" si="5"/>
        <v>no</v>
      </c>
      <c r="AP12" s="35" t="str">
        <f t="shared" si="6"/>
        <v>FITS BITCH</v>
      </c>
      <c r="AQ12" s="35" t="str">
        <f t="shared" si="6"/>
        <v>no</v>
      </c>
      <c r="AR12" s="35" t="str">
        <f t="shared" si="7"/>
        <v>FITS BITCH</v>
      </c>
      <c r="AS12" s="35" t="str">
        <f t="shared" si="8"/>
        <v>no</v>
      </c>
      <c r="AT12" s="20" t="str">
        <f t="shared" si="9"/>
        <v/>
      </c>
      <c r="AU12" s="20" t="str">
        <f t="shared" si="10"/>
        <v/>
      </c>
      <c r="AV12" s="20"/>
      <c r="AW12" s="20"/>
      <c r="AX12" s="20"/>
      <c r="AZ12" s="35">
        <f>MAX(AJ7:AJ27)</f>
        <v>118.91</v>
      </c>
      <c r="BA12" s="35"/>
      <c r="BB12" s="93" t="s">
        <v>123</v>
      </c>
      <c r="BC12" s="63">
        <f>STDEV(AJ7:AJ28)</f>
        <v>5.8420580085182108</v>
      </c>
      <c r="BD12" s="35" t="s">
        <v>124</v>
      </c>
      <c r="BE12" s="94">
        <f>BC10+BC12</f>
        <v>114.22887619033638</v>
      </c>
      <c r="BF12" s="35">
        <v>7</v>
      </c>
      <c r="BG12" s="35"/>
      <c r="BH12" s="35"/>
      <c r="BI12" s="35"/>
      <c r="BJ12" s="35"/>
      <c r="BK12" s="78" t="str">
        <f>IF(AND(AZ6="Down - Regression is low",BH6="Up - Bullish"),"Call Option"," ")</f>
        <v xml:space="preserve"> </v>
      </c>
      <c r="BL12" s="28">
        <f>BL9/BL11</f>
        <v>4.1578766107927283</v>
      </c>
      <c r="BM12" s="35" t="s">
        <v>125</v>
      </c>
      <c r="CG12" s="1">
        <v>4</v>
      </c>
      <c r="CH12" s="1">
        <f ca="1"/>
        <v>111.07644973118104</v>
      </c>
      <c r="CL12" s="106">
        <v>43112</v>
      </c>
      <c r="CM12" s="107">
        <f t="shared" si="3"/>
        <v>116.25333581028281</v>
      </c>
      <c r="CQ12" s="35" t="s">
        <v>126</v>
      </c>
      <c r="CR12" s="131">
        <f>Summary!C70</f>
        <v>0</v>
      </c>
      <c r="CS12" s="136"/>
    </row>
    <row r="13" spans="1:97" s="1" customFormat="1" ht="42.95">
      <c r="A13" s="46"/>
      <c r="B13" s="49"/>
      <c r="C13" s="39"/>
      <c r="D13" s="39"/>
      <c r="E13" s="37"/>
      <c r="F13" s="38"/>
      <c r="G13" s="38"/>
      <c r="H13" s="38"/>
      <c r="I13" s="38"/>
      <c r="J13" s="38"/>
      <c r="K13" s="38"/>
      <c r="L13" s="38"/>
      <c r="M13" s="38"/>
      <c r="N13" s="38"/>
      <c r="O13" s="148"/>
      <c r="P13" s="148"/>
      <c r="Q13" s="148"/>
      <c r="R13" s="148"/>
      <c r="S13" s="148"/>
      <c r="T13" s="148"/>
      <c r="U13" s="148"/>
      <c r="V13" s="148"/>
      <c r="W13" s="148"/>
      <c r="X13" s="148"/>
      <c r="Y13" s="148"/>
      <c r="Z13" s="148"/>
      <c r="AA13" s="148"/>
      <c r="AB13" s="148"/>
      <c r="AC13" s="148"/>
      <c r="AD13" s="148"/>
      <c r="AE13" s="26">
        <f>Data!A8</f>
        <v>42950</v>
      </c>
      <c r="AF13" s="35">
        <f>Data!B8</f>
        <v>113.69</v>
      </c>
      <c r="AG13" s="35">
        <f>Data!F8</f>
        <v>9003417</v>
      </c>
      <c r="AH13" s="35">
        <f>Data!C8</f>
        <v>113.85</v>
      </c>
      <c r="AI13" s="35">
        <f>Data!D8</f>
        <v>111</v>
      </c>
      <c r="AJ13" s="35">
        <f>Data!E8</f>
        <v>111.77</v>
      </c>
      <c r="AK13" s="35">
        <f>Data!F8</f>
        <v>9003417</v>
      </c>
      <c r="AL13" s="35">
        <f t="shared" si="0"/>
        <v>111.77</v>
      </c>
      <c r="AM13" s="35">
        <f t="shared" si="4"/>
        <v>0.33998389549968278</v>
      </c>
      <c r="AN13" s="35">
        <f t="shared" si="11"/>
        <v>9.9293301643142815</v>
      </c>
      <c r="AO13" s="35" t="str">
        <f t="shared" si="5"/>
        <v>no</v>
      </c>
      <c r="AP13" s="35" t="str">
        <f t="shared" si="6"/>
        <v>no</v>
      </c>
      <c r="AQ13" s="35" t="str">
        <f t="shared" si="6"/>
        <v>no</v>
      </c>
      <c r="AR13" s="35" t="str">
        <f t="shared" si="7"/>
        <v>FITS BITCH</v>
      </c>
      <c r="AS13" s="35" t="str">
        <f t="shared" si="8"/>
        <v>no</v>
      </c>
      <c r="AT13" s="20" t="str">
        <f t="shared" si="9"/>
        <v/>
      </c>
      <c r="AU13" s="20" t="str">
        <f t="shared" si="10"/>
        <v/>
      </c>
      <c r="AV13" s="20"/>
      <c r="AW13" s="20"/>
      <c r="AX13" s="20"/>
      <c r="AY13" s="35"/>
      <c r="BA13" s="35"/>
      <c r="BB13" s="35"/>
      <c r="BC13" s="35"/>
      <c r="BD13" s="35" t="s">
        <v>127</v>
      </c>
      <c r="BE13" s="94">
        <f>BC10+2*BC12</f>
        <v>120.07093419885459</v>
      </c>
      <c r="BF13" s="35">
        <v>5</v>
      </c>
      <c r="BG13" s="35"/>
      <c r="BH13" s="35"/>
      <c r="BI13" s="35"/>
      <c r="BJ13" s="35"/>
      <c r="BK13" s="78" t="str">
        <f>IF(AND(AZ6="Down - Regression is ok",BH6="Up - Bullish"),"Call Option ITM"," ")</f>
        <v xml:space="preserve"> </v>
      </c>
      <c r="BL13" s="35"/>
      <c r="CG13" s="1">
        <v>5</v>
      </c>
      <c r="CH13" s="1">
        <f ca="1"/>
        <v>96.143268723138505</v>
      </c>
      <c r="CL13" s="106">
        <v>43111</v>
      </c>
      <c r="CM13" s="107">
        <f t="shared" si="3"/>
        <v>116.20004862185988</v>
      </c>
      <c r="CQ13" s="31" t="s">
        <v>128</v>
      </c>
      <c r="CR13" s="127">
        <f>Summary!C71</f>
        <v>38.739999999999995</v>
      </c>
      <c r="CS13" s="136"/>
    </row>
    <row r="14" spans="1:97" s="1" customFormat="1" ht="44.1" thickBot="1">
      <c r="B14" s="35"/>
      <c r="C14" s="35"/>
      <c r="D14" s="35"/>
      <c r="E14" s="35"/>
      <c r="F14" s="148"/>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26">
        <f>Data!A9</f>
        <v>42949</v>
      </c>
      <c r="AF14" s="35">
        <f>Data!B9</f>
        <v>115.65</v>
      </c>
      <c r="AG14" s="35">
        <f>Data!F9</f>
        <v>9973140</v>
      </c>
      <c r="AH14" s="35">
        <f>Data!C9</f>
        <v>116.44</v>
      </c>
      <c r="AI14" s="35">
        <f>Data!D9</f>
        <v>114.12</v>
      </c>
      <c r="AJ14" s="35">
        <f>Data!E9</f>
        <v>115.25</v>
      </c>
      <c r="AK14" s="35">
        <f>Data!F9</f>
        <v>9973140</v>
      </c>
      <c r="AL14" s="35">
        <f t="shared" si="0"/>
        <v>115.25</v>
      </c>
      <c r="AM14" s="35">
        <f t="shared" si="4"/>
        <v>3.0195227765726718</v>
      </c>
      <c r="AN14" s="35">
        <f t="shared" si="11"/>
        <v>9.7233469097997229</v>
      </c>
      <c r="AO14" s="35" t="str">
        <f t="shared" si="5"/>
        <v>no</v>
      </c>
      <c r="AP14" s="35" t="str">
        <f t="shared" si="6"/>
        <v>no</v>
      </c>
      <c r="AQ14" s="35" t="str">
        <f t="shared" si="6"/>
        <v>no</v>
      </c>
      <c r="AR14" s="35" t="str">
        <f t="shared" si="7"/>
        <v>FITS BITCH</v>
      </c>
      <c r="AS14" s="35" t="str">
        <f t="shared" si="8"/>
        <v>no</v>
      </c>
      <c r="AT14" s="20" t="str">
        <f t="shared" si="9"/>
        <v/>
      </c>
      <c r="AU14" s="20" t="str">
        <f t="shared" si="10"/>
        <v/>
      </c>
      <c r="AV14" s="20"/>
      <c r="AW14" s="20"/>
      <c r="AX14" s="20"/>
      <c r="AY14" s="35"/>
      <c r="AZ14" s="35"/>
      <c r="BA14" s="35"/>
      <c r="BB14" s="35"/>
      <c r="BC14" s="35"/>
      <c r="BD14" s="35" t="s">
        <v>129</v>
      </c>
      <c r="BE14" s="94">
        <f>BC10+3*BC12</f>
        <v>125.91299220737281</v>
      </c>
      <c r="BF14" s="35">
        <v>0</v>
      </c>
      <c r="BG14" s="35"/>
      <c r="BH14" s="35"/>
      <c r="BI14" s="35"/>
      <c r="BJ14" s="35"/>
      <c r="BK14" s="78" t="str">
        <f>IF(AND(AZ6="Down - Regression is great",BH6="Neutral"),"Put Option ITM close to ATM"," ")</f>
        <v xml:space="preserve"> </v>
      </c>
      <c r="BL14" s="35"/>
      <c r="BM14" s="65" t="s">
        <v>130</v>
      </c>
      <c r="BN14" s="65" t="s">
        <v>131</v>
      </c>
      <c r="BO14" s="22"/>
      <c r="CG14" s="1">
        <v>6</v>
      </c>
      <c r="CH14" s="1">
        <f ca="1"/>
        <v>105.6882135452247</v>
      </c>
      <c r="CL14" s="106">
        <v>43110</v>
      </c>
      <c r="CM14" s="107">
        <f t="shared" si="3"/>
        <v>116.1467614334374</v>
      </c>
      <c r="CQ14" s="35"/>
      <c r="CR14" s="122"/>
      <c r="CS14" s="136"/>
    </row>
    <row r="15" spans="1:97" s="1" customFormat="1" ht="44.1" thickBot="1">
      <c r="B15" s="35"/>
      <c r="C15" s="35"/>
      <c r="D15" s="35"/>
      <c r="E15" s="35"/>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26">
        <f>Data!A10</f>
        <v>42948</v>
      </c>
      <c r="AF15" s="35">
        <f>Data!B10</f>
        <v>118.79</v>
      </c>
      <c r="AG15" s="35">
        <f>Data!F10</f>
        <v>5612306</v>
      </c>
      <c r="AH15" s="35">
        <f>Data!C10</f>
        <v>119.38</v>
      </c>
      <c r="AI15" s="35">
        <f>Data!D10</f>
        <v>116.33</v>
      </c>
      <c r="AJ15" s="35">
        <f>Data!E10</f>
        <v>116.78</v>
      </c>
      <c r="AK15" s="35">
        <f>Data!F10</f>
        <v>5612306</v>
      </c>
      <c r="AL15" s="35">
        <f t="shared" si="0"/>
        <v>116.78</v>
      </c>
      <c r="AM15" s="35">
        <f t="shared" si="4"/>
        <v>1.310155848604214</v>
      </c>
      <c r="AN15" s="35">
        <f t="shared" si="11"/>
        <v>-77.70128713580479</v>
      </c>
      <c r="AO15" s="35" t="str">
        <f t="shared" si="5"/>
        <v>FITS BITCH</v>
      </c>
      <c r="AP15" s="35" t="str">
        <f t="shared" si="6"/>
        <v>no</v>
      </c>
      <c r="AQ15" s="35" t="str">
        <f t="shared" si="6"/>
        <v>no</v>
      </c>
      <c r="AR15" s="35" t="str">
        <f t="shared" si="7"/>
        <v>FITS BITCH</v>
      </c>
      <c r="AS15" s="35" t="str">
        <f t="shared" si="8"/>
        <v>no</v>
      </c>
      <c r="AT15" s="20" t="str">
        <f t="shared" si="9"/>
        <v/>
      </c>
      <c r="AU15" s="20" t="str">
        <f t="shared" si="10"/>
        <v/>
      </c>
      <c r="AV15" s="20"/>
      <c r="AW15" s="20"/>
      <c r="AX15" s="20"/>
      <c r="AY15" s="35"/>
      <c r="AZ15" s="35"/>
      <c r="BA15" s="35"/>
      <c r="BB15" s="35"/>
      <c r="BC15" s="35"/>
      <c r="BD15" s="35" t="s">
        <v>132</v>
      </c>
      <c r="BE15" s="35"/>
      <c r="BF15" s="35">
        <v>0</v>
      </c>
      <c r="BG15" s="35"/>
      <c r="BH15" s="35"/>
      <c r="BI15" s="35"/>
      <c r="BJ15" s="35"/>
      <c r="BK15" s="78" t="str">
        <f>IF(AND(AZ6="Up - Regression is great",BH6="Down - Bearish"),"Put Option ITM close to ATM"," ")</f>
        <v xml:space="preserve"> </v>
      </c>
      <c r="BL15" s="58" t="s">
        <v>133</v>
      </c>
      <c r="BM15" s="63">
        <f>F8</f>
        <v>108.81</v>
      </c>
      <c r="CG15" s="1">
        <v>7</v>
      </c>
      <c r="CH15" s="1">
        <f ca="1"/>
        <v>116.11916357587319</v>
      </c>
      <c r="CL15" s="106">
        <v>43109</v>
      </c>
      <c r="CM15" s="107">
        <f t="shared" si="3"/>
        <v>116.09347424501448</v>
      </c>
      <c r="CQ15" s="69" t="s">
        <v>134</v>
      </c>
      <c r="CR15" s="122"/>
      <c r="CS15" s="136"/>
    </row>
    <row r="16" spans="1:97" s="1" customFormat="1" ht="44.1" thickBot="1">
      <c r="B16" s="35"/>
      <c r="C16" s="35"/>
      <c r="D16" s="35"/>
      <c r="E16" s="35"/>
      <c r="F16" s="148"/>
      <c r="G16" s="148"/>
      <c r="H16" s="148"/>
      <c r="I16" s="148"/>
      <c r="J16" s="148"/>
      <c r="K16" s="148"/>
      <c r="L16" s="148"/>
      <c r="M16" s="148"/>
      <c r="N16" s="148"/>
      <c r="O16" s="148"/>
      <c r="P16" s="148"/>
      <c r="Q16" s="148"/>
      <c r="R16" s="148"/>
      <c r="S16" s="148"/>
      <c r="T16" s="148"/>
      <c r="U16" s="148"/>
      <c r="V16" s="148"/>
      <c r="W16" s="148"/>
      <c r="X16" s="148"/>
      <c r="Y16" s="148"/>
      <c r="Z16" s="148"/>
      <c r="AA16" s="148"/>
      <c r="AB16" s="148"/>
      <c r="AC16" s="148"/>
      <c r="AD16" s="148"/>
      <c r="AE16" s="26">
        <f>Data!A11</f>
        <v>42947</v>
      </c>
      <c r="AF16" s="35">
        <f>Data!B11</f>
        <v>118</v>
      </c>
      <c r="AG16" s="35">
        <f>Data!F11</f>
        <v>8185980</v>
      </c>
      <c r="AH16" s="35">
        <f>Data!C11</f>
        <v>121.77</v>
      </c>
      <c r="AI16" s="35">
        <f>Data!D11</f>
        <v>117.87</v>
      </c>
      <c r="AJ16" s="35">
        <f>Data!E11</f>
        <v>118.91</v>
      </c>
      <c r="AK16" s="35">
        <f>Data!F11</f>
        <v>8185980</v>
      </c>
      <c r="AL16" s="35">
        <f t="shared" si="0"/>
        <v>118.91</v>
      </c>
      <c r="AM16" s="35">
        <f t="shared" si="4"/>
        <v>1.7912707089395303</v>
      </c>
      <c r="AN16" s="35">
        <f t="shared" si="11"/>
        <v>31.440023063823759</v>
      </c>
      <c r="AO16" s="35" t="str">
        <f t="shared" si="5"/>
        <v>no</v>
      </c>
      <c r="AP16" s="35" t="str">
        <f t="shared" si="6"/>
        <v>FITS BITCH</v>
      </c>
      <c r="AQ16" s="35" t="str">
        <f t="shared" si="6"/>
        <v>FITS BITCH</v>
      </c>
      <c r="AR16" s="35" t="str">
        <f t="shared" si="7"/>
        <v>no</v>
      </c>
      <c r="AS16" s="35" t="str">
        <f t="shared" si="8"/>
        <v>FITS BITCH</v>
      </c>
      <c r="AT16" s="20" t="str">
        <f t="shared" si="9"/>
        <v/>
      </c>
      <c r="AU16" s="20" t="str">
        <f t="shared" si="10"/>
        <v/>
      </c>
      <c r="AV16" s="20"/>
      <c r="AW16" s="20"/>
      <c r="AX16" s="20"/>
      <c r="AY16" s="35"/>
      <c r="AZ16" s="35"/>
      <c r="BA16" s="35"/>
      <c r="BB16" s="20" t="s">
        <v>135</v>
      </c>
      <c r="BC16" s="35" t="s">
        <v>136</v>
      </c>
      <c r="BD16" s="97">
        <f>_xlfn.NORM.DIST($F$8,$BC$10,$BC$12,1)</f>
        <v>0.52887297491378893</v>
      </c>
      <c r="BE16" s="35" t="s">
        <v>137</v>
      </c>
      <c r="BF16" s="35">
        <f>$F$8</f>
        <v>108.81</v>
      </c>
      <c r="BG16" s="35"/>
      <c r="BH16" s="35"/>
      <c r="BI16" s="35"/>
      <c r="BJ16" s="35"/>
      <c r="BK16" s="78"/>
      <c r="BL16" s="59" t="s">
        <v>138</v>
      </c>
      <c r="BM16" s="62">
        <f>BM15*(1+(BL12/100))</f>
        <v>113.33418554020356</v>
      </c>
      <c r="BN16" s="62">
        <f>BM15*(1+(BL9/100))</f>
        <v>129.62453162207339</v>
      </c>
      <c r="CG16" s="1">
        <v>8</v>
      </c>
      <c r="CH16" s="1">
        <f ca="1"/>
        <v>112.08457945277715</v>
      </c>
      <c r="CL16" s="106">
        <v>43108</v>
      </c>
      <c r="CM16" s="107">
        <f t="shared" si="3"/>
        <v>116.04018705659155</v>
      </c>
      <c r="CQ16" s="35" t="s">
        <v>139</v>
      </c>
      <c r="CR16" s="122">
        <f>Summary!C74</f>
        <v>25</v>
      </c>
      <c r="CS16" s="134"/>
    </row>
    <row r="17" spans="1:97" s="1" customFormat="1" ht="45" thickTop="1" thickBot="1">
      <c r="B17" s="35"/>
      <c r="C17" s="35"/>
      <c r="D17" s="35"/>
      <c r="E17" s="35"/>
      <c r="F17" s="148"/>
      <c r="G17" s="148"/>
      <c r="H17" s="148"/>
      <c r="I17" s="148"/>
      <c r="J17" s="148"/>
      <c r="K17" s="148"/>
      <c r="L17" s="148"/>
      <c r="M17" s="148"/>
      <c r="N17" s="148"/>
      <c r="O17" s="148"/>
      <c r="P17" s="148"/>
      <c r="Q17" s="148"/>
      <c r="R17" s="148"/>
      <c r="S17" s="148"/>
      <c r="T17" s="148"/>
      <c r="U17" s="148"/>
      <c r="V17" s="148"/>
      <c r="W17" s="148"/>
      <c r="X17" s="148"/>
      <c r="Y17" s="148"/>
      <c r="Z17" s="148"/>
      <c r="AA17" s="148"/>
      <c r="AB17" s="148"/>
      <c r="AC17" s="148"/>
      <c r="AD17" s="148"/>
      <c r="AE17" s="26">
        <f>Data!A12</f>
        <v>42944</v>
      </c>
      <c r="AF17" s="35">
        <f>Data!B12</f>
        <v>115.25</v>
      </c>
      <c r="AG17" s="35">
        <f>Data!F12</f>
        <v>7880377</v>
      </c>
      <c r="AH17" s="35">
        <f>Data!C12</f>
        <v>117.66</v>
      </c>
      <c r="AI17" s="35">
        <f>Data!D12</f>
        <v>115</v>
      </c>
      <c r="AJ17" s="35">
        <f>Data!E12</f>
        <v>117.38</v>
      </c>
      <c r="AK17" s="35">
        <f>Data!F12</f>
        <v>7880377</v>
      </c>
      <c r="AL17" s="35">
        <f t="shared" si="0"/>
        <v>117.38</v>
      </c>
      <c r="AM17" s="35">
        <f t="shared" si="4"/>
        <v>-1.3034588515931174</v>
      </c>
      <c r="AN17" s="35">
        <f t="shared" si="11"/>
        <v>-3.8780251249400886</v>
      </c>
      <c r="AO17" s="35" t="str">
        <f t="shared" si="5"/>
        <v>no</v>
      </c>
      <c r="AP17" s="35" t="str">
        <f t="shared" si="6"/>
        <v>no</v>
      </c>
      <c r="AQ17" s="35" t="str">
        <f t="shared" si="6"/>
        <v>FITS BITCH</v>
      </c>
      <c r="AR17" s="35" t="str">
        <f t="shared" si="7"/>
        <v>FITS BITCH</v>
      </c>
      <c r="AS17" s="35" t="str">
        <f t="shared" si="8"/>
        <v>FITS BITCH</v>
      </c>
      <c r="AT17" s="20" t="str">
        <f t="shared" si="9"/>
        <v/>
      </c>
      <c r="AU17" s="20" t="str">
        <f t="shared" si="10"/>
        <v/>
      </c>
      <c r="AV17" s="20"/>
      <c r="AW17" s="20"/>
      <c r="AX17" s="20"/>
      <c r="AY17" s="35"/>
      <c r="AZ17" s="35"/>
      <c r="BA17" s="35"/>
      <c r="BB17" s="35"/>
      <c r="BC17" s="35" t="s">
        <v>140</v>
      </c>
      <c r="BD17" s="103">
        <f>((COUNTIF(AJ7:AJ28,"&lt;"&amp;$F$8))/(COUNT(AJ7:AJ28)))</f>
        <v>0.5</v>
      </c>
      <c r="BE17" s="35" t="s">
        <v>141</v>
      </c>
      <c r="BF17" s="35">
        <f>$F$8</f>
        <v>108.81</v>
      </c>
      <c r="BG17" s="35"/>
      <c r="BH17" s="35"/>
      <c r="BI17" s="35"/>
      <c r="BJ17" s="35"/>
      <c r="BK17" s="78"/>
      <c r="BL17" s="59" t="s">
        <v>142</v>
      </c>
      <c r="BM17" s="62">
        <f>BM15*(1-(BL12/100))</f>
        <v>104.28581445979643</v>
      </c>
      <c r="BN17" s="62">
        <f>BM15*(1-(BL9/100))</f>
        <v>87.995468377926613</v>
      </c>
      <c r="CG17" s="1">
        <v>9</v>
      </c>
      <c r="CH17" s="1">
        <f ca="1"/>
        <v>105.41977428854396</v>
      </c>
      <c r="CL17" s="106">
        <v>43105</v>
      </c>
      <c r="CM17" s="107">
        <f t="shared" si="3"/>
        <v>115.88032549132322</v>
      </c>
      <c r="CQ17" s="35" t="s">
        <v>143</v>
      </c>
      <c r="CR17" s="122">
        <f>Summary!C75</f>
        <v>25000</v>
      </c>
      <c r="CS17" s="135"/>
    </row>
    <row r="18" spans="1:97" s="1" customFormat="1" ht="45" thickTop="1" thickBot="1">
      <c r="B18" s="35"/>
      <c r="C18" s="35"/>
      <c r="D18" s="35"/>
      <c r="E18" s="35"/>
      <c r="F18" s="148"/>
      <c r="G18" s="148"/>
      <c r="H18" s="148"/>
      <c r="I18" s="148"/>
      <c r="J18" s="148"/>
      <c r="K18" s="148"/>
      <c r="L18" s="148"/>
      <c r="M18" s="148"/>
      <c r="N18" s="148"/>
      <c r="O18" s="148"/>
      <c r="P18" s="148"/>
      <c r="Q18" s="148"/>
      <c r="R18" s="148"/>
      <c r="S18" s="148"/>
      <c r="T18" s="148"/>
      <c r="U18" s="148"/>
      <c r="V18" s="148"/>
      <c r="W18" s="148"/>
      <c r="X18" s="148"/>
      <c r="Y18" s="148"/>
      <c r="Z18" s="148"/>
      <c r="AA18" s="148"/>
      <c r="AB18" s="148"/>
      <c r="AC18" s="148"/>
      <c r="AD18" s="148"/>
      <c r="AE18" s="26">
        <f>Data!A13</f>
        <v>42943</v>
      </c>
      <c r="AF18" s="35">
        <f>Data!B13</f>
        <v>103.5</v>
      </c>
      <c r="AG18" s="35">
        <f>Data!F13</f>
        <v>29837591</v>
      </c>
      <c r="AH18" s="35">
        <f>Data!C13</f>
        <v>120</v>
      </c>
      <c r="AI18" s="35">
        <f>Data!D13</f>
        <v>103.5</v>
      </c>
      <c r="AJ18" s="35">
        <f>Data!E13</f>
        <v>115.63</v>
      </c>
      <c r="AK18" s="35">
        <f>Data!F13</f>
        <v>29837591</v>
      </c>
      <c r="AL18" s="35">
        <f t="shared" si="0"/>
        <v>115.63</v>
      </c>
      <c r="AM18" s="35">
        <f t="shared" si="4"/>
        <v>-1.5134480671106116</v>
      </c>
      <c r="AN18" s="35">
        <f t="shared" si="11"/>
        <v>73.589097725751387</v>
      </c>
      <c r="AO18" s="35" t="str">
        <f t="shared" si="5"/>
        <v>no</v>
      </c>
      <c r="AP18" s="35" t="str">
        <f t="shared" si="6"/>
        <v>FITS BITCH</v>
      </c>
      <c r="AQ18" s="35" t="str">
        <f t="shared" si="6"/>
        <v>FITS BITCH</v>
      </c>
      <c r="AR18" s="35" t="str">
        <f t="shared" si="7"/>
        <v>no</v>
      </c>
      <c r="AS18" s="35" t="str">
        <f t="shared" si="8"/>
        <v>FITS BITCH</v>
      </c>
      <c r="AT18" s="20" t="str">
        <f t="shared" si="9"/>
        <v/>
      </c>
      <c r="AU18" s="20" t="str">
        <f t="shared" si="10"/>
        <v/>
      </c>
      <c r="AV18" s="20"/>
      <c r="AW18" s="20"/>
      <c r="AX18" s="20"/>
      <c r="AY18" s="35"/>
      <c r="AZ18" s="35"/>
      <c r="BA18" s="35"/>
      <c r="BG18" s="35"/>
      <c r="BH18" s="35"/>
      <c r="BI18" s="35"/>
      <c r="BJ18" s="35"/>
      <c r="BK18" s="78"/>
      <c r="BM18" s="66" t="s">
        <v>144</v>
      </c>
      <c r="BR18" s="35" t="s">
        <v>145</v>
      </c>
      <c r="CG18" s="1">
        <v>10</v>
      </c>
      <c r="CH18" s="1">
        <f ca="1"/>
        <v>112.42508233255276</v>
      </c>
      <c r="CL18" s="106">
        <v>43104</v>
      </c>
      <c r="CM18" s="107">
        <f t="shared" si="3"/>
        <v>115.82703830290075</v>
      </c>
      <c r="CQ18" s="31" t="s">
        <v>146</v>
      </c>
      <c r="CR18" s="127">
        <f>Summary!C76</f>
        <v>24932.519999999997</v>
      </c>
      <c r="CS18" s="135"/>
    </row>
    <row r="19" spans="1:97" s="1" customFormat="1" ht="42.95">
      <c r="B19" s="35"/>
      <c r="C19" s="35"/>
      <c r="D19" s="35">
        <v>1</v>
      </c>
      <c r="E19" s="35"/>
      <c r="F19" s="148"/>
      <c r="G19" s="148"/>
      <c r="H19" s="148"/>
      <c r="I19" s="148"/>
      <c r="J19" s="148"/>
      <c r="K19" s="148"/>
      <c r="L19" s="148"/>
      <c r="M19" s="148"/>
      <c r="N19" s="148"/>
      <c r="O19" s="148"/>
      <c r="P19" s="148"/>
      <c r="Q19" s="148"/>
      <c r="R19" s="148"/>
      <c r="S19" s="148"/>
      <c r="T19" s="148"/>
      <c r="U19" s="148"/>
      <c r="V19" s="148"/>
      <c r="W19" s="148"/>
      <c r="X19" s="148"/>
      <c r="Y19" s="148"/>
      <c r="Z19" s="148"/>
      <c r="AA19" s="148"/>
      <c r="AB19" s="148"/>
      <c r="AC19" s="148"/>
      <c r="AD19" s="148"/>
      <c r="AE19" s="26">
        <f>Data!A14</f>
        <v>42942</v>
      </c>
      <c r="AF19" s="35">
        <f>Data!B14</f>
        <v>103.56</v>
      </c>
      <c r="AG19" s="35">
        <f>Data!F14</f>
        <v>5618274</v>
      </c>
      <c r="AH19" s="35">
        <f>Data!C14</f>
        <v>106.06</v>
      </c>
      <c r="AI19" s="35">
        <f>Data!D14</f>
        <v>103.02</v>
      </c>
      <c r="AJ19" s="35">
        <f>Data!E14</f>
        <v>105.98</v>
      </c>
      <c r="AK19" s="35">
        <f>Data!F14</f>
        <v>5618274</v>
      </c>
      <c r="AL19" s="35">
        <f t="shared" si="0"/>
        <v>105.98</v>
      </c>
      <c r="AM19" s="35">
        <f t="shared" si="4"/>
        <v>-9.1054916021890833</v>
      </c>
      <c r="AN19" s="35">
        <f t="shared" si="11"/>
        <v>-431.08109358852909</v>
      </c>
      <c r="AO19" s="35" t="str">
        <f t="shared" si="5"/>
        <v>FITS BITCH</v>
      </c>
      <c r="AP19" s="35" t="str">
        <f t="shared" si="6"/>
        <v>FITS BITCH</v>
      </c>
      <c r="AQ19" s="35" t="str">
        <f t="shared" si="6"/>
        <v>FITS BITCH</v>
      </c>
      <c r="AR19" s="35" t="str">
        <f t="shared" si="7"/>
        <v>no</v>
      </c>
      <c r="AS19" s="35" t="str">
        <f t="shared" si="8"/>
        <v>FITS BITCH</v>
      </c>
      <c r="AT19" s="20" t="str">
        <f t="shared" si="9"/>
        <v/>
      </c>
      <c r="AU19" s="20" t="str">
        <f t="shared" si="10"/>
        <v>BEARISH</v>
      </c>
      <c r="AV19" s="20"/>
      <c r="AW19" s="20"/>
      <c r="AX19" s="20"/>
      <c r="AY19" s="35"/>
      <c r="AZ19" s="35"/>
      <c r="BA19" s="35"/>
      <c r="BG19" s="35"/>
      <c r="BH19" s="35"/>
      <c r="BI19" s="35"/>
      <c r="BJ19" s="35"/>
      <c r="BK19" s="78"/>
      <c r="BL19" s="59" t="s">
        <v>138</v>
      </c>
      <c r="BM19" s="64">
        <f>BM15+((AZ12-AZ8)/2)</f>
        <v>117.61500000000001</v>
      </c>
      <c r="BQ19" s="43" t="s">
        <v>147</v>
      </c>
      <c r="BR19" s="35">
        <f ca="1">BR20-(6*BR4)</f>
        <v>23.079888180442776</v>
      </c>
      <c r="BS19" s="1">
        <f ca="1">COUNTIFS($CH$9:$CH$108,"&lt;="&amp;BR19)</f>
        <v>0</v>
      </c>
      <c r="CG19" s="1">
        <v>11</v>
      </c>
      <c r="CH19" s="1">
        <f ca="1"/>
        <v>113.44584115340628</v>
      </c>
      <c r="CL19" s="106">
        <v>43103</v>
      </c>
      <c r="CM19" s="107">
        <f t="shared" si="3"/>
        <v>115.77375111447782</v>
      </c>
      <c r="CQ19" s="35"/>
      <c r="CR19" s="122"/>
      <c r="CS19" s="135"/>
    </row>
    <row r="20" spans="1:97" s="1" customFormat="1" ht="27.95" customHeight="1">
      <c r="A20" s="13"/>
      <c r="B20" s="35"/>
      <c r="C20" s="35"/>
      <c r="D20" s="35"/>
      <c r="E20" s="35"/>
      <c r="F20" s="148"/>
      <c r="G20" s="148"/>
      <c r="H20" s="148"/>
      <c r="I20" s="148"/>
      <c r="J20" s="148"/>
      <c r="K20" s="148"/>
      <c r="L20" s="148"/>
      <c r="M20" s="148"/>
      <c r="N20" s="148"/>
      <c r="O20" s="148"/>
      <c r="P20" s="148"/>
      <c r="Q20" s="148"/>
      <c r="R20" s="148"/>
      <c r="S20" s="148"/>
      <c r="T20" s="148"/>
      <c r="U20" s="148"/>
      <c r="V20" s="148"/>
      <c r="W20" s="148"/>
      <c r="X20" s="148"/>
      <c r="Y20" s="148"/>
      <c r="Z20" s="148"/>
      <c r="AA20" s="148"/>
      <c r="AB20" s="148"/>
      <c r="AC20" s="148"/>
      <c r="AD20" s="148"/>
      <c r="AE20" s="26">
        <f>Data!A15</f>
        <v>42941</v>
      </c>
      <c r="AF20" s="35">
        <f>Data!B15</f>
        <v>103.69</v>
      </c>
      <c r="AG20" s="35">
        <f>Data!F15</f>
        <v>3231286</v>
      </c>
      <c r="AH20" s="35">
        <f>Data!C15</f>
        <v>104.05</v>
      </c>
      <c r="AI20" s="35">
        <f>Data!D15</f>
        <v>102.7</v>
      </c>
      <c r="AJ20" s="35">
        <f>Data!E15</f>
        <v>103.18</v>
      </c>
      <c r="AK20" s="35">
        <f>Data!F15</f>
        <v>3231286</v>
      </c>
      <c r="AL20" s="35">
        <f t="shared" si="0"/>
        <v>103.18</v>
      </c>
      <c r="AM20" s="35">
        <f t="shared" si="4"/>
        <v>-2.7137042062415166</v>
      </c>
      <c r="AN20" s="35">
        <f t="shared" si="11"/>
        <v>-73.871146039069274</v>
      </c>
      <c r="AO20" s="35" t="str">
        <f t="shared" si="5"/>
        <v>FITS BITCH</v>
      </c>
      <c r="AP20" s="35" t="str">
        <f t="shared" si="6"/>
        <v>no</v>
      </c>
      <c r="AQ20" s="35" t="str">
        <f t="shared" si="6"/>
        <v>FITS BITCH</v>
      </c>
      <c r="AR20" s="35" t="str">
        <f t="shared" si="7"/>
        <v>FITS BITCH</v>
      </c>
      <c r="AS20" s="35" t="str">
        <f t="shared" si="8"/>
        <v>no</v>
      </c>
      <c r="AT20" s="20" t="str">
        <f t="shared" si="9"/>
        <v/>
      </c>
      <c r="AU20" s="20" t="str">
        <f t="shared" si="10"/>
        <v/>
      </c>
      <c r="AV20" s="20"/>
      <c r="AW20" s="20"/>
      <c r="AX20" s="20"/>
      <c r="AY20" s="35"/>
      <c r="AZ20" s="35"/>
      <c r="BA20" s="35"/>
      <c r="BG20" s="35"/>
      <c r="BH20" s="35"/>
      <c r="BI20" s="35"/>
      <c r="BJ20" s="35"/>
      <c r="BK20" s="78"/>
      <c r="BL20" s="59" t="s">
        <v>142</v>
      </c>
      <c r="BM20" s="64">
        <f>BM15-((AZ12-AZ8)/2)</f>
        <v>100.005</v>
      </c>
      <c r="BR20" s="35">
        <f ca="1">BR21-(5*BR4)</f>
        <v>48.027147845199146</v>
      </c>
      <c r="BS20" s="1">
        <f t="shared" ref="BS20:BS28" ca="1" si="12">COUNTIFS($CH$9:$CH$108,"&lt;="&amp;BR20,$CH$9:$CH$108,"&gt;"&amp;BR19)</f>
        <v>0</v>
      </c>
      <c r="CG20" s="1">
        <v>12</v>
      </c>
      <c r="CH20" s="1">
        <f ca="1"/>
        <v>117.69399370952439</v>
      </c>
      <c r="CL20" s="106">
        <v>43102</v>
      </c>
      <c r="CM20" s="107">
        <f t="shared" si="3"/>
        <v>115.72046392605489</v>
      </c>
      <c r="CQ20" s="32" t="s">
        <v>148</v>
      </c>
      <c r="CR20" s="132">
        <f>Summary!C78</f>
        <v>643.58595766649455</v>
      </c>
      <c r="CS20" s="135"/>
    </row>
    <row r="21" spans="1:97" s="1" customFormat="1" ht="42.95">
      <c r="A21" s="25"/>
      <c r="B21" s="35"/>
      <c r="C21" s="35"/>
      <c r="D21" s="35"/>
      <c r="E21" s="35"/>
      <c r="F21" s="148"/>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26">
        <f>Data!A16</f>
        <v>42940</v>
      </c>
      <c r="AF21" s="35">
        <f>Data!B16</f>
        <v>104.34</v>
      </c>
      <c r="AG21" s="35">
        <f>Data!F16</f>
        <v>5402195</v>
      </c>
      <c r="AH21" s="35">
        <f>Data!C16</f>
        <v>104.44</v>
      </c>
      <c r="AI21" s="35">
        <f>Data!D16</f>
        <v>102.46</v>
      </c>
      <c r="AJ21" s="35">
        <f>Data!E16</f>
        <v>103.54</v>
      </c>
      <c r="AK21" s="35">
        <f>Data!F16</f>
        <v>5402195</v>
      </c>
      <c r="AL21" s="35">
        <f t="shared" si="0"/>
        <v>103.54</v>
      </c>
      <c r="AM21" s="35">
        <f t="shared" si="4"/>
        <v>0.34769171334749799</v>
      </c>
      <c r="AN21" s="35">
        <f t="shared" si="11"/>
        <v>40.185683782240368</v>
      </c>
      <c r="AO21" s="35" t="str">
        <f t="shared" si="5"/>
        <v>no</v>
      </c>
      <c r="AP21" s="35" t="str">
        <f t="shared" si="6"/>
        <v>no</v>
      </c>
      <c r="AQ21" s="35" t="str">
        <f t="shared" si="6"/>
        <v>no</v>
      </c>
      <c r="AR21" s="35" t="str">
        <f t="shared" si="7"/>
        <v>FITS BITCH</v>
      </c>
      <c r="AS21" s="35" t="str">
        <f t="shared" si="8"/>
        <v>no</v>
      </c>
      <c r="AT21" s="20" t="str">
        <f t="shared" si="9"/>
        <v/>
      </c>
      <c r="AU21" s="20" t="str">
        <f t="shared" si="10"/>
        <v/>
      </c>
      <c r="AV21" s="20"/>
      <c r="AW21" s="20"/>
      <c r="AX21" s="20"/>
      <c r="AY21" s="35"/>
      <c r="AZ21" s="35"/>
      <c r="BA21" s="35"/>
      <c r="BG21" s="35"/>
      <c r="BH21" s="35"/>
      <c r="BI21" s="35"/>
      <c r="BJ21" s="35"/>
      <c r="BK21" s="78"/>
      <c r="BL21" s="148"/>
      <c r="BR21" s="35">
        <f ca="1">BR22-(4*BR4)</f>
        <v>68.816530899162785</v>
      </c>
      <c r="BS21" s="1">
        <f t="shared" ca="1" si="12"/>
        <v>0</v>
      </c>
      <c r="CG21" s="1">
        <v>13</v>
      </c>
      <c r="CH21" s="1">
        <f ca="1"/>
        <v>105.34190300134897</v>
      </c>
      <c r="CL21" s="106">
        <v>43101</v>
      </c>
      <c r="CM21" s="107">
        <f t="shared" si="3"/>
        <v>115.66717673763242</v>
      </c>
    </row>
    <row r="22" spans="1:97" s="1" customFormat="1" ht="42.95">
      <c r="A22" s="25"/>
      <c r="B22" s="35"/>
      <c r="C22" s="35"/>
      <c r="D22" s="35"/>
      <c r="E22" s="35"/>
      <c r="F22" s="148"/>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26">
        <f>Data!A17</f>
        <v>42937</v>
      </c>
      <c r="AF22" s="35">
        <f>Data!B17</f>
        <v>102.68</v>
      </c>
      <c r="AG22" s="35">
        <f>Data!F17</f>
        <v>3722249</v>
      </c>
      <c r="AH22" s="35">
        <f>Data!C17</f>
        <v>104.94</v>
      </c>
      <c r="AI22" s="35">
        <f>Data!D17</f>
        <v>102.68</v>
      </c>
      <c r="AJ22" s="35">
        <f>Data!E17</f>
        <v>104.58</v>
      </c>
      <c r="AK22" s="35">
        <f>Data!F17</f>
        <v>3722249</v>
      </c>
      <c r="AL22" s="35">
        <f t="shared" si="0"/>
        <v>104.58</v>
      </c>
      <c r="AM22" s="35">
        <f t="shared" si="4"/>
        <v>0.99445400650219162</v>
      </c>
      <c r="AN22" s="35">
        <f t="shared" si="11"/>
        <v>-45.132552927007303</v>
      </c>
      <c r="AO22" s="35" t="str">
        <f t="shared" si="5"/>
        <v>FITS BITCH</v>
      </c>
      <c r="AP22" s="35" t="str">
        <f t="shared" si="6"/>
        <v>FITS BITCH</v>
      </c>
      <c r="AQ22" s="35" t="str">
        <f t="shared" si="6"/>
        <v>no</v>
      </c>
      <c r="AR22" s="35" t="str">
        <f t="shared" si="7"/>
        <v>no</v>
      </c>
      <c r="AS22" s="35" t="str">
        <f t="shared" si="8"/>
        <v>FITS BITCH</v>
      </c>
      <c r="AT22" s="20" t="str">
        <f t="shared" si="9"/>
        <v/>
      </c>
      <c r="AU22" s="20" t="str">
        <f t="shared" si="10"/>
        <v/>
      </c>
      <c r="AV22" s="20"/>
      <c r="AW22" s="20"/>
      <c r="AX22" s="20"/>
      <c r="AY22" s="35"/>
      <c r="AZ22" s="35"/>
      <c r="BA22" s="35"/>
      <c r="BB22" s="35"/>
      <c r="BC22" s="35"/>
      <c r="BD22" s="35" t="s">
        <v>94</v>
      </c>
      <c r="BE22" s="35" t="s">
        <v>95</v>
      </c>
      <c r="BF22" s="35" t="s">
        <v>96</v>
      </c>
      <c r="BG22" s="35"/>
      <c r="BH22" s="35"/>
      <c r="BI22" s="35"/>
      <c r="BJ22" s="35"/>
      <c r="BK22" s="78"/>
      <c r="BL22" s="148"/>
      <c r="BR22" s="35">
        <f ca="1">BR23-(3*BR4)</f>
        <v>85.448037342333706</v>
      </c>
      <c r="BS22" s="1">
        <f t="shared" ca="1" si="12"/>
        <v>0</v>
      </c>
      <c r="CG22" s="1">
        <v>14</v>
      </c>
      <c r="CH22" s="1">
        <f ca="1"/>
        <v>100.5373690556457</v>
      </c>
      <c r="CL22" s="106">
        <v>43098</v>
      </c>
      <c r="CM22" s="107">
        <f t="shared" si="3"/>
        <v>115.50731517236409</v>
      </c>
    </row>
    <row r="23" spans="1:97" s="1" customFormat="1" ht="42.95">
      <c r="A23" s="25"/>
      <c r="B23" s="35"/>
      <c r="C23" s="35"/>
      <c r="D23" s="35"/>
      <c r="E23" s="35"/>
      <c r="F23" s="148"/>
      <c r="G23" s="148"/>
      <c r="H23" s="148"/>
      <c r="I23" s="148"/>
      <c r="J23" s="148"/>
      <c r="K23" s="148"/>
      <c r="L23" s="148"/>
      <c r="M23" s="148"/>
      <c r="N23" s="148"/>
      <c r="O23" s="148"/>
      <c r="P23" s="148"/>
      <c r="Q23" s="148"/>
      <c r="R23" s="148"/>
      <c r="S23" s="148"/>
      <c r="T23" s="148"/>
      <c r="U23" s="148"/>
      <c r="V23" s="148"/>
      <c r="W23" s="148"/>
      <c r="X23" s="148"/>
      <c r="Y23" s="148"/>
      <c r="Z23" s="148"/>
      <c r="AA23" s="148"/>
      <c r="AB23" s="148"/>
      <c r="AC23" s="148"/>
      <c r="AD23" s="148"/>
      <c r="AE23" s="26">
        <f>Data!A18</f>
        <v>42936</v>
      </c>
      <c r="AF23" s="35">
        <f>Data!B18</f>
        <v>102.93</v>
      </c>
      <c r="AG23" s="35">
        <f>Data!F18</f>
        <v>3110934</v>
      </c>
      <c r="AH23" s="35">
        <f>Data!C18</f>
        <v>103.47</v>
      </c>
      <c r="AI23" s="35">
        <f>Data!D18</f>
        <v>102.83</v>
      </c>
      <c r="AJ23" s="35">
        <f>Data!E18</f>
        <v>103.34</v>
      </c>
      <c r="AK23" s="35">
        <f>Data!F18</f>
        <v>3110934</v>
      </c>
      <c r="AL23" s="35">
        <f t="shared" si="0"/>
        <v>103.34</v>
      </c>
      <c r="AM23" s="35">
        <f t="shared" si="4"/>
        <v>-1.1999225856396312</v>
      </c>
      <c r="AN23" s="35">
        <f t="shared" si="11"/>
        <v>-19.650529390851752</v>
      </c>
      <c r="AO23" s="35" t="str">
        <f t="shared" si="5"/>
        <v>FITS BITCH</v>
      </c>
      <c r="AP23" s="35" t="str">
        <f t="shared" si="6"/>
        <v>FITS BITCH</v>
      </c>
      <c r="AQ23" s="35" t="str">
        <f t="shared" si="6"/>
        <v>FITS BITCH</v>
      </c>
      <c r="AR23" s="35" t="str">
        <f t="shared" si="7"/>
        <v>no</v>
      </c>
      <c r="AS23" s="35" t="str">
        <f t="shared" si="8"/>
        <v>FITS BITCH</v>
      </c>
      <c r="AT23" s="20" t="str">
        <f t="shared" si="9"/>
        <v/>
      </c>
      <c r="AU23" s="20" t="str">
        <f t="shared" si="10"/>
        <v>BEARISH</v>
      </c>
      <c r="AV23" s="20"/>
      <c r="AW23" s="20"/>
      <c r="AX23" s="20"/>
      <c r="AY23" s="35"/>
      <c r="AZ23" s="35"/>
      <c r="BA23" s="35"/>
      <c r="BB23" s="35" t="s">
        <v>102</v>
      </c>
      <c r="BC23" s="63">
        <f>MIN(AJ7:AJ1013)</f>
        <v>70.239999999999995</v>
      </c>
      <c r="BD23" s="35" t="s">
        <v>103</v>
      </c>
      <c r="BE23" s="94">
        <f>BC25-3*BC27</f>
        <v>59.175903717612563</v>
      </c>
      <c r="BF23" s="35">
        <f t="array" ref="BF23:BF30">FREQUENCY(AJ7:AJ1013,BE23:BE29)</f>
        <v>0</v>
      </c>
      <c r="BG23" s="35"/>
      <c r="BH23" s="35"/>
      <c r="BI23" s="35"/>
      <c r="BJ23" s="35"/>
      <c r="BK23" s="78"/>
      <c r="BL23" s="148"/>
      <c r="BR23" s="35">
        <f ca="1">BR24-(2*BR4)</f>
        <v>97.921667174711885</v>
      </c>
      <c r="BS23" s="1">
        <f t="shared" ca="1" si="12"/>
        <v>1</v>
      </c>
      <c r="CG23" s="1">
        <v>15</v>
      </c>
      <c r="CH23" s="1">
        <f ca="1"/>
        <v>112.55769360954054</v>
      </c>
      <c r="CL23" s="106">
        <v>43097</v>
      </c>
      <c r="CM23" s="107">
        <f t="shared" si="3"/>
        <v>115.45402798394116</v>
      </c>
    </row>
    <row r="24" spans="1:97" s="1" customFormat="1" ht="42.95">
      <c r="A24" s="25"/>
      <c r="B24" s="35"/>
      <c r="C24" s="35"/>
      <c r="D24" s="35"/>
      <c r="E24" s="35"/>
      <c r="F24" s="148"/>
      <c r="G24" s="148"/>
      <c r="H24" s="148"/>
      <c r="I24" s="148"/>
      <c r="J24" s="148"/>
      <c r="K24" s="148"/>
      <c r="L24" s="148"/>
      <c r="M24" s="148"/>
      <c r="N24" s="148"/>
      <c r="O24" s="148"/>
      <c r="P24" s="148"/>
      <c r="Q24" s="148"/>
      <c r="R24" s="148"/>
      <c r="S24" s="148"/>
      <c r="T24" s="148"/>
      <c r="U24" s="148"/>
      <c r="V24" s="148"/>
      <c r="W24" s="148"/>
      <c r="X24" s="148"/>
      <c r="Y24" s="148"/>
      <c r="Z24" s="148"/>
      <c r="AA24" s="148"/>
      <c r="AB24" s="148"/>
      <c r="AC24" s="148"/>
      <c r="AD24" s="148"/>
      <c r="AE24" s="26">
        <f>Data!A19</f>
        <v>42935</v>
      </c>
      <c r="AF24" s="35">
        <f>Data!B19</f>
        <v>101.5</v>
      </c>
      <c r="AG24" s="35">
        <f>Data!F19</f>
        <v>3678461</v>
      </c>
      <c r="AH24" s="35">
        <f>Data!C19</f>
        <v>103.07</v>
      </c>
      <c r="AI24" s="35">
        <f>Data!D19</f>
        <v>101.2</v>
      </c>
      <c r="AJ24" s="35">
        <f>Data!E19</f>
        <v>102.75</v>
      </c>
      <c r="AK24" s="35">
        <f>Data!F19</f>
        <v>3678461</v>
      </c>
      <c r="AL24" s="35">
        <f t="shared" si="0"/>
        <v>102.75</v>
      </c>
      <c r="AM24" s="35">
        <f t="shared" si="4"/>
        <v>-0.57420924574209575</v>
      </c>
      <c r="AN24" s="35">
        <f t="shared" si="11"/>
        <v>15.428381597630095</v>
      </c>
      <c r="AO24" s="35" t="str">
        <f t="shared" si="5"/>
        <v>no</v>
      </c>
      <c r="AP24" s="35" t="str">
        <f t="shared" si="6"/>
        <v>FITS BITCH</v>
      </c>
      <c r="AQ24" s="35" t="str">
        <f t="shared" si="6"/>
        <v>FITS BITCH</v>
      </c>
      <c r="AR24" s="35" t="str">
        <f t="shared" si="7"/>
        <v>no</v>
      </c>
      <c r="AS24" s="35" t="str">
        <f t="shared" si="8"/>
        <v>FITS BITCH</v>
      </c>
      <c r="AT24" s="20" t="str">
        <f t="shared" si="9"/>
        <v/>
      </c>
      <c r="AU24" s="20" t="str">
        <f t="shared" si="10"/>
        <v/>
      </c>
      <c r="AV24" s="20"/>
      <c r="AW24" s="20"/>
      <c r="AX24" s="20"/>
      <c r="AY24" s="35"/>
      <c r="AZ24" s="35"/>
      <c r="BA24" s="35"/>
      <c r="BB24" s="35" t="s">
        <v>108</v>
      </c>
      <c r="BC24" s="63">
        <f>MAX(AJ7:AJ1013)</f>
        <v>118.91</v>
      </c>
      <c r="BD24" s="35" t="s">
        <v>109</v>
      </c>
      <c r="BE24" s="94">
        <f>BC25-2*BC27</f>
        <v>68.214442266557981</v>
      </c>
      <c r="BF24" s="35">
        <v>0</v>
      </c>
      <c r="BG24" s="35"/>
      <c r="BH24" s="35"/>
      <c r="BI24" s="35"/>
      <c r="BJ24" s="35"/>
      <c r="BK24" s="78"/>
      <c r="BL24" s="148"/>
      <c r="BR24" s="35">
        <f ca="1">BR25-BR4</f>
        <v>106.23742039629734</v>
      </c>
      <c r="BS24" s="1">
        <f t="shared" ca="1" si="12"/>
        <v>21</v>
      </c>
      <c r="CG24" s="1">
        <v>16</v>
      </c>
      <c r="CH24" s="1">
        <f ca="1"/>
        <v>118.00205909945726</v>
      </c>
      <c r="CL24" s="106">
        <v>43096</v>
      </c>
      <c r="CM24" s="107">
        <f t="shared" si="3"/>
        <v>115.40074079551869</v>
      </c>
    </row>
    <row r="25" spans="1:97" s="1" customFormat="1" ht="42.95">
      <c r="A25" s="25"/>
      <c r="B25" s="35"/>
      <c r="C25" s="35"/>
      <c r="D25" s="35"/>
      <c r="E25" s="35"/>
      <c r="F25" s="148"/>
      <c r="G25" s="148"/>
      <c r="H25" s="148"/>
      <c r="I25" s="148"/>
      <c r="J25" s="148"/>
      <c r="K25" s="148"/>
      <c r="L25" s="148"/>
      <c r="M25" s="148"/>
      <c r="N25" s="148"/>
      <c r="O25" s="148"/>
      <c r="P25" s="148"/>
      <c r="Q25" s="148"/>
      <c r="R25" s="148"/>
      <c r="S25" s="148"/>
      <c r="T25" s="148"/>
      <c r="U25" s="148"/>
      <c r="V25" s="148"/>
      <c r="W25" s="148"/>
      <c r="X25" s="148"/>
      <c r="Y25" s="148"/>
      <c r="Z25" s="148"/>
      <c r="AA25" s="148"/>
      <c r="AB25" s="148"/>
      <c r="AC25" s="148"/>
      <c r="AD25" s="148"/>
      <c r="AE25" s="26">
        <f>Data!A20</f>
        <v>42934</v>
      </c>
      <c r="AF25" s="35">
        <f>Data!B20</f>
        <v>100.94</v>
      </c>
      <c r="AG25" s="35">
        <f>Data!F20</f>
        <v>2377671</v>
      </c>
      <c r="AH25" s="35">
        <f>Data!C20</f>
        <v>101.38</v>
      </c>
      <c r="AI25" s="35">
        <f>Data!D20</f>
        <v>100.51</v>
      </c>
      <c r="AJ25" s="35">
        <f>Data!E20</f>
        <v>101.3</v>
      </c>
      <c r="AK25" s="35">
        <f>Data!F20</f>
        <v>2377671</v>
      </c>
      <c r="AL25" s="35">
        <f t="shared" si="0"/>
        <v>101.3</v>
      </c>
      <c r="AM25" s="35">
        <f t="shared" si="4"/>
        <v>-1.431391905231987</v>
      </c>
      <c r="AN25" s="35">
        <f t="shared" si="11"/>
        <v>-54.708578268397943</v>
      </c>
      <c r="AO25" s="35" t="str">
        <f t="shared" si="5"/>
        <v>FITS BITCH</v>
      </c>
      <c r="AP25" s="35" t="str">
        <f t="shared" si="6"/>
        <v>no</v>
      </c>
      <c r="AQ25" s="35" t="str">
        <f t="shared" si="6"/>
        <v>no</v>
      </c>
      <c r="AR25" s="35" t="str">
        <f t="shared" si="7"/>
        <v>FITS BITCH</v>
      </c>
      <c r="AS25" s="35" t="str">
        <f t="shared" si="8"/>
        <v>no</v>
      </c>
      <c r="AT25" s="20" t="str">
        <f t="shared" si="9"/>
        <v/>
      </c>
      <c r="AU25" s="20" t="str">
        <f t="shared" si="10"/>
        <v/>
      </c>
      <c r="AV25" s="20"/>
      <c r="AW25" s="20"/>
      <c r="AX25" s="20"/>
      <c r="AY25" s="35"/>
      <c r="AZ25" s="35"/>
      <c r="BA25" s="35"/>
      <c r="BB25" s="93" t="s">
        <v>114</v>
      </c>
      <c r="BC25" s="63">
        <f>AVERAGE(AJ7:AJ1013)</f>
        <v>86.291519364448817</v>
      </c>
      <c r="BD25" s="35" t="s">
        <v>115</v>
      </c>
      <c r="BE25" s="94">
        <f>BC25-BC27</f>
        <v>77.252980815503406</v>
      </c>
      <c r="BF25" s="35">
        <v>140</v>
      </c>
      <c r="BG25" s="35"/>
      <c r="BH25" s="35"/>
      <c r="BI25" s="35"/>
      <c r="BJ25" s="35"/>
      <c r="BK25" s="78"/>
      <c r="BL25" s="148"/>
      <c r="BM25" s="148"/>
      <c r="BN25" s="148"/>
      <c r="BR25" s="100">
        <f ca="1">CJ9</f>
        <v>110.39529700709006</v>
      </c>
      <c r="BS25" s="1">
        <f t="shared" ca="1" si="12"/>
        <v>23</v>
      </c>
      <c r="CG25" s="1">
        <v>17</v>
      </c>
      <c r="CH25" s="1">
        <f ca="1"/>
        <v>120.20974049835849</v>
      </c>
      <c r="CL25" s="106">
        <v>43095</v>
      </c>
      <c r="CM25" s="107">
        <f t="shared" si="3"/>
        <v>115.34745360709576</v>
      </c>
    </row>
    <row r="26" spans="1:97" s="1" customFormat="1" ht="42.95">
      <c r="A26" s="25"/>
      <c r="B26" s="35"/>
      <c r="C26" s="35"/>
      <c r="D26" s="35"/>
      <c r="E26" s="35"/>
      <c r="F26" s="148"/>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26">
        <f>Data!A21</f>
        <v>42933</v>
      </c>
      <c r="AF26" s="35">
        <f>Data!B21</f>
        <v>101.38</v>
      </c>
      <c r="AG26" s="35">
        <f>Data!F21</f>
        <v>3149451</v>
      </c>
      <c r="AH26" s="35">
        <f>Data!C21</f>
        <v>101.81</v>
      </c>
      <c r="AI26" s="35">
        <f>Data!D21</f>
        <v>101.22</v>
      </c>
      <c r="AJ26" s="35">
        <f>Data!E21</f>
        <v>101.7</v>
      </c>
      <c r="AK26" s="35">
        <f>Data!F21</f>
        <v>3149451</v>
      </c>
      <c r="AL26" s="35">
        <f t="shared" si="0"/>
        <v>101.7</v>
      </c>
      <c r="AM26" s="35">
        <f t="shared" si="4"/>
        <v>0.3933136676499564</v>
      </c>
      <c r="AN26" s="35">
        <f t="shared" si="11"/>
        <v>24.505223291297433</v>
      </c>
      <c r="AO26" s="35" t="str">
        <f t="shared" si="5"/>
        <v>no</v>
      </c>
      <c r="AP26" s="35" t="str">
        <f t="shared" si="6"/>
        <v>no</v>
      </c>
      <c r="AQ26" s="35" t="str">
        <f t="shared" si="6"/>
        <v>no</v>
      </c>
      <c r="AR26" s="35" t="str">
        <f t="shared" si="7"/>
        <v>FITS BITCH</v>
      </c>
      <c r="AS26" s="35" t="str">
        <f t="shared" si="8"/>
        <v>FITS BITCH</v>
      </c>
      <c r="AT26" s="20" t="str">
        <f t="shared" si="9"/>
        <v/>
      </c>
      <c r="AU26" s="20" t="str">
        <f t="shared" si="10"/>
        <v/>
      </c>
      <c r="AV26" s="20"/>
      <c r="AW26" s="20"/>
      <c r="AX26" s="20"/>
      <c r="AY26" s="35"/>
      <c r="AZ26" s="35"/>
      <c r="BA26" s="35"/>
      <c r="BB26" s="93" t="s">
        <v>119</v>
      </c>
      <c r="BC26" s="63">
        <f>VAR(AJ7:AJ1013)</f>
        <v>81.69517910077235</v>
      </c>
      <c r="BD26" s="35" t="s">
        <v>120</v>
      </c>
      <c r="BE26" s="94">
        <f>BC25</f>
        <v>86.291519364448817</v>
      </c>
      <c r="BF26" s="35">
        <v>432</v>
      </c>
      <c r="BG26" s="35"/>
      <c r="BH26" s="35"/>
      <c r="BI26" s="35"/>
      <c r="BJ26" s="35"/>
      <c r="BK26" s="78"/>
      <c r="BL26" s="148"/>
      <c r="BM26" s="148"/>
      <c r="BN26" s="148"/>
      <c r="BR26" s="35">
        <f ca="1">BR25+BR4</f>
        <v>114.55317361788279</v>
      </c>
      <c r="BS26" s="1">
        <f t="shared" ca="1" si="12"/>
        <v>34</v>
      </c>
      <c r="CG26" s="1">
        <v>18</v>
      </c>
      <c r="CH26" s="1">
        <f ca="1"/>
        <v>112.54671304536802</v>
      </c>
      <c r="CL26" s="106">
        <v>43094</v>
      </c>
      <c r="CM26" s="107">
        <f t="shared" si="3"/>
        <v>115.29416641867283</v>
      </c>
    </row>
    <row r="27" spans="1:97" s="1" customFormat="1" ht="42.95">
      <c r="B27" s="35"/>
      <c r="C27" s="35"/>
      <c r="D27" s="35"/>
      <c r="E27" s="35"/>
      <c r="F27" s="148"/>
      <c r="G27" s="148"/>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26">
        <f>Data!A22</f>
        <v>42930</v>
      </c>
      <c r="AF27" s="35">
        <f>Data!B22</f>
        <v>101.61</v>
      </c>
      <c r="AG27" s="35">
        <f>Data!F22</f>
        <v>2837393</v>
      </c>
      <c r="AH27" s="35">
        <f>Data!C22</f>
        <v>101.9</v>
      </c>
      <c r="AI27" s="35">
        <f>Data!D22</f>
        <v>101.24</v>
      </c>
      <c r="AJ27" s="35">
        <f>Data!E22</f>
        <v>101.35</v>
      </c>
      <c r="AK27" s="35">
        <f>Data!F22</f>
        <v>2837393</v>
      </c>
      <c r="AL27" s="35">
        <f t="shared" si="0"/>
        <v>101.35</v>
      </c>
      <c r="AM27" s="35">
        <f t="shared" si="4"/>
        <v>-0.3453379378391796</v>
      </c>
      <c r="AN27" s="35">
        <f t="shared" si="11"/>
        <v>-10.998053494880688</v>
      </c>
      <c r="AO27" s="35" t="str">
        <f t="shared" si="5"/>
        <v>FITS BITCH</v>
      </c>
      <c r="AP27" s="35" t="str">
        <f t="shared" si="6"/>
        <v>no</v>
      </c>
      <c r="AQ27" s="35" t="str">
        <f t="shared" si="6"/>
        <v>no</v>
      </c>
      <c r="AR27" s="35" t="str">
        <f t="shared" si="7"/>
        <v>FITS BITCH</v>
      </c>
      <c r="AS27" s="35" t="str">
        <f t="shared" si="8"/>
        <v>no</v>
      </c>
      <c r="AT27" s="20" t="str">
        <f t="shared" si="9"/>
        <v/>
      </c>
      <c r="AU27" s="20" t="str">
        <f t="shared" si="10"/>
        <v/>
      </c>
      <c r="AV27" s="20"/>
      <c r="AW27" s="20"/>
      <c r="AX27" s="20"/>
      <c r="AY27" s="35"/>
      <c r="AZ27" s="35"/>
      <c r="BA27" s="35"/>
      <c r="BB27" s="93" t="s">
        <v>123</v>
      </c>
      <c r="BC27" s="63">
        <f>STDEV(AJ7:AJ1013)</f>
        <v>9.038538548945418</v>
      </c>
      <c r="BD27" s="35" t="s">
        <v>124</v>
      </c>
      <c r="BE27" s="94">
        <f>BC25+BC27</f>
        <v>95.330057913394228</v>
      </c>
      <c r="BF27" s="35">
        <v>252</v>
      </c>
      <c r="BG27" s="35"/>
      <c r="BH27" s="35"/>
      <c r="BI27" s="35"/>
      <c r="BJ27" s="35"/>
      <c r="BK27" s="78"/>
      <c r="BL27" s="148"/>
      <c r="BM27" s="148"/>
      <c r="BN27" s="148"/>
      <c r="BR27" s="35">
        <f ca="1">BR26+(2*BR4)</f>
        <v>122.86892683946824</v>
      </c>
      <c r="BS27" s="1">
        <f t="shared" ca="1" si="12"/>
        <v>21</v>
      </c>
      <c r="CG27" s="1">
        <v>19</v>
      </c>
      <c r="CH27" s="1">
        <f ca="1"/>
        <v>113.22235042345845</v>
      </c>
      <c r="CL27" s="106">
        <v>43091</v>
      </c>
      <c r="CM27" s="107">
        <f t="shared" si="3"/>
        <v>115.1343048534045</v>
      </c>
    </row>
    <row r="28" spans="1:97" s="102" customFormat="1" ht="42.95">
      <c r="A28" s="35"/>
      <c r="B28" s="35"/>
      <c r="C28" s="35"/>
      <c r="D28" s="35"/>
      <c r="E28" s="35"/>
      <c r="F28" s="148"/>
      <c r="G28" s="148"/>
      <c r="H28" s="148"/>
      <c r="I28" s="148"/>
      <c r="J28" s="148"/>
      <c r="K28" s="148"/>
      <c r="L28" s="148"/>
      <c r="M28" s="148"/>
      <c r="N28" s="148"/>
      <c r="O28" s="148"/>
      <c r="P28" s="148"/>
      <c r="Q28" s="148"/>
      <c r="R28" s="148"/>
      <c r="S28" s="148"/>
      <c r="T28" s="148"/>
      <c r="U28" s="148"/>
      <c r="V28" s="148"/>
      <c r="W28" s="148"/>
      <c r="X28" s="148"/>
      <c r="Y28" s="148"/>
      <c r="Z28" s="148"/>
      <c r="AA28" s="148"/>
      <c r="AB28" s="148"/>
      <c r="AC28" s="148"/>
      <c r="AD28" s="148"/>
      <c r="AE28" s="26">
        <f>Data!A23</f>
        <v>42929</v>
      </c>
      <c r="AF28" s="35">
        <f>Data!B23</f>
        <v>102.49</v>
      </c>
      <c r="AG28" s="35">
        <f>Data!F23</f>
        <v>4710200</v>
      </c>
      <c r="AH28" s="35">
        <f>Data!C23</f>
        <v>102.68</v>
      </c>
      <c r="AI28" s="35">
        <f>Data!D23</f>
        <v>101.42</v>
      </c>
      <c r="AJ28" s="35">
        <f>Data!E23</f>
        <v>101.63</v>
      </c>
      <c r="AK28" s="35">
        <f>Data!F23</f>
        <v>4710200</v>
      </c>
      <c r="AL28" s="35">
        <f t="shared" si="0"/>
        <v>101.63</v>
      </c>
      <c r="AM28" s="35">
        <f t="shared" si="4"/>
        <v>0.27550920003935958</v>
      </c>
      <c r="AN28" s="35">
        <f t="shared" si="11"/>
        <v>39.76066833680099</v>
      </c>
      <c r="AO28" s="35" t="str">
        <f t="shared" si="5"/>
        <v>no</v>
      </c>
      <c r="AP28" s="35" t="str">
        <f t="shared" si="6"/>
        <v>no</v>
      </c>
      <c r="AQ28" s="35" t="str">
        <f t="shared" si="6"/>
        <v>no</v>
      </c>
      <c r="AR28" s="35" t="str">
        <f t="shared" si="7"/>
        <v>FITS BITCH</v>
      </c>
      <c r="AS28" s="35" t="str">
        <f t="shared" si="8"/>
        <v>no</v>
      </c>
      <c r="AT28" s="20" t="str">
        <f t="shared" si="9"/>
        <v/>
      </c>
      <c r="AU28" s="20" t="str">
        <f t="shared" si="10"/>
        <v/>
      </c>
      <c r="AV28" s="20"/>
      <c r="AW28" s="20"/>
      <c r="AX28" s="20"/>
      <c r="AY28" s="35"/>
      <c r="AZ28" s="35"/>
      <c r="BA28" s="35"/>
      <c r="BB28" s="35"/>
      <c r="BC28" s="35"/>
      <c r="BD28" s="35" t="s">
        <v>127</v>
      </c>
      <c r="BE28" s="94">
        <f>BC25+2*BC27</f>
        <v>104.36859646233965</v>
      </c>
      <c r="BF28" s="35">
        <v>156</v>
      </c>
      <c r="BG28" s="35"/>
      <c r="BH28" s="35"/>
      <c r="BI28" s="35"/>
      <c r="BJ28" s="35"/>
      <c r="BK28" s="78"/>
      <c r="BL28" s="148"/>
      <c r="BM28" s="148"/>
      <c r="BN28" s="148"/>
      <c r="BO28" s="34"/>
      <c r="BP28" s="148"/>
      <c r="BQ28" s="1"/>
      <c r="BR28" s="35">
        <f ca="1">BR27+(3*BR4)</f>
        <v>135.34255667184644</v>
      </c>
      <c r="BS28" s="1">
        <f t="shared" ca="1" si="12"/>
        <v>0</v>
      </c>
      <c r="BT28" s="148"/>
      <c r="BU28" s="148"/>
      <c r="BV28" s="148"/>
      <c r="BW28" s="148"/>
      <c r="BX28" s="148"/>
      <c r="BY28" s="148"/>
      <c r="BZ28" s="148"/>
      <c r="CA28" s="148"/>
      <c r="CB28" s="148"/>
      <c r="CC28" s="148"/>
      <c r="CD28" s="148"/>
      <c r="CE28" s="148"/>
      <c r="CF28" s="148"/>
      <c r="CG28" s="1">
        <v>20</v>
      </c>
      <c r="CH28" s="148">
        <f ca="1"/>
        <v>111.16810847750386</v>
      </c>
      <c r="CI28" s="148"/>
      <c r="CJ28" s="148"/>
      <c r="CK28" s="148"/>
      <c r="CL28" s="106">
        <v>43090</v>
      </c>
      <c r="CM28" s="107">
        <f t="shared" si="3"/>
        <v>115.08101766498203</v>
      </c>
      <c r="CN28" s="148"/>
      <c r="CO28" s="148"/>
      <c r="CP28" s="148"/>
      <c r="CQ28" s="148"/>
      <c r="CR28" s="148"/>
      <c r="CS28" s="148"/>
    </row>
    <row r="29" spans="1:97" s="22" customFormat="1" ht="42.95">
      <c r="A29" s="35"/>
      <c r="B29" s="35"/>
      <c r="C29" s="35"/>
      <c r="D29" s="35"/>
      <c r="E29" s="35"/>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26">
        <f>Data!A24</f>
        <v>42928</v>
      </c>
      <c r="AF29" s="35">
        <f>Data!B24</f>
        <v>102.8</v>
      </c>
      <c r="AG29" s="35">
        <f>Data!F24</f>
        <v>3086237</v>
      </c>
      <c r="AH29" s="35">
        <f>Data!C24</f>
        <v>103.46</v>
      </c>
      <c r="AI29" s="35">
        <f>Data!D24</f>
        <v>102.33</v>
      </c>
      <c r="AJ29" s="35">
        <f>Data!E24</f>
        <v>102.5</v>
      </c>
      <c r="AK29" s="35">
        <f>Data!F24</f>
        <v>3086237</v>
      </c>
      <c r="AL29" s="35">
        <f t="shared" si="0"/>
        <v>102.5</v>
      </c>
      <c r="AM29" s="35">
        <f t="shared" si="4"/>
        <v>0.84878048780488247</v>
      </c>
      <c r="AN29" s="35">
        <f t="shared" si="11"/>
        <v>-52.619516906835088</v>
      </c>
      <c r="AO29" s="35" t="str">
        <f t="shared" si="5"/>
        <v>FITS BITCH</v>
      </c>
      <c r="AP29" s="35" t="str">
        <f t="shared" si="6"/>
        <v>no</v>
      </c>
      <c r="AQ29" s="35" t="str">
        <f t="shared" si="6"/>
        <v>FITS BITCH</v>
      </c>
      <c r="AR29" s="35" t="str">
        <f t="shared" si="7"/>
        <v>FITS BITCH</v>
      </c>
      <c r="AS29" s="35" t="str">
        <f t="shared" si="8"/>
        <v>FITS BITCH</v>
      </c>
      <c r="AT29" s="20" t="str">
        <f t="shared" si="9"/>
        <v/>
      </c>
      <c r="AU29" s="20" t="str">
        <f t="shared" si="10"/>
        <v>BEARISH</v>
      </c>
      <c r="AV29" s="20"/>
      <c r="AW29" s="20"/>
      <c r="AX29" s="20"/>
      <c r="AY29" s="35"/>
      <c r="AZ29" s="35"/>
      <c r="BA29" s="35"/>
      <c r="BB29" s="35"/>
      <c r="BC29" s="35"/>
      <c r="BD29" s="35" t="s">
        <v>129</v>
      </c>
      <c r="BE29" s="94">
        <f>BC25+3*BC27</f>
        <v>113.40713501128508</v>
      </c>
      <c r="BF29" s="35">
        <v>22</v>
      </c>
      <c r="BG29" s="35"/>
      <c r="BH29" s="35"/>
      <c r="BI29" s="35"/>
      <c r="BJ29" s="35"/>
      <c r="BK29" s="78"/>
      <c r="BL29" s="148"/>
      <c r="BM29" s="148"/>
      <c r="BN29" s="148"/>
      <c r="BQ29" s="1"/>
      <c r="BR29" s="35">
        <f ca="1">BR28+(4*BR4)</f>
        <v>151.97406311501734</v>
      </c>
      <c r="BS29" s="1">
        <f ca="1">COUNTIFS($CH$9:$CH$108,"&gt;"&amp;BR29)</f>
        <v>0</v>
      </c>
      <c r="CG29" s="1">
        <v>21</v>
      </c>
      <c r="CH29" s="22">
        <f ca="1"/>
        <v>108.77258814729032</v>
      </c>
      <c r="CL29" s="106">
        <v>43089</v>
      </c>
      <c r="CM29" s="107">
        <f t="shared" si="3"/>
        <v>115.0277304765591</v>
      </c>
    </row>
    <row r="30" spans="1:97" s="22" customFormat="1" ht="42">
      <c r="A30" s="35"/>
      <c r="B30" s="35"/>
      <c r="C30" s="35"/>
      <c r="D30" s="35"/>
      <c r="E30" s="35"/>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26">
        <f>Data!A25</f>
        <v>42927</v>
      </c>
      <c r="AF30" s="35">
        <f>Data!B25</f>
        <v>103.23</v>
      </c>
      <c r="AG30" s="35">
        <f>Data!F25</f>
        <v>5087742</v>
      </c>
      <c r="AH30" s="35">
        <f>Data!C25</f>
        <v>103.6</v>
      </c>
      <c r="AI30" s="35">
        <f>Data!D25</f>
        <v>101.15</v>
      </c>
      <c r="AJ30" s="35">
        <f>Data!E25</f>
        <v>101.84</v>
      </c>
      <c r="AK30" s="35">
        <f>Data!F25</f>
        <v>5087742</v>
      </c>
      <c r="AL30" s="35">
        <f t="shared" si="0"/>
        <v>101.84</v>
      </c>
      <c r="AM30" s="35">
        <f t="shared" si="4"/>
        <v>-0.6480754124116227</v>
      </c>
      <c r="AN30" s="35">
        <f t="shared" si="11"/>
        <v>39.339750325389929</v>
      </c>
      <c r="AO30" s="35" t="str">
        <f t="shared" si="5"/>
        <v>no</v>
      </c>
      <c r="AP30" s="35" t="str">
        <f t="shared" si="6"/>
        <v>no</v>
      </c>
      <c r="AQ30" s="35" t="str">
        <f t="shared" si="6"/>
        <v>no</v>
      </c>
      <c r="AR30" s="35" t="str">
        <f t="shared" si="7"/>
        <v>FITS BITCH</v>
      </c>
      <c r="AS30" s="35" t="str">
        <f t="shared" si="8"/>
        <v>no</v>
      </c>
      <c r="AT30" s="20" t="str">
        <f t="shared" si="9"/>
        <v/>
      </c>
      <c r="AU30" s="20" t="str">
        <f t="shared" si="10"/>
        <v/>
      </c>
      <c r="AV30" s="20"/>
      <c r="AW30" s="20"/>
      <c r="AX30" s="20"/>
      <c r="AY30" s="35"/>
      <c r="AZ30" s="35"/>
      <c r="BA30" s="35"/>
      <c r="BB30" s="35"/>
      <c r="BC30" s="35"/>
      <c r="BD30" s="35" t="s">
        <v>132</v>
      </c>
      <c r="BE30" s="35"/>
      <c r="BF30" s="35">
        <v>5</v>
      </c>
      <c r="BG30" s="35"/>
      <c r="BH30" s="35"/>
      <c r="BI30" s="35"/>
      <c r="BJ30" s="35"/>
      <c r="BK30" s="79"/>
      <c r="BL30" s="148"/>
      <c r="BM30" s="148"/>
      <c r="BN30" s="148"/>
      <c r="BQ30" s="1"/>
      <c r="CG30" s="1">
        <v>22</v>
      </c>
      <c r="CH30" s="22">
        <f ca="1"/>
        <v>111.61425489854449</v>
      </c>
      <c r="CL30" s="106">
        <v>43088</v>
      </c>
      <c r="CM30" s="107">
        <f t="shared" si="3"/>
        <v>114.97444328813617</v>
      </c>
    </row>
    <row r="31" spans="1:97" s="22" customFormat="1" ht="42">
      <c r="A31" s="35"/>
      <c r="B31" s="35"/>
      <c r="C31" s="35"/>
      <c r="D31" s="35"/>
      <c r="E31" s="35"/>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26">
        <f>Data!A26</f>
        <v>42926</v>
      </c>
      <c r="AF31" s="35">
        <f>Data!B26</f>
        <v>105</v>
      </c>
      <c r="AG31" s="35">
        <f>Data!F26</f>
        <v>5423027</v>
      </c>
      <c r="AH31" s="35">
        <f>Data!C26</f>
        <v>105.37</v>
      </c>
      <c r="AI31" s="35">
        <f>Data!D26</f>
        <v>103.64</v>
      </c>
      <c r="AJ31" s="35">
        <f>Data!E26</f>
        <v>103.66</v>
      </c>
      <c r="AK31" s="35">
        <f>Data!F26</f>
        <v>5423027</v>
      </c>
      <c r="AL31" s="35">
        <f t="shared" si="0"/>
        <v>103.66</v>
      </c>
      <c r="AM31" s="35">
        <f t="shared" si="4"/>
        <v>1.7557399189658434</v>
      </c>
      <c r="AN31" s="35">
        <f t="shared" si="11"/>
        <v>6.1826171988448513</v>
      </c>
      <c r="AO31" s="35" t="str">
        <f t="shared" si="5"/>
        <v>no</v>
      </c>
      <c r="AP31" s="35" t="str">
        <f t="shared" si="6"/>
        <v>no</v>
      </c>
      <c r="AQ31" s="35" t="str">
        <f t="shared" si="6"/>
        <v>FITS BITCH</v>
      </c>
      <c r="AR31" s="35" t="str">
        <f t="shared" si="7"/>
        <v>FITS BITCH</v>
      </c>
      <c r="AS31" s="35" t="str">
        <f t="shared" si="8"/>
        <v>no</v>
      </c>
      <c r="AT31" s="20" t="str">
        <f t="shared" si="9"/>
        <v/>
      </c>
      <c r="AU31" s="20" t="str">
        <f t="shared" si="10"/>
        <v/>
      </c>
      <c r="AV31" s="20"/>
      <c r="AW31" s="20"/>
      <c r="AX31" s="20"/>
      <c r="AY31" s="35"/>
      <c r="AZ31" s="35"/>
      <c r="BA31" s="35"/>
      <c r="BB31" s="35"/>
      <c r="BC31" s="35"/>
      <c r="BD31" s="35"/>
      <c r="BE31" s="35"/>
      <c r="BF31" s="35"/>
      <c r="BG31" s="35"/>
      <c r="BH31" s="35"/>
      <c r="BI31" s="35"/>
      <c r="BJ31" s="35"/>
      <c r="BK31" s="79"/>
      <c r="BL31" s="148"/>
      <c r="BM31" s="148"/>
      <c r="BN31" s="148"/>
      <c r="BQ31" s="1"/>
      <c r="CG31" s="1">
        <v>23</v>
      </c>
      <c r="CH31" s="22">
        <f ca="1"/>
        <v>115.17115295375108</v>
      </c>
      <c r="CL31" s="106">
        <v>43087</v>
      </c>
      <c r="CM31" s="107">
        <f t="shared" si="3"/>
        <v>114.9211560997137</v>
      </c>
    </row>
    <row r="32" spans="1:97" s="22" customFormat="1" ht="42.95" thickBot="1">
      <c r="A32" s="35"/>
      <c r="B32" s="35"/>
      <c r="C32" s="35"/>
      <c r="D32" s="35"/>
      <c r="E32" s="35"/>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26">
        <f>Data!A27</f>
        <v>42923</v>
      </c>
      <c r="AF32" s="35">
        <f>Data!B27</f>
        <v>103.75</v>
      </c>
      <c r="AG32" s="35">
        <f>Data!F27</f>
        <v>2774122</v>
      </c>
      <c r="AH32" s="35">
        <f>Data!C27</f>
        <v>105.41</v>
      </c>
      <c r="AI32" s="35">
        <f>Data!D27</f>
        <v>103.42</v>
      </c>
      <c r="AJ32" s="35">
        <f>Data!E27</f>
        <v>105.14</v>
      </c>
      <c r="AK32" s="35">
        <f>Data!F27</f>
        <v>2774122</v>
      </c>
      <c r="AL32" s="35">
        <f t="shared" si="0"/>
        <v>105.14</v>
      </c>
      <c r="AM32" s="35">
        <f t="shared" si="4"/>
        <v>1.4076469469279094</v>
      </c>
      <c r="AN32" s="35">
        <f t="shared" si="11"/>
        <v>-95.486247540663314</v>
      </c>
      <c r="AO32" s="35" t="str">
        <f t="shared" si="5"/>
        <v>FITS BITCH</v>
      </c>
      <c r="AP32" s="35" t="str">
        <f t="shared" si="6"/>
        <v>FITS BITCH</v>
      </c>
      <c r="AQ32" s="35" t="str">
        <f t="shared" si="6"/>
        <v>FITS BITCH</v>
      </c>
      <c r="AR32" s="35" t="str">
        <f t="shared" si="7"/>
        <v>no</v>
      </c>
      <c r="AS32" s="35" t="str">
        <f t="shared" si="8"/>
        <v>FITS BITCH</v>
      </c>
      <c r="AT32" s="20" t="str">
        <f t="shared" si="9"/>
        <v/>
      </c>
      <c r="AU32" s="20" t="str">
        <f t="shared" si="10"/>
        <v>BEARISH</v>
      </c>
      <c r="AV32" s="20"/>
      <c r="AW32" s="20"/>
      <c r="AX32" s="20"/>
      <c r="AY32" s="35"/>
      <c r="AZ32" s="35"/>
      <c r="BA32" s="35"/>
      <c r="BB32" s="20" t="s">
        <v>135</v>
      </c>
      <c r="BC32" s="35" t="s">
        <v>136</v>
      </c>
      <c r="BD32" s="97">
        <f>_xlfn.NORM.DIST($F$8,$BC$25,$BC$27,1)</f>
        <v>0.9936376948990131</v>
      </c>
      <c r="BE32" s="35" t="s">
        <v>137</v>
      </c>
      <c r="BF32" s="35">
        <f>$F$8</f>
        <v>108.81</v>
      </c>
      <c r="BG32" s="35"/>
      <c r="BH32" s="35"/>
      <c r="BI32" s="35"/>
      <c r="BJ32" s="35"/>
      <c r="BK32" s="79"/>
      <c r="BL32" s="148"/>
      <c r="BM32" s="148"/>
      <c r="BN32" s="148"/>
      <c r="BQ32" s="1"/>
      <c r="CG32" s="1">
        <v>24</v>
      </c>
      <c r="CH32" s="22">
        <f ca="1"/>
        <v>111.52412380314522</v>
      </c>
      <c r="CL32" s="106">
        <v>43084</v>
      </c>
      <c r="CM32" s="107">
        <f t="shared" si="3"/>
        <v>114.76129453444537</v>
      </c>
    </row>
    <row r="33" spans="1:91" s="102" customFormat="1" ht="44.1" thickTop="1" thickBot="1">
      <c r="A33" s="148"/>
      <c r="B33" s="148"/>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26">
        <f>Data!A28</f>
        <v>42922</v>
      </c>
      <c r="AF33" s="35">
        <f>Data!B28</f>
        <v>103.76</v>
      </c>
      <c r="AG33" s="35">
        <f>Data!F28</f>
        <v>2724710</v>
      </c>
      <c r="AH33" s="35">
        <f>Data!C28</f>
        <v>103.76</v>
      </c>
      <c r="AI33" s="35">
        <f>Data!D28</f>
        <v>102.8</v>
      </c>
      <c r="AJ33" s="35">
        <f>Data!E28</f>
        <v>103.44</v>
      </c>
      <c r="AK33" s="35">
        <f>Data!F28</f>
        <v>2724710</v>
      </c>
      <c r="AL33" s="35">
        <f t="shared" si="0"/>
        <v>103.44</v>
      </c>
      <c r="AM33" s="35">
        <f t="shared" si="4"/>
        <v>-1.6434648105181777</v>
      </c>
      <c r="AN33" s="35">
        <f t="shared" si="11"/>
        <v>-1.8134773975946064</v>
      </c>
      <c r="AO33" s="35" t="str">
        <f t="shared" si="5"/>
        <v>no</v>
      </c>
      <c r="AP33" s="35" t="str">
        <f t="shared" si="6"/>
        <v>no</v>
      </c>
      <c r="AQ33" s="35" t="str">
        <f t="shared" si="6"/>
        <v>FITS BITCH</v>
      </c>
      <c r="AR33" s="35" t="str">
        <f t="shared" si="7"/>
        <v>FITS BITCH</v>
      </c>
      <c r="AS33" s="35" t="str">
        <f t="shared" si="8"/>
        <v>no</v>
      </c>
      <c r="AT33" s="20" t="str">
        <f t="shared" si="9"/>
        <v/>
      </c>
      <c r="AU33" s="20" t="str">
        <f t="shared" si="10"/>
        <v/>
      </c>
      <c r="AV33" s="20"/>
      <c r="AW33" s="20"/>
      <c r="AX33" s="20"/>
      <c r="AY33" s="35"/>
      <c r="AZ33" s="35"/>
      <c r="BA33" s="35"/>
      <c r="BB33" s="35"/>
      <c r="BC33" s="35" t="s">
        <v>140</v>
      </c>
      <c r="BD33" s="103">
        <f>((COUNTIF(AJ7:AJ1013,"&lt;"&amp;$F$8))/(COUNT(AJ7:AJ1013)))</f>
        <v>0.98907646474677258</v>
      </c>
      <c r="BE33" s="35" t="s">
        <v>141</v>
      </c>
      <c r="BF33" s="35">
        <f>$F$8</f>
        <v>108.81</v>
      </c>
      <c r="BG33" s="35"/>
      <c r="BH33" s="35"/>
      <c r="BI33" s="35"/>
      <c r="BJ33" s="35"/>
      <c r="BK33" s="79"/>
      <c r="BL33" s="148"/>
      <c r="BM33" s="148"/>
      <c r="BN33" s="148"/>
      <c r="BO33" s="148"/>
      <c r="BP33" s="148"/>
      <c r="BQ33" s="1"/>
      <c r="BR33" s="148"/>
      <c r="BS33" s="148"/>
      <c r="BT33" s="148"/>
      <c r="BU33" s="148"/>
      <c r="BV33" s="148"/>
      <c r="BW33" s="148"/>
      <c r="BX33" s="148"/>
      <c r="BY33" s="148"/>
      <c r="BZ33" s="148"/>
      <c r="CA33" s="148"/>
      <c r="CB33" s="148"/>
      <c r="CC33" s="148"/>
      <c r="CD33" s="148"/>
      <c r="CE33" s="148"/>
      <c r="CF33" s="148"/>
      <c r="CG33" s="1">
        <v>25</v>
      </c>
      <c r="CH33" s="148">
        <f ca="1"/>
        <v>110.57805453777655</v>
      </c>
      <c r="CI33" s="148"/>
      <c r="CJ33" s="148"/>
      <c r="CK33" s="148"/>
      <c r="CL33" s="106">
        <v>43083</v>
      </c>
      <c r="CM33" s="107">
        <f t="shared" si="3"/>
        <v>114.70800734602244</v>
      </c>
    </row>
    <row r="34" spans="1:91" s="102" customFormat="1" ht="42.95" thickTop="1">
      <c r="A34" s="148"/>
      <c r="B34" s="148"/>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26">
        <f>Data!A29</f>
        <v>42921</v>
      </c>
      <c r="AF34" s="35">
        <f>Data!B29</f>
        <v>102.81</v>
      </c>
      <c r="AG34" s="35">
        <f>Data!F29</f>
        <v>2836689</v>
      </c>
      <c r="AH34" s="35">
        <f>Data!C29</f>
        <v>104.12</v>
      </c>
      <c r="AI34" s="35">
        <f>Data!D29</f>
        <v>101.88</v>
      </c>
      <c r="AJ34" s="35">
        <f>Data!E29</f>
        <v>104.07</v>
      </c>
      <c r="AK34" s="35">
        <f>Data!F29</f>
        <v>2836689</v>
      </c>
      <c r="AL34" s="35">
        <f t="shared" si="0"/>
        <v>104.07</v>
      </c>
      <c r="AM34" s="35">
        <f t="shared" si="4"/>
        <v>0.6053617757278712</v>
      </c>
      <c r="AN34" s="35">
        <f t="shared" si="11"/>
        <v>3.9475247374668143</v>
      </c>
      <c r="AO34" s="35" t="str">
        <f t="shared" si="5"/>
        <v>no</v>
      </c>
      <c r="AP34" s="35" t="str">
        <f t="shared" si="6"/>
        <v>FITS BITCH</v>
      </c>
      <c r="AQ34" s="35" t="str">
        <f t="shared" si="6"/>
        <v>no</v>
      </c>
      <c r="AR34" s="35" t="str">
        <f t="shared" si="7"/>
        <v>no</v>
      </c>
      <c r="AS34" s="35" t="str">
        <f t="shared" si="8"/>
        <v>FITS BITCH</v>
      </c>
      <c r="AT34" s="20" t="str">
        <f t="shared" si="9"/>
        <v/>
      </c>
      <c r="AU34" s="20" t="str">
        <f t="shared" si="10"/>
        <v/>
      </c>
      <c r="AV34" s="20"/>
      <c r="AW34" s="20"/>
      <c r="AX34" s="20"/>
      <c r="AY34" s="35"/>
      <c r="AZ34" s="35"/>
      <c r="BA34" s="35"/>
      <c r="BB34" s="35"/>
      <c r="BC34" s="35"/>
      <c r="BD34" s="35"/>
      <c r="BE34" s="35"/>
      <c r="BF34" s="35"/>
      <c r="BG34" s="35"/>
      <c r="BH34" s="35"/>
      <c r="BI34" s="35"/>
      <c r="BJ34" s="35"/>
      <c r="BK34" s="79"/>
      <c r="BL34" s="148"/>
      <c r="BM34" s="148"/>
      <c r="BN34" s="148"/>
      <c r="BO34" s="148"/>
      <c r="BP34" s="148"/>
      <c r="BQ34" s="1"/>
      <c r="BR34" s="148"/>
      <c r="BS34" s="148"/>
      <c r="BT34" s="148"/>
      <c r="BU34" s="148"/>
      <c r="BV34" s="148"/>
      <c r="BW34" s="148"/>
      <c r="BX34" s="148"/>
      <c r="BY34" s="148"/>
      <c r="BZ34" s="148"/>
      <c r="CA34" s="148"/>
      <c r="CB34" s="148"/>
      <c r="CC34" s="148"/>
      <c r="CD34" s="148"/>
      <c r="CE34" s="148"/>
      <c r="CF34" s="148"/>
      <c r="CG34" s="1">
        <v>26</v>
      </c>
      <c r="CH34" s="148">
        <f ca="1"/>
        <v>112.60686108304489</v>
      </c>
      <c r="CI34" s="148"/>
      <c r="CJ34" s="148"/>
      <c r="CK34" s="148"/>
      <c r="CL34" s="106">
        <v>43082</v>
      </c>
      <c r="CM34" s="107">
        <f t="shared" si="3"/>
        <v>114.65472015759951</v>
      </c>
    </row>
    <row r="35" spans="1:91" s="102" customFormat="1" ht="42.95" thickBot="1">
      <c r="A35" s="148"/>
      <c r="B35" s="148"/>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26">
        <f>Data!A30</f>
        <v>42919</v>
      </c>
      <c r="AF35" s="35">
        <f>Data!B30</f>
        <v>101.98</v>
      </c>
      <c r="AG35" s="35">
        <f>Data!F30</f>
        <v>1591065</v>
      </c>
      <c r="AH35" s="35">
        <f>Data!C30</f>
        <v>103.14</v>
      </c>
      <c r="AI35" s="35">
        <f>Data!D30</f>
        <v>101.91</v>
      </c>
      <c r="AJ35" s="35">
        <f>Data!E30</f>
        <v>102.42</v>
      </c>
      <c r="AK35" s="35">
        <f>Data!F30</f>
        <v>1591065</v>
      </c>
      <c r="AL35" s="35">
        <f t="shared" si="0"/>
        <v>102.42</v>
      </c>
      <c r="AM35" s="35">
        <f t="shared" si="4"/>
        <v>-1.6110134739308644</v>
      </c>
      <c r="AN35" s="35">
        <f t="shared" si="11"/>
        <v>-78.288693422330326</v>
      </c>
      <c r="AO35" s="35" t="str">
        <f t="shared" si="5"/>
        <v>FITS BITCH</v>
      </c>
      <c r="AP35" s="35" t="str">
        <f t="shared" si="6"/>
        <v>FITS BITCH</v>
      </c>
      <c r="AQ35" s="35" t="str">
        <f t="shared" si="6"/>
        <v>FITS BITCH</v>
      </c>
      <c r="AR35" s="35" t="str">
        <f t="shared" si="7"/>
        <v>FITS BITCH</v>
      </c>
      <c r="AS35" s="35" t="str">
        <f t="shared" si="8"/>
        <v>no</v>
      </c>
      <c r="AT35" s="20" t="str">
        <f t="shared" si="9"/>
        <v>BULLISH</v>
      </c>
      <c r="AU35" s="20" t="str">
        <f t="shared" si="10"/>
        <v/>
      </c>
      <c r="AV35" s="20"/>
      <c r="AW35" s="20"/>
      <c r="AX35" s="20"/>
      <c r="AY35" s="35"/>
      <c r="AZ35" s="35"/>
      <c r="BA35" s="35"/>
      <c r="BB35" s="35"/>
      <c r="BC35" s="35"/>
      <c r="BD35" s="35"/>
      <c r="BE35" s="35"/>
      <c r="BF35" s="35"/>
      <c r="BG35" s="35"/>
      <c r="BH35" s="35"/>
      <c r="BI35" s="35"/>
      <c r="BJ35" s="35"/>
      <c r="BK35" s="79"/>
      <c r="BL35" s="148"/>
      <c r="BM35" s="148"/>
      <c r="BN35" s="148"/>
      <c r="BO35" s="148"/>
      <c r="BP35" s="148"/>
      <c r="BQ35" s="1"/>
      <c r="BR35" s="148"/>
      <c r="BS35" s="148"/>
      <c r="BT35" s="148"/>
      <c r="BU35" s="148"/>
      <c r="BV35" s="148"/>
      <c r="BW35" s="148"/>
      <c r="BX35" s="148"/>
      <c r="BY35" s="148"/>
      <c r="BZ35" s="148"/>
      <c r="CA35" s="148"/>
      <c r="CB35" s="148"/>
      <c r="CC35" s="148"/>
      <c r="CD35" s="148"/>
      <c r="CE35" s="148"/>
      <c r="CF35" s="148"/>
      <c r="CG35" s="1">
        <v>27</v>
      </c>
      <c r="CH35" s="148">
        <f ca="1"/>
        <v>113.45194625996798</v>
      </c>
      <c r="CI35" s="148"/>
      <c r="CJ35" s="148"/>
      <c r="CK35" s="148"/>
      <c r="CL35" s="106">
        <v>43081</v>
      </c>
      <c r="CM35" s="107">
        <f t="shared" si="3"/>
        <v>114.60143296917704</v>
      </c>
    </row>
    <row r="36" spans="1:91" s="1" customFormat="1" ht="42">
      <c r="A36" s="148"/>
      <c r="B36" s="148"/>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c r="AB36" s="148"/>
      <c r="AC36" s="148"/>
      <c r="AD36" s="148"/>
      <c r="AE36" s="26">
        <f>Data!A31</f>
        <v>42916</v>
      </c>
      <c r="AF36" s="35">
        <f>Data!B31</f>
        <v>102.19</v>
      </c>
      <c r="AG36" s="35">
        <f>Data!F31</f>
        <v>2958583</v>
      </c>
      <c r="AH36" s="35">
        <f>Data!C31</f>
        <v>102.81</v>
      </c>
      <c r="AI36" s="35">
        <f>Data!D31</f>
        <v>101.76</v>
      </c>
      <c r="AJ36" s="35">
        <f>Data!E31</f>
        <v>102.46</v>
      </c>
      <c r="AK36" s="35">
        <f>Data!F31</f>
        <v>2958583</v>
      </c>
      <c r="AL36" s="35">
        <f t="shared" si="0"/>
        <v>102.46</v>
      </c>
      <c r="AM36" s="35">
        <f t="shared" si="4"/>
        <v>3.9039625219590125E-2</v>
      </c>
      <c r="AN36" s="35">
        <f t="shared" si="11"/>
        <v>46.222059681949098</v>
      </c>
      <c r="AO36" s="35" t="str">
        <f t="shared" si="5"/>
        <v>no</v>
      </c>
      <c r="AP36" s="35" t="str">
        <f t="shared" si="6"/>
        <v>FITS BITCH</v>
      </c>
      <c r="AQ36" s="35" t="str">
        <f t="shared" si="6"/>
        <v>FITS BITCH</v>
      </c>
      <c r="AR36" s="35" t="str">
        <f t="shared" si="7"/>
        <v>FITS BITCH</v>
      </c>
      <c r="AS36" s="35" t="str">
        <f t="shared" si="8"/>
        <v>FITS BITCH</v>
      </c>
      <c r="AT36" s="20" t="str">
        <f t="shared" si="9"/>
        <v/>
      </c>
      <c r="AU36" s="20" t="str">
        <f t="shared" si="10"/>
        <v/>
      </c>
      <c r="AV36" s="20"/>
      <c r="AW36" s="20"/>
      <c r="AX36" s="20"/>
      <c r="AY36" s="35"/>
      <c r="AZ36" s="15" t="s">
        <v>149</v>
      </c>
      <c r="BA36" s="35"/>
      <c r="BB36" s="35"/>
      <c r="BC36" s="35"/>
      <c r="BD36" s="35"/>
      <c r="BE36" s="35"/>
      <c r="BF36" s="35"/>
      <c r="BG36" s="35"/>
      <c r="BH36" s="35"/>
      <c r="BI36" s="35"/>
      <c r="BJ36" s="35"/>
      <c r="BK36" s="79"/>
      <c r="BL36" s="148"/>
      <c r="BM36" s="148"/>
      <c r="BN36" s="148"/>
      <c r="CG36" s="1">
        <v>28</v>
      </c>
      <c r="CH36" s="1">
        <f ca="1"/>
        <v>104.2520305856185</v>
      </c>
      <c r="CL36" s="106">
        <v>43080</v>
      </c>
      <c r="CM36" s="107">
        <f t="shared" si="3"/>
        <v>114.54814578075411</v>
      </c>
    </row>
    <row r="37" spans="1:91" s="1" customFormat="1" ht="42">
      <c r="A37" s="148"/>
      <c r="B37" s="148"/>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26">
        <f>Data!A32</f>
        <v>42915</v>
      </c>
      <c r="AF37" s="35">
        <f>Data!B32</f>
        <v>102.4</v>
      </c>
      <c r="AG37" s="35">
        <f>Data!F32</f>
        <v>3799772</v>
      </c>
      <c r="AH37" s="35">
        <f>Data!C32</f>
        <v>102.54</v>
      </c>
      <c r="AI37" s="35">
        <f>Data!D32</f>
        <v>101.07</v>
      </c>
      <c r="AJ37" s="35">
        <f>Data!E32</f>
        <v>101.46</v>
      </c>
      <c r="AK37" s="35">
        <f>Data!F32</f>
        <v>3799772</v>
      </c>
      <c r="AL37" s="35">
        <f t="shared" si="0"/>
        <v>101.46</v>
      </c>
      <c r="AM37" s="35">
        <f t="shared" si="4"/>
        <v>-0.98561009264734878</v>
      </c>
      <c r="AN37" s="35">
        <f t="shared" si="11"/>
        <v>22.137880904433214</v>
      </c>
      <c r="AO37" s="35" t="str">
        <f t="shared" si="5"/>
        <v>no</v>
      </c>
      <c r="AP37" s="35" t="str">
        <f t="shared" si="6"/>
        <v>no</v>
      </c>
      <c r="AQ37" s="35" t="str">
        <f t="shared" si="6"/>
        <v>FITS BITCH</v>
      </c>
      <c r="AR37" s="35" t="str">
        <f t="shared" si="7"/>
        <v>FITS BITCH</v>
      </c>
      <c r="AS37" s="35" t="str">
        <f t="shared" si="8"/>
        <v>no</v>
      </c>
      <c r="AT37" s="20" t="str">
        <f t="shared" si="9"/>
        <v/>
      </c>
      <c r="AU37" s="20" t="str">
        <f t="shared" si="10"/>
        <v/>
      </c>
      <c r="AV37" s="20"/>
      <c r="AW37" s="20"/>
      <c r="AX37" s="20"/>
      <c r="AY37" s="35"/>
      <c r="AZ37" s="53" t="s">
        <v>150</v>
      </c>
      <c r="BA37" s="35"/>
      <c r="BB37" s="35"/>
      <c r="BC37" s="35"/>
      <c r="BD37" s="35"/>
      <c r="BE37" s="35"/>
      <c r="BF37" s="35"/>
      <c r="BG37" s="35"/>
      <c r="BH37" s="35"/>
      <c r="BI37" s="35"/>
      <c r="BJ37" s="35"/>
      <c r="BK37" s="79"/>
      <c r="BL37" s="148"/>
      <c r="BM37" s="148"/>
      <c r="BN37" s="148"/>
      <c r="CG37" s="1">
        <v>29</v>
      </c>
      <c r="CH37" s="1">
        <f ca="1"/>
        <v>109.31436056078267</v>
      </c>
      <c r="CL37" s="106">
        <v>43077</v>
      </c>
      <c r="CM37" s="107">
        <f t="shared" si="3"/>
        <v>114.38828421548578</v>
      </c>
    </row>
    <row r="38" spans="1:91" s="1" customFormat="1" ht="42">
      <c r="A38" s="148"/>
      <c r="B38" s="148"/>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26">
        <f>Data!A33</f>
        <v>42914</v>
      </c>
      <c r="AF38" s="35">
        <f>Data!B33</f>
        <v>101.8</v>
      </c>
      <c r="AG38" s="35">
        <f>Data!F33</f>
        <v>2934774</v>
      </c>
      <c r="AH38" s="35">
        <f>Data!C33</f>
        <v>102.84</v>
      </c>
      <c r="AI38" s="35">
        <f>Data!D33</f>
        <v>100.56</v>
      </c>
      <c r="AJ38" s="35">
        <f>Data!E33</f>
        <v>102.68</v>
      </c>
      <c r="AK38" s="35">
        <f>Data!F33</f>
        <v>2934774</v>
      </c>
      <c r="AL38" s="35">
        <f t="shared" si="0"/>
        <v>102.68</v>
      </c>
      <c r="AM38" s="35">
        <f t="shared" si="4"/>
        <v>1.1881573821581739</v>
      </c>
      <c r="AN38" s="35">
        <f t="shared" si="11"/>
        <v>-29.474092383263585</v>
      </c>
      <c r="AO38" s="35" t="str">
        <f t="shared" si="5"/>
        <v>FITS BITCH</v>
      </c>
      <c r="AP38" s="35" t="str">
        <f t="shared" si="6"/>
        <v>FITS BITCH</v>
      </c>
      <c r="AQ38" s="35" t="str">
        <f t="shared" si="6"/>
        <v>no</v>
      </c>
      <c r="AR38" s="35" t="str">
        <f t="shared" si="7"/>
        <v>no</v>
      </c>
      <c r="AS38" s="35" t="str">
        <f t="shared" si="8"/>
        <v>FITS BITCH</v>
      </c>
      <c r="AT38" s="20" t="str">
        <f t="shared" si="9"/>
        <v/>
      </c>
      <c r="AU38" s="20" t="str">
        <f t="shared" si="10"/>
        <v/>
      </c>
      <c r="AV38" s="20"/>
      <c r="AW38" s="20"/>
      <c r="AX38" s="20"/>
      <c r="AY38" s="35"/>
      <c r="AZ38" s="92" t="s">
        <v>151</v>
      </c>
      <c r="BA38" s="92">
        <f>SLOPE(AJ7:AJ1015,AE7:AE1015)</f>
        <v>1.8679767334282883E-2</v>
      </c>
      <c r="BB38" s="92"/>
      <c r="BC38" s="92"/>
      <c r="BD38" s="92"/>
      <c r="BE38" s="92"/>
      <c r="BF38" s="92"/>
      <c r="BG38" s="35"/>
      <c r="BH38" s="35"/>
      <c r="BI38" s="35"/>
      <c r="BJ38" s="35"/>
      <c r="BK38" s="79"/>
      <c r="BL38" s="148"/>
      <c r="BM38" s="148"/>
      <c r="BN38" s="148"/>
      <c r="CG38" s="1">
        <v>30</v>
      </c>
      <c r="CH38" s="1">
        <f ca="1"/>
        <v>109.39594331473693</v>
      </c>
      <c r="CL38" s="106">
        <v>43076</v>
      </c>
      <c r="CM38" s="107">
        <f t="shared" si="3"/>
        <v>114.33499702706331</v>
      </c>
    </row>
    <row r="39" spans="1:91" s="1" customFormat="1" ht="42">
      <c r="A39" s="148"/>
      <c r="B39" s="148"/>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c r="AB39" s="148"/>
      <c r="AC39" s="148"/>
      <c r="AD39" s="148"/>
      <c r="AE39" s="26">
        <f>Data!A34</f>
        <v>42913</v>
      </c>
      <c r="AF39" s="35">
        <f>Data!B34</f>
        <v>101.84</v>
      </c>
      <c r="AG39" s="35">
        <f>Data!F34</f>
        <v>2882168</v>
      </c>
      <c r="AH39" s="35">
        <f>Data!C34</f>
        <v>102.61</v>
      </c>
      <c r="AI39" s="35">
        <f>Data!D34</f>
        <v>101.49</v>
      </c>
      <c r="AJ39" s="35">
        <f>Data!E34</f>
        <v>101.5</v>
      </c>
      <c r="AK39" s="35">
        <f>Data!F34</f>
        <v>2882168</v>
      </c>
      <c r="AL39" s="35">
        <f t="shared" si="0"/>
        <v>101.5</v>
      </c>
      <c r="AM39" s="35">
        <f t="shared" si="4"/>
        <v>-1.1625615763546866</v>
      </c>
      <c r="AN39" s="35">
        <f t="shared" si="11"/>
        <v>-1.8252232347316326</v>
      </c>
      <c r="AO39" s="35" t="str">
        <f t="shared" si="5"/>
        <v>no</v>
      </c>
      <c r="AP39" s="35" t="str">
        <f t="shared" si="6"/>
        <v>FITS BITCH</v>
      </c>
      <c r="AQ39" s="35" t="str">
        <f t="shared" si="6"/>
        <v>FITS BITCH</v>
      </c>
      <c r="AR39" s="35" t="str">
        <f t="shared" si="7"/>
        <v>FITS BITCH</v>
      </c>
      <c r="AS39" s="35" t="str">
        <f t="shared" si="8"/>
        <v>no</v>
      </c>
      <c r="AT39" s="20" t="str">
        <f t="shared" si="9"/>
        <v/>
      </c>
      <c r="AU39" s="20" t="str">
        <f t="shared" si="10"/>
        <v/>
      </c>
      <c r="AV39" s="20"/>
      <c r="AW39" s="20"/>
      <c r="AX39" s="20"/>
      <c r="AY39" s="35"/>
      <c r="AZ39" s="92" t="s">
        <v>152</v>
      </c>
      <c r="BA39" s="92">
        <f>RSQ(AJ7:AJ1015,AE7:AE1015)</f>
        <v>0.76132965980154621</v>
      </c>
      <c r="BC39" s="92"/>
      <c r="BD39" s="92"/>
      <c r="BE39" s="92"/>
      <c r="BF39" s="92"/>
      <c r="BG39" s="35"/>
      <c r="BH39" s="35"/>
      <c r="BI39" s="35"/>
      <c r="BJ39" s="35"/>
      <c r="BK39" s="79"/>
      <c r="BL39" s="148"/>
      <c r="BM39" s="148"/>
      <c r="BN39" s="148"/>
      <c r="CG39" s="1">
        <v>31</v>
      </c>
      <c r="CH39" s="1">
        <f ca="1"/>
        <v>106.90446127571224</v>
      </c>
      <c r="CL39" s="106">
        <v>43075</v>
      </c>
      <c r="CM39" s="107">
        <f t="shared" si="3"/>
        <v>114.28170983864038</v>
      </c>
    </row>
    <row r="40" spans="1:91" s="1" customFormat="1" ht="42">
      <c r="A40" s="148"/>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26">
        <f>Data!A35</f>
        <v>42912</v>
      </c>
      <c r="AF40" s="35">
        <f>Data!B35</f>
        <v>101.66</v>
      </c>
      <c r="AG40" s="35">
        <f>Data!F35</f>
        <v>2412580</v>
      </c>
      <c r="AH40" s="35">
        <f>Data!C35</f>
        <v>102.28</v>
      </c>
      <c r="AI40" s="35">
        <f>Data!D35</f>
        <v>101.44</v>
      </c>
      <c r="AJ40" s="35">
        <f>Data!E35</f>
        <v>102.21</v>
      </c>
      <c r="AK40" s="35">
        <f>Data!F35</f>
        <v>2412580</v>
      </c>
      <c r="AL40" s="35">
        <f t="shared" si="0"/>
        <v>102.21</v>
      </c>
      <c r="AM40" s="35">
        <f t="shared" si="4"/>
        <v>0.69464827316308952</v>
      </c>
      <c r="AN40" s="35">
        <f t="shared" si="11"/>
        <v>-19.464142121712026</v>
      </c>
      <c r="AO40" s="35" t="str">
        <f t="shared" si="5"/>
        <v>FITS BITCH</v>
      </c>
      <c r="AP40" s="35" t="str">
        <f t="shared" si="6"/>
        <v>FITS BITCH</v>
      </c>
      <c r="AQ40" s="35" t="str">
        <f t="shared" si="6"/>
        <v>FITS BITCH</v>
      </c>
      <c r="AR40" s="35" t="str">
        <f t="shared" si="7"/>
        <v>no</v>
      </c>
      <c r="AS40" s="35" t="str">
        <f t="shared" si="8"/>
        <v>FITS BITCH</v>
      </c>
      <c r="AT40" s="20" t="str">
        <f t="shared" si="9"/>
        <v/>
      </c>
      <c r="AU40" s="20" t="str">
        <f t="shared" si="10"/>
        <v>BEARISH</v>
      </c>
      <c r="AV40" s="20"/>
      <c r="AW40" s="20"/>
      <c r="AX40" s="20"/>
      <c r="AY40" s="35"/>
      <c r="AZ40" s="92" t="s">
        <v>153</v>
      </c>
      <c r="BA40" s="92">
        <f>INTERCEPT(AJ7:AJ1015,AE7:AE1015)</f>
        <v>-702.54663787612742</v>
      </c>
      <c r="BB40" s="92"/>
      <c r="BC40" s="92"/>
      <c r="BE40" s="92"/>
      <c r="BF40" s="92"/>
      <c r="BG40" s="35"/>
      <c r="BH40" s="35"/>
      <c r="BI40" s="35"/>
      <c r="BJ40" s="35"/>
      <c r="BK40" s="79"/>
      <c r="BL40" s="148"/>
      <c r="BM40" s="148"/>
      <c r="BN40" s="148"/>
      <c r="CG40" s="1">
        <v>32</v>
      </c>
      <c r="CH40" s="1">
        <f ca="1"/>
        <v>107.18785985510893</v>
      </c>
      <c r="CL40" s="106">
        <v>43074</v>
      </c>
      <c r="CM40" s="107">
        <f t="shared" si="3"/>
        <v>114.22842265021745</v>
      </c>
    </row>
    <row r="41" spans="1:91" s="1" customFormat="1" ht="42">
      <c r="A41" s="148"/>
      <c r="B41" s="148"/>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c r="AB41" s="148"/>
      <c r="AC41" s="148"/>
      <c r="AD41" s="148"/>
      <c r="AE41" s="26">
        <f>Data!A36</f>
        <v>42909</v>
      </c>
      <c r="AF41" s="35">
        <f>Data!B36</f>
        <v>101.81</v>
      </c>
      <c r="AG41" s="35">
        <f>Data!F36</f>
        <v>2835440</v>
      </c>
      <c r="AH41" s="35">
        <f>Data!C36</f>
        <v>102.03</v>
      </c>
      <c r="AI41" s="35">
        <f>Data!D36</f>
        <v>101.28</v>
      </c>
      <c r="AJ41" s="35">
        <f>Data!E36</f>
        <v>101.41</v>
      </c>
      <c r="AK41" s="35">
        <f>Data!F36</f>
        <v>2835440</v>
      </c>
      <c r="AL41" s="35">
        <f t="shared" si="0"/>
        <v>101.41</v>
      </c>
      <c r="AM41" s="35">
        <f t="shared" si="4"/>
        <v>-0.78887683660388253</v>
      </c>
      <c r="AN41" s="35">
        <f t="shared" si="11"/>
        <v>14.913382050052196</v>
      </c>
      <c r="AO41" s="35" t="str">
        <f t="shared" si="5"/>
        <v>no</v>
      </c>
      <c r="AP41" s="35" t="str">
        <f t="shared" si="6"/>
        <v>no</v>
      </c>
      <c r="AQ41" s="35" t="str">
        <f t="shared" si="6"/>
        <v>no</v>
      </c>
      <c r="AR41" s="35" t="str">
        <f t="shared" si="7"/>
        <v>FITS BITCH</v>
      </c>
      <c r="AS41" s="35" t="str">
        <f t="shared" si="8"/>
        <v>no</v>
      </c>
      <c r="AT41" s="20" t="str">
        <f t="shared" si="9"/>
        <v/>
      </c>
      <c r="AU41" s="20" t="str">
        <f t="shared" si="10"/>
        <v/>
      </c>
      <c r="AV41" s="20"/>
      <c r="AW41" s="20"/>
      <c r="AX41" s="20"/>
      <c r="AY41" s="35"/>
      <c r="BK41" s="80"/>
      <c r="BL41" s="148"/>
      <c r="BM41" s="148"/>
      <c r="BN41" s="148"/>
      <c r="CG41" s="1">
        <v>33</v>
      </c>
      <c r="CH41" s="1">
        <f ca="1"/>
        <v>118.88902829483611</v>
      </c>
      <c r="CL41" s="106">
        <v>43073</v>
      </c>
      <c r="CM41" s="107">
        <f t="shared" si="3"/>
        <v>114.17513546179498</v>
      </c>
    </row>
    <row r="42" spans="1:91" s="1" customFormat="1" ht="42">
      <c r="A42" s="148"/>
      <c r="B42" s="148"/>
      <c r="C42" s="148"/>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26">
        <f>Data!A37</f>
        <v>42908</v>
      </c>
      <c r="AF42" s="35">
        <f>Data!B37</f>
        <v>102.69</v>
      </c>
      <c r="AG42" s="35">
        <f>Data!F37</f>
        <v>2326444</v>
      </c>
      <c r="AH42" s="35">
        <f>Data!C37</f>
        <v>102.69</v>
      </c>
      <c r="AI42" s="35">
        <f>Data!D37</f>
        <v>101.37</v>
      </c>
      <c r="AJ42" s="35">
        <f>Data!E37</f>
        <v>101.91</v>
      </c>
      <c r="AK42" s="35">
        <f>Data!F37</f>
        <v>2326444</v>
      </c>
      <c r="AL42" s="35">
        <f t="shared" si="0"/>
        <v>101.91</v>
      </c>
      <c r="AM42" s="35">
        <f t="shared" si="4"/>
        <v>0.49062898636051416</v>
      </c>
      <c r="AN42" s="35">
        <f t="shared" si="11"/>
        <v>-21.87871274786756</v>
      </c>
      <c r="AO42" s="35" t="str">
        <f t="shared" si="5"/>
        <v>FITS BITCH</v>
      </c>
      <c r="AP42" s="35" t="str">
        <f t="shared" si="6"/>
        <v>no</v>
      </c>
      <c r="AQ42" s="35" t="str">
        <f t="shared" si="6"/>
        <v>no</v>
      </c>
      <c r="AR42" s="35" t="str">
        <f t="shared" si="7"/>
        <v>FITS BITCH</v>
      </c>
      <c r="AS42" s="35" t="str">
        <f t="shared" si="8"/>
        <v>no</v>
      </c>
      <c r="AT42" s="20" t="str">
        <f t="shared" si="9"/>
        <v/>
      </c>
      <c r="AU42" s="20" t="str">
        <f t="shared" si="10"/>
        <v/>
      </c>
      <c r="AV42" s="20"/>
      <c r="AW42" s="20"/>
      <c r="AX42" s="20"/>
      <c r="AY42" s="35"/>
      <c r="BB42" s="35"/>
      <c r="BC42" s="35"/>
      <c r="BD42" s="35" t="s">
        <v>94</v>
      </c>
      <c r="BE42" s="35" t="s">
        <v>95</v>
      </c>
      <c r="BF42" s="35" t="s">
        <v>96</v>
      </c>
      <c r="BK42" s="80"/>
      <c r="BL42" s="148"/>
      <c r="BM42" s="148"/>
      <c r="BN42" s="148"/>
      <c r="CG42" s="1">
        <v>34</v>
      </c>
      <c r="CH42" s="1">
        <f ca="1"/>
        <v>102.21753689420865</v>
      </c>
      <c r="CL42" s="106">
        <v>43070</v>
      </c>
      <c r="CM42" s="107">
        <f t="shared" si="3"/>
        <v>114.01527389652665</v>
      </c>
    </row>
    <row r="43" spans="1:91" s="1" customFormat="1" ht="42">
      <c r="A43" s="148"/>
      <c r="B43" s="148"/>
      <c r="C43" s="148"/>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26">
        <f>Data!A38</f>
        <v>42907</v>
      </c>
      <c r="AF43" s="35">
        <f>Data!B38</f>
        <v>103.74</v>
      </c>
      <c r="AG43" s="35">
        <f>Data!F38</f>
        <v>3087771</v>
      </c>
      <c r="AH43" s="35">
        <f>Data!C38</f>
        <v>103.74</v>
      </c>
      <c r="AI43" s="35">
        <f>Data!D38</f>
        <v>102.05</v>
      </c>
      <c r="AJ43" s="35">
        <f>Data!E38</f>
        <v>102.5</v>
      </c>
      <c r="AK43" s="35">
        <f>Data!F38</f>
        <v>3087771</v>
      </c>
      <c r="AL43" s="35">
        <f t="shared" si="0"/>
        <v>102.5</v>
      </c>
      <c r="AM43" s="35">
        <f t="shared" si="4"/>
        <v>0.57560975609756426</v>
      </c>
      <c r="AN43" s="35">
        <f t="shared" si="11"/>
        <v>24.656200216920233</v>
      </c>
      <c r="AO43" s="35" t="str">
        <f t="shared" si="5"/>
        <v>no</v>
      </c>
      <c r="AP43" s="35" t="str">
        <f t="shared" si="6"/>
        <v>FITS BITCH</v>
      </c>
      <c r="AQ43" s="35" t="str">
        <f t="shared" si="6"/>
        <v>no</v>
      </c>
      <c r="AR43" s="35" t="str">
        <f t="shared" si="7"/>
        <v>FITS BITCH</v>
      </c>
      <c r="AS43" s="35" t="str">
        <f t="shared" si="8"/>
        <v>FITS BITCH</v>
      </c>
      <c r="AT43" s="20" t="str">
        <f t="shared" si="9"/>
        <v/>
      </c>
      <c r="AU43" s="20" t="str">
        <f t="shared" si="10"/>
        <v/>
      </c>
      <c r="AV43" s="20"/>
      <c r="AW43" s="20"/>
      <c r="AX43" s="20"/>
      <c r="AY43" s="35"/>
      <c r="BB43" s="35" t="s">
        <v>102</v>
      </c>
      <c r="BC43" s="63">
        <f>MIN(AJ7:AJ257)</f>
        <v>86.09</v>
      </c>
      <c r="BD43" s="35" t="s">
        <v>103</v>
      </c>
      <c r="BE43" s="94">
        <f>BC45-3*BC47</f>
        <v>77.756839599641253</v>
      </c>
      <c r="BF43" s="35">
        <f t="array" ref="BF43:BF50">FREQUENCY(AJ7:AJ257,BE43:BE50)</f>
        <v>0</v>
      </c>
      <c r="BK43" s="80"/>
      <c r="BL43" s="148"/>
      <c r="BM43" s="148"/>
      <c r="BN43" s="148"/>
      <c r="CG43" s="1">
        <v>35</v>
      </c>
      <c r="CH43" s="1">
        <f ca="1"/>
        <v>107.70329924642887</v>
      </c>
      <c r="CL43" s="106">
        <v>43069</v>
      </c>
      <c r="CM43" s="107">
        <f t="shared" si="3"/>
        <v>113.96198670810372</v>
      </c>
    </row>
    <row r="44" spans="1:91" s="1" customFormat="1" ht="42">
      <c r="A44" s="148"/>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26">
        <f>Data!A39</f>
        <v>42906</v>
      </c>
      <c r="AF44" s="35">
        <f>Data!B39</f>
        <v>102.52</v>
      </c>
      <c r="AG44" s="35">
        <f>Data!F39</f>
        <v>3590273</v>
      </c>
      <c r="AH44" s="35">
        <f>Data!C39</f>
        <v>103.39</v>
      </c>
      <c r="AI44" s="35">
        <f>Data!D39</f>
        <v>102.44</v>
      </c>
      <c r="AJ44" s="35">
        <f>Data!E39</f>
        <v>102.48</v>
      </c>
      <c r="AK44" s="35">
        <f>Data!F39</f>
        <v>3590273</v>
      </c>
      <c r="AL44" s="35">
        <f t="shared" si="0"/>
        <v>102.48</v>
      </c>
      <c r="AM44" s="35">
        <f t="shared" si="4"/>
        <v>-1.9516003122556615E-2</v>
      </c>
      <c r="AN44" s="35">
        <f t="shared" si="11"/>
        <v>13.996205859554411</v>
      </c>
      <c r="AO44" s="35" t="str">
        <f t="shared" si="5"/>
        <v>no</v>
      </c>
      <c r="AP44" s="35" t="str">
        <f t="shared" si="6"/>
        <v>no</v>
      </c>
      <c r="AQ44" s="35" t="str">
        <f t="shared" si="6"/>
        <v>no</v>
      </c>
      <c r="AR44" s="35" t="str">
        <f t="shared" si="7"/>
        <v>FITS BITCH</v>
      </c>
      <c r="AS44" s="35" t="str">
        <f t="shared" si="8"/>
        <v>no</v>
      </c>
      <c r="AT44" s="20" t="str">
        <f t="shared" si="9"/>
        <v/>
      </c>
      <c r="AU44" s="20" t="str">
        <f t="shared" si="10"/>
        <v/>
      </c>
      <c r="AV44" s="20"/>
      <c r="AW44" s="20"/>
      <c r="AX44" s="20"/>
      <c r="AY44" s="35"/>
      <c r="AZ44" s="35"/>
      <c r="BA44" s="35"/>
      <c r="BB44" s="35" t="s">
        <v>108</v>
      </c>
      <c r="BC44" s="63">
        <f>MAX(AJ7:AJ257)</f>
        <v>118.91</v>
      </c>
      <c r="BD44" s="35" t="s">
        <v>109</v>
      </c>
      <c r="BE44" s="94">
        <f>BC45-2*BC47</f>
        <v>84.649924938937488</v>
      </c>
      <c r="BF44" s="35">
        <v>0</v>
      </c>
      <c r="BG44" s="35"/>
      <c r="BH44" s="35"/>
      <c r="BI44" s="35"/>
      <c r="BJ44" s="35"/>
      <c r="BK44" s="79"/>
      <c r="BL44" s="148"/>
      <c r="BM44" s="148"/>
      <c r="BN44" s="148"/>
      <c r="CG44" s="1">
        <v>36</v>
      </c>
      <c r="CH44" s="1">
        <f ca="1"/>
        <v>107.39144347170044</v>
      </c>
      <c r="CL44" s="106">
        <v>43068</v>
      </c>
      <c r="CM44" s="107">
        <f t="shared" si="3"/>
        <v>113.90869951968079</v>
      </c>
    </row>
    <row r="45" spans="1:91" s="1" customFormat="1" ht="42">
      <c r="A45" s="148"/>
      <c r="B45" s="148"/>
      <c r="C45" s="148"/>
      <c r="D45" s="148"/>
      <c r="E45" s="148"/>
      <c r="F45" s="148"/>
      <c r="G45" s="148"/>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26">
        <f>Data!A40</f>
        <v>42905</v>
      </c>
      <c r="AF45" s="35">
        <f>Data!B40</f>
        <v>103.73</v>
      </c>
      <c r="AG45" s="35">
        <f>Data!F40</f>
        <v>2019721</v>
      </c>
      <c r="AH45" s="35">
        <f>Data!C40</f>
        <v>104.16</v>
      </c>
      <c r="AI45" s="35">
        <f>Data!D40</f>
        <v>103.26</v>
      </c>
      <c r="AJ45" s="35">
        <f>Data!E40</f>
        <v>104.11</v>
      </c>
      <c r="AK45" s="35">
        <f>Data!F40</f>
        <v>2019721</v>
      </c>
      <c r="AL45" s="35">
        <f t="shared" si="0"/>
        <v>104.11</v>
      </c>
      <c r="AM45" s="35">
        <f t="shared" si="4"/>
        <v>1.5656517145327016</v>
      </c>
      <c r="AN45" s="35">
        <f t="shared" si="11"/>
        <v>-77.760839244628343</v>
      </c>
      <c r="AO45" s="35" t="str">
        <f t="shared" si="5"/>
        <v>FITS BITCH</v>
      </c>
      <c r="AP45" s="35" t="str">
        <f t="shared" si="6"/>
        <v>FITS BITCH</v>
      </c>
      <c r="AQ45" s="35" t="str">
        <f t="shared" si="6"/>
        <v>FITS BITCH</v>
      </c>
      <c r="AR45" s="35" t="str">
        <f t="shared" si="7"/>
        <v>no</v>
      </c>
      <c r="AS45" s="35" t="str">
        <f t="shared" si="8"/>
        <v>FITS BITCH</v>
      </c>
      <c r="AT45" s="20" t="str">
        <f t="shared" si="9"/>
        <v/>
      </c>
      <c r="AU45" s="20" t="str">
        <f t="shared" si="10"/>
        <v>BEARISH</v>
      </c>
      <c r="AV45" s="20"/>
      <c r="AW45" s="20"/>
      <c r="AX45" s="20"/>
      <c r="AY45" s="35"/>
      <c r="BB45" s="93" t="s">
        <v>114</v>
      </c>
      <c r="BC45" s="63">
        <f>AVERAGE(AJ7:AJ257)</f>
        <v>98.436095617529958</v>
      </c>
      <c r="BD45" s="35" t="s">
        <v>115</v>
      </c>
      <c r="BE45" s="94">
        <f>BC45-BC47</f>
        <v>91.543010278233723</v>
      </c>
      <c r="BF45" s="35">
        <v>64</v>
      </c>
      <c r="BK45" s="80"/>
      <c r="BL45" s="148"/>
      <c r="BM45" s="148"/>
      <c r="BN45" s="148"/>
      <c r="CG45" s="1">
        <v>37</v>
      </c>
      <c r="CH45" s="1">
        <f ca="1"/>
        <v>112.74914967327318</v>
      </c>
      <c r="CL45" s="106">
        <v>43067</v>
      </c>
      <c r="CM45" s="107">
        <f t="shared" si="3"/>
        <v>113.85541233125832</v>
      </c>
    </row>
    <row r="46" spans="1:91" s="1" customFormat="1" ht="42">
      <c r="A46" s="148"/>
      <c r="B46" s="148"/>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8"/>
      <c r="AC46" s="148"/>
      <c r="AD46" s="148"/>
      <c r="AE46" s="26">
        <f>Data!A41</f>
        <v>42902</v>
      </c>
      <c r="AF46" s="35">
        <f>Data!B41</f>
        <v>101.65</v>
      </c>
      <c r="AG46" s="35">
        <f>Data!F41</f>
        <v>3572702</v>
      </c>
      <c r="AH46" s="35">
        <f>Data!C41</f>
        <v>103.72</v>
      </c>
      <c r="AI46" s="35">
        <f>Data!D41</f>
        <v>101.65</v>
      </c>
      <c r="AJ46" s="35">
        <f>Data!E41</f>
        <v>103.49</v>
      </c>
      <c r="AK46" s="35">
        <f>Data!F41</f>
        <v>3572702</v>
      </c>
      <c r="AL46" s="35">
        <f t="shared" si="0"/>
        <v>103.49</v>
      </c>
      <c r="AM46" s="35">
        <f t="shared" si="4"/>
        <v>-0.59909169968113307</v>
      </c>
      <c r="AN46" s="35">
        <f t="shared" si="11"/>
        <v>43.467969060951631</v>
      </c>
      <c r="AO46" s="35" t="str">
        <f t="shared" si="5"/>
        <v>no</v>
      </c>
      <c r="AP46" s="35" t="str">
        <f t="shared" si="6"/>
        <v>FITS BITCH</v>
      </c>
      <c r="AQ46" s="35" t="str">
        <f t="shared" si="6"/>
        <v>FITS BITCH</v>
      </c>
      <c r="AR46" s="35" t="str">
        <f t="shared" si="7"/>
        <v>no</v>
      </c>
      <c r="AS46" s="35" t="str">
        <f t="shared" si="8"/>
        <v>FITS BITCH</v>
      </c>
      <c r="AT46" s="20" t="str">
        <f t="shared" si="9"/>
        <v/>
      </c>
      <c r="AU46" s="20" t="str">
        <f t="shared" si="10"/>
        <v/>
      </c>
      <c r="AV46" s="20"/>
      <c r="AW46" s="20"/>
      <c r="AX46" s="20"/>
      <c r="AY46" s="35"/>
      <c r="BB46" s="93" t="s">
        <v>119</v>
      </c>
      <c r="BC46" s="63">
        <f>VAR(AJ7:AJ257)</f>
        <v>47.514625494820706</v>
      </c>
      <c r="BD46" s="35" t="s">
        <v>120</v>
      </c>
      <c r="BE46" s="94">
        <f>BC45</f>
        <v>98.436095617529958</v>
      </c>
      <c r="BF46" s="35">
        <v>39</v>
      </c>
      <c r="BK46" s="80"/>
      <c r="BL46" s="148"/>
      <c r="BM46" s="148"/>
      <c r="BN46" s="148"/>
      <c r="CG46" s="1">
        <v>38</v>
      </c>
      <c r="CH46" s="1">
        <f ca="1"/>
        <v>105.94677703303111</v>
      </c>
      <c r="CL46" s="106">
        <v>43066</v>
      </c>
      <c r="CM46" s="107">
        <f t="shared" si="3"/>
        <v>113.80212514283539</v>
      </c>
    </row>
    <row r="47" spans="1:91" s="1" customFormat="1" ht="42">
      <c r="A47" s="148"/>
      <c r="B47" s="148"/>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c r="AB47" s="148"/>
      <c r="AC47" s="148"/>
      <c r="AD47" s="148"/>
      <c r="AE47" s="26">
        <f>Data!A42</f>
        <v>42901</v>
      </c>
      <c r="AF47" s="35">
        <f>Data!B42</f>
        <v>100.88</v>
      </c>
      <c r="AG47" s="35">
        <f>Data!F42</f>
        <v>1618889</v>
      </c>
      <c r="AH47" s="35">
        <f>Data!C42</f>
        <v>102.3</v>
      </c>
      <c r="AI47" s="35">
        <f>Data!D42</f>
        <v>100.6</v>
      </c>
      <c r="AJ47" s="35">
        <f>Data!E42</f>
        <v>102.17</v>
      </c>
      <c r="AK47" s="35">
        <f>Data!F42</f>
        <v>1618889</v>
      </c>
      <c r="AL47" s="35">
        <f t="shared" si="0"/>
        <v>102.17</v>
      </c>
      <c r="AM47" s="35">
        <f t="shared" si="4"/>
        <v>-1.2919643731036441</v>
      </c>
      <c r="AN47" s="35">
        <f t="shared" si="11"/>
        <v>-120.688509218359</v>
      </c>
      <c r="AO47" s="35" t="str">
        <f t="shared" si="5"/>
        <v>FITS BITCH</v>
      </c>
      <c r="AP47" s="35" t="str">
        <f t="shared" si="6"/>
        <v>no</v>
      </c>
      <c r="AQ47" s="35" t="str">
        <f t="shared" si="6"/>
        <v>no</v>
      </c>
      <c r="AR47" s="35" t="str">
        <f t="shared" si="7"/>
        <v>FITS BITCH</v>
      </c>
      <c r="AS47" s="35" t="str">
        <f t="shared" si="8"/>
        <v>FITS BITCH</v>
      </c>
      <c r="AT47" s="20" t="str">
        <f t="shared" si="9"/>
        <v/>
      </c>
      <c r="AU47" s="20" t="str">
        <f t="shared" si="10"/>
        <v/>
      </c>
      <c r="AV47" s="20"/>
      <c r="AW47" s="20"/>
      <c r="AX47" s="20"/>
      <c r="AY47" s="35"/>
      <c r="BB47" s="93" t="s">
        <v>123</v>
      </c>
      <c r="BC47" s="63">
        <f>STDEV(AJ7:AJ257)</f>
        <v>6.8930853392962357</v>
      </c>
      <c r="BD47" s="35" t="s">
        <v>124</v>
      </c>
      <c r="BE47" s="94">
        <f>BC45+BC47</f>
        <v>105.32918095682619</v>
      </c>
      <c r="BF47" s="35">
        <v>135</v>
      </c>
      <c r="BK47" s="80"/>
      <c r="BL47" s="148"/>
      <c r="BM47" s="148"/>
      <c r="BN47" s="148"/>
      <c r="CG47" s="1">
        <v>39</v>
      </c>
      <c r="CH47" s="1">
        <f ca="1"/>
        <v>113.03576391051818</v>
      </c>
      <c r="CL47" s="106">
        <v>43063</v>
      </c>
      <c r="CM47" s="107">
        <f t="shared" si="3"/>
        <v>113.64226357756706</v>
      </c>
    </row>
    <row r="48" spans="1:91" s="1" customFormat="1" ht="42">
      <c r="A48" s="148"/>
      <c r="B48" s="148"/>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26">
        <f>Data!A43</f>
        <v>42900</v>
      </c>
      <c r="AF48" s="35">
        <f>Data!B43</f>
        <v>102.19</v>
      </c>
      <c r="AG48" s="35">
        <f>Data!F43</f>
        <v>2679894</v>
      </c>
      <c r="AH48" s="35">
        <f>Data!C43</f>
        <v>102.31</v>
      </c>
      <c r="AI48" s="35">
        <f>Data!D43</f>
        <v>100.83</v>
      </c>
      <c r="AJ48" s="35">
        <f>Data!E43</f>
        <v>101.25</v>
      </c>
      <c r="AK48" s="35">
        <f>Data!F43</f>
        <v>2679894</v>
      </c>
      <c r="AL48" s="35">
        <f t="shared" si="0"/>
        <v>101.25</v>
      </c>
      <c r="AM48" s="35">
        <f t="shared" si="4"/>
        <v>-0.90864197530864366</v>
      </c>
      <c r="AN48" s="35">
        <f t="shared" si="11"/>
        <v>39.591304730709496</v>
      </c>
      <c r="AO48" s="35" t="str">
        <f t="shared" si="5"/>
        <v>no</v>
      </c>
      <c r="AP48" s="35" t="str">
        <f t="shared" si="6"/>
        <v>FITS BITCH</v>
      </c>
      <c r="AQ48" s="35" t="str">
        <f t="shared" si="6"/>
        <v>no</v>
      </c>
      <c r="AR48" s="35" t="str">
        <f t="shared" si="7"/>
        <v>FITS BITCH</v>
      </c>
      <c r="AS48" s="35" t="str">
        <f t="shared" si="8"/>
        <v>no</v>
      </c>
      <c r="AT48" s="20" t="str">
        <f t="shared" si="9"/>
        <v/>
      </c>
      <c r="AU48" s="20" t="str">
        <f t="shared" si="10"/>
        <v/>
      </c>
      <c r="AV48" s="20"/>
      <c r="AW48" s="20"/>
      <c r="AX48" s="20"/>
      <c r="AY48" s="35"/>
      <c r="BB48" s="35"/>
      <c r="BC48" s="35"/>
      <c r="BD48" s="35" t="s">
        <v>127</v>
      </c>
      <c r="BE48" s="94">
        <f>BC45+2*BC47</f>
        <v>112.22226629612243</v>
      </c>
      <c r="BF48" s="35">
        <v>8</v>
      </c>
      <c r="BK48" s="80"/>
      <c r="BL48" s="148"/>
      <c r="BM48" s="148"/>
      <c r="BN48" s="148"/>
      <c r="CG48" s="1">
        <v>40</v>
      </c>
      <c r="CH48" s="1">
        <f ca="1"/>
        <v>108.16022792541919</v>
      </c>
      <c r="CL48" s="106">
        <v>43062</v>
      </c>
      <c r="CM48" s="107">
        <f t="shared" si="3"/>
        <v>113.58897638914414</v>
      </c>
    </row>
    <row r="49" spans="1:91" s="1" customFormat="1" ht="42">
      <c r="A49" s="148"/>
      <c r="B49" s="148"/>
      <c r="C49" s="148"/>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26">
        <f>Data!A44</f>
        <v>42899</v>
      </c>
      <c r="AF49" s="35">
        <f>Data!B44</f>
        <v>101.61</v>
      </c>
      <c r="AG49" s="35">
        <f>Data!F44</f>
        <v>2358256</v>
      </c>
      <c r="AH49" s="35">
        <f>Data!C44</f>
        <v>102.08</v>
      </c>
      <c r="AI49" s="35">
        <f>Data!D44</f>
        <v>101.15</v>
      </c>
      <c r="AJ49" s="35">
        <f>Data!E44</f>
        <v>101.87</v>
      </c>
      <c r="AK49" s="35">
        <f>Data!F44</f>
        <v>2358256</v>
      </c>
      <c r="AL49" s="35">
        <f t="shared" si="0"/>
        <v>101.87</v>
      </c>
      <c r="AM49" s="35">
        <f t="shared" si="4"/>
        <v>0.60861882791793909</v>
      </c>
      <c r="AN49" s="35">
        <f t="shared" si="11"/>
        <v>-13.638807661254756</v>
      </c>
      <c r="AO49" s="35" t="str">
        <f t="shared" si="5"/>
        <v>FITS BITCH</v>
      </c>
      <c r="AP49" s="35" t="str">
        <f t="shared" si="6"/>
        <v>FITS BITCH</v>
      </c>
      <c r="AQ49" s="35" t="str">
        <f t="shared" si="6"/>
        <v>FITS BITCH</v>
      </c>
      <c r="AR49" s="35" t="str">
        <f t="shared" si="7"/>
        <v>no</v>
      </c>
      <c r="AS49" s="35" t="str">
        <f t="shared" si="8"/>
        <v>FITS BITCH</v>
      </c>
      <c r="AT49" s="20" t="str">
        <f t="shared" si="9"/>
        <v/>
      </c>
      <c r="AU49" s="20" t="str">
        <f t="shared" si="10"/>
        <v>BEARISH</v>
      </c>
      <c r="AV49" s="20"/>
      <c r="AW49" s="20"/>
      <c r="AX49" s="20"/>
      <c r="AY49" s="35"/>
      <c r="BB49" s="35"/>
      <c r="BC49" s="35"/>
      <c r="BD49" s="35" t="s">
        <v>129</v>
      </c>
      <c r="BE49" s="94">
        <f>BC45+3*BC47</f>
        <v>119.11535163541866</v>
      </c>
      <c r="BF49" s="35">
        <v>5</v>
      </c>
      <c r="BK49" s="80"/>
      <c r="BL49" s="148"/>
      <c r="BM49" s="148"/>
      <c r="BN49" s="148"/>
      <c r="CG49" s="1">
        <v>41</v>
      </c>
      <c r="CH49" s="1">
        <f ca="1"/>
        <v>103.49627243196598</v>
      </c>
      <c r="CL49" s="106">
        <v>43061</v>
      </c>
      <c r="CM49" s="107">
        <f t="shared" si="3"/>
        <v>113.53568920072166</v>
      </c>
    </row>
    <row r="50" spans="1:91" s="1" customFormat="1" ht="42">
      <c r="A50" s="148"/>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c r="AB50" s="148"/>
      <c r="AC50" s="148"/>
      <c r="AD50" s="148"/>
      <c r="AE50" s="26">
        <f>Data!A45</f>
        <v>42898</v>
      </c>
      <c r="AF50" s="35">
        <f>Data!B45</f>
        <v>100.37</v>
      </c>
      <c r="AG50" s="35">
        <f>Data!F45</f>
        <v>2030061</v>
      </c>
      <c r="AH50" s="35">
        <f>Data!C45</f>
        <v>101.56</v>
      </c>
      <c r="AI50" s="35">
        <f>Data!D45</f>
        <v>100.02</v>
      </c>
      <c r="AJ50" s="35">
        <f>Data!E45</f>
        <v>101.54</v>
      </c>
      <c r="AK50" s="35">
        <f>Data!F45</f>
        <v>2030061</v>
      </c>
      <c r="AL50" s="35">
        <f t="shared" si="0"/>
        <v>101.54</v>
      </c>
      <c r="AM50" s="35">
        <f t="shared" si="4"/>
        <v>-0.32499507583218262</v>
      </c>
      <c r="AN50" s="35">
        <f t="shared" si="11"/>
        <v>-16.166755580251035</v>
      </c>
      <c r="AO50" s="35" t="str">
        <f t="shared" si="5"/>
        <v>FITS BITCH</v>
      </c>
      <c r="AP50" s="35" t="str">
        <f t="shared" si="6"/>
        <v>FITS BITCH</v>
      </c>
      <c r="AQ50" s="35" t="str">
        <f t="shared" si="6"/>
        <v>FITS BITCH</v>
      </c>
      <c r="AR50" s="35" t="str">
        <f t="shared" si="7"/>
        <v>no</v>
      </c>
      <c r="AS50" s="35" t="str">
        <f t="shared" si="8"/>
        <v>FITS BITCH</v>
      </c>
      <c r="AT50" s="20" t="str">
        <f t="shared" si="9"/>
        <v/>
      </c>
      <c r="AU50" s="20" t="str">
        <f t="shared" si="10"/>
        <v>BEARISH</v>
      </c>
      <c r="AV50" s="20"/>
      <c r="AW50" s="20"/>
      <c r="AX50" s="20"/>
      <c r="AY50" s="35"/>
      <c r="BB50" s="35"/>
      <c r="BC50" s="35"/>
      <c r="BD50" s="35" t="s">
        <v>132</v>
      </c>
      <c r="BE50" s="35"/>
      <c r="BF50" s="35">
        <v>0</v>
      </c>
      <c r="BK50" s="80"/>
      <c r="BL50" s="148"/>
      <c r="BM50" s="148"/>
      <c r="BN50" s="148"/>
      <c r="CG50" s="1">
        <v>42</v>
      </c>
      <c r="CH50" s="1">
        <f ca="1"/>
        <v>113.36217253000721</v>
      </c>
      <c r="CL50" s="106">
        <v>43060</v>
      </c>
      <c r="CM50" s="107">
        <f t="shared" si="3"/>
        <v>113.48240201229873</v>
      </c>
    </row>
    <row r="51" spans="1:91" s="1" customFormat="1" ht="42">
      <c r="A51" s="148"/>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26">
        <f>Data!A46</f>
        <v>42895</v>
      </c>
      <c r="AF51" s="35">
        <f>Data!B46</f>
        <v>100.86</v>
      </c>
      <c r="AG51" s="35">
        <f>Data!F46</f>
        <v>4273958</v>
      </c>
      <c r="AH51" s="35">
        <f>Data!C46</f>
        <v>101.26</v>
      </c>
      <c r="AI51" s="35">
        <f>Data!D46</f>
        <v>99.85</v>
      </c>
      <c r="AJ51" s="35">
        <f>Data!E46</f>
        <v>100.11</v>
      </c>
      <c r="AK51" s="35">
        <f>Data!F46</f>
        <v>4273958</v>
      </c>
      <c r="AL51" s="35">
        <f t="shared" si="0"/>
        <v>100.11</v>
      </c>
      <c r="AM51" s="35">
        <f t="shared" si="4"/>
        <v>-1.4284287283987682</v>
      </c>
      <c r="AN51" s="35">
        <f t="shared" si="11"/>
        <v>52.501615598468675</v>
      </c>
      <c r="AO51" s="35" t="str">
        <f t="shared" si="5"/>
        <v>no</v>
      </c>
      <c r="AP51" s="35" t="b">
        <f t="shared" si="6"/>
        <v>0</v>
      </c>
      <c r="AQ51" s="35" t="str">
        <f t="shared" si="6"/>
        <v>no</v>
      </c>
      <c r="AR51" s="35" t="str">
        <f t="shared" si="7"/>
        <v>FITS BITCH</v>
      </c>
      <c r="AS51" s="35" t="str">
        <f t="shared" si="8"/>
        <v>no</v>
      </c>
      <c r="AT51" s="20" t="str">
        <f t="shared" si="9"/>
        <v/>
      </c>
      <c r="AU51" s="20" t="str">
        <f t="shared" si="10"/>
        <v/>
      </c>
      <c r="AV51" s="20"/>
      <c r="AW51" s="20"/>
      <c r="AX51" s="20"/>
      <c r="AY51" s="35"/>
      <c r="BK51" s="80"/>
      <c r="BL51" s="148"/>
      <c r="BM51" s="148"/>
      <c r="BN51" s="148"/>
      <c r="CG51" s="1">
        <v>43</v>
      </c>
      <c r="CH51" s="1">
        <f ca="1"/>
        <v>112.87712171158149</v>
      </c>
      <c r="CL51" s="106">
        <v>43059</v>
      </c>
      <c r="CM51" s="107">
        <f t="shared" si="3"/>
        <v>113.42911482387581</v>
      </c>
    </row>
    <row r="52" spans="1:91" s="1" customFormat="1" ht="42.95" thickBot="1">
      <c r="A52" s="148"/>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c r="AB52" s="148"/>
      <c r="AC52" s="148"/>
      <c r="AD52" s="148"/>
      <c r="AE52" s="26">
        <f>Data!A47</f>
        <v>42894</v>
      </c>
      <c r="AF52" s="35">
        <f>Data!B47</f>
        <v>101.11</v>
      </c>
      <c r="AG52" s="35">
        <f>Data!F47</f>
        <v>2613062</v>
      </c>
      <c r="AH52" s="35">
        <f>Data!C47</f>
        <v>101.26</v>
      </c>
      <c r="AI52" s="35">
        <f>Data!D47</f>
        <v>100.44</v>
      </c>
      <c r="AJ52" s="35">
        <f>Data!E47</f>
        <v>100.77</v>
      </c>
      <c r="AK52" s="35">
        <f>Data!F47</f>
        <v>2613062</v>
      </c>
      <c r="AL52" s="35">
        <f t="shared" si="0"/>
        <v>100.77</v>
      </c>
      <c r="AM52" s="35">
        <f t="shared" si="4"/>
        <v>0.65495683239058911</v>
      </c>
      <c r="AN52" s="35">
        <f t="shared" si="11"/>
        <v>-63.561293226107921</v>
      </c>
      <c r="AO52" s="35" t="str">
        <f t="shared" si="5"/>
        <v>FITS BITCH</v>
      </c>
      <c r="AP52" s="35" t="str">
        <f t="shared" si="6"/>
        <v>no</v>
      </c>
      <c r="AQ52" s="35" t="str">
        <f t="shared" si="6"/>
        <v>no</v>
      </c>
      <c r="AR52" s="35" t="str">
        <f t="shared" si="7"/>
        <v>FITS BITCH</v>
      </c>
      <c r="AS52" s="35" t="str">
        <f t="shared" si="8"/>
        <v>no</v>
      </c>
      <c r="AT52" s="20" t="str">
        <f t="shared" si="9"/>
        <v/>
      </c>
      <c r="AU52" s="20" t="str">
        <f t="shared" si="10"/>
        <v/>
      </c>
      <c r="AV52" s="20"/>
      <c r="AW52" s="20"/>
      <c r="AX52" s="20"/>
      <c r="AY52" s="35"/>
      <c r="BB52" s="20" t="s">
        <v>135</v>
      </c>
      <c r="BC52" s="35" t="s">
        <v>136</v>
      </c>
      <c r="BD52" s="97">
        <f>_xlfn.NORM.DIST($F$8,$BC$45,$BC$47,1)</f>
        <v>0.93383443593074178</v>
      </c>
      <c r="BE52" s="35" t="s">
        <v>137</v>
      </c>
      <c r="BF52" s="35">
        <f>$F$8</f>
        <v>108.81</v>
      </c>
      <c r="BK52" s="80"/>
      <c r="BL52" s="148"/>
      <c r="BM52" s="148"/>
      <c r="BN52" s="148"/>
      <c r="CG52" s="1">
        <v>44</v>
      </c>
      <c r="CH52" s="1">
        <f ca="1"/>
        <v>106.93244561145306</v>
      </c>
      <c r="CL52" s="106">
        <v>43056</v>
      </c>
      <c r="CM52" s="107">
        <f t="shared" si="3"/>
        <v>113.26925325860748</v>
      </c>
    </row>
    <row r="53" spans="1:91" s="1" customFormat="1" ht="44.1" thickTop="1" thickBot="1">
      <c r="A53" s="148"/>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26">
        <f>Data!A48</f>
        <v>42893</v>
      </c>
      <c r="AF53" s="35">
        <f>Data!B48</f>
        <v>101.01</v>
      </c>
      <c r="AG53" s="35">
        <f>Data!F48</f>
        <v>2359529</v>
      </c>
      <c r="AH53" s="35">
        <f>Data!C48</f>
        <v>101.5</v>
      </c>
      <c r="AI53" s="35">
        <f>Data!D48</f>
        <v>100.69</v>
      </c>
      <c r="AJ53" s="35">
        <f>Data!E48</f>
        <v>100.94</v>
      </c>
      <c r="AK53" s="35">
        <f>Data!F48</f>
        <v>2359529</v>
      </c>
      <c r="AL53" s="35">
        <f t="shared" si="0"/>
        <v>100.94</v>
      </c>
      <c r="AM53" s="35">
        <f t="shared" si="4"/>
        <v>0.16841688131563473</v>
      </c>
      <c r="AN53" s="35">
        <f t="shared" si="11"/>
        <v>-10.745068189456456</v>
      </c>
      <c r="AO53" s="35" t="str">
        <f t="shared" si="5"/>
        <v>FITS BITCH</v>
      </c>
      <c r="AP53" s="35" t="str">
        <f t="shared" si="6"/>
        <v>no</v>
      </c>
      <c r="AQ53" s="35" t="str">
        <f t="shared" si="6"/>
        <v>FITS BITCH</v>
      </c>
      <c r="AR53" s="35" t="str">
        <f t="shared" si="7"/>
        <v>FITS BITCH</v>
      </c>
      <c r="AS53" s="35" t="str">
        <f t="shared" si="8"/>
        <v>no</v>
      </c>
      <c r="AT53" s="20" t="str">
        <f t="shared" si="9"/>
        <v/>
      </c>
      <c r="AU53" s="20" t="str">
        <f t="shared" si="10"/>
        <v/>
      </c>
      <c r="AV53" s="20"/>
      <c r="AW53" s="20"/>
      <c r="AX53" s="20"/>
      <c r="AY53" s="35"/>
      <c r="BC53" s="35" t="s">
        <v>140</v>
      </c>
      <c r="BD53" s="97">
        <f>((COUNTIF(AJ7:AJ257,"&lt;"&amp;$F$8))/(COUNT(AJ7:AJ257)))</f>
        <v>0.95617529880478092</v>
      </c>
      <c r="BE53" s="35" t="s">
        <v>141</v>
      </c>
      <c r="BF53" s="35">
        <f>$F$8</f>
        <v>108.81</v>
      </c>
      <c r="BK53" s="80"/>
      <c r="BL53" s="148"/>
      <c r="BM53" s="148"/>
      <c r="BN53" s="148"/>
      <c r="CG53" s="1">
        <v>45</v>
      </c>
      <c r="CH53" s="1">
        <f ca="1"/>
        <v>116.77352959380636</v>
      </c>
      <c r="CL53" s="106">
        <v>43055</v>
      </c>
      <c r="CM53" s="107">
        <f t="shared" si="3"/>
        <v>113.215966070185</v>
      </c>
    </row>
    <row r="54" spans="1:91" s="1" customFormat="1" ht="15" customHeight="1" thickTop="1">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26">
        <f>Data!A49</f>
        <v>42892</v>
      </c>
      <c r="AF54" s="35">
        <f>Data!B49</f>
        <v>101</v>
      </c>
      <c r="AG54" s="35">
        <f>Data!F49</f>
        <v>1992199</v>
      </c>
      <c r="AH54" s="35">
        <f>Data!C49</f>
        <v>101.72</v>
      </c>
      <c r="AI54" s="35">
        <f>Data!D49</f>
        <v>100.65</v>
      </c>
      <c r="AJ54" s="35">
        <f>Data!E49</f>
        <v>101.2</v>
      </c>
      <c r="AK54" s="35">
        <f>Data!F49</f>
        <v>1992199</v>
      </c>
      <c r="AL54" s="35">
        <f t="shared" si="0"/>
        <v>101.2</v>
      </c>
      <c r="AM54" s="35">
        <f t="shared" si="4"/>
        <v>0.2569169960474359</v>
      </c>
      <c r="AN54" s="35">
        <f t="shared" si="11"/>
        <v>-18.438419053518249</v>
      </c>
      <c r="AO54" s="35" t="str">
        <f t="shared" si="5"/>
        <v>FITS BITCH</v>
      </c>
      <c r="AP54" s="35" t="str">
        <f t="shared" si="6"/>
        <v>FITS BITCH</v>
      </c>
      <c r="AQ54" s="35" t="str">
        <f t="shared" si="6"/>
        <v>no</v>
      </c>
      <c r="AR54" s="35" t="str">
        <f t="shared" si="7"/>
        <v>FITS BITCH</v>
      </c>
      <c r="AS54" s="35" t="str">
        <f t="shared" si="8"/>
        <v>FITS BITCH</v>
      </c>
      <c r="AT54" s="20" t="str">
        <f t="shared" si="9"/>
        <v>BULLISH</v>
      </c>
      <c r="AU54" s="20" t="str">
        <f t="shared" si="10"/>
        <v/>
      </c>
      <c r="AV54" s="20"/>
      <c r="AW54" s="20"/>
      <c r="AX54" s="20"/>
      <c r="AY54" s="35"/>
      <c r="BK54" s="80"/>
      <c r="BL54" s="148"/>
      <c r="BM54" s="148"/>
      <c r="BN54" s="148"/>
      <c r="CG54" s="1">
        <v>46</v>
      </c>
      <c r="CH54" s="1">
        <f ca="1"/>
        <v>107.69337153230455</v>
      </c>
      <c r="CL54" s="106">
        <v>43054</v>
      </c>
      <c r="CM54" s="107">
        <f t="shared" si="3"/>
        <v>113.16267888176208</v>
      </c>
    </row>
    <row r="55" spans="1:91" s="1" customFormat="1">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26">
        <f>Data!A50</f>
        <v>42891</v>
      </c>
      <c r="AF55" s="35">
        <f>Data!B50</f>
        <v>101.1</v>
      </c>
      <c r="AG55" s="35">
        <f>Data!F50</f>
        <v>3138573</v>
      </c>
      <c r="AH55" s="35">
        <f>Data!C50</f>
        <v>101.62</v>
      </c>
      <c r="AI55" s="35">
        <f>Data!D50</f>
        <v>100.88</v>
      </c>
      <c r="AJ55" s="35">
        <f>Data!E50</f>
        <v>101.1</v>
      </c>
      <c r="AK55" s="35">
        <f>Data!F50</f>
        <v>3138573</v>
      </c>
      <c r="AL55" s="35">
        <f t="shared" si="0"/>
        <v>101.1</v>
      </c>
      <c r="AM55" s="35">
        <f t="shared" si="4"/>
        <v>-9.8911968348178558E-2</v>
      </c>
      <c r="AN55" s="35">
        <f t="shared" si="11"/>
        <v>36.525325362832092</v>
      </c>
      <c r="AO55" s="35" t="str">
        <f t="shared" si="5"/>
        <v>no</v>
      </c>
      <c r="AP55" s="35" t="str">
        <f t="shared" si="6"/>
        <v>FITS BITCH</v>
      </c>
      <c r="AQ55" s="35" t="str">
        <f t="shared" si="6"/>
        <v>FITS BITCH</v>
      </c>
      <c r="AR55" s="35" t="str">
        <f t="shared" si="7"/>
        <v>no</v>
      </c>
      <c r="AS55" s="35" t="str">
        <f t="shared" si="8"/>
        <v>FITS BITCH</v>
      </c>
      <c r="AT55" s="20" t="str">
        <f t="shared" si="9"/>
        <v/>
      </c>
      <c r="AU55" s="20" t="str">
        <f t="shared" si="10"/>
        <v/>
      </c>
      <c r="AV55" s="20"/>
      <c r="AW55" s="20"/>
      <c r="AX55" s="20"/>
      <c r="AY55" s="35"/>
      <c r="BK55" s="81"/>
      <c r="BL55" s="148"/>
      <c r="BM55" s="148"/>
      <c r="BN55" s="148"/>
      <c r="CG55" s="1">
        <v>47</v>
      </c>
      <c r="CH55" s="1">
        <f ca="1"/>
        <v>112.09337319639765</v>
      </c>
      <c r="CL55" s="106">
        <v>43053</v>
      </c>
      <c r="CM55" s="107">
        <f t="shared" si="3"/>
        <v>113.1093916933396</v>
      </c>
    </row>
    <row r="56" spans="1:91" s="1" customFormat="1">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26">
        <f>Data!A51</f>
        <v>42888</v>
      </c>
      <c r="AF56" s="35">
        <f>Data!B51</f>
        <v>100.12</v>
      </c>
      <c r="AG56" s="35">
        <f>Data!F51</f>
        <v>8135692</v>
      </c>
      <c r="AH56" s="35">
        <f>Data!C51</f>
        <v>101.08</v>
      </c>
      <c r="AI56" s="35">
        <f>Data!D51</f>
        <v>98.5</v>
      </c>
      <c r="AJ56" s="35">
        <f>Data!E51</f>
        <v>100.98</v>
      </c>
      <c r="AK56" s="35">
        <f>Data!F51</f>
        <v>8135692</v>
      </c>
      <c r="AL56" s="35">
        <f t="shared" si="0"/>
        <v>100.98</v>
      </c>
      <c r="AM56" s="35">
        <f t="shared" si="4"/>
        <v>-0.11883541295305043</v>
      </c>
      <c r="AN56" s="35">
        <f t="shared" si="11"/>
        <v>61.422175274088545</v>
      </c>
      <c r="AO56" s="35" t="str">
        <f t="shared" si="5"/>
        <v>no</v>
      </c>
      <c r="AP56" s="35" t="str">
        <f t="shared" si="6"/>
        <v>no</v>
      </c>
      <c r="AQ56" s="35" t="str">
        <f t="shared" si="6"/>
        <v>no</v>
      </c>
      <c r="AR56" s="35" t="str">
        <f t="shared" si="7"/>
        <v>FITS BITCH</v>
      </c>
      <c r="AS56" s="35" t="str">
        <f t="shared" si="8"/>
        <v>no</v>
      </c>
      <c r="AT56" s="20" t="str">
        <f t="shared" si="9"/>
        <v/>
      </c>
      <c r="AU56" s="20" t="str">
        <f t="shared" si="10"/>
        <v/>
      </c>
      <c r="AV56" s="20"/>
      <c r="AW56" s="20"/>
      <c r="AX56" s="20"/>
      <c r="AY56" s="35"/>
      <c r="BK56" s="81"/>
      <c r="BL56" s="35"/>
      <c r="BM56" s="35"/>
      <c r="CG56" s="1">
        <v>48</v>
      </c>
      <c r="CH56" s="1">
        <f ca="1"/>
        <v>114.52186040667384</v>
      </c>
      <c r="CL56" s="106">
        <v>43052</v>
      </c>
      <c r="CM56" s="107">
        <f t="shared" si="3"/>
        <v>113.05610450491668</v>
      </c>
    </row>
    <row r="57" spans="1:91" s="1" customFormat="1">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26">
        <f>Data!A52</f>
        <v>42887</v>
      </c>
      <c r="AF57" s="35">
        <f>Data!B52</f>
        <v>103</v>
      </c>
      <c r="AG57" s="35">
        <f>Data!F52</f>
        <v>2432234</v>
      </c>
      <c r="AH57" s="35">
        <f>Data!C52</f>
        <v>103.4</v>
      </c>
      <c r="AI57" s="35">
        <f>Data!D52</f>
        <v>102.01</v>
      </c>
      <c r="AJ57" s="35">
        <f>Data!E52</f>
        <v>103.35</v>
      </c>
      <c r="AK57" s="35">
        <f>Data!F52</f>
        <v>2432234</v>
      </c>
      <c r="AL57" s="35">
        <f t="shared" si="0"/>
        <v>103.35</v>
      </c>
      <c r="AM57" s="35">
        <f t="shared" si="4"/>
        <v>2.2931785195936047</v>
      </c>
      <c r="AN57" s="35">
        <f t="shared" si="11"/>
        <v>-234.49462510597252</v>
      </c>
      <c r="AO57" s="35" t="str">
        <f t="shared" si="5"/>
        <v>FITS BITCH</v>
      </c>
      <c r="AP57" s="35" t="str">
        <f t="shared" si="6"/>
        <v>FITS BITCH</v>
      </c>
      <c r="AQ57" s="35" t="str">
        <f t="shared" si="6"/>
        <v>FITS BITCH</v>
      </c>
      <c r="AR57" s="35" t="str">
        <f t="shared" si="7"/>
        <v>no</v>
      </c>
      <c r="AS57" s="35" t="str">
        <f t="shared" si="8"/>
        <v>FITS BITCH</v>
      </c>
      <c r="AT57" s="20" t="str">
        <f t="shared" si="9"/>
        <v/>
      </c>
      <c r="AU57" s="20" t="str">
        <f t="shared" si="10"/>
        <v>BEARISH</v>
      </c>
      <c r="AV57" s="20"/>
      <c r="AW57" s="20"/>
      <c r="AX57" s="20"/>
      <c r="AY57" s="35"/>
      <c r="BK57" s="81"/>
      <c r="BL57" s="35"/>
      <c r="BM57" s="35"/>
      <c r="CG57" s="1">
        <v>49</v>
      </c>
      <c r="CH57" s="1">
        <f ca="1"/>
        <v>110.54002193481556</v>
      </c>
      <c r="CL57" s="106">
        <v>43049</v>
      </c>
      <c r="CM57" s="107">
        <f t="shared" si="3"/>
        <v>112.89624293964835</v>
      </c>
    </row>
    <row r="58" spans="1:91" s="1" customFormat="1">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26">
        <f>Data!A53</f>
        <v>42886</v>
      </c>
      <c r="AF58" s="35">
        <f>Data!B53</f>
        <v>101.7</v>
      </c>
      <c r="AG58" s="35">
        <f>Data!F53</f>
        <v>3173099</v>
      </c>
      <c r="AH58" s="35">
        <f>Data!C53</f>
        <v>102.5</v>
      </c>
      <c r="AI58" s="35">
        <f>Data!D53</f>
        <v>101.51</v>
      </c>
      <c r="AJ58" s="35">
        <f>Data!E53</f>
        <v>102.37</v>
      </c>
      <c r="AK58" s="35">
        <f>Data!F53</f>
        <v>3173099</v>
      </c>
      <c r="AL58" s="35">
        <f t="shared" si="0"/>
        <v>102.37</v>
      </c>
      <c r="AM58" s="35">
        <f t="shared" si="4"/>
        <v>-0.95731171241573676</v>
      </c>
      <c r="AN58" s="35">
        <f t="shared" si="11"/>
        <v>23.348310279635147</v>
      </c>
      <c r="AO58" s="35" t="str">
        <f t="shared" si="5"/>
        <v>no</v>
      </c>
      <c r="AP58" s="35" t="str">
        <f t="shared" si="6"/>
        <v>FITS BITCH</v>
      </c>
      <c r="AQ58" s="35" t="str">
        <f t="shared" si="6"/>
        <v>FITS BITCH</v>
      </c>
      <c r="AR58" s="35" t="str">
        <f t="shared" si="7"/>
        <v>no</v>
      </c>
      <c r="AS58" s="35" t="str">
        <f t="shared" si="8"/>
        <v>FITS BITCH</v>
      </c>
      <c r="AT58" s="20" t="str">
        <f t="shared" si="9"/>
        <v/>
      </c>
      <c r="AU58" s="20" t="str">
        <f t="shared" si="10"/>
        <v/>
      </c>
      <c r="AV58" s="20"/>
      <c r="AW58" s="20"/>
      <c r="AX58" s="20"/>
      <c r="AY58" s="35"/>
      <c r="AZ58" s="35"/>
      <c r="BA58" s="35"/>
      <c r="BB58" s="35"/>
      <c r="BC58" s="35"/>
      <c r="BD58" s="35"/>
      <c r="BE58" s="35"/>
      <c r="BF58" s="35"/>
      <c r="BG58" s="35"/>
      <c r="BH58" s="35"/>
      <c r="BI58" s="35"/>
      <c r="BJ58" s="35"/>
      <c r="BK58" s="82"/>
      <c r="BL58" s="35"/>
      <c r="BM58" s="35"/>
      <c r="CG58" s="1">
        <v>50</v>
      </c>
      <c r="CH58" s="1">
        <f ca="1"/>
        <v>105.42257003019601</v>
      </c>
      <c r="CL58" s="106">
        <v>43048</v>
      </c>
      <c r="CM58" s="107">
        <f t="shared" si="3"/>
        <v>112.84295575122542</v>
      </c>
    </row>
    <row r="59" spans="1:91" s="1" customFormat="1">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26">
        <f>Data!A54</f>
        <v>42885</v>
      </c>
      <c r="AF59" s="35">
        <f>Data!B54</f>
        <v>101.21</v>
      </c>
      <c r="AG59" s="35">
        <f>Data!F54</f>
        <v>1728899</v>
      </c>
      <c r="AH59" s="35">
        <f>Data!C54</f>
        <v>101.66</v>
      </c>
      <c r="AI59" s="35">
        <f>Data!D54</f>
        <v>100.54</v>
      </c>
      <c r="AJ59" s="35">
        <f>Data!E54</f>
        <v>101.53</v>
      </c>
      <c r="AK59" s="35">
        <f>Data!F54</f>
        <v>1728899</v>
      </c>
      <c r="AL59" s="35">
        <f t="shared" si="0"/>
        <v>101.53</v>
      </c>
      <c r="AM59" s="35">
        <f t="shared" si="4"/>
        <v>-0.82734167241209822</v>
      </c>
      <c r="AN59" s="35">
        <f t="shared" si="11"/>
        <v>-83.532930495072293</v>
      </c>
      <c r="AO59" s="35" t="str">
        <f t="shared" si="5"/>
        <v>FITS BITCH</v>
      </c>
      <c r="AP59" s="35" t="str">
        <f t="shared" si="6"/>
        <v>FITS BITCH</v>
      </c>
      <c r="AQ59" s="35" t="str">
        <f t="shared" si="6"/>
        <v>no</v>
      </c>
      <c r="AR59" s="35" t="b">
        <f t="shared" si="7"/>
        <v>0</v>
      </c>
      <c r="AS59" s="35" t="str">
        <f t="shared" si="8"/>
        <v>FITS BITCH</v>
      </c>
      <c r="AT59" s="20" t="str">
        <f t="shared" si="9"/>
        <v/>
      </c>
      <c r="AU59" s="20" t="str">
        <f t="shared" si="10"/>
        <v/>
      </c>
      <c r="AV59" s="20"/>
      <c r="AW59" s="20"/>
      <c r="AX59" s="20"/>
      <c r="AY59" s="35"/>
      <c r="AZ59" s="35"/>
      <c r="BA59" s="35"/>
      <c r="BB59" s="35"/>
      <c r="BC59" s="35"/>
      <c r="BD59" s="35"/>
      <c r="BE59" s="35"/>
      <c r="BF59" s="35"/>
      <c r="BG59" s="35"/>
      <c r="BH59" s="35"/>
      <c r="BI59" s="35"/>
      <c r="BJ59" s="35"/>
      <c r="BK59" s="82"/>
      <c r="BL59" s="35"/>
      <c r="BM59" s="35"/>
      <c r="CG59" s="1">
        <v>51</v>
      </c>
      <c r="CH59" s="1">
        <f ca="1"/>
        <v>112.3126413960417</v>
      </c>
      <c r="CL59" s="106">
        <v>43047</v>
      </c>
      <c r="CM59" s="107">
        <f t="shared" si="3"/>
        <v>112.78966856280294</v>
      </c>
    </row>
    <row r="60" spans="1:91" s="1" customFormat="1">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26">
        <f>Data!A55</f>
        <v>42881</v>
      </c>
      <c r="AF60" s="35">
        <f>Data!B55</f>
        <v>101.23</v>
      </c>
      <c r="AG60" s="35">
        <f>Data!F55</f>
        <v>1919119</v>
      </c>
      <c r="AH60" s="35">
        <f>Data!C55</f>
        <v>101.53</v>
      </c>
      <c r="AI60" s="35">
        <f>Data!D55</f>
        <v>100.91</v>
      </c>
      <c r="AJ60" s="35">
        <f>Data!E55</f>
        <v>101.35</v>
      </c>
      <c r="AK60" s="35">
        <f>Data!F55</f>
        <v>1919119</v>
      </c>
      <c r="AL60" s="35">
        <f t="shared" si="0"/>
        <v>101.35</v>
      </c>
      <c r="AM60" s="35">
        <f t="shared" si="4"/>
        <v>-0.1776023680315805</v>
      </c>
      <c r="AN60" s="35">
        <f t="shared" si="11"/>
        <v>9.9118397556378728</v>
      </c>
      <c r="AO60" s="35" t="str">
        <f t="shared" si="5"/>
        <v>no</v>
      </c>
      <c r="AP60" s="35" t="str">
        <f t="shared" si="6"/>
        <v>FITS BITCH</v>
      </c>
      <c r="AQ60" s="35" t="str">
        <f t="shared" si="6"/>
        <v>FITS BITCH</v>
      </c>
      <c r="AR60" s="35" t="str">
        <f t="shared" si="7"/>
        <v>FITS BITCH</v>
      </c>
      <c r="AS60" s="35" t="str">
        <f t="shared" si="8"/>
        <v>FITS BITCH</v>
      </c>
      <c r="AT60" s="20" t="str">
        <f t="shared" si="9"/>
        <v/>
      </c>
      <c r="AU60" s="20" t="str">
        <f t="shared" si="10"/>
        <v/>
      </c>
      <c r="AV60" s="20"/>
      <c r="AW60" s="20"/>
      <c r="AX60" s="20"/>
      <c r="AY60" s="35"/>
      <c r="AZ60" s="35"/>
      <c r="BA60" s="35"/>
      <c r="BB60" s="35"/>
      <c r="BC60" s="35"/>
      <c r="BD60" s="35"/>
      <c r="BE60" s="35"/>
      <c r="BF60" s="35"/>
      <c r="BG60" s="35"/>
      <c r="BH60" s="35"/>
      <c r="BI60" s="35"/>
      <c r="BJ60" s="35"/>
      <c r="BK60" s="82"/>
      <c r="BL60" s="35"/>
      <c r="BM60" s="35"/>
      <c r="CG60" s="1">
        <v>52</v>
      </c>
      <c r="CH60" s="1">
        <f ca="1"/>
        <v>110.74945141536853</v>
      </c>
      <c r="CL60" s="106">
        <v>43046</v>
      </c>
      <c r="CM60" s="107">
        <f t="shared" si="3"/>
        <v>112.73638137438002</v>
      </c>
    </row>
    <row r="61" spans="1:91" s="1" customFormat="1">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26">
        <f>Data!A56</f>
        <v>42880</v>
      </c>
      <c r="AF61" s="35">
        <f>Data!B56</f>
        <v>100.27</v>
      </c>
      <c r="AG61" s="35">
        <f>Data!F56</f>
        <v>1832479</v>
      </c>
      <c r="AH61" s="35">
        <f>Data!C56</f>
        <v>101.43</v>
      </c>
      <c r="AI61" s="35">
        <f>Data!D56</f>
        <v>100.03</v>
      </c>
      <c r="AJ61" s="35">
        <f>Data!E56</f>
        <v>101.16</v>
      </c>
      <c r="AK61" s="35">
        <f>Data!F56</f>
        <v>1832479</v>
      </c>
      <c r="AL61" s="35">
        <f t="shared" si="0"/>
        <v>101.16</v>
      </c>
      <c r="AM61" s="35">
        <f t="shared" si="4"/>
        <v>-0.18782127323052367</v>
      </c>
      <c r="AN61" s="35">
        <f t="shared" si="11"/>
        <v>-4.7280214398091331</v>
      </c>
      <c r="AO61" s="35" t="str">
        <f t="shared" si="5"/>
        <v>no</v>
      </c>
      <c r="AP61" s="35" t="str">
        <f t="shared" si="6"/>
        <v>FITS BITCH</v>
      </c>
      <c r="AQ61" s="35" t="str">
        <f t="shared" si="6"/>
        <v>FITS BITCH</v>
      </c>
      <c r="AR61" s="35" t="str">
        <f t="shared" si="7"/>
        <v>no</v>
      </c>
      <c r="AS61" s="35" t="str">
        <f t="shared" si="8"/>
        <v>FITS BITCH</v>
      </c>
      <c r="AT61" s="20" t="str">
        <f t="shared" si="9"/>
        <v/>
      </c>
      <c r="AU61" s="20" t="str">
        <f t="shared" si="10"/>
        <v/>
      </c>
      <c r="AV61" s="20"/>
      <c r="AW61" s="20"/>
      <c r="AX61" s="20"/>
      <c r="AY61" s="35"/>
      <c r="AZ61" s="35"/>
      <c r="BA61" s="35"/>
      <c r="BB61" s="35"/>
      <c r="BC61" s="35"/>
      <c r="BD61" s="35"/>
      <c r="BE61" s="35"/>
      <c r="BF61" s="35"/>
      <c r="BG61" s="35"/>
      <c r="BH61" s="35"/>
      <c r="BI61" s="35"/>
      <c r="BJ61" s="35"/>
      <c r="BK61" s="82"/>
      <c r="BL61" s="35"/>
      <c r="BM61" s="35"/>
      <c r="CG61" s="1">
        <v>53</v>
      </c>
      <c r="CH61" s="1">
        <f ca="1"/>
        <v>110.24585409477029</v>
      </c>
      <c r="CL61" s="106">
        <v>43045</v>
      </c>
      <c r="CM61" s="107">
        <f t="shared" si="3"/>
        <v>112.68309418595709</v>
      </c>
    </row>
    <row r="62" spans="1:91" s="1" customFormat="1">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26">
        <f>Data!A57</f>
        <v>42879</v>
      </c>
      <c r="AF62" s="35">
        <f>Data!B57</f>
        <v>99.49</v>
      </c>
      <c r="AG62" s="35">
        <f>Data!F57</f>
        <v>1942989</v>
      </c>
      <c r="AH62" s="35">
        <f>Data!C57</f>
        <v>100.06</v>
      </c>
      <c r="AI62" s="35">
        <f>Data!D57</f>
        <v>99.43</v>
      </c>
      <c r="AJ62" s="35">
        <f>Data!E57</f>
        <v>99.98</v>
      </c>
      <c r="AK62" s="35">
        <f>Data!F57</f>
        <v>1942989</v>
      </c>
      <c r="AL62" s="35">
        <f t="shared" si="0"/>
        <v>99.98</v>
      </c>
      <c r="AM62" s="35">
        <f t="shared" si="4"/>
        <v>-1.1802360472094344</v>
      </c>
      <c r="AN62" s="35">
        <f t="shared" si="11"/>
        <v>5.6876286999051464</v>
      </c>
      <c r="AO62" s="35" t="str">
        <f t="shared" si="5"/>
        <v>no</v>
      </c>
      <c r="AP62" s="35" t="str">
        <f t="shared" si="6"/>
        <v>FITS BITCH</v>
      </c>
      <c r="AQ62" s="35" t="str">
        <f t="shared" si="6"/>
        <v>FITS BITCH</v>
      </c>
      <c r="AR62" s="35" t="str">
        <f t="shared" si="7"/>
        <v>no</v>
      </c>
      <c r="AS62" s="35" t="str">
        <f t="shared" si="8"/>
        <v>FITS BITCH</v>
      </c>
      <c r="AT62" s="20" t="str">
        <f t="shared" si="9"/>
        <v/>
      </c>
      <c r="AU62" s="20" t="str">
        <f t="shared" si="10"/>
        <v/>
      </c>
      <c r="AV62" s="20"/>
      <c r="AW62" s="20"/>
      <c r="AX62" s="20"/>
      <c r="AY62" s="35"/>
      <c r="AZ62" s="35"/>
      <c r="BA62" s="35"/>
      <c r="BB62" s="35"/>
      <c r="BC62" s="35"/>
      <c r="BD62" s="35"/>
      <c r="BE62" s="35"/>
      <c r="BF62" s="35"/>
      <c r="BG62" s="35"/>
      <c r="BH62" s="35"/>
      <c r="BI62" s="35"/>
      <c r="BJ62" s="35"/>
      <c r="BK62" s="82"/>
      <c r="BL62" s="35"/>
      <c r="BM62" s="35"/>
      <c r="CG62" s="1">
        <v>54</v>
      </c>
      <c r="CH62" s="1">
        <f ca="1"/>
        <v>113.1632512705946</v>
      </c>
      <c r="CL62" s="106">
        <v>43042</v>
      </c>
      <c r="CM62" s="107">
        <f t="shared" si="3"/>
        <v>112.52323262068876</v>
      </c>
    </row>
    <row r="63" spans="1:91" s="1" customFormat="1">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26">
        <f>Data!A58</f>
        <v>42878</v>
      </c>
      <c r="AF63" s="35">
        <f>Data!B58</f>
        <v>99.37</v>
      </c>
      <c r="AG63" s="35">
        <f>Data!F58</f>
        <v>1398899</v>
      </c>
      <c r="AH63" s="35">
        <f>Data!C58</f>
        <v>99.54</v>
      </c>
      <c r="AI63" s="35">
        <f>Data!D58</f>
        <v>99.06</v>
      </c>
      <c r="AJ63" s="35">
        <f>Data!E58</f>
        <v>99.53</v>
      </c>
      <c r="AK63" s="35">
        <f>Data!F58</f>
        <v>1398899</v>
      </c>
      <c r="AL63" s="35">
        <f t="shared" si="0"/>
        <v>99.53</v>
      </c>
      <c r="AM63" s="35">
        <f t="shared" si="4"/>
        <v>-0.45212498744097546</v>
      </c>
      <c r="AN63" s="35">
        <f t="shared" si="11"/>
        <v>-38.894158906397102</v>
      </c>
      <c r="AO63" s="35" t="str">
        <f t="shared" si="5"/>
        <v>FITS BITCH</v>
      </c>
      <c r="AP63" s="35" t="str">
        <f t="shared" si="6"/>
        <v>no</v>
      </c>
      <c r="AQ63" s="35" t="str">
        <f t="shared" si="6"/>
        <v>FITS BITCH</v>
      </c>
      <c r="AR63" s="35" t="str">
        <f t="shared" si="7"/>
        <v>FITS BITCH</v>
      </c>
      <c r="AS63" s="35" t="str">
        <f t="shared" si="8"/>
        <v>FITS BITCH</v>
      </c>
      <c r="AT63" s="20" t="str">
        <f t="shared" si="9"/>
        <v/>
      </c>
      <c r="AU63" s="20" t="str">
        <f t="shared" si="10"/>
        <v>BEARISH</v>
      </c>
      <c r="AV63" s="20"/>
      <c r="AW63" s="20"/>
      <c r="AX63" s="20"/>
      <c r="AY63" s="35"/>
      <c r="AZ63" s="35"/>
      <c r="BA63" s="35"/>
      <c r="BB63" s="35"/>
      <c r="BC63" s="35"/>
      <c r="BD63" s="35"/>
      <c r="BE63" s="35"/>
      <c r="BF63" s="35"/>
      <c r="BG63" s="35"/>
      <c r="BH63" s="35"/>
      <c r="BI63" s="35"/>
      <c r="BJ63" s="35"/>
      <c r="BK63" s="82"/>
      <c r="BL63" s="35"/>
      <c r="BM63" s="35"/>
      <c r="CG63" s="1">
        <v>55</v>
      </c>
      <c r="CH63" s="1">
        <f ca="1"/>
        <v>114.60356472516652</v>
      </c>
      <c r="CL63" s="106">
        <v>43041</v>
      </c>
      <c r="CM63" s="107">
        <f t="shared" si="3"/>
        <v>112.46994543226629</v>
      </c>
    </row>
    <row r="64" spans="1:91" s="1" customFormat="1">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26">
        <f>Data!A59</f>
        <v>42877</v>
      </c>
      <c r="AF64" s="35">
        <f>Data!B59</f>
        <v>98.48</v>
      </c>
      <c r="AG64" s="35">
        <f>Data!F59</f>
        <v>2015167</v>
      </c>
      <c r="AH64" s="35">
        <f>Data!C59</f>
        <v>99.56</v>
      </c>
      <c r="AI64" s="35">
        <f>Data!D59</f>
        <v>98.44</v>
      </c>
      <c r="AJ64" s="35">
        <f>Data!E59</f>
        <v>99.45</v>
      </c>
      <c r="AK64" s="35">
        <f>Data!F59</f>
        <v>2015167</v>
      </c>
      <c r="AL64" s="35">
        <f t="shared" si="0"/>
        <v>99.45</v>
      </c>
      <c r="AM64" s="35">
        <f t="shared" si="4"/>
        <v>-8.0442433383608139E-2</v>
      </c>
      <c r="AN64" s="35">
        <f t="shared" si="11"/>
        <v>30.581485306180578</v>
      </c>
      <c r="AO64" s="35" t="str">
        <f t="shared" si="5"/>
        <v>no</v>
      </c>
      <c r="AP64" s="35" t="str">
        <f t="shared" si="6"/>
        <v>FITS BITCH</v>
      </c>
      <c r="AQ64" s="35" t="str">
        <f t="shared" si="6"/>
        <v>FITS BITCH</v>
      </c>
      <c r="AR64" s="35" t="str">
        <f t="shared" si="7"/>
        <v>no</v>
      </c>
      <c r="AS64" s="35" t="str">
        <f t="shared" si="8"/>
        <v>FITS BITCH</v>
      </c>
      <c r="AT64" s="20" t="str">
        <f t="shared" si="9"/>
        <v/>
      </c>
      <c r="AU64" s="20" t="str">
        <f t="shared" si="10"/>
        <v/>
      </c>
      <c r="AV64" s="20"/>
      <c r="AW64" s="20"/>
      <c r="AX64" s="20"/>
      <c r="AY64" s="35"/>
      <c r="AZ64" s="35"/>
      <c r="BA64" s="35"/>
      <c r="BB64" s="35"/>
      <c r="BC64" s="35"/>
      <c r="BD64" s="35"/>
      <c r="BE64" s="35"/>
      <c r="BF64" s="35"/>
      <c r="BG64" s="35"/>
      <c r="BH64" s="35"/>
      <c r="BI64" s="35"/>
      <c r="BJ64" s="35"/>
      <c r="BK64" s="82"/>
      <c r="BL64" s="35"/>
      <c r="BM64" s="35"/>
      <c r="CG64" s="1">
        <v>56</v>
      </c>
      <c r="CH64" s="1">
        <f ca="1"/>
        <v>102.52812981202705</v>
      </c>
      <c r="CL64" s="106">
        <v>43040</v>
      </c>
      <c r="CM64" s="107">
        <f t="shared" si="3"/>
        <v>112.41665824384336</v>
      </c>
    </row>
    <row r="65" spans="1:91" s="1" customFormat="1" ht="15.95" thickBot="1">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26">
        <f>Data!A60</f>
        <v>42874</v>
      </c>
      <c r="AF65" s="35">
        <f>Data!B60</f>
        <v>98.34</v>
      </c>
      <c r="AG65" s="35">
        <f>Data!F60</f>
        <v>2790653</v>
      </c>
      <c r="AH65" s="35">
        <f>Data!C60</f>
        <v>98.92</v>
      </c>
      <c r="AI65" s="35">
        <f>Data!D60</f>
        <v>97.89</v>
      </c>
      <c r="AJ65" s="35">
        <f>Data!E60</f>
        <v>98.62</v>
      </c>
      <c r="AK65" s="35">
        <f>Data!F60</f>
        <v>2790653</v>
      </c>
      <c r="AL65" s="35">
        <f t="shared" si="0"/>
        <v>98.62</v>
      </c>
      <c r="AM65" s="35">
        <f t="shared" si="4"/>
        <v>-0.84161427702291436</v>
      </c>
      <c r="AN65" s="35">
        <f t="shared" si="11"/>
        <v>27.78869318399672</v>
      </c>
      <c r="AO65" s="35" t="str">
        <f t="shared" si="5"/>
        <v>no</v>
      </c>
      <c r="AP65" s="35" t="str">
        <f t="shared" si="6"/>
        <v>FITS BITCH</v>
      </c>
      <c r="AQ65" s="35" t="str">
        <f t="shared" si="6"/>
        <v>FITS BITCH</v>
      </c>
      <c r="AR65" s="35" t="str">
        <f t="shared" si="7"/>
        <v>FITS BITCH</v>
      </c>
      <c r="AS65" s="35" t="str">
        <f t="shared" si="8"/>
        <v>FITS BITCH</v>
      </c>
      <c r="AT65" s="20" t="str">
        <f t="shared" si="9"/>
        <v/>
      </c>
      <c r="AU65" s="20" t="str">
        <f t="shared" si="10"/>
        <v/>
      </c>
      <c r="AV65" s="20"/>
      <c r="AW65" s="20"/>
      <c r="AX65" s="20"/>
      <c r="AY65" s="35"/>
      <c r="AZ65" s="35"/>
      <c r="BA65" s="35"/>
      <c r="BB65" s="35"/>
      <c r="BC65" s="35"/>
      <c r="BD65" s="35"/>
      <c r="BE65" s="35"/>
      <c r="BF65" s="35"/>
      <c r="BG65" s="35"/>
      <c r="BH65" s="35"/>
      <c r="BI65" s="35"/>
      <c r="BJ65" s="35"/>
      <c r="BK65" s="82"/>
      <c r="BL65" s="35"/>
      <c r="BM65" s="35"/>
      <c r="CG65" s="1">
        <v>57</v>
      </c>
      <c r="CH65" s="1">
        <f ca="1"/>
        <v>106.10174732552855</v>
      </c>
      <c r="CL65" s="106">
        <v>43039</v>
      </c>
      <c r="CM65" s="107">
        <f t="shared" si="3"/>
        <v>112.36337105542043</v>
      </c>
    </row>
    <row r="66" spans="1:91" s="1" customFormat="1">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26">
        <f>Data!A61</f>
        <v>42873</v>
      </c>
      <c r="AF66" s="35">
        <f>Data!B61</f>
        <v>97.15</v>
      </c>
      <c r="AG66" s="35">
        <f>Data!F61</f>
        <v>2197346</v>
      </c>
      <c r="AH66" s="35">
        <f>Data!C61</f>
        <v>98.65</v>
      </c>
      <c r="AI66" s="35">
        <f>Data!D61</f>
        <v>96.8</v>
      </c>
      <c r="AJ66" s="35">
        <f>Data!E61</f>
        <v>98.35</v>
      </c>
      <c r="AK66" s="35">
        <f>Data!F61</f>
        <v>2197346</v>
      </c>
      <c r="AL66" s="35">
        <f t="shared" si="0"/>
        <v>98.35</v>
      </c>
      <c r="AM66" s="35">
        <f t="shared" si="4"/>
        <v>-0.27452974072192193</v>
      </c>
      <c r="AN66" s="35">
        <f t="shared" si="11"/>
        <v>-27.00107311274601</v>
      </c>
      <c r="AO66" s="35" t="str">
        <f t="shared" si="5"/>
        <v>FITS BITCH</v>
      </c>
      <c r="AP66" s="35" t="str">
        <f t="shared" si="6"/>
        <v>FITS BITCH</v>
      </c>
      <c r="AQ66" s="35" t="str">
        <f t="shared" si="6"/>
        <v>no</v>
      </c>
      <c r="AR66" s="35" t="str">
        <f t="shared" si="7"/>
        <v>no</v>
      </c>
      <c r="AS66" s="35" t="str">
        <f t="shared" si="8"/>
        <v>FITS BITCH</v>
      </c>
      <c r="AT66" s="20" t="str">
        <f t="shared" si="9"/>
        <v/>
      </c>
      <c r="AU66" s="20" t="str">
        <f t="shared" si="10"/>
        <v/>
      </c>
      <c r="AV66" s="20"/>
      <c r="AW66" s="20"/>
      <c r="AX66" s="20"/>
      <c r="AY66" s="35"/>
      <c r="AZ66" s="15" t="s">
        <v>149</v>
      </c>
      <c r="BA66" s="35"/>
      <c r="BB66" s="35"/>
      <c r="BC66" s="35"/>
      <c r="BD66" s="35"/>
      <c r="BE66" s="35"/>
      <c r="BF66" s="35"/>
      <c r="BG66" s="35"/>
      <c r="BH66" s="35"/>
      <c r="BI66" s="35"/>
      <c r="BJ66" s="35"/>
      <c r="BK66" s="82"/>
      <c r="BL66" s="35"/>
      <c r="BM66" s="35"/>
      <c r="CG66" s="1">
        <v>58</v>
      </c>
      <c r="CH66" s="1">
        <f ca="1"/>
        <v>114.68786396087795</v>
      </c>
      <c r="CL66" s="106">
        <v>43038</v>
      </c>
      <c r="CM66" s="107">
        <f t="shared" si="3"/>
        <v>112.31008386699796</v>
      </c>
    </row>
    <row r="67" spans="1:91" s="1" customFormat="1">
      <c r="A67" s="148"/>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48"/>
      <c r="AA67" s="148"/>
      <c r="AB67" s="148"/>
      <c r="AC67" s="148"/>
      <c r="AD67" s="148"/>
      <c r="AE67" s="26">
        <f>Data!A62</f>
        <v>42872</v>
      </c>
      <c r="AF67" s="35">
        <f>Data!B62</f>
        <v>97.7</v>
      </c>
      <c r="AG67" s="35">
        <f>Data!F62</f>
        <v>2802578</v>
      </c>
      <c r="AH67" s="35">
        <f>Data!C62</f>
        <v>98.08</v>
      </c>
      <c r="AI67" s="35">
        <f>Data!D62</f>
        <v>97.23</v>
      </c>
      <c r="AJ67" s="35">
        <f>Data!E62</f>
        <v>97.3</v>
      </c>
      <c r="AK67" s="35">
        <f>Data!F62</f>
        <v>2802578</v>
      </c>
      <c r="AL67" s="35">
        <f t="shared" si="0"/>
        <v>97.3</v>
      </c>
      <c r="AM67" s="35">
        <f t="shared" si="4"/>
        <v>-1.0791366906474791</v>
      </c>
      <c r="AN67" s="35">
        <f t="shared" si="11"/>
        <v>21.59554524441425</v>
      </c>
      <c r="AO67" s="35" t="str">
        <f t="shared" si="5"/>
        <v>no</v>
      </c>
      <c r="AP67" s="35" t="str">
        <f t="shared" si="6"/>
        <v>no</v>
      </c>
      <c r="AQ67" s="35" t="str">
        <f t="shared" si="6"/>
        <v>no</v>
      </c>
      <c r="AR67" s="35" t="str">
        <f t="shared" si="7"/>
        <v>FITS BITCH</v>
      </c>
      <c r="AS67" s="35" t="str">
        <f t="shared" si="8"/>
        <v>no</v>
      </c>
      <c r="AT67" s="20" t="str">
        <f t="shared" si="9"/>
        <v/>
      </c>
      <c r="AU67" s="20" t="str">
        <f t="shared" si="10"/>
        <v/>
      </c>
      <c r="AV67" s="20"/>
      <c r="AW67" s="20"/>
      <c r="AX67" s="20"/>
      <c r="AY67" s="35"/>
      <c r="AZ67" s="54" t="s">
        <v>154</v>
      </c>
      <c r="BK67" s="81"/>
      <c r="BL67" s="35"/>
      <c r="BM67" s="35"/>
      <c r="CG67" s="1">
        <v>59</v>
      </c>
      <c r="CH67" s="1">
        <f ca="1"/>
        <v>118.2320648622584</v>
      </c>
      <c r="CL67" s="106">
        <v>43035</v>
      </c>
      <c r="CM67" s="107">
        <f t="shared" si="3"/>
        <v>112.15022230172963</v>
      </c>
    </row>
    <row r="68" spans="1:91" s="1" customFormat="1">
      <c r="A68" s="148"/>
      <c r="B68" s="148"/>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48"/>
      <c r="AA68" s="148"/>
      <c r="AB68" s="148"/>
      <c r="AC68" s="148"/>
      <c r="AD68" s="148"/>
      <c r="AE68" s="26">
        <f>Data!A63</f>
        <v>42871</v>
      </c>
      <c r="AF68" s="35">
        <f>Data!B63</f>
        <v>98.39</v>
      </c>
      <c r="AG68" s="35">
        <f>Data!F63</f>
        <v>2213286</v>
      </c>
      <c r="AH68" s="35">
        <f>Data!C63</f>
        <v>98.76</v>
      </c>
      <c r="AI68" s="35">
        <f>Data!D63</f>
        <v>98.15</v>
      </c>
      <c r="AJ68" s="35">
        <f>Data!E63</f>
        <v>98.32</v>
      </c>
      <c r="AK68" s="35">
        <f>Data!F63</f>
        <v>2213286</v>
      </c>
      <c r="AL68" s="35">
        <f t="shared" si="0"/>
        <v>98.32</v>
      </c>
      <c r="AM68" s="35">
        <f t="shared" si="4"/>
        <v>1.0374288039056103</v>
      </c>
      <c r="AN68" s="35">
        <f t="shared" si="11"/>
        <v>-26.625207948724206</v>
      </c>
      <c r="AO68" s="35" t="str">
        <f t="shared" si="5"/>
        <v>FITS BITCH</v>
      </c>
      <c r="AP68" s="35" t="str">
        <f t="shared" si="6"/>
        <v>FITS BITCH</v>
      </c>
      <c r="AQ68" s="35" t="str">
        <f t="shared" si="6"/>
        <v>FITS BITCH</v>
      </c>
      <c r="AR68" s="35" t="str">
        <f t="shared" si="7"/>
        <v>FITS BITCH</v>
      </c>
      <c r="AS68" s="35" t="str">
        <f t="shared" si="8"/>
        <v>no</v>
      </c>
      <c r="AT68" s="20" t="str">
        <f t="shared" si="9"/>
        <v>BULLISH</v>
      </c>
      <c r="AU68" s="20" t="str">
        <f t="shared" si="10"/>
        <v/>
      </c>
      <c r="AV68" s="20"/>
      <c r="AW68" s="20"/>
      <c r="AX68" s="20"/>
      <c r="AY68" s="35"/>
      <c r="AZ68" s="92" t="s">
        <v>151</v>
      </c>
      <c r="BA68" s="92">
        <f>SLOPE(AJ7:AJ257,AE7:AE257)</f>
        <v>5.3287188422769548E-2</v>
      </c>
      <c r="BB68" s="92"/>
      <c r="BC68" s="92"/>
      <c r="BD68" s="92"/>
      <c r="BE68" s="92"/>
      <c r="BF68" s="92"/>
      <c r="BG68" s="35"/>
      <c r="BH68" s="35"/>
      <c r="BI68" s="35"/>
      <c r="BJ68" s="35"/>
      <c r="BK68" s="82"/>
      <c r="BL68" s="35"/>
      <c r="BM68" s="35"/>
      <c r="CG68" s="1">
        <v>60</v>
      </c>
      <c r="CH68" s="1">
        <f ca="1"/>
        <v>107.68656685584277</v>
      </c>
      <c r="CL68" s="106">
        <v>43034</v>
      </c>
      <c r="CM68" s="107">
        <f t="shared" si="3"/>
        <v>112.0969351133067</v>
      </c>
    </row>
    <row r="69" spans="1:91" s="1" customFormat="1">
      <c r="A69" s="148"/>
      <c r="B69" s="148"/>
      <c r="C69" s="148"/>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48"/>
      <c r="AB69" s="148"/>
      <c r="AC69" s="148"/>
      <c r="AD69" s="148"/>
      <c r="AE69" s="26">
        <f>Data!A64</f>
        <v>42870</v>
      </c>
      <c r="AF69" s="35">
        <f>Data!B64</f>
        <v>97.01</v>
      </c>
      <c r="AG69" s="35">
        <f>Data!F64</f>
        <v>3364035</v>
      </c>
      <c r="AH69" s="35">
        <f>Data!C64</f>
        <v>98.54</v>
      </c>
      <c r="AI69" s="35">
        <f>Data!D64</f>
        <v>96.76</v>
      </c>
      <c r="AJ69" s="35">
        <f>Data!E64</f>
        <v>98.45</v>
      </c>
      <c r="AK69" s="35">
        <f>Data!F64</f>
        <v>3364035</v>
      </c>
      <c r="AL69" s="35">
        <f t="shared" si="0"/>
        <v>98.45</v>
      </c>
      <c r="AM69" s="35">
        <f t="shared" si="4"/>
        <v>0.13204672422550498</v>
      </c>
      <c r="AN69" s="35">
        <f t="shared" si="11"/>
        <v>34.207402717272558</v>
      </c>
      <c r="AO69" s="35" t="str">
        <f t="shared" si="5"/>
        <v>no</v>
      </c>
      <c r="AP69" s="35" t="str">
        <f t="shared" si="6"/>
        <v>FITS BITCH</v>
      </c>
      <c r="AQ69" s="35" t="str">
        <f t="shared" si="6"/>
        <v>FITS BITCH</v>
      </c>
      <c r="AR69" s="35" t="str">
        <f t="shared" si="7"/>
        <v>no</v>
      </c>
      <c r="AS69" s="35" t="str">
        <f t="shared" si="8"/>
        <v>FITS BITCH</v>
      </c>
      <c r="AT69" s="20" t="str">
        <f t="shared" si="9"/>
        <v/>
      </c>
      <c r="AU69" s="20" t="str">
        <f t="shared" si="10"/>
        <v/>
      </c>
      <c r="AV69" s="20"/>
      <c r="AW69" s="20"/>
      <c r="AX69" s="20"/>
      <c r="AY69" s="35"/>
      <c r="AZ69" s="92" t="s">
        <v>152</v>
      </c>
      <c r="BA69" s="92">
        <f>RSQ(AJ7:AJ257,AE7:AE257)</f>
        <v>0.66892659767392348</v>
      </c>
      <c r="BB69" s="92"/>
      <c r="BC69" s="92"/>
      <c r="BD69" s="92"/>
      <c r="BE69" s="92"/>
      <c r="BF69" s="92"/>
      <c r="BG69" s="35"/>
      <c r="BH69" s="35"/>
      <c r="BI69" s="35"/>
      <c r="BJ69" s="35"/>
      <c r="BK69" s="82"/>
      <c r="BL69" s="35"/>
      <c r="BM69" s="35"/>
      <c r="CG69" s="1">
        <v>61</v>
      </c>
      <c r="CH69" s="1">
        <f ca="1"/>
        <v>103.39000405804565</v>
      </c>
      <c r="CL69" s="106">
        <v>43033</v>
      </c>
      <c r="CM69" s="107">
        <f t="shared" si="3"/>
        <v>112.04364792488423</v>
      </c>
    </row>
    <row r="70" spans="1:91" s="1" customFormat="1">
      <c r="A70" s="148"/>
      <c r="B70" s="148"/>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148"/>
      <c r="AB70" s="148"/>
      <c r="AC70" s="148"/>
      <c r="AD70" s="148"/>
      <c r="AE70" s="26">
        <f>Data!A65</f>
        <v>42867</v>
      </c>
      <c r="AF70" s="35">
        <f>Data!B65</f>
        <v>96.57</v>
      </c>
      <c r="AG70" s="35">
        <f>Data!F65</f>
        <v>1957341</v>
      </c>
      <c r="AH70" s="35">
        <f>Data!C65</f>
        <v>97.3</v>
      </c>
      <c r="AI70" s="35">
        <f>Data!D65</f>
        <v>96.25</v>
      </c>
      <c r="AJ70" s="35">
        <f>Data!E65</f>
        <v>97.17</v>
      </c>
      <c r="AK70" s="35">
        <f>Data!F65</f>
        <v>1957341</v>
      </c>
      <c r="AL70" s="35">
        <f t="shared" ref="AL70:AL133" si="13">AJ70</f>
        <v>97.17</v>
      </c>
      <c r="AM70" s="35">
        <f t="shared" si="4"/>
        <v>-1.317278995574767</v>
      </c>
      <c r="AN70" s="35">
        <f t="shared" si="11"/>
        <v>-71.867599973637709</v>
      </c>
      <c r="AO70" s="35" t="str">
        <f t="shared" si="5"/>
        <v>FITS BITCH</v>
      </c>
      <c r="AP70" s="35" t="str">
        <f t="shared" si="6"/>
        <v>FITS BITCH</v>
      </c>
      <c r="AQ70" s="35" t="str">
        <f t="shared" si="6"/>
        <v>FITS BITCH</v>
      </c>
      <c r="AR70" s="35" t="str">
        <f t="shared" si="7"/>
        <v>no</v>
      </c>
      <c r="AS70" s="35" t="str">
        <f t="shared" si="8"/>
        <v>FITS BITCH</v>
      </c>
      <c r="AT70" s="20" t="str">
        <f t="shared" si="9"/>
        <v/>
      </c>
      <c r="AU70" s="20" t="str">
        <f t="shared" si="10"/>
        <v>BEARISH</v>
      </c>
      <c r="AV70" s="20"/>
      <c r="AW70" s="20"/>
      <c r="AX70" s="20"/>
      <c r="AY70" s="35"/>
      <c r="AZ70" s="92" t="s">
        <v>153</v>
      </c>
      <c r="BA70" s="92">
        <f>INTERCEPT(AJ7:AJ257,AE7:AE257)</f>
        <v>-2181.0639314721579</v>
      </c>
      <c r="BB70" s="92"/>
      <c r="BC70" s="92"/>
      <c r="BD70" s="92"/>
      <c r="BE70" s="92"/>
      <c r="BF70" s="92"/>
      <c r="BG70" s="35"/>
      <c r="BH70" s="35"/>
      <c r="BI70" s="35"/>
      <c r="BJ70" s="35"/>
      <c r="BK70" s="82"/>
      <c r="BL70" s="35"/>
      <c r="BM70" s="35"/>
      <c r="CG70" s="1">
        <v>62</v>
      </c>
      <c r="CH70" s="1">
        <f ca="1"/>
        <v>112.25139209336103</v>
      </c>
      <c r="CL70" s="106">
        <v>43032</v>
      </c>
      <c r="CM70" s="107">
        <f t="shared" si="3"/>
        <v>111.9903607364613</v>
      </c>
    </row>
    <row r="71" spans="1:91" s="1" customFormat="1">
      <c r="A71" s="148"/>
      <c r="B71" s="148"/>
      <c r="C71" s="148"/>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26">
        <f>Data!A66</f>
        <v>42866</v>
      </c>
      <c r="AF71" s="35">
        <f>Data!B66</f>
        <v>96.53</v>
      </c>
      <c r="AG71" s="35">
        <f>Data!F66</f>
        <v>3029071</v>
      </c>
      <c r="AH71" s="35">
        <f>Data!C66</f>
        <v>96.6</v>
      </c>
      <c r="AI71" s="35">
        <f>Data!D66</f>
        <v>95.87</v>
      </c>
      <c r="AJ71" s="35">
        <f>Data!E66</f>
        <v>96.46</v>
      </c>
      <c r="AK71" s="35">
        <f>Data!F66</f>
        <v>3029071</v>
      </c>
      <c r="AL71" s="35">
        <f t="shared" si="13"/>
        <v>96.46</v>
      </c>
      <c r="AM71" s="35">
        <f t="shared" si="4"/>
        <v>-0.73605639643376319</v>
      </c>
      <c r="AN71" s="35">
        <f t="shared" si="11"/>
        <v>35.381475046309582</v>
      </c>
      <c r="AO71" s="35" t="str">
        <f t="shared" si="5"/>
        <v>no</v>
      </c>
      <c r="AP71" s="35" t="str">
        <f t="shared" si="6"/>
        <v>no</v>
      </c>
      <c r="AQ71" s="35" t="str">
        <f t="shared" si="6"/>
        <v>FITS BITCH</v>
      </c>
      <c r="AR71" s="35" t="str">
        <f t="shared" si="7"/>
        <v>FITS BITCH</v>
      </c>
      <c r="AS71" s="35" t="str">
        <f t="shared" si="8"/>
        <v>no</v>
      </c>
      <c r="AT71" s="20" t="str">
        <f t="shared" si="9"/>
        <v/>
      </c>
      <c r="AU71" s="20" t="str">
        <f t="shared" si="10"/>
        <v/>
      </c>
      <c r="AV71" s="20"/>
      <c r="AW71" s="20"/>
      <c r="AX71" s="20"/>
      <c r="AY71" s="35"/>
      <c r="AZ71" s="35"/>
      <c r="BA71" s="35"/>
      <c r="BB71" s="35"/>
      <c r="BC71" s="35"/>
      <c r="BD71" s="35"/>
      <c r="BE71" s="35"/>
      <c r="BF71" s="35"/>
      <c r="BG71" s="35"/>
      <c r="BH71" s="35"/>
      <c r="BI71" s="35"/>
      <c r="BJ71" s="35"/>
      <c r="BK71" s="82"/>
      <c r="BL71" s="35"/>
      <c r="BM71" s="35"/>
      <c r="CG71" s="1">
        <v>63</v>
      </c>
      <c r="CH71" s="1">
        <f ca="1"/>
        <v>112.19859789625504</v>
      </c>
      <c r="CL71" s="106">
        <v>43031</v>
      </c>
      <c r="CM71" s="107">
        <f t="shared" si="3"/>
        <v>111.93707354803837</v>
      </c>
    </row>
    <row r="72" spans="1:91" s="1" customFormat="1">
      <c r="A72" s="148"/>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26">
        <f>Data!A67</f>
        <v>42865</v>
      </c>
      <c r="AF72" s="35">
        <f>Data!B67</f>
        <v>96.97</v>
      </c>
      <c r="AG72" s="35">
        <f>Data!F67</f>
        <v>2919989</v>
      </c>
      <c r="AH72" s="35">
        <f>Data!C67</f>
        <v>97.5</v>
      </c>
      <c r="AI72" s="35">
        <f>Data!D67</f>
        <v>95.85</v>
      </c>
      <c r="AJ72" s="35">
        <f>Data!E67</f>
        <v>96.63</v>
      </c>
      <c r="AK72" s="35">
        <f>Data!F67</f>
        <v>2919989</v>
      </c>
      <c r="AL72" s="35">
        <f t="shared" si="13"/>
        <v>96.63</v>
      </c>
      <c r="AM72" s="35">
        <f t="shared" si="4"/>
        <v>0.17592880057953195</v>
      </c>
      <c r="AN72" s="35">
        <f t="shared" si="11"/>
        <v>-3.7356990043455642</v>
      </c>
      <c r="AO72" s="35" t="str">
        <f t="shared" si="5"/>
        <v>no</v>
      </c>
      <c r="AP72" s="35" t="str">
        <f t="shared" si="6"/>
        <v>FITS BITCH</v>
      </c>
      <c r="AQ72" s="35" t="str">
        <f t="shared" si="6"/>
        <v>no</v>
      </c>
      <c r="AR72" s="35" t="str">
        <f t="shared" si="7"/>
        <v>FITS BITCH</v>
      </c>
      <c r="AS72" s="35" t="str">
        <f t="shared" si="8"/>
        <v>no</v>
      </c>
      <c r="AT72" s="20" t="str">
        <f t="shared" si="9"/>
        <v/>
      </c>
      <c r="AU72" s="20" t="str">
        <f t="shared" si="10"/>
        <v/>
      </c>
      <c r="AV72" s="20"/>
      <c r="AW72" s="20"/>
      <c r="AX72" s="20"/>
      <c r="AY72" s="35"/>
      <c r="AZ72" s="35"/>
      <c r="BA72" s="35"/>
      <c r="BB72" s="35"/>
      <c r="BC72" s="35"/>
      <c r="BD72" s="35"/>
      <c r="BE72" s="35"/>
      <c r="BF72" s="35"/>
      <c r="BG72" s="35"/>
      <c r="BH72" s="35"/>
      <c r="BI72" s="35"/>
      <c r="BJ72" s="35"/>
      <c r="BK72" s="82"/>
      <c r="BL72" s="35"/>
      <c r="BM72" s="35"/>
      <c r="CG72" s="1">
        <v>64</v>
      </c>
      <c r="CH72" s="1">
        <f ca="1"/>
        <v>107.45144698926417</v>
      </c>
      <c r="CL72" s="106">
        <v>43028</v>
      </c>
      <c r="CM72" s="107">
        <f t="shared" ref="CM72:CM135" si="14">$BA$68*CL72+$BA$70</f>
        <v>111.77721198277004</v>
      </c>
    </row>
    <row r="73" spans="1:91" s="1" customFormat="1">
      <c r="A73" s="148"/>
      <c r="B73" s="148"/>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148"/>
      <c r="AB73" s="148"/>
      <c r="AC73" s="148"/>
      <c r="AD73" s="148"/>
      <c r="AE73" s="26">
        <f>Data!A68</f>
        <v>42864</v>
      </c>
      <c r="AF73" s="35">
        <f>Data!B68</f>
        <v>96.63</v>
      </c>
      <c r="AG73" s="35">
        <f>Data!F68</f>
        <v>2625166</v>
      </c>
      <c r="AH73" s="35">
        <f>Data!C68</f>
        <v>97.43</v>
      </c>
      <c r="AI73" s="35">
        <f>Data!D68</f>
        <v>96.17</v>
      </c>
      <c r="AJ73" s="35">
        <f>Data!E68</f>
        <v>97.08</v>
      </c>
      <c r="AK73" s="35">
        <f>Data!F68</f>
        <v>2625166</v>
      </c>
      <c r="AL73" s="35">
        <f t="shared" si="13"/>
        <v>97.08</v>
      </c>
      <c r="AM73" s="35">
        <f t="shared" ref="AM73:AM108" si="15">(AL73-AL72)/AL73*100</f>
        <v>0.46353522867738239</v>
      </c>
      <c r="AN73" s="35">
        <f t="shared" si="11"/>
        <v>-11.230642176532836</v>
      </c>
      <c r="AO73" s="35" t="str">
        <f t="shared" ref="AO73:AO136" si="16">IF(AN73&lt;-8,"FITS BITCH",IF(AN73&gt;-8,"no"))</f>
        <v>FITS BITCH</v>
      </c>
      <c r="AP73" s="35" t="str">
        <f t="shared" ref="AP73:AQ136" si="17">IF(AH74&lt;AH73,"FITS BITCH",IF(AH74&gt;AH73,"no"))</f>
        <v>no</v>
      </c>
      <c r="AQ73" s="35" t="str">
        <f t="shared" si="17"/>
        <v>no</v>
      </c>
      <c r="AR73" s="35" t="str">
        <f t="shared" ref="AR73:AR136" si="18">IF(AJ73&lt;AH74,"FITS BITCH",IF(AJ73&gt;AH74,"no"))</f>
        <v>FITS BITCH</v>
      </c>
      <c r="AS73" s="35" t="str">
        <f t="shared" ref="AS73:AS136" si="19">IF(AJ73&gt;AJ74,"FITS BITCH",IF(AJ73&lt;AJ74,"no"))</f>
        <v>FITS BITCH</v>
      </c>
      <c r="AT73" s="20" t="str">
        <f t="shared" ref="AT73:AT136" si="20">IF(AND($AO73="FITS BITCH",$AP73="FITS BITCH",$AR73="FITS BITCH"),"BULLISH","")</f>
        <v/>
      </c>
      <c r="AU73" s="20" t="str">
        <f t="shared" ref="AU73:AU136" si="21">IF(AND($AO73="FITS BITCH",$AQ73="FITS BITCH",$AS73="FITS BITCH"),"BEARISH","")</f>
        <v/>
      </c>
      <c r="AV73" s="20"/>
      <c r="AW73" s="20"/>
      <c r="AX73" s="20"/>
      <c r="AY73" s="35"/>
      <c r="AZ73" s="35"/>
      <c r="BA73" s="35"/>
      <c r="BB73" s="35"/>
      <c r="BC73" s="35"/>
      <c r="BD73" s="35"/>
      <c r="BE73" s="35"/>
      <c r="BF73" s="35"/>
      <c r="BG73" s="35"/>
      <c r="BH73" s="35"/>
      <c r="BI73" s="35"/>
      <c r="BJ73" s="35"/>
      <c r="BK73" s="82"/>
      <c r="BL73" s="35"/>
      <c r="BM73" s="35"/>
      <c r="CG73" s="1">
        <v>65</v>
      </c>
      <c r="CH73" s="1">
        <f ca="1"/>
        <v>114.80949406046059</v>
      </c>
      <c r="CL73" s="106">
        <v>43027</v>
      </c>
      <c r="CM73" s="107">
        <f t="shared" si="14"/>
        <v>111.72392479434757</v>
      </c>
    </row>
    <row r="74" spans="1:91" s="1" customFormat="1">
      <c r="A74" s="148"/>
      <c r="B74" s="148"/>
      <c r="C74" s="148"/>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26">
        <f>Data!A69</f>
        <v>42863</v>
      </c>
      <c r="AF74" s="35">
        <f>Data!B69</f>
        <v>99.5</v>
      </c>
      <c r="AG74" s="35">
        <f>Data!F69</f>
        <v>4799832</v>
      </c>
      <c r="AH74" s="35">
        <f>Data!C69</f>
        <v>99.65</v>
      </c>
      <c r="AI74" s="35">
        <f>Data!D69</f>
        <v>96.42</v>
      </c>
      <c r="AJ74" s="35">
        <f>Data!E69</f>
        <v>96.7</v>
      </c>
      <c r="AK74" s="35">
        <f>Data!F69</f>
        <v>4799832</v>
      </c>
      <c r="AL74" s="35">
        <f t="shared" si="13"/>
        <v>96.7</v>
      </c>
      <c r="AM74" s="35">
        <f t="shared" si="15"/>
        <v>-0.3929679420889301</v>
      </c>
      <c r="AN74" s="35">
        <f t="shared" ref="AN74:AN137" si="22">(AK74-AK73)/AK74*100</f>
        <v>45.307127416126228</v>
      </c>
      <c r="AO74" s="35" t="str">
        <f t="shared" si="16"/>
        <v>no</v>
      </c>
      <c r="AP74" s="35" t="str">
        <f t="shared" si="17"/>
        <v>FITS BITCH</v>
      </c>
      <c r="AQ74" s="35" t="str">
        <f t="shared" si="17"/>
        <v>no</v>
      </c>
      <c r="AR74" s="35" t="str">
        <f t="shared" si="18"/>
        <v>FITS BITCH</v>
      </c>
      <c r="AS74" s="35" t="str">
        <f t="shared" si="19"/>
        <v>no</v>
      </c>
      <c r="AT74" s="20" t="str">
        <f t="shared" si="20"/>
        <v/>
      </c>
      <c r="AU74" s="20" t="str">
        <f t="shared" si="21"/>
        <v/>
      </c>
      <c r="AV74" s="20"/>
      <c r="AW74" s="20"/>
      <c r="AX74" s="20"/>
      <c r="AY74" s="35"/>
      <c r="AZ74" s="35"/>
      <c r="BA74" s="35"/>
      <c r="BB74" s="35"/>
      <c r="BC74" s="35"/>
      <c r="BD74" s="35" t="s">
        <v>94</v>
      </c>
      <c r="BE74" s="35" t="s">
        <v>95</v>
      </c>
      <c r="BF74" s="35" t="s">
        <v>96</v>
      </c>
      <c r="BG74" s="35"/>
      <c r="BH74" s="35"/>
      <c r="BI74" s="35"/>
      <c r="BJ74" s="35"/>
      <c r="BK74" s="82"/>
      <c r="BL74" s="35"/>
      <c r="BM74" s="35"/>
      <c r="CG74" s="1">
        <v>66</v>
      </c>
      <c r="CH74" s="1">
        <f ca="1"/>
        <v>105.37846307379479</v>
      </c>
      <c r="CL74" s="106">
        <v>43026</v>
      </c>
      <c r="CM74" s="107">
        <f t="shared" si="14"/>
        <v>111.67063760592464</v>
      </c>
    </row>
    <row r="75" spans="1:91" s="1" customFormat="1">
      <c r="A75" s="148"/>
      <c r="B75" s="148"/>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148"/>
      <c r="AB75" s="148"/>
      <c r="AC75" s="148"/>
      <c r="AD75" s="148"/>
      <c r="AE75" s="26">
        <f>Data!A70</f>
        <v>42860</v>
      </c>
      <c r="AF75" s="35">
        <f>Data!B70</f>
        <v>99.35</v>
      </c>
      <c r="AG75" s="35">
        <f>Data!F70</f>
        <v>1858701</v>
      </c>
      <c r="AH75" s="35">
        <f>Data!C70</f>
        <v>99.53</v>
      </c>
      <c r="AI75" s="35">
        <f>Data!D70</f>
        <v>98.64</v>
      </c>
      <c r="AJ75" s="35">
        <f>Data!E70</f>
        <v>99.29</v>
      </c>
      <c r="AK75" s="35">
        <f>Data!F70</f>
        <v>1858701</v>
      </c>
      <c r="AL75" s="35">
        <f t="shared" si="13"/>
        <v>99.29</v>
      </c>
      <c r="AM75" s="35">
        <f t="shared" si="15"/>
        <v>2.6085204955181824</v>
      </c>
      <c r="AN75" s="35">
        <f t="shared" si="22"/>
        <v>-158.23583244427158</v>
      </c>
      <c r="AO75" s="35" t="str">
        <f t="shared" si="16"/>
        <v>FITS BITCH</v>
      </c>
      <c r="AP75" s="35" t="str">
        <f t="shared" si="17"/>
        <v>FITS BITCH</v>
      </c>
      <c r="AQ75" s="35" t="str">
        <f t="shared" si="17"/>
        <v>FITS BITCH</v>
      </c>
      <c r="AR75" s="35" t="str">
        <f t="shared" si="18"/>
        <v>no</v>
      </c>
      <c r="AS75" s="35" t="str">
        <f t="shared" si="19"/>
        <v>FITS BITCH</v>
      </c>
      <c r="AT75" s="20" t="str">
        <f t="shared" si="20"/>
        <v/>
      </c>
      <c r="AU75" s="20" t="str">
        <f t="shared" si="21"/>
        <v>BEARISH</v>
      </c>
      <c r="AV75" s="20"/>
      <c r="AW75" s="20"/>
      <c r="AX75" s="20"/>
      <c r="AY75" s="35"/>
      <c r="AZ75" s="35"/>
      <c r="BA75" s="35"/>
      <c r="BB75" s="35" t="s">
        <v>102</v>
      </c>
      <c r="BC75" s="63">
        <f>MIN(AJ7:AJ195)</f>
        <v>91.08</v>
      </c>
      <c r="BD75" s="35" t="s">
        <v>103</v>
      </c>
      <c r="BE75" s="94">
        <f>BC77-3*BC79</f>
        <v>88.872561339447401</v>
      </c>
      <c r="BF75" s="35">
        <f t="array" ref="BF75:BF82">FREQUENCY(AJ7:AJ195,BE75:BE82)</f>
        <v>0</v>
      </c>
      <c r="BG75" s="35"/>
      <c r="BH75" s="35"/>
      <c r="BI75" s="35"/>
      <c r="BJ75" s="35"/>
      <c r="BK75" s="82"/>
      <c r="BL75" s="35"/>
      <c r="BM75" s="35"/>
      <c r="CG75" s="1">
        <v>67</v>
      </c>
      <c r="CH75" s="1">
        <f ca="1"/>
        <v>102.97751456531363</v>
      </c>
      <c r="CL75" s="106">
        <v>43025</v>
      </c>
      <c r="CM75" s="107">
        <f t="shared" si="14"/>
        <v>111.61735041750171</v>
      </c>
    </row>
    <row r="76" spans="1:91" s="1" customFormat="1">
      <c r="A76" s="148"/>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c r="AB76" s="148"/>
      <c r="AC76" s="148"/>
      <c r="AD76" s="148"/>
      <c r="AE76" s="26">
        <f>Data!A71</f>
        <v>42859</v>
      </c>
      <c r="AF76" s="35">
        <f>Data!B71</f>
        <v>98.31</v>
      </c>
      <c r="AG76" s="35">
        <f>Data!F71</f>
        <v>3377997</v>
      </c>
      <c r="AH76" s="35">
        <f>Data!C71</f>
        <v>99.13</v>
      </c>
      <c r="AI76" s="35">
        <f>Data!D71</f>
        <v>97.59</v>
      </c>
      <c r="AJ76" s="35">
        <f>Data!E71</f>
        <v>99.1</v>
      </c>
      <c r="AK76" s="35">
        <f>Data!F71</f>
        <v>3377997</v>
      </c>
      <c r="AL76" s="35">
        <f t="shared" si="13"/>
        <v>99.1</v>
      </c>
      <c r="AM76" s="35">
        <f t="shared" si="15"/>
        <v>-0.19172552976792326</v>
      </c>
      <c r="AN76" s="35">
        <f t="shared" si="22"/>
        <v>44.976238877654424</v>
      </c>
      <c r="AO76" s="35" t="str">
        <f t="shared" si="16"/>
        <v>no</v>
      </c>
      <c r="AP76" s="35" t="str">
        <f t="shared" si="17"/>
        <v>no</v>
      </c>
      <c r="AQ76" s="35" t="str">
        <f t="shared" si="17"/>
        <v>FITS BITCH</v>
      </c>
      <c r="AR76" s="35" t="str">
        <f t="shared" si="18"/>
        <v>FITS BITCH</v>
      </c>
      <c r="AS76" s="35" t="str">
        <f t="shared" si="19"/>
        <v>FITS BITCH</v>
      </c>
      <c r="AT76" s="20" t="str">
        <f t="shared" si="20"/>
        <v/>
      </c>
      <c r="AU76" s="20" t="str">
        <f t="shared" si="21"/>
        <v/>
      </c>
      <c r="AV76" s="20"/>
      <c r="AW76" s="20"/>
      <c r="AX76" s="20"/>
      <c r="AY76" s="35"/>
      <c r="AZ76" s="35"/>
      <c r="BA76" s="35"/>
      <c r="BB76" s="35" t="s">
        <v>108</v>
      </c>
      <c r="BC76" s="63">
        <f>MAX(AJ7:AJ195)</f>
        <v>118.91</v>
      </c>
      <c r="BD76" s="35" t="s">
        <v>109</v>
      </c>
      <c r="BE76" s="94">
        <f>BC77-2*BC79</f>
        <v>93.15865641324713</v>
      </c>
      <c r="BF76" s="35">
        <v>4</v>
      </c>
      <c r="BG76" s="35"/>
      <c r="BH76" s="35"/>
      <c r="BI76" s="35"/>
      <c r="BJ76" s="35"/>
      <c r="BK76" s="82"/>
      <c r="BL76" s="35"/>
      <c r="BM76" s="35"/>
      <c r="CG76" s="1">
        <v>68</v>
      </c>
      <c r="CH76" s="1">
        <f ca="1"/>
        <v>113.55212126833163</v>
      </c>
      <c r="CL76" s="106">
        <v>43024</v>
      </c>
      <c r="CM76" s="107">
        <f t="shared" si="14"/>
        <v>111.56406322907924</v>
      </c>
    </row>
    <row r="77" spans="1:91" s="1" customFormat="1" ht="15" customHeight="1">
      <c r="A77" s="148"/>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26">
        <f>Data!A72</f>
        <v>42858</v>
      </c>
      <c r="AF77" s="35">
        <f>Data!B72</f>
        <v>98.95</v>
      </c>
      <c r="AG77" s="35">
        <f>Data!F72</f>
        <v>6336007</v>
      </c>
      <c r="AH77" s="35">
        <f>Data!C72</f>
        <v>99.62</v>
      </c>
      <c r="AI77" s="35">
        <f>Data!D72</f>
        <v>95.5</v>
      </c>
      <c r="AJ77" s="35">
        <f>Data!E72</f>
        <v>97.51</v>
      </c>
      <c r="AK77" s="35">
        <f>Data!F72</f>
        <v>6336007</v>
      </c>
      <c r="AL77" s="35">
        <f t="shared" si="13"/>
        <v>97.51</v>
      </c>
      <c r="AM77" s="35">
        <f t="shared" si="15"/>
        <v>-1.6306019895395232</v>
      </c>
      <c r="AN77" s="35">
        <f t="shared" si="22"/>
        <v>46.685712310608238</v>
      </c>
      <c r="AO77" s="35" t="str">
        <f t="shared" si="16"/>
        <v>no</v>
      </c>
      <c r="AP77" s="35" t="str">
        <f t="shared" si="17"/>
        <v>no</v>
      </c>
      <c r="AQ77" s="35" t="str">
        <f t="shared" si="17"/>
        <v>no</v>
      </c>
      <c r="AR77" s="35" t="str">
        <f t="shared" si="18"/>
        <v>FITS BITCH</v>
      </c>
      <c r="AS77" s="35" t="str">
        <f t="shared" si="19"/>
        <v>no</v>
      </c>
      <c r="AT77" s="20" t="str">
        <f t="shared" si="20"/>
        <v/>
      </c>
      <c r="AU77" s="20" t="str">
        <f t="shared" si="21"/>
        <v/>
      </c>
      <c r="AV77" s="20"/>
      <c r="AW77" s="20"/>
      <c r="AX77" s="20"/>
      <c r="AY77" s="35"/>
      <c r="AZ77" s="35"/>
      <c r="BA77" s="35"/>
      <c r="BB77" s="93" t="s">
        <v>114</v>
      </c>
      <c r="BC77" s="63">
        <f>AVERAGE(AJ7:AJ195)</f>
        <v>101.7308465608466</v>
      </c>
      <c r="BD77" s="35" t="s">
        <v>115</v>
      </c>
      <c r="BE77" s="94">
        <f>BC77-BC79</f>
        <v>97.444751487046872</v>
      </c>
      <c r="BF77" s="35">
        <v>26</v>
      </c>
      <c r="BG77" s="35"/>
      <c r="BH77" s="35"/>
      <c r="BI77" s="35"/>
      <c r="BJ77" s="35"/>
      <c r="BK77" s="82"/>
      <c r="BL77" s="35"/>
      <c r="BM77" s="35"/>
      <c r="CG77" s="1">
        <v>69</v>
      </c>
      <c r="CH77" s="1">
        <f ca="1"/>
        <v>115.52259176683152</v>
      </c>
      <c r="CL77" s="106">
        <v>43021</v>
      </c>
      <c r="CM77" s="107">
        <f t="shared" si="14"/>
        <v>111.40420166381091</v>
      </c>
    </row>
    <row r="78" spans="1:91" s="1" customFormat="1" ht="15" customHeight="1">
      <c r="A78" s="148"/>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26">
        <f>Data!A73</f>
        <v>42857</v>
      </c>
      <c r="AF78" s="35">
        <f>Data!B73</f>
        <v>104.19</v>
      </c>
      <c r="AG78" s="35">
        <f>Data!F73</f>
        <v>2254321</v>
      </c>
      <c r="AH78" s="35">
        <f>Data!C73</f>
        <v>104.43</v>
      </c>
      <c r="AI78" s="35">
        <f>Data!D73</f>
        <v>103.6</v>
      </c>
      <c r="AJ78" s="35">
        <f>Data!E73</f>
        <v>104.01</v>
      </c>
      <c r="AK78" s="35">
        <f>Data!F73</f>
        <v>2254321</v>
      </c>
      <c r="AL78" s="35">
        <f t="shared" si="13"/>
        <v>104.01</v>
      </c>
      <c r="AM78" s="35">
        <f t="shared" si="15"/>
        <v>6.2493990962407455</v>
      </c>
      <c r="AN78" s="35">
        <f t="shared" si="22"/>
        <v>-181.06054993942743</v>
      </c>
      <c r="AO78" s="35" t="str">
        <f t="shared" si="16"/>
        <v>FITS BITCH</v>
      </c>
      <c r="AP78" s="35" t="str">
        <f t="shared" si="17"/>
        <v>FITS BITCH</v>
      </c>
      <c r="AQ78" s="35" t="str">
        <f t="shared" si="17"/>
        <v>FITS BITCH</v>
      </c>
      <c r="AR78" s="35" t="str">
        <f t="shared" si="18"/>
        <v>FITS BITCH</v>
      </c>
      <c r="AS78" s="35" t="str">
        <f t="shared" si="19"/>
        <v>FITS BITCH</v>
      </c>
      <c r="AT78" s="20" t="str">
        <f t="shared" si="20"/>
        <v>BULLISH</v>
      </c>
      <c r="AU78" s="20" t="str">
        <f t="shared" si="21"/>
        <v>BEARISH</v>
      </c>
      <c r="AV78" s="20"/>
      <c r="AW78" s="20"/>
      <c r="AX78" s="20"/>
      <c r="AY78" s="35"/>
      <c r="AZ78" s="35"/>
      <c r="BA78" s="35"/>
      <c r="BB78" s="93" t="s">
        <v>119</v>
      </c>
      <c r="BC78" s="63">
        <f>VAR(AJ7:AJ195)</f>
        <v>18.370610981650348</v>
      </c>
      <c r="BD78" s="35" t="s">
        <v>120</v>
      </c>
      <c r="BE78" s="94">
        <f>BC77</f>
        <v>101.7308465608466</v>
      </c>
      <c r="BF78" s="35">
        <v>52</v>
      </c>
      <c r="BG78" s="35"/>
      <c r="BH78" s="35"/>
      <c r="BI78" s="35"/>
      <c r="BJ78" s="35"/>
      <c r="BK78" s="82"/>
      <c r="BL78" s="35"/>
      <c r="BM78" s="35"/>
      <c r="CG78" s="1">
        <v>70</v>
      </c>
      <c r="CH78" s="1">
        <f ca="1"/>
        <v>105.29904190489916</v>
      </c>
      <c r="CL78" s="106">
        <v>43020</v>
      </c>
      <c r="CM78" s="107">
        <f t="shared" si="14"/>
        <v>111.35091447538798</v>
      </c>
    </row>
    <row r="79" spans="1:91" s="1" customFormat="1" ht="15" customHeight="1">
      <c r="A79" s="148"/>
      <c r="B79" s="148"/>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48"/>
      <c r="AA79" s="148"/>
      <c r="AB79" s="148"/>
      <c r="AC79" s="148"/>
      <c r="AD79" s="148"/>
      <c r="AE79" s="26">
        <f>Data!A74</f>
        <v>42856</v>
      </c>
      <c r="AF79" s="35">
        <f>Data!B74</f>
        <v>104.29</v>
      </c>
      <c r="AG79" s="35">
        <f>Data!F74</f>
        <v>1406147</v>
      </c>
      <c r="AH79" s="35">
        <f>Data!C74</f>
        <v>104.41</v>
      </c>
      <c r="AI79" s="35">
        <f>Data!D74</f>
        <v>103.59</v>
      </c>
      <c r="AJ79" s="35">
        <f>Data!E74</f>
        <v>103.97</v>
      </c>
      <c r="AK79" s="35">
        <f>Data!F74</f>
        <v>1406147</v>
      </c>
      <c r="AL79" s="35">
        <f t="shared" si="13"/>
        <v>103.97</v>
      </c>
      <c r="AM79" s="35">
        <f t="shared" si="15"/>
        <v>-3.8472636337411034E-2</v>
      </c>
      <c r="AN79" s="35">
        <f t="shared" si="22"/>
        <v>-60.319013588195261</v>
      </c>
      <c r="AO79" s="35" t="str">
        <f t="shared" si="16"/>
        <v>FITS BITCH</v>
      </c>
      <c r="AP79" s="35" t="str">
        <f t="shared" si="17"/>
        <v>no</v>
      </c>
      <c r="AQ79" s="35" t="str">
        <f t="shared" si="17"/>
        <v>no</v>
      </c>
      <c r="AR79" s="35" t="str">
        <f t="shared" si="18"/>
        <v>FITS BITCH</v>
      </c>
      <c r="AS79" s="35" t="str">
        <f t="shared" si="19"/>
        <v>no</v>
      </c>
      <c r="AT79" s="20" t="str">
        <f t="shared" si="20"/>
        <v/>
      </c>
      <c r="AU79" s="20" t="str">
        <f t="shared" si="21"/>
        <v/>
      </c>
      <c r="AV79" s="20"/>
      <c r="AW79" s="20"/>
      <c r="AX79" s="20"/>
      <c r="AY79" s="35"/>
      <c r="AZ79" s="35"/>
      <c r="BA79" s="35"/>
      <c r="BB79" s="93" t="s">
        <v>123</v>
      </c>
      <c r="BC79" s="63">
        <f>STDEV(AJ7:AJ195)</f>
        <v>4.2860950737997339</v>
      </c>
      <c r="BD79" s="35" t="s">
        <v>124</v>
      </c>
      <c r="BE79" s="94">
        <f>BC77+BC79</f>
        <v>106.01694163464633</v>
      </c>
      <c r="BF79" s="35">
        <v>95</v>
      </c>
      <c r="BG79" s="35"/>
      <c r="BH79" s="35"/>
      <c r="BI79" s="35"/>
      <c r="BJ79" s="35"/>
      <c r="BK79" s="82"/>
      <c r="BL79" s="35"/>
      <c r="BM79" s="35"/>
      <c r="CG79" s="1">
        <v>71</v>
      </c>
      <c r="CH79" s="1">
        <f ca="1"/>
        <v>106.38141208397519</v>
      </c>
      <c r="CL79" s="106">
        <v>43019</v>
      </c>
      <c r="CM79" s="107">
        <f t="shared" si="14"/>
        <v>111.29762728696505</v>
      </c>
    </row>
    <row r="80" spans="1:91" s="1" customFormat="1" ht="15" customHeight="1">
      <c r="A80" s="148"/>
      <c r="B80" s="148"/>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148"/>
      <c r="AC80" s="148"/>
      <c r="AD80" s="148"/>
      <c r="AE80" s="26">
        <f>Data!A75</f>
        <v>42853</v>
      </c>
      <c r="AF80" s="35">
        <f>Data!B75</f>
        <v>105.03</v>
      </c>
      <c r="AG80" s="35">
        <f>Data!F75</f>
        <v>1610922</v>
      </c>
      <c r="AH80" s="35">
        <f>Data!C75</f>
        <v>105.28</v>
      </c>
      <c r="AI80" s="35">
        <f>Data!D75</f>
        <v>104.29</v>
      </c>
      <c r="AJ80" s="35">
        <f>Data!E75</f>
        <v>104.49</v>
      </c>
      <c r="AK80" s="35">
        <f>Data!F75</f>
        <v>1610922</v>
      </c>
      <c r="AL80" s="35">
        <f t="shared" si="13"/>
        <v>104.49</v>
      </c>
      <c r="AM80" s="35">
        <f t="shared" si="15"/>
        <v>0.49765527801703136</v>
      </c>
      <c r="AN80" s="35">
        <f t="shared" si="22"/>
        <v>12.711664500205472</v>
      </c>
      <c r="AO80" s="35" t="str">
        <f t="shared" si="16"/>
        <v>no</v>
      </c>
      <c r="AP80" s="35" t="str">
        <f t="shared" si="17"/>
        <v>no</v>
      </c>
      <c r="AQ80" s="35" t="str">
        <f t="shared" si="17"/>
        <v>no</v>
      </c>
      <c r="AR80" s="35" t="str">
        <f t="shared" si="18"/>
        <v>FITS BITCH</v>
      </c>
      <c r="AS80" s="35" t="str">
        <f t="shared" si="19"/>
        <v>no</v>
      </c>
      <c r="AT80" s="20" t="str">
        <f t="shared" si="20"/>
        <v/>
      </c>
      <c r="AU80" s="20" t="str">
        <f t="shared" si="21"/>
        <v/>
      </c>
      <c r="AV80" s="20"/>
      <c r="AW80" s="20"/>
      <c r="AX80" s="20"/>
      <c r="AY80" s="35"/>
      <c r="AZ80" s="35"/>
      <c r="BA80" s="35"/>
      <c r="BB80" s="35"/>
      <c r="BC80" s="35"/>
      <c r="BD80" s="35" t="s">
        <v>127</v>
      </c>
      <c r="BE80" s="94">
        <f>BC77+2*BC79</f>
        <v>110.30303670844607</v>
      </c>
      <c r="BF80" s="35">
        <v>4</v>
      </c>
      <c r="BG80" s="35"/>
      <c r="BH80" s="35"/>
      <c r="BI80" s="35"/>
      <c r="BJ80" s="35"/>
      <c r="BK80" s="82"/>
      <c r="BL80" s="35"/>
      <c r="BM80" s="35"/>
      <c r="CG80" s="1">
        <v>72</v>
      </c>
      <c r="CH80" s="1">
        <f ca="1"/>
        <v>110.31035763661492</v>
      </c>
      <c r="CL80" s="106">
        <v>43018</v>
      </c>
      <c r="CM80" s="107">
        <f t="shared" si="14"/>
        <v>111.24434009854258</v>
      </c>
    </row>
    <row r="81" spans="1:91" s="1" customFormat="1" ht="15" customHeight="1">
      <c r="A81" s="148"/>
      <c r="B81" s="148"/>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148"/>
      <c r="AC81" s="148"/>
      <c r="AD81" s="148"/>
      <c r="AE81" s="26">
        <f>Data!A76</f>
        <v>42852</v>
      </c>
      <c r="AF81" s="35">
        <f>Data!B76</f>
        <v>105.26</v>
      </c>
      <c r="AG81" s="35">
        <f>Data!F76</f>
        <v>1505235</v>
      </c>
      <c r="AH81" s="35">
        <f>Data!C76</f>
        <v>105.68</v>
      </c>
      <c r="AI81" s="35">
        <f>Data!D76</f>
        <v>104.65</v>
      </c>
      <c r="AJ81" s="35">
        <f>Data!E76</f>
        <v>105.16</v>
      </c>
      <c r="AK81" s="35">
        <f>Data!F76</f>
        <v>1505235</v>
      </c>
      <c r="AL81" s="35">
        <f t="shared" si="13"/>
        <v>105.16</v>
      </c>
      <c r="AM81" s="35">
        <f t="shared" si="15"/>
        <v>0.63712438189425802</v>
      </c>
      <c r="AN81" s="35">
        <f t="shared" si="22"/>
        <v>-7.0212956780834892</v>
      </c>
      <c r="AO81" s="35" t="str">
        <f t="shared" si="16"/>
        <v>no</v>
      </c>
      <c r="AP81" s="35" t="str">
        <f t="shared" si="17"/>
        <v>FITS BITCH</v>
      </c>
      <c r="AQ81" s="35" t="str">
        <f t="shared" si="17"/>
        <v>FITS BITCH</v>
      </c>
      <c r="AR81" s="35" t="str">
        <f t="shared" si="18"/>
        <v>no</v>
      </c>
      <c r="AS81" s="35" t="str">
        <f t="shared" si="19"/>
        <v>FITS BITCH</v>
      </c>
      <c r="AT81" s="20" t="str">
        <f t="shared" si="20"/>
        <v/>
      </c>
      <c r="AU81" s="20" t="str">
        <f t="shared" si="21"/>
        <v/>
      </c>
      <c r="AV81" s="20"/>
      <c r="AW81" s="20"/>
      <c r="AX81" s="20"/>
      <c r="AY81" s="35"/>
      <c r="AZ81" s="35"/>
      <c r="BA81" s="35"/>
      <c r="BB81" s="35"/>
      <c r="BC81" s="35"/>
      <c r="BD81" s="35" t="s">
        <v>129</v>
      </c>
      <c r="BE81" s="94">
        <f>BC77+3*BC79</f>
        <v>114.5891317822458</v>
      </c>
      <c r="BF81" s="35">
        <v>3</v>
      </c>
      <c r="BG81" s="35"/>
      <c r="BH81" s="35"/>
      <c r="BI81" s="35"/>
      <c r="BJ81" s="35"/>
      <c r="BK81" s="82"/>
      <c r="BL81" s="35"/>
      <c r="BM81" s="35"/>
      <c r="CG81" s="1">
        <v>73</v>
      </c>
      <c r="CH81" s="1">
        <f ca="1"/>
        <v>102.74316545847671</v>
      </c>
      <c r="CL81" s="106">
        <v>43017</v>
      </c>
      <c r="CM81" s="107">
        <f t="shared" si="14"/>
        <v>111.19105291011965</v>
      </c>
    </row>
    <row r="82" spans="1:91" ht="15" customHeight="1">
      <c r="A82" s="148"/>
      <c r="B82" s="148"/>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48"/>
      <c r="AA82" s="148"/>
      <c r="AB82" s="148"/>
      <c r="AC82" s="148"/>
      <c r="AD82" s="148"/>
      <c r="AE82" s="26">
        <f>Data!A77</f>
        <v>42851</v>
      </c>
      <c r="AF82" s="35">
        <f>Data!B77</f>
        <v>104.51</v>
      </c>
      <c r="AG82" s="35">
        <f>Data!F77</f>
        <v>1431106</v>
      </c>
      <c r="AH82" s="35">
        <f>Data!C77</f>
        <v>105.15</v>
      </c>
      <c r="AI82" s="35">
        <f>Data!D77</f>
        <v>104.31</v>
      </c>
      <c r="AJ82" s="35">
        <f>Data!E77</f>
        <v>104.86</v>
      </c>
      <c r="AK82" s="35">
        <f>Data!F77</f>
        <v>1431106</v>
      </c>
      <c r="AL82" s="35">
        <f t="shared" si="13"/>
        <v>104.86</v>
      </c>
      <c r="AM82" s="35">
        <f t="shared" si="15"/>
        <v>-0.28609574670989618</v>
      </c>
      <c r="AN82" s="35">
        <f t="shared" si="22"/>
        <v>-5.1798399279997431</v>
      </c>
      <c r="AO82" s="35" t="str">
        <f t="shared" si="16"/>
        <v>no</v>
      </c>
      <c r="AP82" s="35" t="str">
        <f t="shared" si="17"/>
        <v>no</v>
      </c>
      <c r="AQ82" s="35" t="str">
        <f t="shared" si="17"/>
        <v>FITS BITCH</v>
      </c>
      <c r="AR82" s="35" t="str">
        <f t="shared" si="18"/>
        <v>FITS BITCH</v>
      </c>
      <c r="AS82" s="35" t="str">
        <f t="shared" si="19"/>
        <v>no</v>
      </c>
      <c r="AT82" s="20" t="str">
        <f t="shared" si="20"/>
        <v/>
      </c>
      <c r="AU82" s="20" t="str">
        <f t="shared" si="21"/>
        <v/>
      </c>
      <c r="AV82" s="20"/>
      <c r="AW82" s="20"/>
      <c r="AX82" s="20"/>
      <c r="AY82" s="35"/>
      <c r="AZ82" s="35"/>
      <c r="BA82" s="35"/>
      <c r="BB82" s="35"/>
      <c r="BC82" s="35"/>
      <c r="BD82" s="35" t="s">
        <v>132</v>
      </c>
      <c r="BE82" s="35"/>
      <c r="BF82" s="35">
        <v>5</v>
      </c>
      <c r="BG82" s="35"/>
      <c r="BH82" s="35"/>
      <c r="BI82" s="35"/>
      <c r="BJ82" s="35"/>
      <c r="BK82" s="82"/>
      <c r="BL82" s="35"/>
      <c r="BM82" s="35"/>
      <c r="CG82" s="1">
        <v>74</v>
      </c>
      <c r="CH82" s="4">
        <f ca="1"/>
        <v>116.19836728107231</v>
      </c>
      <c r="CL82" s="106">
        <v>43014</v>
      </c>
      <c r="CM82" s="107">
        <f t="shared" si="14"/>
        <v>111.03119134485132</v>
      </c>
    </row>
    <row r="83" spans="1:91" ht="15" customHeight="1">
      <c r="A83" s="148"/>
      <c r="B83" s="148"/>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48"/>
      <c r="AA83" s="148"/>
      <c r="AB83" s="148"/>
      <c r="AC83" s="148"/>
      <c r="AD83" s="148"/>
      <c r="AE83" s="26">
        <f>Data!A78</f>
        <v>42850</v>
      </c>
      <c r="AF83" s="35">
        <f>Data!B78</f>
        <v>104.14</v>
      </c>
      <c r="AG83" s="35">
        <f>Data!F78</f>
        <v>1306521</v>
      </c>
      <c r="AH83" s="35">
        <f>Data!C78</f>
        <v>105.22</v>
      </c>
      <c r="AI83" s="35">
        <f>Data!D78</f>
        <v>104.09</v>
      </c>
      <c r="AJ83" s="35">
        <f>Data!E78</f>
        <v>105.01</v>
      </c>
      <c r="AK83" s="35">
        <f>Data!F78</f>
        <v>1306521</v>
      </c>
      <c r="AL83" s="35">
        <f t="shared" si="13"/>
        <v>105.01</v>
      </c>
      <c r="AM83" s="35">
        <f t="shared" si="15"/>
        <v>0.1428435387106044</v>
      </c>
      <c r="AN83" s="35">
        <f t="shared" si="22"/>
        <v>-9.535629354598969</v>
      </c>
      <c r="AO83" s="35" t="str">
        <f t="shared" si="16"/>
        <v>FITS BITCH</v>
      </c>
      <c r="AP83" s="35" t="str">
        <f t="shared" si="17"/>
        <v>FITS BITCH</v>
      </c>
      <c r="AQ83" s="35" t="str">
        <f t="shared" si="17"/>
        <v>FITS BITCH</v>
      </c>
      <c r="AR83" s="35" t="str">
        <f t="shared" si="18"/>
        <v>no</v>
      </c>
      <c r="AS83" s="35" t="str">
        <f t="shared" si="19"/>
        <v>FITS BITCH</v>
      </c>
      <c r="AT83" s="20" t="str">
        <f t="shared" si="20"/>
        <v/>
      </c>
      <c r="AU83" s="20" t="str">
        <f t="shared" si="21"/>
        <v>BEARISH</v>
      </c>
      <c r="AV83" s="20"/>
      <c r="AW83" s="20"/>
      <c r="AX83" s="20"/>
      <c r="AY83" s="35"/>
      <c r="AZ83" s="35"/>
      <c r="BA83" s="35"/>
      <c r="BB83" s="35"/>
      <c r="BC83" s="35"/>
      <c r="BD83" s="35"/>
      <c r="BE83" s="35"/>
      <c r="BF83" s="35"/>
      <c r="BG83" s="35"/>
      <c r="BH83" s="35"/>
      <c r="BI83" s="35"/>
      <c r="BJ83" s="35"/>
      <c r="BK83" s="82"/>
      <c r="BL83" s="35"/>
      <c r="BM83" s="35"/>
      <c r="CG83" s="1">
        <v>75</v>
      </c>
      <c r="CH83" s="4">
        <f ca="1"/>
        <v>120.86451583228987</v>
      </c>
      <c r="CL83" s="106">
        <v>43013</v>
      </c>
      <c r="CM83" s="107">
        <f t="shared" si="14"/>
        <v>110.97790415642839</v>
      </c>
    </row>
    <row r="84" spans="1:91" ht="15" customHeight="1" thickBot="1">
      <c r="A84" s="148"/>
      <c r="B84" s="148"/>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48"/>
      <c r="AA84" s="148"/>
      <c r="AB84" s="148"/>
      <c r="AC84" s="148"/>
      <c r="AD84" s="148"/>
      <c r="AE84" s="26">
        <f>Data!A79</f>
        <v>42849</v>
      </c>
      <c r="AF84" s="35">
        <f>Data!B79</f>
        <v>104</v>
      </c>
      <c r="AG84" s="35">
        <f>Data!F79</f>
        <v>1887063</v>
      </c>
      <c r="AH84" s="35">
        <f>Data!C79</f>
        <v>104.19</v>
      </c>
      <c r="AI84" s="35">
        <f>Data!D79</f>
        <v>103.1</v>
      </c>
      <c r="AJ84" s="35">
        <f>Data!E79</f>
        <v>104.14</v>
      </c>
      <c r="AK84" s="35">
        <f>Data!F79</f>
        <v>1887063</v>
      </c>
      <c r="AL84" s="35">
        <f t="shared" si="13"/>
        <v>104.14</v>
      </c>
      <c r="AM84" s="35">
        <f t="shared" si="15"/>
        <v>-0.83541386594968747</v>
      </c>
      <c r="AN84" s="35">
        <f t="shared" si="22"/>
        <v>30.764314704914465</v>
      </c>
      <c r="AO84" s="35" t="str">
        <f t="shared" si="16"/>
        <v>no</v>
      </c>
      <c r="AP84" s="35" t="str">
        <f t="shared" si="17"/>
        <v>FITS BITCH</v>
      </c>
      <c r="AQ84" s="35" t="str">
        <f t="shared" si="17"/>
        <v>FITS BITCH</v>
      </c>
      <c r="AR84" s="35" t="str">
        <f t="shared" si="18"/>
        <v>no</v>
      </c>
      <c r="AS84" s="35" t="str">
        <f t="shared" si="19"/>
        <v>FITS BITCH</v>
      </c>
      <c r="AT84" s="20" t="str">
        <f t="shared" si="20"/>
        <v/>
      </c>
      <c r="AU84" s="20" t="str">
        <f t="shared" si="21"/>
        <v/>
      </c>
      <c r="AV84" s="20"/>
      <c r="AW84" s="20"/>
      <c r="AX84" s="20"/>
      <c r="AY84" s="35"/>
      <c r="AZ84" s="35"/>
      <c r="BA84" s="35"/>
      <c r="BB84" s="20" t="s">
        <v>135</v>
      </c>
      <c r="BC84" s="35" t="s">
        <v>136</v>
      </c>
      <c r="BD84" s="97">
        <f>_xlfn.NORM.DIST($F$8,$BC$77,$BC$79,1)</f>
        <v>0.95069762275019132</v>
      </c>
      <c r="BE84" s="35" t="s">
        <v>137</v>
      </c>
      <c r="BF84" s="35">
        <f>$F$8</f>
        <v>108.81</v>
      </c>
      <c r="BG84" s="35"/>
      <c r="BH84" s="35"/>
      <c r="BI84" s="35"/>
      <c r="BJ84" s="35"/>
      <c r="BK84" s="82"/>
      <c r="BL84" s="35"/>
      <c r="BM84" s="35"/>
      <c r="CG84" s="1">
        <v>76</v>
      </c>
      <c r="CH84" s="4">
        <f ca="1"/>
        <v>107.52348132607013</v>
      </c>
      <c r="CL84" s="106">
        <v>43012</v>
      </c>
      <c r="CM84" s="107">
        <f t="shared" si="14"/>
        <v>110.92461696800592</v>
      </c>
    </row>
    <row r="85" spans="1:91" ht="18" customHeight="1" thickTop="1" thickBot="1">
      <c r="A85" s="148"/>
      <c r="B85" s="148"/>
      <c r="C85" s="160"/>
      <c r="D85" s="160"/>
      <c r="E85" s="160"/>
      <c r="F85" s="148"/>
      <c r="G85" s="148"/>
      <c r="H85" s="148"/>
      <c r="I85" s="148"/>
      <c r="J85" s="148"/>
      <c r="K85" s="148"/>
      <c r="L85" s="148"/>
      <c r="M85" s="148"/>
      <c r="N85" s="148"/>
      <c r="O85" s="148"/>
      <c r="P85" s="148"/>
      <c r="Q85" s="148"/>
      <c r="R85" s="148"/>
      <c r="S85" s="148"/>
      <c r="T85" s="148"/>
      <c r="U85" s="148"/>
      <c r="V85" s="148"/>
      <c r="W85" s="148"/>
      <c r="X85" s="148"/>
      <c r="Y85" s="148"/>
      <c r="Z85" s="148"/>
      <c r="AA85" s="148"/>
      <c r="AB85" s="148"/>
      <c r="AC85" s="148"/>
      <c r="AD85" s="148"/>
      <c r="AE85" s="26">
        <f>Data!A80</f>
        <v>42846</v>
      </c>
      <c r="AF85" s="35">
        <f>Data!B80</f>
        <v>103.04</v>
      </c>
      <c r="AG85" s="35">
        <f>Data!F80</f>
        <v>1528866</v>
      </c>
      <c r="AH85" s="35">
        <f>Data!C80</f>
        <v>103.48</v>
      </c>
      <c r="AI85" s="35">
        <f>Data!D80</f>
        <v>102.49</v>
      </c>
      <c r="AJ85" s="35">
        <f>Data!E80</f>
        <v>102.69</v>
      </c>
      <c r="AK85" s="35">
        <f>Data!F80</f>
        <v>1528866</v>
      </c>
      <c r="AL85" s="35">
        <f t="shared" si="13"/>
        <v>102.69</v>
      </c>
      <c r="AM85" s="35">
        <f t="shared" si="15"/>
        <v>-1.4120167494400653</v>
      </c>
      <c r="AN85" s="35">
        <f t="shared" si="22"/>
        <v>-23.428933601767586</v>
      </c>
      <c r="AO85" s="35" t="str">
        <f t="shared" si="16"/>
        <v>FITS BITCH</v>
      </c>
      <c r="AP85" s="35" t="str">
        <f t="shared" si="17"/>
        <v>FITS BITCH</v>
      </c>
      <c r="AQ85" s="35" t="str">
        <f t="shared" si="17"/>
        <v>FITS BITCH</v>
      </c>
      <c r="AR85" s="35" t="str">
        <f t="shared" si="18"/>
        <v>FITS BITCH</v>
      </c>
      <c r="AS85" s="35" t="str">
        <f t="shared" si="19"/>
        <v>no</v>
      </c>
      <c r="AT85" s="20" t="str">
        <f t="shared" si="20"/>
        <v>BULLISH</v>
      </c>
      <c r="AU85" s="20" t="str">
        <f t="shared" si="21"/>
        <v/>
      </c>
      <c r="AV85" s="20"/>
      <c r="AW85" s="20"/>
      <c r="AX85" s="20"/>
      <c r="AY85" s="35"/>
      <c r="AZ85" s="35"/>
      <c r="BA85" s="35"/>
      <c r="BB85" s="35"/>
      <c r="BC85" s="35" t="s">
        <v>140</v>
      </c>
      <c r="BD85" s="103">
        <f>((COUNTIF(AJ7:AJ195,"&lt;"&amp;$F$8))/(COUNT(AJ7:AJ195)))</f>
        <v>0.94179894179894175</v>
      </c>
      <c r="BE85" s="35" t="s">
        <v>141</v>
      </c>
      <c r="BF85" s="35">
        <f>$F$8</f>
        <v>108.81</v>
      </c>
      <c r="BG85" s="35"/>
      <c r="BH85" s="35"/>
      <c r="BI85" s="35"/>
      <c r="BJ85" s="35"/>
      <c r="BK85" s="82"/>
      <c r="BL85" s="35"/>
      <c r="BM85" s="35"/>
      <c r="CG85" s="1">
        <v>77</v>
      </c>
      <c r="CH85" s="4">
        <f ca="1"/>
        <v>112.44540552153637</v>
      </c>
      <c r="CL85" s="106">
        <v>43011</v>
      </c>
      <c r="CM85" s="107">
        <f t="shared" si="14"/>
        <v>110.87132977958299</v>
      </c>
    </row>
    <row r="86" spans="1:91" ht="15" customHeight="1" thickTop="1">
      <c r="A86" s="148"/>
      <c r="B86" s="148"/>
      <c r="C86" s="160"/>
      <c r="D86" s="160"/>
      <c r="E86" s="160"/>
      <c r="F86" s="148"/>
      <c r="G86" s="148"/>
      <c r="H86" s="148"/>
      <c r="I86" s="148"/>
      <c r="J86" s="148"/>
      <c r="K86" s="148"/>
      <c r="L86" s="148"/>
      <c r="M86" s="148"/>
      <c r="N86" s="148"/>
      <c r="O86" s="148"/>
      <c r="P86" s="148"/>
      <c r="Q86" s="148"/>
      <c r="R86" s="148"/>
      <c r="S86" s="148"/>
      <c r="T86" s="148"/>
      <c r="U86" s="148"/>
      <c r="V86" s="148"/>
      <c r="W86" s="148"/>
      <c r="X86" s="148"/>
      <c r="Y86" s="148"/>
      <c r="Z86" s="148"/>
      <c r="AA86" s="148"/>
      <c r="AB86" s="148"/>
      <c r="AC86" s="148"/>
      <c r="AD86" s="148"/>
      <c r="AE86" s="26">
        <f>Data!A81</f>
        <v>42845</v>
      </c>
      <c r="AF86" s="35">
        <f>Data!B81</f>
        <v>102.34</v>
      </c>
      <c r="AG86" s="35">
        <f>Data!F81</f>
        <v>1218209</v>
      </c>
      <c r="AH86" s="35">
        <f>Data!C81</f>
        <v>103.32</v>
      </c>
      <c r="AI86" s="35">
        <f>Data!D81</f>
        <v>102.23</v>
      </c>
      <c r="AJ86" s="35">
        <f>Data!E81</f>
        <v>103.04</v>
      </c>
      <c r="AK86" s="35">
        <f>Data!F81</f>
        <v>1218209</v>
      </c>
      <c r="AL86" s="35">
        <f t="shared" si="13"/>
        <v>103.04</v>
      </c>
      <c r="AM86" s="35">
        <f t="shared" si="15"/>
        <v>0.33967391304348654</v>
      </c>
      <c r="AN86" s="35">
        <f t="shared" si="22"/>
        <v>-25.501125012210547</v>
      </c>
      <c r="AO86" s="35" t="str">
        <f t="shared" si="16"/>
        <v>FITS BITCH</v>
      </c>
      <c r="AP86" s="35" t="str">
        <f t="shared" si="17"/>
        <v>FITS BITCH</v>
      </c>
      <c r="AQ86" s="35" t="str">
        <f t="shared" si="17"/>
        <v>FITS BITCH</v>
      </c>
      <c r="AR86" s="35" t="str">
        <f t="shared" si="18"/>
        <v>no</v>
      </c>
      <c r="AS86" s="35" t="str">
        <f t="shared" si="19"/>
        <v>FITS BITCH</v>
      </c>
      <c r="AT86" s="20" t="str">
        <f t="shared" si="20"/>
        <v/>
      </c>
      <c r="AU86" s="20" t="str">
        <f t="shared" si="21"/>
        <v>BEARISH</v>
      </c>
      <c r="AV86" s="20"/>
      <c r="AW86" s="20"/>
      <c r="AX86" s="20"/>
      <c r="AY86" s="35"/>
      <c r="AZ86" s="35"/>
      <c r="BA86" s="35"/>
      <c r="BB86" s="35"/>
      <c r="BC86" s="35"/>
      <c r="BD86" s="35"/>
      <c r="BE86" s="35"/>
      <c r="BF86" s="35"/>
      <c r="BG86" s="35"/>
      <c r="BH86" s="35"/>
      <c r="BI86" s="35"/>
      <c r="BJ86" s="35"/>
      <c r="BK86" s="82"/>
      <c r="BL86" s="35"/>
      <c r="BM86" s="35"/>
      <c r="CG86" s="1">
        <v>78</v>
      </c>
      <c r="CH86" s="4">
        <f ca="1"/>
        <v>112.51593889561764</v>
      </c>
      <c r="CL86" s="106">
        <v>43010</v>
      </c>
      <c r="CM86" s="107">
        <f t="shared" si="14"/>
        <v>110.81804259116052</v>
      </c>
    </row>
    <row r="87" spans="1:91" ht="15" customHeight="1">
      <c r="A87" s="148"/>
      <c r="B87" s="148"/>
      <c r="C87" s="160"/>
      <c r="D87" s="160"/>
      <c r="E87" s="160"/>
      <c r="F87" s="148"/>
      <c r="G87" s="148"/>
      <c r="H87" s="148"/>
      <c r="I87" s="148"/>
      <c r="J87" s="148"/>
      <c r="K87" s="148"/>
      <c r="L87" s="148"/>
      <c r="M87" s="148"/>
      <c r="N87" s="148"/>
      <c r="O87" s="148"/>
      <c r="P87" s="148"/>
      <c r="Q87" s="148"/>
      <c r="R87" s="148"/>
      <c r="S87" s="148"/>
      <c r="T87" s="148"/>
      <c r="U87" s="148"/>
      <c r="V87" s="148"/>
      <c r="W87" s="148"/>
      <c r="X87" s="148"/>
      <c r="Y87" s="148"/>
      <c r="Z87" s="148"/>
      <c r="AA87" s="148"/>
      <c r="AB87" s="148"/>
      <c r="AC87" s="148"/>
      <c r="AD87" s="148"/>
      <c r="AE87" s="26">
        <f>Data!A82</f>
        <v>42844</v>
      </c>
      <c r="AF87" s="35">
        <f>Data!B82</f>
        <v>102.1</v>
      </c>
      <c r="AG87" s="35">
        <f>Data!F82</f>
        <v>1113025</v>
      </c>
      <c r="AH87" s="35">
        <f>Data!C82</f>
        <v>102.56</v>
      </c>
      <c r="AI87" s="35">
        <f>Data!D82</f>
        <v>101.78</v>
      </c>
      <c r="AJ87" s="35">
        <f>Data!E82</f>
        <v>102.07</v>
      </c>
      <c r="AK87" s="35">
        <f>Data!F82</f>
        <v>1113025</v>
      </c>
      <c r="AL87" s="35">
        <f t="shared" si="13"/>
        <v>102.07</v>
      </c>
      <c r="AM87" s="35">
        <f t="shared" si="15"/>
        <v>-0.95032820613305879</v>
      </c>
      <c r="AN87" s="35">
        <f t="shared" si="22"/>
        <v>-9.4502818894454297</v>
      </c>
      <c r="AO87" s="35" t="str">
        <f t="shared" si="16"/>
        <v>FITS BITCH</v>
      </c>
      <c r="AP87" s="35" t="str">
        <f t="shared" si="17"/>
        <v>FITS BITCH</v>
      </c>
      <c r="AQ87" s="35" t="str">
        <f t="shared" si="17"/>
        <v>FITS BITCH</v>
      </c>
      <c r="AR87" s="35" t="str">
        <f t="shared" si="18"/>
        <v>FITS BITCH</v>
      </c>
      <c r="AS87" s="35" t="str">
        <f t="shared" si="19"/>
        <v>FITS BITCH</v>
      </c>
      <c r="AT87" s="20" t="str">
        <f t="shared" si="20"/>
        <v>BULLISH</v>
      </c>
      <c r="AU87" s="20" t="str">
        <f t="shared" si="21"/>
        <v>BEARISH</v>
      </c>
      <c r="AV87" s="20"/>
      <c r="AW87" s="20"/>
      <c r="AX87" s="20"/>
      <c r="AY87" s="35"/>
      <c r="BL87" s="35"/>
      <c r="BM87" s="35"/>
      <c r="CG87" s="1">
        <v>79</v>
      </c>
      <c r="CH87" s="4">
        <f ca="1"/>
        <v>119.5116391520092</v>
      </c>
      <c r="CL87" s="106">
        <v>43007</v>
      </c>
      <c r="CM87" s="107">
        <f t="shared" si="14"/>
        <v>110.65818102589219</v>
      </c>
    </row>
    <row r="88" spans="1:91" ht="15" customHeight="1">
      <c r="A88" s="148"/>
      <c r="B88" s="148"/>
      <c r="C88" s="160"/>
      <c r="D88" s="160"/>
      <c r="E88" s="160"/>
      <c r="F88" s="148"/>
      <c r="G88" s="148"/>
      <c r="H88" s="148"/>
      <c r="I88" s="148"/>
      <c r="J88" s="148"/>
      <c r="K88" s="148"/>
      <c r="L88" s="148"/>
      <c r="M88" s="148"/>
      <c r="N88" s="148"/>
      <c r="O88" s="148"/>
      <c r="P88" s="148"/>
      <c r="Q88" s="148"/>
      <c r="R88" s="148"/>
      <c r="S88" s="148"/>
      <c r="T88" s="148"/>
      <c r="U88" s="148"/>
      <c r="V88" s="148"/>
      <c r="W88" s="148"/>
      <c r="X88" s="148"/>
      <c r="Y88" s="148"/>
      <c r="Z88" s="148"/>
      <c r="AA88" s="148"/>
      <c r="AB88" s="148"/>
      <c r="AC88" s="148"/>
      <c r="AD88" s="148"/>
      <c r="AE88" s="26">
        <f>Data!A83</f>
        <v>42843</v>
      </c>
      <c r="AF88" s="35">
        <f>Data!B83</f>
        <v>101.57</v>
      </c>
      <c r="AG88" s="35">
        <f>Data!F83</f>
        <v>1570970</v>
      </c>
      <c r="AH88" s="35">
        <f>Data!C83</f>
        <v>102.47</v>
      </c>
      <c r="AI88" s="35">
        <f>Data!D83</f>
        <v>100.08</v>
      </c>
      <c r="AJ88" s="35">
        <f>Data!E83</f>
        <v>101.93</v>
      </c>
      <c r="AK88" s="35">
        <f>Data!F83</f>
        <v>1570970</v>
      </c>
      <c r="AL88" s="35">
        <f t="shared" si="13"/>
        <v>101.93</v>
      </c>
      <c r="AM88" s="35">
        <f t="shared" si="15"/>
        <v>-0.13734916118903792</v>
      </c>
      <c r="AN88" s="35">
        <f t="shared" si="22"/>
        <v>29.150461180035265</v>
      </c>
      <c r="AO88" s="35" t="str">
        <f t="shared" si="16"/>
        <v>no</v>
      </c>
      <c r="AP88" s="35" t="str">
        <f t="shared" si="17"/>
        <v>FITS BITCH</v>
      </c>
      <c r="AQ88" s="35" t="str">
        <f t="shared" si="17"/>
        <v>no</v>
      </c>
      <c r="AR88" s="35" t="str">
        <f t="shared" si="18"/>
        <v>FITS BITCH</v>
      </c>
      <c r="AS88" s="35" t="str">
        <f t="shared" si="19"/>
        <v>FITS BITCH</v>
      </c>
      <c r="AT88" s="20" t="str">
        <f t="shared" si="20"/>
        <v/>
      </c>
      <c r="AU88" s="20" t="str">
        <f t="shared" si="21"/>
        <v/>
      </c>
      <c r="AV88" s="20"/>
      <c r="AW88" s="20"/>
      <c r="AX88" s="20"/>
      <c r="AY88" s="35"/>
      <c r="BL88" s="35"/>
      <c r="BM88" s="35"/>
      <c r="CG88" s="1">
        <v>80</v>
      </c>
      <c r="CH88" s="4">
        <f ca="1"/>
        <v>115.29234407828636</v>
      </c>
      <c r="CL88" s="106">
        <v>43006</v>
      </c>
      <c r="CM88" s="107">
        <f t="shared" si="14"/>
        <v>110.60489383746926</v>
      </c>
    </row>
    <row r="89" spans="1:91" ht="15" customHeight="1">
      <c r="A89" s="148"/>
      <c r="B89" s="148"/>
      <c r="C89" s="160"/>
      <c r="D89" s="160"/>
      <c r="E89" s="160"/>
      <c r="F89" s="148"/>
      <c r="G89" s="148"/>
      <c r="H89" s="148"/>
      <c r="I89" s="148"/>
      <c r="J89" s="148"/>
      <c r="K89" s="148"/>
      <c r="L89" s="148"/>
      <c r="M89" s="148"/>
      <c r="N89" s="148"/>
      <c r="O89" s="148"/>
      <c r="P89" s="148"/>
      <c r="Q89" s="148"/>
      <c r="R89" s="148"/>
      <c r="S89" s="148"/>
      <c r="T89" s="148"/>
      <c r="U89" s="148"/>
      <c r="V89" s="148"/>
      <c r="W89" s="148"/>
      <c r="X89" s="148"/>
      <c r="Y89" s="148"/>
      <c r="Z89" s="148"/>
      <c r="AA89" s="148"/>
      <c r="AB89" s="148"/>
      <c r="AC89" s="148"/>
      <c r="AD89" s="148"/>
      <c r="AE89" s="26">
        <f>Data!A84</f>
        <v>42842</v>
      </c>
      <c r="AF89" s="35">
        <f>Data!B84</f>
        <v>101.95</v>
      </c>
      <c r="AG89" s="35">
        <f>Data!F84</f>
        <v>1215383</v>
      </c>
      <c r="AH89" s="35">
        <f>Data!C84</f>
        <v>102</v>
      </c>
      <c r="AI89" s="35">
        <f>Data!D84</f>
        <v>101.36</v>
      </c>
      <c r="AJ89" s="35">
        <f>Data!E84</f>
        <v>101.86</v>
      </c>
      <c r="AK89" s="35">
        <f>Data!F84</f>
        <v>1215383</v>
      </c>
      <c r="AL89" s="35">
        <f t="shared" si="13"/>
        <v>101.86</v>
      </c>
      <c r="AM89" s="35">
        <f t="shared" si="15"/>
        <v>-6.8721774985281162E-2</v>
      </c>
      <c r="AN89" s="35">
        <f t="shared" si="22"/>
        <v>-29.257197113996163</v>
      </c>
      <c r="AO89" s="35" t="str">
        <f t="shared" si="16"/>
        <v>FITS BITCH</v>
      </c>
      <c r="AP89" s="35" t="str">
        <f t="shared" si="17"/>
        <v>no</v>
      </c>
      <c r="AQ89" s="35" t="str">
        <f t="shared" si="17"/>
        <v>FITS BITCH</v>
      </c>
      <c r="AR89" s="35" t="str">
        <f t="shared" si="18"/>
        <v>FITS BITCH</v>
      </c>
      <c r="AS89" s="35" t="str">
        <f t="shared" si="19"/>
        <v>FITS BITCH</v>
      </c>
      <c r="AT89" s="20" t="str">
        <f t="shared" si="20"/>
        <v/>
      </c>
      <c r="AU89" s="20" t="str">
        <f t="shared" si="21"/>
        <v>BEARISH</v>
      </c>
      <c r="AV89" s="20"/>
      <c r="AW89" s="20"/>
      <c r="AX89" s="20"/>
      <c r="AY89" s="35"/>
      <c r="BL89" s="35"/>
      <c r="BM89" s="35"/>
      <c r="CG89" s="1">
        <v>81</v>
      </c>
      <c r="CH89" s="4">
        <f ca="1"/>
        <v>110.20840780957668</v>
      </c>
      <c r="CL89" s="106">
        <v>43005</v>
      </c>
      <c r="CM89" s="107">
        <f t="shared" si="14"/>
        <v>110.55160664904633</v>
      </c>
    </row>
    <row r="90" spans="1:91" ht="15" customHeight="1">
      <c r="A90" s="148"/>
      <c r="B90" s="148"/>
      <c r="C90" s="160"/>
      <c r="D90" s="160"/>
      <c r="E90" s="160"/>
      <c r="F90" s="148"/>
      <c r="G90" s="148"/>
      <c r="H90" s="148"/>
      <c r="I90" s="148"/>
      <c r="J90" s="148"/>
      <c r="K90" s="148"/>
      <c r="L90" s="148"/>
      <c r="M90" s="148"/>
      <c r="N90" s="148"/>
      <c r="O90" s="148"/>
      <c r="P90" s="148"/>
      <c r="Q90" s="148"/>
      <c r="R90" s="148"/>
      <c r="S90" s="148"/>
      <c r="T90" s="148"/>
      <c r="U90" s="148"/>
      <c r="V90" s="148"/>
      <c r="W90" s="148"/>
      <c r="X90" s="148"/>
      <c r="Y90" s="148"/>
      <c r="Z90" s="148"/>
      <c r="AA90" s="148"/>
      <c r="AB90" s="148"/>
      <c r="AC90" s="148"/>
      <c r="AD90" s="148"/>
      <c r="AE90" s="26">
        <f>Data!A85</f>
        <v>42838</v>
      </c>
      <c r="AF90" s="35">
        <f>Data!B85</f>
        <v>102.26</v>
      </c>
      <c r="AG90" s="35">
        <f>Data!F85</f>
        <v>1218656</v>
      </c>
      <c r="AH90" s="35">
        <f>Data!C85</f>
        <v>102.26</v>
      </c>
      <c r="AI90" s="35">
        <f>Data!D85</f>
        <v>101.24</v>
      </c>
      <c r="AJ90" s="35">
        <f>Data!E85</f>
        <v>101.26</v>
      </c>
      <c r="AK90" s="35">
        <f>Data!F85</f>
        <v>1218656</v>
      </c>
      <c r="AL90" s="35">
        <f t="shared" si="13"/>
        <v>101.26</v>
      </c>
      <c r="AM90" s="35">
        <f t="shared" si="15"/>
        <v>-0.59253407070906017</v>
      </c>
      <c r="AN90" s="35">
        <f t="shared" si="22"/>
        <v>0.2685745608276659</v>
      </c>
      <c r="AO90" s="35" t="str">
        <f t="shared" si="16"/>
        <v>no</v>
      </c>
      <c r="AP90" s="35" t="str">
        <f t="shared" si="17"/>
        <v>FITS BITCH</v>
      </c>
      <c r="AQ90" s="35" t="str">
        <f t="shared" si="17"/>
        <v>no</v>
      </c>
      <c r="AR90" s="35" t="str">
        <f t="shared" si="18"/>
        <v>FITS BITCH</v>
      </c>
      <c r="AS90" s="35" t="str">
        <f t="shared" si="19"/>
        <v>no</v>
      </c>
      <c r="AT90" s="20" t="str">
        <f t="shared" si="20"/>
        <v/>
      </c>
      <c r="AU90" s="20" t="str">
        <f t="shared" si="21"/>
        <v/>
      </c>
      <c r="AV90" s="20"/>
      <c r="AW90" s="20"/>
      <c r="AX90" s="20"/>
      <c r="AY90" s="35"/>
      <c r="BL90" s="35"/>
      <c r="BM90" s="35"/>
      <c r="CG90" s="1">
        <v>82</v>
      </c>
      <c r="CH90" s="4">
        <f ca="1"/>
        <v>109.18602823383323</v>
      </c>
      <c r="CL90" s="106">
        <v>43004</v>
      </c>
      <c r="CM90" s="107">
        <f t="shared" si="14"/>
        <v>110.49831946062386</v>
      </c>
    </row>
    <row r="91" spans="1:91" ht="15" customHeight="1">
      <c r="A91" s="148"/>
      <c r="B91" s="148"/>
      <c r="C91" s="160"/>
      <c r="D91" s="160"/>
      <c r="E91" s="160"/>
      <c r="F91" s="148"/>
      <c r="G91" s="148"/>
      <c r="H91" s="148"/>
      <c r="I91" s="148"/>
      <c r="J91" s="148"/>
      <c r="K91" s="148"/>
      <c r="L91" s="148"/>
      <c r="M91" s="148"/>
      <c r="N91" s="148"/>
      <c r="O91" s="148"/>
      <c r="P91" s="148"/>
      <c r="Q91" s="148"/>
      <c r="R91" s="148"/>
      <c r="S91" s="148"/>
      <c r="T91" s="148"/>
      <c r="U91" s="148"/>
      <c r="V91" s="148"/>
      <c r="W91" s="148"/>
      <c r="X91" s="148"/>
      <c r="Y91" s="148"/>
      <c r="Z91" s="148"/>
      <c r="AA91" s="148"/>
      <c r="AB91" s="148"/>
      <c r="AC91" s="148"/>
      <c r="AD91" s="148"/>
      <c r="AE91" s="26">
        <f>Data!A86</f>
        <v>42837</v>
      </c>
      <c r="AF91" s="35">
        <f>Data!B86</f>
        <v>101.73</v>
      </c>
      <c r="AG91" s="35">
        <f>Data!F86</f>
        <v>1812265</v>
      </c>
      <c r="AH91" s="35">
        <f>Data!C86</f>
        <v>102.1</v>
      </c>
      <c r="AI91" s="35">
        <f>Data!D86</f>
        <v>101.49</v>
      </c>
      <c r="AJ91" s="35">
        <f>Data!E86</f>
        <v>101.95</v>
      </c>
      <c r="AK91" s="35">
        <f>Data!F86</f>
        <v>1812265</v>
      </c>
      <c r="AL91" s="35">
        <f t="shared" si="13"/>
        <v>101.95</v>
      </c>
      <c r="AM91" s="35">
        <f t="shared" si="15"/>
        <v>0.67680235409514244</v>
      </c>
      <c r="AN91" s="35">
        <f t="shared" si="22"/>
        <v>32.755088245924298</v>
      </c>
      <c r="AO91" s="35" t="str">
        <f t="shared" si="16"/>
        <v>no</v>
      </c>
      <c r="AP91" s="35" t="str">
        <f t="shared" si="17"/>
        <v>no</v>
      </c>
      <c r="AQ91" s="35" t="str">
        <f t="shared" si="17"/>
        <v>FITS BITCH</v>
      </c>
      <c r="AR91" s="35" t="str">
        <f t="shared" si="18"/>
        <v>FITS BITCH</v>
      </c>
      <c r="AS91" s="35" t="str">
        <f t="shared" si="19"/>
        <v>no</v>
      </c>
      <c r="AT91" s="20" t="str">
        <f t="shared" si="20"/>
        <v/>
      </c>
      <c r="AU91" s="20" t="str">
        <f t="shared" si="21"/>
        <v/>
      </c>
      <c r="AV91" s="20"/>
      <c r="AW91" s="20"/>
      <c r="AX91" s="20"/>
      <c r="AY91" s="35"/>
      <c r="AZ91" s="35"/>
      <c r="BA91" s="35"/>
      <c r="BB91" s="35"/>
      <c r="BC91" s="35"/>
      <c r="BD91" s="35"/>
      <c r="BE91" s="35"/>
      <c r="BF91" s="35"/>
      <c r="BG91" s="35"/>
      <c r="BH91" s="35"/>
      <c r="BI91" s="35"/>
      <c r="BJ91" s="35"/>
      <c r="BK91" s="82"/>
      <c r="BL91" s="35"/>
      <c r="BM91" s="35"/>
      <c r="CG91" s="1">
        <v>83</v>
      </c>
      <c r="CH91" s="4">
        <f ca="1"/>
        <v>109.75680815920417</v>
      </c>
      <c r="CL91" s="106">
        <v>43003</v>
      </c>
      <c r="CM91" s="107">
        <f t="shared" si="14"/>
        <v>110.44503227220093</v>
      </c>
    </row>
    <row r="92" spans="1:91" ht="15" customHeight="1">
      <c r="A92" s="148"/>
      <c r="B92" s="148"/>
      <c r="C92" s="160"/>
      <c r="D92" s="160"/>
      <c r="E92" s="160"/>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26">
        <f>Data!A87</f>
        <v>42836</v>
      </c>
      <c r="AF92" s="35">
        <f>Data!B87</f>
        <v>101.88</v>
      </c>
      <c r="AG92" s="35">
        <f>Data!F87</f>
        <v>908733</v>
      </c>
      <c r="AH92" s="35">
        <f>Data!C87</f>
        <v>102.43</v>
      </c>
      <c r="AI92" s="35">
        <f>Data!D87</f>
        <v>101.33</v>
      </c>
      <c r="AJ92" s="35">
        <f>Data!E87</f>
        <v>102.09</v>
      </c>
      <c r="AK92" s="35">
        <f>Data!F87</f>
        <v>908733</v>
      </c>
      <c r="AL92" s="35">
        <f t="shared" si="13"/>
        <v>102.09</v>
      </c>
      <c r="AM92" s="35">
        <f t="shared" si="15"/>
        <v>0.13713390145949708</v>
      </c>
      <c r="AN92" s="35">
        <f t="shared" si="22"/>
        <v>-99.427664671581212</v>
      </c>
      <c r="AO92" s="35" t="str">
        <f t="shared" si="16"/>
        <v>FITS BITCH</v>
      </c>
      <c r="AP92" s="35" t="str">
        <f t="shared" si="17"/>
        <v>no</v>
      </c>
      <c r="AQ92" s="35" t="str">
        <f t="shared" si="17"/>
        <v>no</v>
      </c>
      <c r="AR92" s="35" t="str">
        <f t="shared" si="18"/>
        <v>FITS BITCH</v>
      </c>
      <c r="AS92" s="35" t="str">
        <f t="shared" si="19"/>
        <v>no</v>
      </c>
      <c r="AT92" s="20" t="str">
        <f t="shared" si="20"/>
        <v/>
      </c>
      <c r="AU92" s="20" t="str">
        <f t="shared" si="21"/>
        <v/>
      </c>
      <c r="AV92" s="20"/>
      <c r="AW92" s="20"/>
      <c r="AX92" s="20"/>
      <c r="AY92" s="35"/>
      <c r="BL92" s="35"/>
      <c r="BM92" s="35"/>
      <c r="CG92" s="1">
        <v>84</v>
      </c>
      <c r="CH92" s="4">
        <f ca="1"/>
        <v>116.0808078392585</v>
      </c>
      <c r="CL92" s="106">
        <v>43000</v>
      </c>
      <c r="CM92" s="107">
        <f t="shared" si="14"/>
        <v>110.2851707069326</v>
      </c>
    </row>
    <row r="93" spans="1:91" ht="15" customHeight="1">
      <c r="A93" s="148"/>
      <c r="B93" s="148"/>
      <c r="C93" s="160"/>
      <c r="D93" s="160"/>
      <c r="E93" s="160"/>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26">
        <f>Data!A88</f>
        <v>42835</v>
      </c>
      <c r="AF93" s="35">
        <f>Data!B88</f>
        <v>102.16</v>
      </c>
      <c r="AG93" s="35">
        <f>Data!F88</f>
        <v>979983</v>
      </c>
      <c r="AH93" s="35">
        <f>Data!C88</f>
        <v>102.68</v>
      </c>
      <c r="AI93" s="35">
        <f>Data!D88</f>
        <v>101.79</v>
      </c>
      <c r="AJ93" s="35">
        <f>Data!E88</f>
        <v>102.14</v>
      </c>
      <c r="AK93" s="35">
        <f>Data!F88</f>
        <v>979983</v>
      </c>
      <c r="AL93" s="35">
        <f t="shared" si="13"/>
        <v>102.14</v>
      </c>
      <c r="AM93" s="35">
        <f t="shared" si="15"/>
        <v>4.8952418249458743E-2</v>
      </c>
      <c r="AN93" s="35">
        <f t="shared" si="22"/>
        <v>7.2705342847784102</v>
      </c>
      <c r="AO93" s="35" t="str">
        <f t="shared" si="16"/>
        <v>no</v>
      </c>
      <c r="AP93" s="35" t="str">
        <f t="shared" si="17"/>
        <v>FITS BITCH</v>
      </c>
      <c r="AQ93" s="35" t="str">
        <f t="shared" si="17"/>
        <v>FITS BITCH</v>
      </c>
      <c r="AR93" s="35" t="str">
        <f t="shared" si="18"/>
        <v>FITS BITCH</v>
      </c>
      <c r="AS93" s="35" t="str">
        <f t="shared" si="19"/>
        <v>no</v>
      </c>
      <c r="AT93" s="20" t="str">
        <f t="shared" si="20"/>
        <v/>
      </c>
      <c r="AU93" s="20" t="str">
        <f t="shared" si="21"/>
        <v/>
      </c>
      <c r="AV93" s="20"/>
      <c r="AW93" s="20"/>
      <c r="AX93" s="20"/>
      <c r="AY93" s="35"/>
      <c r="BL93" s="35"/>
      <c r="BM93" s="35"/>
      <c r="CG93" s="1">
        <v>85</v>
      </c>
      <c r="CH93" s="4">
        <f ca="1"/>
        <v>106.67723026845168</v>
      </c>
      <c r="CL93" s="106">
        <v>42999</v>
      </c>
      <c r="CM93" s="107">
        <f t="shared" si="14"/>
        <v>110.23188351850968</v>
      </c>
    </row>
    <row r="94" spans="1:91" ht="15" customHeight="1" thickBot="1">
      <c r="A94" s="148"/>
      <c r="B94" s="148"/>
      <c r="C94" s="160"/>
      <c r="D94" s="160"/>
      <c r="E94" s="160"/>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26">
        <f>Data!A89</f>
        <v>42832</v>
      </c>
      <c r="AF94" s="35">
        <f>Data!B89</f>
        <v>101.87</v>
      </c>
      <c r="AG94" s="35">
        <f>Data!F89</f>
        <v>1601267</v>
      </c>
      <c r="AH94" s="35">
        <f>Data!C89</f>
        <v>102.42</v>
      </c>
      <c r="AI94" s="35">
        <f>Data!D89</f>
        <v>101.46</v>
      </c>
      <c r="AJ94" s="35">
        <f>Data!E89</f>
        <v>102.19</v>
      </c>
      <c r="AK94" s="35">
        <f>Data!F89</f>
        <v>1601267</v>
      </c>
      <c r="AL94" s="35">
        <f t="shared" si="13"/>
        <v>102.19</v>
      </c>
      <c r="AM94" s="35">
        <f t="shared" si="15"/>
        <v>4.8928466581854548E-2</v>
      </c>
      <c r="AN94" s="35">
        <f t="shared" si="22"/>
        <v>38.799525625645195</v>
      </c>
      <c r="AO94" s="35" t="str">
        <f t="shared" si="16"/>
        <v>no</v>
      </c>
      <c r="AP94" s="35" t="str">
        <f t="shared" si="17"/>
        <v>FITS BITCH</v>
      </c>
      <c r="AQ94" s="35" t="str">
        <f t="shared" si="17"/>
        <v>FITS BITCH</v>
      </c>
      <c r="AR94" s="35" t="str">
        <f t="shared" si="18"/>
        <v>no</v>
      </c>
      <c r="AS94" s="35" t="str">
        <f t="shared" si="19"/>
        <v>FITS BITCH</v>
      </c>
      <c r="AT94" s="20" t="str">
        <f t="shared" si="20"/>
        <v/>
      </c>
      <c r="AU94" s="20" t="str">
        <f t="shared" si="21"/>
        <v/>
      </c>
      <c r="AV94" s="20"/>
      <c r="AW94" s="20"/>
      <c r="AX94" s="20"/>
      <c r="AY94" s="35"/>
      <c r="BL94" s="35"/>
      <c r="BM94" s="35"/>
      <c r="CG94" s="1">
        <v>86</v>
      </c>
      <c r="CH94" s="4">
        <f ca="1"/>
        <v>111.2753619660115</v>
      </c>
      <c r="CL94" s="106">
        <v>42998</v>
      </c>
      <c r="CM94" s="107">
        <f t="shared" si="14"/>
        <v>110.1785963300872</v>
      </c>
    </row>
    <row r="95" spans="1:91" ht="15" customHeight="1">
      <c r="A95" s="148"/>
      <c r="B95" s="148"/>
      <c r="C95" s="160"/>
      <c r="D95" s="160"/>
      <c r="E95" s="160"/>
      <c r="F95" s="148"/>
      <c r="G95" s="148"/>
      <c r="H95" s="148"/>
      <c r="I95" s="148"/>
      <c r="J95" s="148"/>
      <c r="K95" s="148"/>
      <c r="L95" s="148"/>
      <c r="M95" s="148"/>
      <c r="N95" s="148"/>
      <c r="O95" s="148"/>
      <c r="P95" s="148"/>
      <c r="Q95" s="148"/>
      <c r="R95" s="148"/>
      <c r="S95" s="148"/>
      <c r="T95" s="148"/>
      <c r="U95" s="148"/>
      <c r="V95" s="148"/>
      <c r="W95" s="148"/>
      <c r="X95" s="148"/>
      <c r="Y95" s="148"/>
      <c r="Z95" s="148"/>
      <c r="AA95" s="148"/>
      <c r="AB95" s="148"/>
      <c r="AC95" s="148"/>
      <c r="AD95" s="148"/>
      <c r="AE95" s="26">
        <f>Data!A90</f>
        <v>42831</v>
      </c>
      <c r="AF95" s="35">
        <f>Data!B90</f>
        <v>101.89</v>
      </c>
      <c r="AG95" s="35">
        <f>Data!F90</f>
        <v>1087075</v>
      </c>
      <c r="AH95" s="35">
        <f>Data!C90</f>
        <v>101.91</v>
      </c>
      <c r="AI95" s="35">
        <f>Data!D90</f>
        <v>101.45</v>
      </c>
      <c r="AJ95" s="35">
        <f>Data!E90</f>
        <v>101.75</v>
      </c>
      <c r="AK95" s="35">
        <f>Data!F90</f>
        <v>1087075</v>
      </c>
      <c r="AL95" s="35">
        <f t="shared" si="13"/>
        <v>101.75</v>
      </c>
      <c r="AM95" s="35">
        <f t="shared" si="15"/>
        <v>-0.43243243243243018</v>
      </c>
      <c r="AN95" s="35">
        <f t="shared" si="22"/>
        <v>-47.300508244601339</v>
      </c>
      <c r="AO95" s="35" t="str">
        <f t="shared" si="16"/>
        <v>FITS BITCH</v>
      </c>
      <c r="AP95" s="35" t="str">
        <f t="shared" si="17"/>
        <v>no</v>
      </c>
      <c r="AQ95" s="35" t="str">
        <f t="shared" si="17"/>
        <v>FITS BITCH</v>
      </c>
      <c r="AR95" s="35" t="str">
        <f t="shared" si="18"/>
        <v>FITS BITCH</v>
      </c>
      <c r="AS95" s="35" t="str">
        <f t="shared" si="19"/>
        <v>no</v>
      </c>
      <c r="AT95" s="20" t="str">
        <f t="shared" si="20"/>
        <v/>
      </c>
      <c r="AU95" s="20" t="str">
        <f t="shared" si="21"/>
        <v/>
      </c>
      <c r="AV95" s="20"/>
      <c r="AW95" s="20"/>
      <c r="AX95" s="20"/>
      <c r="AY95" s="35"/>
      <c r="AZ95" s="15" t="s">
        <v>149</v>
      </c>
      <c r="BL95" s="35"/>
      <c r="BM95" s="35"/>
      <c r="CG95" s="1">
        <v>87</v>
      </c>
      <c r="CH95" s="4">
        <f ca="1"/>
        <v>112.62539409961794</v>
      </c>
      <c r="CL95" s="106">
        <v>42997</v>
      </c>
      <c r="CM95" s="107">
        <f t="shared" si="14"/>
        <v>110.12530914166427</v>
      </c>
    </row>
    <row r="96" spans="1:91" ht="15" customHeight="1">
      <c r="A96" s="148"/>
      <c r="B96" s="148"/>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48"/>
      <c r="AA96" s="148"/>
      <c r="AB96" s="148"/>
      <c r="AC96" s="148"/>
      <c r="AD96" s="148"/>
      <c r="AE96" s="26">
        <f>Data!A91</f>
        <v>42830</v>
      </c>
      <c r="AF96" s="35">
        <f>Data!B91</f>
        <v>101.81</v>
      </c>
      <c r="AG96" s="35">
        <f>Data!F91</f>
        <v>1693915</v>
      </c>
      <c r="AH96" s="35">
        <f>Data!C91</f>
        <v>103.01</v>
      </c>
      <c r="AI96" s="35">
        <f>Data!D91</f>
        <v>101.24</v>
      </c>
      <c r="AJ96" s="35">
        <f>Data!E91</f>
        <v>101.93</v>
      </c>
      <c r="AK96" s="35">
        <f>Data!F91</f>
        <v>1693915</v>
      </c>
      <c r="AL96" s="35">
        <f t="shared" si="13"/>
        <v>101.93</v>
      </c>
      <c r="AM96" s="35">
        <f t="shared" si="15"/>
        <v>0.17659177867164408</v>
      </c>
      <c r="AN96" s="35">
        <f t="shared" si="22"/>
        <v>35.824701947854528</v>
      </c>
      <c r="AO96" s="35" t="str">
        <f t="shared" si="16"/>
        <v>no</v>
      </c>
      <c r="AP96" s="35" t="str">
        <f t="shared" si="17"/>
        <v>FITS BITCH</v>
      </c>
      <c r="AQ96" s="35" t="str">
        <f t="shared" si="17"/>
        <v>FITS BITCH</v>
      </c>
      <c r="AR96" s="35" t="str">
        <f t="shared" si="18"/>
        <v>no</v>
      </c>
      <c r="AS96" s="35" t="str">
        <f t="shared" si="19"/>
        <v>FITS BITCH</v>
      </c>
      <c r="AT96" s="20" t="str">
        <f t="shared" si="20"/>
        <v/>
      </c>
      <c r="AU96" s="20" t="str">
        <f t="shared" si="21"/>
        <v/>
      </c>
      <c r="AV96" s="20"/>
      <c r="AW96" s="20"/>
      <c r="AX96" s="20"/>
      <c r="AY96" s="35"/>
      <c r="AZ96" s="54" t="s">
        <v>155</v>
      </c>
      <c r="BA96" s="1"/>
      <c r="BB96" s="1"/>
      <c r="BC96" s="1"/>
      <c r="BD96" s="1"/>
      <c r="BE96" s="1"/>
      <c r="BF96" s="1"/>
      <c r="BG96" s="1"/>
      <c r="BH96" s="1"/>
      <c r="BI96" s="1"/>
      <c r="BJ96" s="1"/>
      <c r="BK96" s="81"/>
      <c r="BL96" s="35"/>
      <c r="BM96" s="35"/>
      <c r="CG96" s="1">
        <v>88</v>
      </c>
      <c r="CH96" s="4">
        <f ca="1"/>
        <v>113.71122459778096</v>
      </c>
      <c r="CL96" s="106">
        <v>42996</v>
      </c>
      <c r="CM96" s="107">
        <f t="shared" si="14"/>
        <v>110.07202195324135</v>
      </c>
    </row>
    <row r="97" spans="1:91" ht="15" customHeight="1">
      <c r="A97" s="148"/>
      <c r="B97" s="148"/>
      <c r="C97" s="160"/>
      <c r="D97" s="160"/>
      <c r="E97" s="160"/>
      <c r="F97" s="148"/>
      <c r="G97" s="148"/>
      <c r="H97" s="148"/>
      <c r="I97" s="148"/>
      <c r="J97" s="148"/>
      <c r="K97" s="148"/>
      <c r="L97" s="148"/>
      <c r="M97" s="148"/>
      <c r="N97" s="148"/>
      <c r="O97" s="148"/>
      <c r="P97" s="148"/>
      <c r="Q97" s="148"/>
      <c r="R97" s="148"/>
      <c r="S97" s="148"/>
      <c r="T97" s="148"/>
      <c r="U97" s="148"/>
      <c r="V97" s="148"/>
      <c r="W97" s="148"/>
      <c r="X97" s="148"/>
      <c r="Y97" s="148"/>
      <c r="Z97" s="148"/>
      <c r="AA97" s="148"/>
      <c r="AB97" s="148"/>
      <c r="AC97" s="148"/>
      <c r="AD97" s="148"/>
      <c r="AE97" s="26">
        <f>Data!A92</f>
        <v>42829</v>
      </c>
      <c r="AF97" s="35">
        <f>Data!B92</f>
        <v>101.33</v>
      </c>
      <c r="AG97" s="35">
        <f>Data!F92</f>
        <v>1143284</v>
      </c>
      <c r="AH97" s="35">
        <f>Data!C92</f>
        <v>101.53</v>
      </c>
      <c r="AI97" s="35">
        <f>Data!D92</f>
        <v>100.86</v>
      </c>
      <c r="AJ97" s="35">
        <f>Data!E92</f>
        <v>101.45</v>
      </c>
      <c r="AK97" s="35">
        <f>Data!F92</f>
        <v>1143284</v>
      </c>
      <c r="AL97" s="35">
        <f t="shared" si="13"/>
        <v>101.45</v>
      </c>
      <c r="AM97" s="35">
        <f t="shared" si="15"/>
        <v>-0.47313947757516406</v>
      </c>
      <c r="AN97" s="35">
        <f t="shared" si="22"/>
        <v>-48.16222390936985</v>
      </c>
      <c r="AO97" s="35" t="str">
        <f t="shared" si="16"/>
        <v>FITS BITCH</v>
      </c>
      <c r="AP97" s="35" t="str">
        <f t="shared" si="17"/>
        <v>no</v>
      </c>
      <c r="AQ97" s="35" t="str">
        <f t="shared" si="17"/>
        <v>no</v>
      </c>
      <c r="AR97" s="35" t="str">
        <f t="shared" si="18"/>
        <v>FITS BITCH</v>
      </c>
      <c r="AS97" s="35" t="str">
        <f t="shared" si="19"/>
        <v>FITS BITCH</v>
      </c>
      <c r="AT97" s="20" t="str">
        <f t="shared" si="20"/>
        <v/>
      </c>
      <c r="AU97" s="20" t="str">
        <f t="shared" si="21"/>
        <v/>
      </c>
      <c r="AV97" s="20"/>
      <c r="AW97" s="20"/>
      <c r="AX97" s="20"/>
      <c r="AY97" s="35"/>
      <c r="AZ97" s="92" t="s">
        <v>151</v>
      </c>
      <c r="BA97" s="92">
        <f>SLOPE(AJ7:AJ195,AE7:AE195)</f>
        <v>3.0142906208292526E-2</v>
      </c>
      <c r="BB97" s="92"/>
      <c r="BC97" s="92"/>
      <c r="BD97" s="92"/>
      <c r="BE97" s="92"/>
      <c r="BF97" s="92"/>
      <c r="BG97" s="35"/>
      <c r="BH97" s="35"/>
      <c r="BI97" s="35"/>
      <c r="BJ97" s="35"/>
      <c r="BK97" s="82"/>
      <c r="BL97" s="35"/>
      <c r="BM97" s="35"/>
      <c r="CG97" s="1">
        <v>89</v>
      </c>
      <c r="CH97" s="4">
        <f ca="1"/>
        <v>111.28678110022349</v>
      </c>
      <c r="CL97" s="106">
        <v>42993</v>
      </c>
      <c r="CM97" s="107">
        <f t="shared" si="14"/>
        <v>109.91216038797302</v>
      </c>
    </row>
    <row r="98" spans="1:91" ht="15" customHeight="1">
      <c r="A98" s="148"/>
      <c r="B98" s="148"/>
      <c r="C98" s="160"/>
      <c r="D98" s="160"/>
      <c r="E98" s="160"/>
      <c r="F98" s="148"/>
      <c r="G98" s="148"/>
      <c r="H98" s="148"/>
      <c r="I98" s="148"/>
      <c r="J98" s="148"/>
      <c r="K98" s="148"/>
      <c r="L98" s="148"/>
      <c r="M98" s="148"/>
      <c r="N98" s="148"/>
      <c r="O98" s="148"/>
      <c r="P98" s="148"/>
      <c r="Q98" s="148"/>
      <c r="R98" s="148"/>
      <c r="S98" s="148"/>
      <c r="T98" s="148"/>
      <c r="U98" s="148"/>
      <c r="V98" s="148"/>
      <c r="W98" s="148"/>
      <c r="X98" s="148"/>
      <c r="Y98" s="148"/>
      <c r="Z98" s="148"/>
      <c r="AA98" s="148"/>
      <c r="AB98" s="148"/>
      <c r="AC98" s="148"/>
      <c r="AD98" s="148"/>
      <c r="AE98" s="26">
        <f>Data!A93</f>
        <v>42828</v>
      </c>
      <c r="AF98" s="35">
        <f>Data!B93</f>
        <v>102.23</v>
      </c>
      <c r="AG98" s="35">
        <f>Data!F93</f>
        <v>1637602</v>
      </c>
      <c r="AH98" s="35">
        <f>Data!C93</f>
        <v>102.57</v>
      </c>
      <c r="AI98" s="35">
        <f>Data!D93</f>
        <v>101.02</v>
      </c>
      <c r="AJ98" s="35">
        <f>Data!E93</f>
        <v>101.27</v>
      </c>
      <c r="AK98" s="35">
        <f>Data!F93</f>
        <v>1637602</v>
      </c>
      <c r="AL98" s="35">
        <f t="shared" si="13"/>
        <v>101.27</v>
      </c>
      <c r="AM98" s="35">
        <f t="shared" si="15"/>
        <v>-0.17774266811494702</v>
      </c>
      <c r="AN98" s="35">
        <f t="shared" si="22"/>
        <v>30.185478522864528</v>
      </c>
      <c r="AO98" s="35" t="str">
        <f t="shared" si="16"/>
        <v>no</v>
      </c>
      <c r="AP98" s="35" t="str">
        <f t="shared" si="17"/>
        <v>no</v>
      </c>
      <c r="AQ98" s="35" t="str">
        <f t="shared" si="17"/>
        <v>no</v>
      </c>
      <c r="AR98" s="35" t="str">
        <f t="shared" si="18"/>
        <v>FITS BITCH</v>
      </c>
      <c r="AS98" s="35" t="str">
        <f t="shared" si="19"/>
        <v>no</v>
      </c>
      <c r="AT98" s="20" t="str">
        <f t="shared" si="20"/>
        <v/>
      </c>
      <c r="AU98" s="20" t="str">
        <f t="shared" si="21"/>
        <v/>
      </c>
      <c r="AV98" s="20"/>
      <c r="AW98" s="20"/>
      <c r="AX98" s="20"/>
      <c r="AY98" s="35"/>
      <c r="AZ98" s="92" t="s">
        <v>152</v>
      </c>
      <c r="BA98" s="92">
        <f>RSQ(AJ7:AJ195,AE7:AE195)</f>
        <v>0.31502278104509296</v>
      </c>
      <c r="BB98" s="92"/>
      <c r="BC98" s="92"/>
      <c r="BD98" s="92"/>
      <c r="BE98" s="92"/>
      <c r="BF98" s="92"/>
      <c r="BG98" s="35"/>
      <c r="BH98" s="35"/>
      <c r="BI98" s="35"/>
      <c r="BJ98" s="35"/>
      <c r="BK98" s="82"/>
      <c r="BL98" s="35"/>
      <c r="BM98" s="35"/>
      <c r="CG98" s="1">
        <v>90</v>
      </c>
      <c r="CH98" s="4">
        <f ca="1"/>
        <v>106.28226083961005</v>
      </c>
      <c r="CL98" s="106">
        <v>42992</v>
      </c>
      <c r="CM98" s="107">
        <f t="shared" si="14"/>
        <v>109.85887319955054</v>
      </c>
    </row>
    <row r="99" spans="1:91" ht="15" customHeight="1">
      <c r="A99" s="148"/>
      <c r="B99" s="148"/>
      <c r="C99" s="160"/>
      <c r="D99" s="160"/>
      <c r="E99" s="160"/>
      <c r="F99" s="148"/>
      <c r="G99" s="148"/>
      <c r="H99" s="148"/>
      <c r="I99" s="148"/>
      <c r="J99" s="148"/>
      <c r="K99" s="148"/>
      <c r="L99" s="148"/>
      <c r="M99" s="148"/>
      <c r="N99" s="148"/>
      <c r="O99" s="148"/>
      <c r="P99" s="148"/>
      <c r="Q99" s="148"/>
      <c r="R99" s="148"/>
      <c r="S99" s="148"/>
      <c r="T99" s="148"/>
      <c r="U99" s="148"/>
      <c r="V99" s="148"/>
      <c r="W99" s="148"/>
      <c r="X99" s="148"/>
      <c r="Y99" s="148"/>
      <c r="Z99" s="148"/>
      <c r="AA99" s="148"/>
      <c r="AB99" s="148"/>
      <c r="AC99" s="148"/>
      <c r="AD99" s="148"/>
      <c r="AE99" s="26">
        <f>Data!A94</f>
        <v>42825</v>
      </c>
      <c r="AF99" s="35">
        <f>Data!B94</f>
        <v>102.14</v>
      </c>
      <c r="AG99" s="35">
        <f>Data!F94</f>
        <v>1374619</v>
      </c>
      <c r="AH99" s="35">
        <f>Data!C94</f>
        <v>102.62</v>
      </c>
      <c r="AI99" s="35">
        <f>Data!D94</f>
        <v>101.98</v>
      </c>
      <c r="AJ99" s="35">
        <f>Data!E94</f>
        <v>102.39</v>
      </c>
      <c r="AK99" s="35">
        <f>Data!F94</f>
        <v>1374619</v>
      </c>
      <c r="AL99" s="35">
        <f t="shared" si="13"/>
        <v>102.39</v>
      </c>
      <c r="AM99" s="35">
        <f t="shared" si="15"/>
        <v>1.0938568219552736</v>
      </c>
      <c r="AN99" s="35">
        <f t="shared" si="22"/>
        <v>-19.131337483331745</v>
      </c>
      <c r="AO99" s="35" t="str">
        <f t="shared" si="16"/>
        <v>FITS BITCH</v>
      </c>
      <c r="AP99" s="35" t="str">
        <f t="shared" si="17"/>
        <v>FITS BITCH</v>
      </c>
      <c r="AQ99" s="35" t="str">
        <f t="shared" si="17"/>
        <v>FITS BITCH</v>
      </c>
      <c r="AR99" s="35" t="str">
        <f t="shared" si="18"/>
        <v>FITS BITCH</v>
      </c>
      <c r="AS99" s="35" t="str">
        <f t="shared" si="19"/>
        <v>FITS BITCH</v>
      </c>
      <c r="AT99" s="20" t="str">
        <f t="shared" si="20"/>
        <v>BULLISH</v>
      </c>
      <c r="AU99" s="20" t="str">
        <f t="shared" si="21"/>
        <v>BEARISH</v>
      </c>
      <c r="AV99" s="20"/>
      <c r="AW99" s="20"/>
      <c r="AX99" s="20"/>
      <c r="AY99" s="35"/>
      <c r="AZ99" s="92" t="s">
        <v>153</v>
      </c>
      <c r="BA99" s="92">
        <f>INTERCEPT(AJ7:AJ195,AE7:AE195)</f>
        <v>-1189.0727655183673</v>
      </c>
      <c r="BB99" s="92"/>
      <c r="BC99" s="92"/>
      <c r="BD99" s="92"/>
      <c r="BE99" s="92"/>
      <c r="BF99" s="92"/>
      <c r="BG99" s="35"/>
      <c r="BH99" s="35"/>
      <c r="BI99" s="35"/>
      <c r="BJ99" s="35"/>
      <c r="BK99" s="82"/>
      <c r="BL99" s="35"/>
      <c r="BM99" s="35"/>
      <c r="CG99" s="1">
        <v>91</v>
      </c>
      <c r="CH99" s="4">
        <f ca="1"/>
        <v>115.26128749902753</v>
      </c>
      <c r="CL99" s="106">
        <v>42991</v>
      </c>
      <c r="CM99" s="107">
        <f t="shared" si="14"/>
        <v>109.80558601112762</v>
      </c>
    </row>
    <row r="100" spans="1:91" ht="15" customHeight="1">
      <c r="A100" s="148"/>
      <c r="B100" s="148"/>
      <c r="C100" s="148"/>
      <c r="D100" s="148"/>
      <c r="E100" s="148"/>
      <c r="F100" s="148"/>
      <c r="G100" s="148"/>
      <c r="H100" s="148"/>
      <c r="I100" s="148"/>
      <c r="J100" s="148"/>
      <c r="K100" s="148"/>
      <c r="L100" s="148"/>
      <c r="M100" s="148"/>
      <c r="N100" s="148"/>
      <c r="O100" s="148"/>
      <c r="P100" s="148"/>
      <c r="Q100" s="148"/>
      <c r="R100" s="148"/>
      <c r="S100" s="148"/>
      <c r="T100" s="148"/>
      <c r="U100" s="148"/>
      <c r="V100" s="148"/>
      <c r="W100" s="148"/>
      <c r="X100" s="148"/>
      <c r="Y100" s="148"/>
      <c r="Z100" s="148"/>
      <c r="AA100" s="148"/>
      <c r="AB100" s="148"/>
      <c r="AC100" s="148"/>
      <c r="AD100" s="148"/>
      <c r="AE100" s="26">
        <f>Data!A95</f>
        <v>42824</v>
      </c>
      <c r="AF100" s="35">
        <f>Data!B95</f>
        <v>102.07</v>
      </c>
      <c r="AG100" s="35">
        <f>Data!F95</f>
        <v>1225705</v>
      </c>
      <c r="AH100" s="35">
        <f>Data!C95</f>
        <v>102.44</v>
      </c>
      <c r="AI100" s="35">
        <f>Data!D95</f>
        <v>101.77</v>
      </c>
      <c r="AJ100" s="35">
        <f>Data!E95</f>
        <v>102.17</v>
      </c>
      <c r="AK100" s="35">
        <f>Data!F95</f>
        <v>1225705</v>
      </c>
      <c r="AL100" s="35">
        <f t="shared" si="13"/>
        <v>102.17</v>
      </c>
      <c r="AM100" s="35">
        <f t="shared" si="15"/>
        <v>-0.21532739551727403</v>
      </c>
      <c r="AN100" s="35">
        <f t="shared" si="22"/>
        <v>-12.149252878955377</v>
      </c>
      <c r="AO100" s="35" t="str">
        <f t="shared" si="16"/>
        <v>FITS BITCH</v>
      </c>
      <c r="AP100" s="35" t="str">
        <f t="shared" si="17"/>
        <v>no</v>
      </c>
      <c r="AQ100" s="35" t="str">
        <f t="shared" si="17"/>
        <v>no</v>
      </c>
      <c r="AR100" s="35" t="str">
        <f t="shared" si="18"/>
        <v>FITS BITCH</v>
      </c>
      <c r="AS100" s="35" t="str">
        <f t="shared" si="19"/>
        <v>FITS BITCH</v>
      </c>
      <c r="AT100" s="20" t="str">
        <f t="shared" si="20"/>
        <v/>
      </c>
      <c r="AU100" s="20" t="str">
        <f t="shared" si="21"/>
        <v/>
      </c>
      <c r="AV100" s="20"/>
      <c r="AW100" s="20"/>
      <c r="AX100" s="20"/>
      <c r="AY100" s="35"/>
      <c r="AZ100" s="148"/>
      <c r="BA100" s="35"/>
      <c r="BB100" s="35"/>
      <c r="BC100" s="35"/>
      <c r="BD100" s="35"/>
      <c r="BE100" s="35"/>
      <c r="BF100" s="35"/>
      <c r="BG100" s="35"/>
      <c r="BH100" s="35"/>
      <c r="BI100" s="35"/>
      <c r="BJ100" s="35"/>
      <c r="BK100" s="82"/>
      <c r="BL100" s="35"/>
      <c r="BM100" s="35"/>
      <c r="CG100" s="1">
        <v>92</v>
      </c>
      <c r="CH100" s="4">
        <f ca="1"/>
        <v>114.74727094839109</v>
      </c>
      <c r="CL100" s="106">
        <v>42990</v>
      </c>
      <c r="CM100" s="107">
        <f t="shared" si="14"/>
        <v>109.75229882270469</v>
      </c>
    </row>
    <row r="101" spans="1:91" ht="15" customHeight="1">
      <c r="A101" s="148"/>
      <c r="B101" s="148"/>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48"/>
      <c r="AA101" s="148"/>
      <c r="AB101" s="148"/>
      <c r="AC101" s="148"/>
      <c r="AD101" s="148"/>
      <c r="AE101" s="26">
        <f>Data!A96</f>
        <v>42823</v>
      </c>
      <c r="AF101" s="35">
        <f>Data!B96</f>
        <v>102.91</v>
      </c>
      <c r="AG101" s="35">
        <f>Data!F96</f>
        <v>2245094</v>
      </c>
      <c r="AH101" s="35">
        <f>Data!C96</f>
        <v>103.03</v>
      </c>
      <c r="AI101" s="35">
        <f>Data!D96</f>
        <v>101.88</v>
      </c>
      <c r="AJ101" s="35">
        <f>Data!E96</f>
        <v>102.13</v>
      </c>
      <c r="AK101" s="35">
        <f>Data!F96</f>
        <v>2245094</v>
      </c>
      <c r="AL101" s="35">
        <f t="shared" si="13"/>
        <v>102.13</v>
      </c>
      <c r="AM101" s="35">
        <f t="shared" si="15"/>
        <v>-3.9165769117797178E-2</v>
      </c>
      <c r="AN101" s="35">
        <f t="shared" si="22"/>
        <v>45.405181252989848</v>
      </c>
      <c r="AO101" s="35" t="str">
        <f t="shared" si="16"/>
        <v>no</v>
      </c>
      <c r="AP101" s="35" t="str">
        <f t="shared" si="17"/>
        <v>no</v>
      </c>
      <c r="AQ101" s="35" t="str">
        <f t="shared" si="17"/>
        <v>no</v>
      </c>
      <c r="AR101" s="35" t="str">
        <f t="shared" si="18"/>
        <v>FITS BITCH</v>
      </c>
      <c r="AS101" s="35" t="str">
        <f t="shared" si="19"/>
        <v>no</v>
      </c>
      <c r="AT101" s="20" t="str">
        <f t="shared" si="20"/>
        <v/>
      </c>
      <c r="AU101" s="20" t="str">
        <f t="shared" si="21"/>
        <v/>
      </c>
      <c r="AV101" s="20"/>
      <c r="AW101" s="20"/>
      <c r="AX101" s="20"/>
      <c r="AY101" s="35"/>
      <c r="AZ101" s="35"/>
      <c r="BA101" s="35"/>
      <c r="BB101" s="35"/>
      <c r="BC101" s="35"/>
      <c r="BD101" s="35"/>
      <c r="BE101" s="35"/>
      <c r="BF101" s="35"/>
      <c r="BG101" s="35"/>
      <c r="BH101" s="35"/>
      <c r="BI101" s="35"/>
      <c r="BJ101" s="35"/>
      <c r="BK101" s="82"/>
      <c r="BL101" s="35"/>
      <c r="BM101" s="35"/>
      <c r="CG101" s="1">
        <v>93</v>
      </c>
      <c r="CH101" s="4">
        <f ca="1"/>
        <v>103.4720593098637</v>
      </c>
      <c r="CL101" s="106">
        <v>42989</v>
      </c>
      <c r="CM101" s="107">
        <f t="shared" si="14"/>
        <v>109.69901163428221</v>
      </c>
    </row>
    <row r="102" spans="1:91" ht="15" customHeight="1">
      <c r="A102" s="148"/>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48"/>
      <c r="AA102" s="148"/>
      <c r="AB102" s="148"/>
      <c r="AC102" s="148"/>
      <c r="AD102" s="148"/>
      <c r="AE102" s="26">
        <f>Data!A97</f>
        <v>42822</v>
      </c>
      <c r="AF102" s="35">
        <f>Data!B97</f>
        <v>102.53</v>
      </c>
      <c r="AG102" s="35">
        <f>Data!F97</f>
        <v>1485979</v>
      </c>
      <c r="AH102" s="35">
        <f>Data!C97</f>
        <v>103.62</v>
      </c>
      <c r="AI102" s="35">
        <f>Data!D97</f>
        <v>102.21</v>
      </c>
      <c r="AJ102" s="35">
        <f>Data!E97</f>
        <v>103.28</v>
      </c>
      <c r="AK102" s="35">
        <f>Data!F97</f>
        <v>1485979</v>
      </c>
      <c r="AL102" s="35">
        <f t="shared" si="13"/>
        <v>103.28</v>
      </c>
      <c r="AM102" s="35">
        <f t="shared" si="15"/>
        <v>1.1134779240898582</v>
      </c>
      <c r="AN102" s="35">
        <f t="shared" si="22"/>
        <v>-51.085176843010572</v>
      </c>
      <c r="AO102" s="35" t="str">
        <f t="shared" si="16"/>
        <v>FITS BITCH</v>
      </c>
      <c r="AP102" s="35" t="str">
        <f t="shared" si="17"/>
        <v>FITS BITCH</v>
      </c>
      <c r="AQ102" s="35" t="str">
        <f t="shared" si="17"/>
        <v>no</v>
      </c>
      <c r="AR102" s="35" t="str">
        <f t="shared" si="18"/>
        <v>no</v>
      </c>
      <c r="AS102" s="35" t="str">
        <f t="shared" si="19"/>
        <v>FITS BITCH</v>
      </c>
      <c r="AT102" s="20" t="str">
        <f t="shared" si="20"/>
        <v/>
      </c>
      <c r="AU102" s="20" t="str">
        <f t="shared" si="21"/>
        <v/>
      </c>
      <c r="AV102" s="20"/>
      <c r="AW102" s="20"/>
      <c r="AX102" s="20"/>
      <c r="AY102" s="35"/>
      <c r="AZ102" s="35"/>
      <c r="BA102" s="35"/>
      <c r="BB102" s="35"/>
      <c r="BC102" s="35"/>
      <c r="BD102" s="35"/>
      <c r="BE102" s="35"/>
      <c r="BF102" s="35"/>
      <c r="BG102" s="35"/>
      <c r="BH102" s="35"/>
      <c r="BI102" s="35"/>
      <c r="BJ102" s="35"/>
      <c r="BK102" s="82"/>
      <c r="BL102" s="35"/>
      <c r="BM102" s="35"/>
      <c r="CG102" s="1">
        <v>94</v>
      </c>
      <c r="CH102" s="4">
        <f ca="1"/>
        <v>105.34251290230516</v>
      </c>
      <c r="CL102" s="106">
        <v>42986</v>
      </c>
      <c r="CM102" s="107">
        <f t="shared" si="14"/>
        <v>109.53915006901389</v>
      </c>
    </row>
    <row r="103" spans="1:91" ht="15" customHeight="1">
      <c r="A103" s="148"/>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48"/>
      <c r="AA103" s="148"/>
      <c r="AB103" s="148"/>
      <c r="AC103" s="148"/>
      <c r="AD103" s="148"/>
      <c r="AE103" s="26">
        <f>Data!A98</f>
        <v>42821</v>
      </c>
      <c r="AF103" s="35">
        <f>Data!B98</f>
        <v>102.73</v>
      </c>
      <c r="AG103" s="35">
        <f>Data!F98</f>
        <v>1504466</v>
      </c>
      <c r="AH103" s="35">
        <f>Data!C98</f>
        <v>103.26</v>
      </c>
      <c r="AI103" s="35">
        <f>Data!D98</f>
        <v>102.37</v>
      </c>
      <c r="AJ103" s="35">
        <f>Data!E98</f>
        <v>102.91</v>
      </c>
      <c r="AK103" s="35">
        <f>Data!F98</f>
        <v>1504466</v>
      </c>
      <c r="AL103" s="35">
        <f t="shared" si="13"/>
        <v>102.91</v>
      </c>
      <c r="AM103" s="35">
        <f t="shared" si="15"/>
        <v>-0.35953745991643626</v>
      </c>
      <c r="AN103" s="35">
        <f t="shared" si="22"/>
        <v>1.2288080953640694</v>
      </c>
      <c r="AO103" s="35" t="str">
        <f t="shared" si="16"/>
        <v>no</v>
      </c>
      <c r="AP103" s="35" t="str">
        <f t="shared" si="17"/>
        <v>no</v>
      </c>
      <c r="AQ103" s="35" t="str">
        <f t="shared" si="17"/>
        <v>no</v>
      </c>
      <c r="AR103" s="35" t="str">
        <f t="shared" si="18"/>
        <v>FITS BITCH</v>
      </c>
      <c r="AS103" s="35" t="str">
        <f t="shared" si="19"/>
        <v>no</v>
      </c>
      <c r="AT103" s="20" t="str">
        <f t="shared" si="20"/>
        <v/>
      </c>
      <c r="AU103" s="20" t="str">
        <f t="shared" si="21"/>
        <v/>
      </c>
      <c r="AV103" s="20"/>
      <c r="AW103" s="20"/>
      <c r="AX103" s="20"/>
      <c r="AY103" s="35"/>
      <c r="AZ103" s="35"/>
      <c r="BA103" s="35"/>
      <c r="BB103" s="35"/>
      <c r="BC103" s="35"/>
      <c r="BD103" s="35"/>
      <c r="BE103" s="35"/>
      <c r="BF103" s="35"/>
      <c r="BG103" s="35"/>
      <c r="BH103" s="35"/>
      <c r="BI103" s="35"/>
      <c r="BJ103" s="35"/>
      <c r="BK103" s="82"/>
      <c r="BL103" s="35"/>
      <c r="BM103" s="35"/>
      <c r="CG103" s="1">
        <v>95</v>
      </c>
      <c r="CH103" s="4">
        <f ca="1"/>
        <v>107.94680850565814</v>
      </c>
      <c r="CL103" s="106">
        <v>42985</v>
      </c>
      <c r="CM103" s="107">
        <f t="shared" si="14"/>
        <v>109.48586288059096</v>
      </c>
    </row>
    <row r="104" spans="1:91" ht="15" customHeight="1">
      <c r="A104" s="148"/>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26">
        <f>Data!A99</f>
        <v>42818</v>
      </c>
      <c r="AF104" s="35">
        <f>Data!B99</f>
        <v>103.75</v>
      </c>
      <c r="AG104" s="35">
        <f>Data!F99</f>
        <v>1359886</v>
      </c>
      <c r="AH104" s="35">
        <f>Data!C99</f>
        <v>104.17</v>
      </c>
      <c r="AI104" s="35">
        <f>Data!D99</f>
        <v>103.06</v>
      </c>
      <c r="AJ104" s="35">
        <f>Data!E99</f>
        <v>103.38</v>
      </c>
      <c r="AK104" s="35">
        <f>Data!F99</f>
        <v>1359886</v>
      </c>
      <c r="AL104" s="35">
        <f t="shared" si="13"/>
        <v>103.38</v>
      </c>
      <c r="AM104" s="35">
        <f t="shared" si="15"/>
        <v>0.45463339137163755</v>
      </c>
      <c r="AN104" s="35">
        <f t="shared" si="22"/>
        <v>-10.631773545723686</v>
      </c>
      <c r="AO104" s="35" t="str">
        <f t="shared" si="16"/>
        <v>FITS BITCH</v>
      </c>
      <c r="AP104" s="35" t="str">
        <f t="shared" si="17"/>
        <v>no</v>
      </c>
      <c r="AQ104" s="35" t="str">
        <f t="shared" si="17"/>
        <v>no</v>
      </c>
      <c r="AR104" s="35" t="str">
        <f t="shared" si="18"/>
        <v>FITS BITCH</v>
      </c>
      <c r="AS104" s="35" t="str">
        <f t="shared" si="19"/>
        <v>no</v>
      </c>
      <c r="AT104" s="20" t="str">
        <f t="shared" si="20"/>
        <v/>
      </c>
      <c r="AU104" s="20" t="str">
        <f t="shared" si="21"/>
        <v/>
      </c>
      <c r="AV104" s="20"/>
      <c r="AW104" s="20"/>
      <c r="AX104" s="20"/>
      <c r="AY104" s="35"/>
      <c r="AZ104" s="35"/>
      <c r="BA104" s="35"/>
      <c r="BB104" s="35"/>
      <c r="BC104" s="35"/>
      <c r="BD104" s="35"/>
      <c r="BE104" s="35"/>
      <c r="BF104" s="35"/>
      <c r="BG104" s="35"/>
      <c r="BH104" s="35"/>
      <c r="BI104" s="35"/>
      <c r="BJ104" s="35"/>
      <c r="BK104" s="82"/>
      <c r="BL104" s="35"/>
      <c r="BM104" s="35"/>
      <c r="CG104" s="1">
        <v>96</v>
      </c>
      <c r="CH104" s="4">
        <f ca="1"/>
        <v>99.028640933967864</v>
      </c>
      <c r="CL104" s="106">
        <v>42984</v>
      </c>
      <c r="CM104" s="107">
        <f t="shared" si="14"/>
        <v>109.43257569216848</v>
      </c>
    </row>
    <row r="105" spans="1:91" ht="15" customHeight="1">
      <c r="A105" s="148"/>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48"/>
      <c r="AA105" s="148"/>
      <c r="AB105" s="148"/>
      <c r="AC105" s="148"/>
      <c r="AD105" s="148"/>
      <c r="AE105" s="26">
        <f>Data!A100</f>
        <v>42817</v>
      </c>
      <c r="AF105" s="35">
        <f>Data!B100</f>
        <v>103.49</v>
      </c>
      <c r="AG105" s="35">
        <f>Data!F100</f>
        <v>1010177</v>
      </c>
      <c r="AH105" s="35">
        <f>Data!C100</f>
        <v>104.25</v>
      </c>
      <c r="AI105" s="35">
        <f>Data!D100</f>
        <v>103.1</v>
      </c>
      <c r="AJ105" s="35">
        <f>Data!E100</f>
        <v>103.52</v>
      </c>
      <c r="AK105" s="35">
        <f>Data!F100</f>
        <v>1010177</v>
      </c>
      <c r="AL105" s="35">
        <f t="shared" si="13"/>
        <v>103.52</v>
      </c>
      <c r="AM105" s="35">
        <f t="shared" si="15"/>
        <v>0.1352395672333854</v>
      </c>
      <c r="AN105" s="35">
        <f t="shared" si="22"/>
        <v>-34.618586643726786</v>
      </c>
      <c r="AO105" s="35" t="str">
        <f t="shared" si="16"/>
        <v>FITS BITCH</v>
      </c>
      <c r="AP105" s="35" t="str">
        <f t="shared" si="17"/>
        <v>FITS BITCH</v>
      </c>
      <c r="AQ105" s="35" t="str">
        <f t="shared" si="17"/>
        <v>FITS BITCH</v>
      </c>
      <c r="AR105" s="35" t="str">
        <f t="shared" si="18"/>
        <v>FITS BITCH</v>
      </c>
      <c r="AS105" s="35" t="str">
        <f t="shared" si="19"/>
        <v>no</v>
      </c>
      <c r="AT105" s="20" t="str">
        <f t="shared" si="20"/>
        <v>BULLISH</v>
      </c>
      <c r="AU105" s="20" t="str">
        <f t="shared" si="21"/>
        <v/>
      </c>
      <c r="AV105" s="20"/>
      <c r="AW105" s="20"/>
      <c r="AX105" s="20"/>
      <c r="AY105" s="35"/>
      <c r="AZ105" s="35"/>
      <c r="BA105" s="35"/>
      <c r="BB105" s="35"/>
      <c r="BC105" s="35"/>
      <c r="BD105" s="35"/>
      <c r="BE105" s="35"/>
      <c r="BF105" s="35"/>
      <c r="BG105" s="35"/>
      <c r="BH105" s="35"/>
      <c r="BI105" s="35"/>
      <c r="BJ105" s="35"/>
      <c r="BK105" s="82"/>
      <c r="BL105" s="35"/>
      <c r="BM105" s="35"/>
      <c r="CG105" s="1">
        <v>97</v>
      </c>
      <c r="CH105" s="4">
        <f ca="1"/>
        <v>102.61742049009531</v>
      </c>
      <c r="CL105" s="106">
        <v>42983</v>
      </c>
      <c r="CM105" s="107">
        <f t="shared" si="14"/>
        <v>109.37928850374556</v>
      </c>
    </row>
    <row r="106" spans="1:91" ht="15" customHeight="1">
      <c r="A106" s="148"/>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48"/>
      <c r="AA106" s="148"/>
      <c r="AB106" s="148"/>
      <c r="AC106" s="148"/>
      <c r="AD106" s="148"/>
      <c r="AE106" s="26">
        <f>Data!A101</f>
        <v>42816</v>
      </c>
      <c r="AF106" s="35">
        <f>Data!B101</f>
        <v>103.35</v>
      </c>
      <c r="AG106" s="35">
        <f>Data!F101</f>
        <v>2011038</v>
      </c>
      <c r="AH106" s="35">
        <f>Data!C101</f>
        <v>103.74</v>
      </c>
      <c r="AI106" s="35">
        <f>Data!D101</f>
        <v>102.89</v>
      </c>
      <c r="AJ106" s="35">
        <f>Data!E101</f>
        <v>103.68</v>
      </c>
      <c r="AK106" s="35">
        <f>Data!F101</f>
        <v>2011038</v>
      </c>
      <c r="AL106" s="35">
        <f t="shared" si="13"/>
        <v>103.68</v>
      </c>
      <c r="AM106" s="35">
        <f t="shared" si="15"/>
        <v>0.15432098765433139</v>
      </c>
      <c r="AN106" s="35">
        <f t="shared" si="22"/>
        <v>49.768378320051639</v>
      </c>
      <c r="AO106" s="35" t="str">
        <f t="shared" si="16"/>
        <v>no</v>
      </c>
      <c r="AP106" s="35" t="str">
        <f t="shared" si="17"/>
        <v>no</v>
      </c>
      <c r="AQ106" s="35" t="str">
        <f t="shared" si="17"/>
        <v>no</v>
      </c>
      <c r="AR106" s="35" t="str">
        <f t="shared" si="18"/>
        <v>FITS BITCH</v>
      </c>
      <c r="AS106" s="35" t="str">
        <f t="shared" si="19"/>
        <v>FITS BITCH</v>
      </c>
      <c r="AT106" s="20" t="str">
        <f t="shared" si="20"/>
        <v/>
      </c>
      <c r="AU106" s="20" t="str">
        <f t="shared" si="21"/>
        <v/>
      </c>
      <c r="AV106" s="20"/>
      <c r="AW106" s="20"/>
      <c r="AX106" s="20"/>
      <c r="AY106" s="35"/>
      <c r="AZ106" s="35"/>
      <c r="BA106" s="35"/>
      <c r="BB106" s="35"/>
      <c r="BC106" s="35"/>
      <c r="BD106" s="35"/>
      <c r="BE106" s="35"/>
      <c r="BF106" s="35"/>
      <c r="BG106" s="35"/>
      <c r="BH106" s="35"/>
      <c r="BI106" s="35"/>
      <c r="BJ106" s="35"/>
      <c r="BK106" s="82"/>
      <c r="BL106" s="35"/>
      <c r="BM106" s="35"/>
      <c r="CG106" s="1">
        <v>98</v>
      </c>
      <c r="CH106" s="4">
        <f ca="1"/>
        <v>111.34014689876918</v>
      </c>
      <c r="CL106" s="106">
        <v>42982</v>
      </c>
      <c r="CM106" s="107">
        <f t="shared" si="14"/>
        <v>109.32600131532263</v>
      </c>
    </row>
    <row r="107" spans="1:91" ht="15" customHeight="1">
      <c r="A107" s="148"/>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c r="AB107" s="148"/>
      <c r="AC107" s="148"/>
      <c r="AD107" s="148"/>
      <c r="AE107" s="26">
        <f>Data!A102</f>
        <v>42815</v>
      </c>
      <c r="AF107" s="35">
        <f>Data!B102</f>
        <v>104.9</v>
      </c>
      <c r="AG107" s="35">
        <f>Data!F102</f>
        <v>1612663</v>
      </c>
      <c r="AH107" s="35">
        <f>Data!C102</f>
        <v>104.96</v>
      </c>
      <c r="AI107" s="35">
        <f>Data!D102</f>
        <v>102.99</v>
      </c>
      <c r="AJ107" s="35">
        <f>Data!E102</f>
        <v>103.12</v>
      </c>
      <c r="AK107" s="35">
        <f>Data!F102</f>
        <v>1612663</v>
      </c>
      <c r="AL107" s="35">
        <f t="shared" si="13"/>
        <v>103.12</v>
      </c>
      <c r="AM107" s="35">
        <f t="shared" si="15"/>
        <v>-0.5430566330488773</v>
      </c>
      <c r="AN107" s="35">
        <f t="shared" si="22"/>
        <v>-24.702929254283131</v>
      </c>
      <c r="AO107" s="35" t="str">
        <f t="shared" si="16"/>
        <v>FITS BITCH</v>
      </c>
      <c r="AP107" s="35" t="str">
        <f t="shared" si="17"/>
        <v>no</v>
      </c>
      <c r="AQ107" s="35" t="str">
        <f t="shared" si="17"/>
        <v>no</v>
      </c>
      <c r="AR107" s="35" t="str">
        <f t="shared" si="18"/>
        <v>FITS BITCH</v>
      </c>
      <c r="AS107" s="35" t="str">
        <f t="shared" si="19"/>
        <v>no</v>
      </c>
      <c r="AT107" s="20" t="str">
        <f t="shared" si="20"/>
        <v/>
      </c>
      <c r="AU107" s="20" t="str">
        <f t="shared" si="21"/>
        <v/>
      </c>
      <c r="AV107" s="20"/>
      <c r="AW107" s="20"/>
      <c r="AX107" s="20"/>
      <c r="AY107" s="35"/>
      <c r="AZ107" s="35"/>
      <c r="BA107" s="35"/>
      <c r="BB107" s="35"/>
      <c r="BC107" s="35"/>
      <c r="BD107" s="35"/>
      <c r="BE107" s="35"/>
      <c r="BF107" s="35"/>
      <c r="BG107" s="35"/>
      <c r="BH107" s="35"/>
      <c r="BI107" s="35"/>
      <c r="BJ107" s="35"/>
      <c r="BK107" s="82"/>
      <c r="BL107" s="35"/>
      <c r="BM107" s="35"/>
      <c r="CG107" s="1">
        <v>99</v>
      </c>
      <c r="CH107" s="4">
        <f ca="1"/>
        <v>106.91891737701036</v>
      </c>
      <c r="CL107" s="106">
        <v>42979</v>
      </c>
      <c r="CM107" s="107">
        <f t="shared" si="14"/>
        <v>109.1661397500543</v>
      </c>
    </row>
    <row r="108" spans="1:91" ht="15" customHeight="1">
      <c r="A108" s="148"/>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c r="AB108" s="148"/>
      <c r="AC108" s="148"/>
      <c r="AD108" s="148"/>
      <c r="AE108" s="26">
        <f>Data!A103</f>
        <v>42814</v>
      </c>
      <c r="AF108" s="35">
        <f>Data!B103</f>
        <v>105.17</v>
      </c>
      <c r="AG108" s="35">
        <f>Data!F103</f>
        <v>1323403</v>
      </c>
      <c r="AH108" s="35">
        <f>Data!C103</f>
        <v>105.18</v>
      </c>
      <c r="AI108" s="35">
        <f>Data!D103</f>
        <v>104.22</v>
      </c>
      <c r="AJ108" s="35">
        <f>Data!E103</f>
        <v>104.45</v>
      </c>
      <c r="AK108" s="35">
        <f>Data!F103</f>
        <v>1323403</v>
      </c>
      <c r="AL108" s="35">
        <f t="shared" si="13"/>
        <v>104.45</v>
      </c>
      <c r="AM108" s="35">
        <f t="shared" si="15"/>
        <v>1.2733365246529424</v>
      </c>
      <c r="AN108" s="35">
        <f t="shared" si="22"/>
        <v>-21.857287613825871</v>
      </c>
      <c r="AO108" s="35" t="str">
        <f t="shared" si="16"/>
        <v>FITS BITCH</v>
      </c>
      <c r="AP108" s="35" t="str">
        <f t="shared" si="17"/>
        <v>no</v>
      </c>
      <c r="AQ108" s="35" t="str">
        <f t="shared" si="17"/>
        <v>FITS BITCH</v>
      </c>
      <c r="AR108" s="35" t="str">
        <f t="shared" si="18"/>
        <v>FITS BITCH</v>
      </c>
      <c r="AS108" s="35" t="str">
        <f t="shared" si="19"/>
        <v>no</v>
      </c>
      <c r="AT108" s="20" t="str">
        <f t="shared" si="20"/>
        <v/>
      </c>
      <c r="AU108" s="20" t="str">
        <f t="shared" si="21"/>
        <v/>
      </c>
      <c r="AV108" s="20"/>
      <c r="AW108" s="20"/>
      <c r="AX108" s="20"/>
      <c r="AY108" s="35"/>
      <c r="AZ108" s="35"/>
      <c r="BA108" s="35"/>
      <c r="BB108" s="35"/>
      <c r="BC108" s="35"/>
      <c r="BD108" s="35"/>
      <c r="BE108" s="35"/>
      <c r="BF108" s="35"/>
      <c r="BG108" s="35"/>
      <c r="BH108" s="35"/>
      <c r="BI108" s="35"/>
      <c r="BJ108" s="35"/>
      <c r="BK108" s="82"/>
      <c r="BL108" s="35"/>
      <c r="BM108" s="35"/>
      <c r="CG108" s="1">
        <v>100</v>
      </c>
      <c r="CH108" s="4">
        <f ca="1"/>
        <v>112.34126237233001</v>
      </c>
      <c r="CL108" s="106">
        <v>42978</v>
      </c>
      <c r="CM108" s="107">
        <f t="shared" si="14"/>
        <v>109.11285256163183</v>
      </c>
    </row>
    <row r="109" spans="1:91" ht="15" customHeight="1">
      <c r="A109" s="148"/>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48"/>
      <c r="AA109" s="148"/>
      <c r="AB109" s="148"/>
      <c r="AC109" s="148"/>
      <c r="AD109" s="148"/>
      <c r="AE109" s="26">
        <f>Data!A104</f>
        <v>42811</v>
      </c>
      <c r="AF109" s="35">
        <f>Data!B104</f>
        <v>104.31</v>
      </c>
      <c r="AG109" s="35">
        <f>Data!F104</f>
        <v>2890349</v>
      </c>
      <c r="AH109" s="35">
        <f>Data!C104</f>
        <v>105.2</v>
      </c>
      <c r="AI109" s="35">
        <f>Data!D104</f>
        <v>104.03</v>
      </c>
      <c r="AJ109" s="35">
        <f>Data!E104</f>
        <v>105.11</v>
      </c>
      <c r="AK109" s="35">
        <f>Data!F104</f>
        <v>2890349</v>
      </c>
      <c r="AL109" s="35">
        <f t="shared" si="13"/>
        <v>105.11</v>
      </c>
      <c r="AM109" s="35">
        <f>(AL109-AL108)/AL109*100</f>
        <v>0.62791361430881609</v>
      </c>
      <c r="AN109" s="35">
        <f t="shared" si="22"/>
        <v>54.213037941092921</v>
      </c>
      <c r="AO109" s="35" t="str">
        <f t="shared" si="16"/>
        <v>no</v>
      </c>
      <c r="AP109" s="35" t="str">
        <f t="shared" si="17"/>
        <v>FITS BITCH</v>
      </c>
      <c r="AQ109" s="35" t="str">
        <f t="shared" si="17"/>
        <v>FITS BITCH</v>
      </c>
      <c r="AR109" s="35" t="str">
        <f t="shared" si="18"/>
        <v>no</v>
      </c>
      <c r="AS109" s="35" t="str">
        <f t="shared" si="19"/>
        <v>FITS BITCH</v>
      </c>
      <c r="AT109" s="20" t="str">
        <f t="shared" si="20"/>
        <v/>
      </c>
      <c r="AU109" s="20" t="str">
        <f t="shared" si="21"/>
        <v/>
      </c>
      <c r="AV109" s="20"/>
      <c r="AW109" s="20"/>
      <c r="AX109" s="20"/>
      <c r="AY109" s="35"/>
      <c r="AZ109" s="35"/>
      <c r="BA109" s="35"/>
      <c r="BB109" s="35"/>
      <c r="BC109" s="35"/>
      <c r="BD109" s="35"/>
      <c r="BE109" s="35"/>
      <c r="BF109" s="35"/>
      <c r="BG109" s="35"/>
      <c r="BH109" s="35"/>
      <c r="BI109" s="35"/>
      <c r="BJ109" s="35"/>
      <c r="BK109" s="82"/>
      <c r="BL109" s="35"/>
      <c r="BM109" s="35"/>
      <c r="CG109" s="1"/>
      <c r="CL109" s="106">
        <v>42977</v>
      </c>
      <c r="CM109" s="107">
        <f t="shared" si="14"/>
        <v>109.0595653732089</v>
      </c>
    </row>
    <row r="110" spans="1:91" ht="15" customHeight="1">
      <c r="A110" s="148"/>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26">
        <f>Data!A105</f>
        <v>42810</v>
      </c>
      <c r="AF110" s="35">
        <f>Data!B105</f>
        <v>104.65</v>
      </c>
      <c r="AG110" s="35">
        <f>Data!F105</f>
        <v>1231091</v>
      </c>
      <c r="AH110" s="35">
        <f>Data!C105</f>
        <v>104.89</v>
      </c>
      <c r="AI110" s="35">
        <f>Data!D105</f>
        <v>103.9</v>
      </c>
      <c r="AJ110" s="35">
        <f>Data!E105</f>
        <v>104.25</v>
      </c>
      <c r="AK110" s="35">
        <f>Data!F105</f>
        <v>1231091</v>
      </c>
      <c r="AL110" s="35">
        <f t="shared" si="13"/>
        <v>104.25</v>
      </c>
      <c r="AM110" s="35">
        <f t="shared" ref="AM110:AM173" si="23">(AL110-AL109)/AL110*100</f>
        <v>-0.82494004796163023</v>
      </c>
      <c r="AN110" s="35">
        <f t="shared" si="22"/>
        <v>-134.77947609071953</v>
      </c>
      <c r="AO110" s="35" t="str">
        <f t="shared" si="16"/>
        <v>FITS BITCH</v>
      </c>
      <c r="AP110" s="35" t="str">
        <f t="shared" si="17"/>
        <v>FITS BITCH</v>
      </c>
      <c r="AQ110" s="35" t="str">
        <f t="shared" si="17"/>
        <v>FITS BITCH</v>
      </c>
      <c r="AR110" s="35" t="str">
        <f t="shared" si="18"/>
        <v>FITS BITCH</v>
      </c>
      <c r="AS110" s="35" t="str">
        <f t="shared" si="19"/>
        <v>no</v>
      </c>
      <c r="AT110" s="20" t="str">
        <f t="shared" si="20"/>
        <v>BULLISH</v>
      </c>
      <c r="AU110" s="20" t="str">
        <f t="shared" si="21"/>
        <v/>
      </c>
      <c r="AV110" s="20"/>
      <c r="AW110" s="20"/>
      <c r="AX110" s="20"/>
      <c r="CG110" s="1"/>
      <c r="CL110" s="106">
        <v>42976</v>
      </c>
      <c r="CM110" s="107">
        <f t="shared" si="14"/>
        <v>109.00627818478597</v>
      </c>
    </row>
    <row r="111" spans="1:91" ht="15" customHeight="1">
      <c r="A111" s="148"/>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26">
        <f>Data!A106</f>
        <v>42809</v>
      </c>
      <c r="AF111" s="35">
        <f>Data!B106</f>
        <v>104.27</v>
      </c>
      <c r="AG111" s="35">
        <f>Data!F106</f>
        <v>1500187</v>
      </c>
      <c r="AH111" s="35">
        <f>Data!C106</f>
        <v>104.79</v>
      </c>
      <c r="AI111" s="35">
        <f>Data!D106</f>
        <v>103.66</v>
      </c>
      <c r="AJ111" s="35">
        <f>Data!E106</f>
        <v>104.67</v>
      </c>
      <c r="AK111" s="35">
        <f>Data!F106</f>
        <v>1500187</v>
      </c>
      <c r="AL111" s="35">
        <f t="shared" si="13"/>
        <v>104.67</v>
      </c>
      <c r="AM111" s="35">
        <f t="shared" si="23"/>
        <v>0.40126110633419482</v>
      </c>
      <c r="AN111" s="35">
        <f t="shared" si="22"/>
        <v>17.937497125358373</v>
      </c>
      <c r="AO111" s="35" t="str">
        <f t="shared" si="16"/>
        <v>no</v>
      </c>
      <c r="AP111" s="35" t="str">
        <f t="shared" si="17"/>
        <v>FITS BITCH</v>
      </c>
      <c r="AQ111" s="35" t="str">
        <f t="shared" si="17"/>
        <v>no</v>
      </c>
      <c r="AR111" s="35" t="str">
        <f t="shared" si="18"/>
        <v>FITS BITCH</v>
      </c>
      <c r="AS111" s="35" t="str">
        <f t="shared" si="19"/>
        <v>FITS BITCH</v>
      </c>
      <c r="AT111" s="20" t="str">
        <f t="shared" si="20"/>
        <v/>
      </c>
      <c r="AU111" s="20" t="str">
        <f t="shared" si="21"/>
        <v/>
      </c>
      <c r="AV111" s="20"/>
      <c r="AW111" s="20"/>
      <c r="AX111" s="20"/>
      <c r="CG111" s="1"/>
      <c r="CL111" s="106">
        <v>42975</v>
      </c>
      <c r="CM111" s="107">
        <f t="shared" si="14"/>
        <v>108.9529909963635</v>
      </c>
    </row>
    <row r="112" spans="1:91" ht="15" customHeight="1">
      <c r="A112" s="148"/>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26">
        <f>Data!A107</f>
        <v>42808</v>
      </c>
      <c r="AF112" s="35">
        <f>Data!B107</f>
        <v>104.66</v>
      </c>
      <c r="AG112" s="35">
        <f>Data!F107</f>
        <v>1848326</v>
      </c>
      <c r="AH112" s="35">
        <f>Data!C107</f>
        <v>104.76</v>
      </c>
      <c r="AI112" s="35">
        <f>Data!D107</f>
        <v>103.69</v>
      </c>
      <c r="AJ112" s="35">
        <f>Data!E107</f>
        <v>103.97</v>
      </c>
      <c r="AK112" s="35">
        <f>Data!F107</f>
        <v>1848326</v>
      </c>
      <c r="AL112" s="35">
        <f t="shared" si="13"/>
        <v>103.97</v>
      </c>
      <c r="AM112" s="35">
        <f t="shared" si="23"/>
        <v>-0.67327113590459065</v>
      </c>
      <c r="AN112" s="35">
        <f t="shared" si="22"/>
        <v>18.835367786851453</v>
      </c>
      <c r="AO112" s="35" t="str">
        <f t="shared" si="16"/>
        <v>no</v>
      </c>
      <c r="AP112" s="35" t="str">
        <f t="shared" si="17"/>
        <v>no</v>
      </c>
      <c r="AQ112" s="35" t="str">
        <f t="shared" si="17"/>
        <v>no</v>
      </c>
      <c r="AR112" s="35" t="str">
        <f t="shared" si="18"/>
        <v>FITS BITCH</v>
      </c>
      <c r="AS112" s="35" t="str">
        <f t="shared" si="19"/>
        <v>no</v>
      </c>
      <c r="AT112" s="20" t="str">
        <f t="shared" si="20"/>
        <v/>
      </c>
      <c r="AU112" s="20" t="str">
        <f t="shared" si="21"/>
        <v/>
      </c>
      <c r="AV112" s="20"/>
      <c r="AW112" s="20"/>
      <c r="AX112" s="20"/>
      <c r="CL112" s="106">
        <v>42972</v>
      </c>
      <c r="CM112" s="107">
        <f t="shared" si="14"/>
        <v>108.79312943109517</v>
      </c>
    </row>
    <row r="113" spans="1:91" ht="15" customHeight="1">
      <c r="A113" s="148"/>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48"/>
      <c r="AB113" s="148"/>
      <c r="AC113" s="148"/>
      <c r="AD113" s="148"/>
      <c r="AE113" s="26">
        <f>Data!A108</f>
        <v>42807</v>
      </c>
      <c r="AF113" s="35">
        <f>Data!B108</f>
        <v>104.49</v>
      </c>
      <c r="AG113" s="35">
        <f>Data!F108</f>
        <v>1802650</v>
      </c>
      <c r="AH113" s="35">
        <f>Data!C108</f>
        <v>104.9</v>
      </c>
      <c r="AI113" s="35">
        <f>Data!D108</f>
        <v>104.14</v>
      </c>
      <c r="AJ113" s="35">
        <f>Data!E108</f>
        <v>104.84</v>
      </c>
      <c r="AK113" s="35">
        <f>Data!F108</f>
        <v>1802650</v>
      </c>
      <c r="AL113" s="35">
        <f t="shared" si="13"/>
        <v>104.84</v>
      </c>
      <c r="AM113" s="35">
        <f t="shared" si="23"/>
        <v>0.82983594048073683</v>
      </c>
      <c r="AN113" s="35">
        <f t="shared" si="22"/>
        <v>-2.533825201786259</v>
      </c>
      <c r="AO113" s="35" t="str">
        <f t="shared" si="16"/>
        <v>no</v>
      </c>
      <c r="AP113" s="35" t="str">
        <f t="shared" si="17"/>
        <v>FITS BITCH</v>
      </c>
      <c r="AQ113" s="35" t="str">
        <f t="shared" si="17"/>
        <v>FITS BITCH</v>
      </c>
      <c r="AR113" s="35" t="str">
        <f t="shared" si="18"/>
        <v>no</v>
      </c>
      <c r="AS113" s="35" t="str">
        <f t="shared" si="19"/>
        <v>FITS BITCH</v>
      </c>
      <c r="AT113" s="20" t="str">
        <f t="shared" si="20"/>
        <v/>
      </c>
      <c r="AU113" s="20" t="str">
        <f t="shared" si="21"/>
        <v/>
      </c>
      <c r="AV113" s="20"/>
      <c r="AW113" s="20"/>
      <c r="AX113" s="20"/>
      <c r="CL113" s="106">
        <v>42971</v>
      </c>
      <c r="CM113" s="107">
        <f t="shared" si="14"/>
        <v>108.73984224267224</v>
      </c>
    </row>
    <row r="114" spans="1:91" ht="15" customHeight="1">
      <c r="A114" s="148"/>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c r="AB114" s="148"/>
      <c r="AC114" s="148"/>
      <c r="AD114" s="148"/>
      <c r="AE114" s="26">
        <f>Data!A109</f>
        <v>42804</v>
      </c>
      <c r="AF114" s="35">
        <f>Data!B109</f>
        <v>103.87</v>
      </c>
      <c r="AG114" s="35">
        <f>Data!F109</f>
        <v>1556780</v>
      </c>
      <c r="AH114" s="35">
        <f>Data!C109</f>
        <v>104.63</v>
      </c>
      <c r="AI114" s="35">
        <f>Data!D109</f>
        <v>103.54</v>
      </c>
      <c r="AJ114" s="35">
        <f>Data!E109</f>
        <v>104.55</v>
      </c>
      <c r="AK114" s="35">
        <f>Data!F109</f>
        <v>1556780</v>
      </c>
      <c r="AL114" s="35">
        <f t="shared" si="13"/>
        <v>104.55</v>
      </c>
      <c r="AM114" s="35">
        <f t="shared" si="23"/>
        <v>-0.27737924438068506</v>
      </c>
      <c r="AN114" s="35">
        <f t="shared" si="22"/>
        <v>-15.793496833207005</v>
      </c>
      <c r="AO114" s="35" t="str">
        <f t="shared" si="16"/>
        <v>FITS BITCH</v>
      </c>
      <c r="AP114" s="35" t="str">
        <f t="shared" si="17"/>
        <v>FITS BITCH</v>
      </c>
      <c r="AQ114" s="35" t="str">
        <f t="shared" si="17"/>
        <v>FITS BITCH</v>
      </c>
      <c r="AR114" s="35" t="str">
        <f t="shared" si="18"/>
        <v>no</v>
      </c>
      <c r="AS114" s="35" t="str">
        <f t="shared" si="19"/>
        <v>FITS BITCH</v>
      </c>
      <c r="AT114" s="20" t="str">
        <f t="shared" si="20"/>
        <v/>
      </c>
      <c r="AU114" s="20" t="str">
        <f t="shared" si="21"/>
        <v>BEARISH</v>
      </c>
      <c r="AV114" s="20"/>
      <c r="AW114" s="20"/>
      <c r="AX114" s="20"/>
      <c r="CL114" s="106">
        <v>42970</v>
      </c>
      <c r="CM114" s="107">
        <f t="shared" si="14"/>
        <v>108.68655505424931</v>
      </c>
    </row>
    <row r="115" spans="1:91" ht="15" customHeight="1">
      <c r="A115" s="148"/>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c r="AB115" s="148"/>
      <c r="AC115" s="148"/>
      <c r="AD115" s="148"/>
      <c r="AE115" s="26">
        <f>Data!A110</f>
        <v>42803</v>
      </c>
      <c r="AF115" s="35">
        <f>Data!B110</f>
        <v>103.57</v>
      </c>
      <c r="AG115" s="35">
        <f>Data!F110</f>
        <v>1393832</v>
      </c>
      <c r="AH115" s="35">
        <f>Data!C110</f>
        <v>104.08</v>
      </c>
      <c r="AI115" s="35">
        <f>Data!D110</f>
        <v>102.92</v>
      </c>
      <c r="AJ115" s="35">
        <f>Data!E110</f>
        <v>103.4</v>
      </c>
      <c r="AK115" s="35">
        <f>Data!F110</f>
        <v>1393832</v>
      </c>
      <c r="AL115" s="35">
        <f t="shared" si="13"/>
        <v>103.4</v>
      </c>
      <c r="AM115" s="35">
        <f t="shared" si="23"/>
        <v>-1.1121856866537634</v>
      </c>
      <c r="AN115" s="35">
        <f t="shared" si="22"/>
        <v>-11.690648514311624</v>
      </c>
      <c r="AO115" s="35" t="str">
        <f t="shared" si="16"/>
        <v>FITS BITCH</v>
      </c>
      <c r="AP115" s="35" t="str">
        <f t="shared" si="17"/>
        <v>no</v>
      </c>
      <c r="AQ115" s="35" t="str">
        <f t="shared" si="17"/>
        <v>no</v>
      </c>
      <c r="AR115" s="35" t="str">
        <f t="shared" si="18"/>
        <v>FITS BITCH</v>
      </c>
      <c r="AS115" s="35" t="str">
        <f t="shared" si="19"/>
        <v>no</v>
      </c>
      <c r="AT115" s="20" t="str">
        <f t="shared" si="20"/>
        <v/>
      </c>
      <c r="AU115" s="20" t="str">
        <f t="shared" si="21"/>
        <v/>
      </c>
      <c r="AV115" s="20"/>
      <c r="AW115" s="20"/>
      <c r="AX115" s="20"/>
      <c r="CL115" s="106">
        <v>42969</v>
      </c>
      <c r="CM115" s="107">
        <f t="shared" si="14"/>
        <v>108.63326786582684</v>
      </c>
    </row>
    <row r="116" spans="1:91" ht="15" customHeight="1">
      <c r="A116" s="148"/>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148"/>
      <c r="AB116" s="148"/>
      <c r="AC116" s="148"/>
      <c r="AD116" s="148"/>
      <c r="AE116" s="26">
        <f>Data!A111</f>
        <v>42802</v>
      </c>
      <c r="AF116" s="35">
        <f>Data!B111</f>
        <v>103.62</v>
      </c>
      <c r="AG116" s="35">
        <f>Data!F111</f>
        <v>1577185</v>
      </c>
      <c r="AH116" s="35">
        <f>Data!C111</f>
        <v>104.13</v>
      </c>
      <c r="AI116" s="35">
        <f>Data!D111</f>
        <v>103.34</v>
      </c>
      <c r="AJ116" s="35">
        <f>Data!E111</f>
        <v>103.71</v>
      </c>
      <c r="AK116" s="35">
        <f>Data!F111</f>
        <v>1577185</v>
      </c>
      <c r="AL116" s="35">
        <f t="shared" si="13"/>
        <v>103.71</v>
      </c>
      <c r="AM116" s="35">
        <f t="shared" si="23"/>
        <v>0.29891042329571699</v>
      </c>
      <c r="AN116" s="35">
        <f t="shared" si="22"/>
        <v>11.625332475264475</v>
      </c>
      <c r="AO116" s="35" t="str">
        <f t="shared" si="16"/>
        <v>no</v>
      </c>
      <c r="AP116" s="35" t="str">
        <f t="shared" si="17"/>
        <v>no</v>
      </c>
      <c r="AQ116" s="35" t="str">
        <f t="shared" si="17"/>
        <v>no</v>
      </c>
      <c r="AR116" s="35" t="str">
        <f t="shared" si="18"/>
        <v>FITS BITCH</v>
      </c>
      <c r="AS116" s="35" t="str">
        <f t="shared" si="19"/>
        <v>no</v>
      </c>
      <c r="AT116" s="20" t="str">
        <f t="shared" si="20"/>
        <v/>
      </c>
      <c r="AU116" s="20" t="str">
        <f t="shared" si="21"/>
        <v/>
      </c>
      <c r="AV116" s="20"/>
      <c r="AW116" s="20"/>
      <c r="AX116" s="20"/>
      <c r="CL116" s="106">
        <v>42968</v>
      </c>
      <c r="CM116" s="107">
        <f t="shared" si="14"/>
        <v>108.57998067740391</v>
      </c>
    </row>
    <row r="117" spans="1:91" ht="15" customHeight="1">
      <c r="A117" s="148"/>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c r="AB117" s="148"/>
      <c r="AC117" s="148"/>
      <c r="AD117" s="148"/>
      <c r="AE117" s="26">
        <f>Data!A112</f>
        <v>42801</v>
      </c>
      <c r="AF117" s="35">
        <f>Data!B112</f>
        <v>104.54</v>
      </c>
      <c r="AG117" s="35">
        <f>Data!F112</f>
        <v>1881528</v>
      </c>
      <c r="AH117" s="35">
        <f>Data!C112</f>
        <v>104.85</v>
      </c>
      <c r="AI117" s="35">
        <f>Data!D112</f>
        <v>103.9</v>
      </c>
      <c r="AJ117" s="35">
        <f>Data!E112</f>
        <v>104.27</v>
      </c>
      <c r="AK117" s="35">
        <f>Data!F112</f>
        <v>1881528</v>
      </c>
      <c r="AL117" s="35">
        <f t="shared" si="13"/>
        <v>104.27</v>
      </c>
      <c r="AM117" s="35">
        <f t="shared" si="23"/>
        <v>0.53706722930852813</v>
      </c>
      <c r="AN117" s="35">
        <f t="shared" si="22"/>
        <v>16.175310704916431</v>
      </c>
      <c r="AO117" s="35" t="str">
        <f t="shared" si="16"/>
        <v>no</v>
      </c>
      <c r="AP117" s="35" t="str">
        <f t="shared" si="17"/>
        <v>no</v>
      </c>
      <c r="AQ117" s="35" t="str">
        <f t="shared" si="17"/>
        <v>FITS BITCH</v>
      </c>
      <c r="AR117" s="35" t="str">
        <f t="shared" si="18"/>
        <v>FITS BITCH</v>
      </c>
      <c r="AS117" s="35" t="str">
        <f t="shared" si="19"/>
        <v>no</v>
      </c>
      <c r="AT117" s="20" t="str">
        <f t="shared" si="20"/>
        <v/>
      </c>
      <c r="AU117" s="20" t="str">
        <f t="shared" si="21"/>
        <v/>
      </c>
      <c r="AV117" s="20"/>
      <c r="AW117" s="20"/>
      <c r="AX117" s="20"/>
      <c r="CL117" s="106">
        <v>42965</v>
      </c>
      <c r="CM117" s="107">
        <f t="shared" si="14"/>
        <v>108.42011911213558</v>
      </c>
    </row>
    <row r="118" spans="1:91" ht="15" customHeight="1">
      <c r="A118" s="148"/>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48"/>
      <c r="AA118" s="148"/>
      <c r="AB118" s="148"/>
      <c r="AC118" s="148"/>
      <c r="AD118" s="148"/>
      <c r="AE118" s="26">
        <f>Data!A113</f>
        <v>42800</v>
      </c>
      <c r="AF118" s="35">
        <f>Data!B113</f>
        <v>103.88</v>
      </c>
      <c r="AG118" s="35">
        <f>Data!F113</f>
        <v>1678307</v>
      </c>
      <c r="AH118" s="35">
        <f>Data!C113</f>
        <v>105</v>
      </c>
      <c r="AI118" s="35">
        <f>Data!D113</f>
        <v>103.88</v>
      </c>
      <c r="AJ118" s="35">
        <f>Data!E113</f>
        <v>104.95</v>
      </c>
      <c r="AK118" s="35">
        <f>Data!F113</f>
        <v>1678307</v>
      </c>
      <c r="AL118" s="35">
        <f t="shared" si="13"/>
        <v>104.95</v>
      </c>
      <c r="AM118" s="35">
        <f t="shared" si="23"/>
        <v>0.64792758456408461</v>
      </c>
      <c r="AN118" s="35">
        <f t="shared" si="22"/>
        <v>-12.10869048392219</v>
      </c>
      <c r="AO118" s="35" t="str">
        <f t="shared" si="16"/>
        <v>FITS BITCH</v>
      </c>
      <c r="AP118" s="35" t="str">
        <f t="shared" si="17"/>
        <v>FITS BITCH</v>
      </c>
      <c r="AQ118" s="35" t="str">
        <f t="shared" si="17"/>
        <v>FITS BITCH</v>
      </c>
      <c r="AR118" s="35" t="str">
        <f t="shared" si="18"/>
        <v>no</v>
      </c>
      <c r="AS118" s="35" t="str">
        <f t="shared" si="19"/>
        <v>FITS BITCH</v>
      </c>
      <c r="AT118" s="20" t="str">
        <f t="shared" si="20"/>
        <v/>
      </c>
      <c r="AU118" s="20" t="str">
        <f t="shared" si="21"/>
        <v>BEARISH</v>
      </c>
      <c r="AV118" s="20"/>
      <c r="AW118" s="20"/>
      <c r="AX118" s="20"/>
      <c r="CL118" s="106">
        <v>42964</v>
      </c>
      <c r="CM118" s="107">
        <f t="shared" si="14"/>
        <v>108.36683192371311</v>
      </c>
    </row>
    <row r="119" spans="1:91" ht="15" customHeight="1">
      <c r="A119" s="148"/>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148"/>
      <c r="AB119" s="148"/>
      <c r="AC119" s="148"/>
      <c r="AD119" s="148"/>
      <c r="AE119" s="26">
        <f>Data!A114</f>
        <v>42797</v>
      </c>
      <c r="AF119" s="35">
        <f>Data!B114</f>
        <v>103.95</v>
      </c>
      <c r="AG119" s="35">
        <f>Data!F114</f>
        <v>1216370</v>
      </c>
      <c r="AH119" s="35">
        <f>Data!C114</f>
        <v>104.61</v>
      </c>
      <c r="AI119" s="35">
        <f>Data!D114</f>
        <v>103.63</v>
      </c>
      <c r="AJ119" s="35">
        <f>Data!E114</f>
        <v>104.5</v>
      </c>
      <c r="AK119" s="35">
        <f>Data!F114</f>
        <v>1216370</v>
      </c>
      <c r="AL119" s="35">
        <f t="shared" si="13"/>
        <v>104.5</v>
      </c>
      <c r="AM119" s="35">
        <f t="shared" si="23"/>
        <v>-0.43062200956938074</v>
      </c>
      <c r="AN119" s="35">
        <f t="shared" si="22"/>
        <v>-37.976684725864665</v>
      </c>
      <c r="AO119" s="35" t="str">
        <f t="shared" si="16"/>
        <v>FITS BITCH</v>
      </c>
      <c r="AP119" s="35" t="str">
        <f t="shared" si="17"/>
        <v>FITS BITCH</v>
      </c>
      <c r="AQ119" s="35" t="str">
        <f t="shared" si="17"/>
        <v>no</v>
      </c>
      <c r="AR119" s="35" t="str">
        <f t="shared" si="18"/>
        <v>no</v>
      </c>
      <c r="AS119" s="35" t="str">
        <f t="shared" si="19"/>
        <v>FITS BITCH</v>
      </c>
      <c r="AT119" s="20" t="str">
        <f t="shared" si="20"/>
        <v/>
      </c>
      <c r="AU119" s="20" t="str">
        <f t="shared" si="21"/>
        <v/>
      </c>
      <c r="AV119" s="20"/>
      <c r="AW119" s="20"/>
      <c r="AX119" s="20"/>
      <c r="CL119" s="106">
        <v>42963</v>
      </c>
      <c r="CM119" s="107">
        <f t="shared" si="14"/>
        <v>108.31354473529018</v>
      </c>
    </row>
    <row r="120" spans="1:91" ht="15" customHeight="1">
      <c r="A120" s="148"/>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48"/>
      <c r="AB120" s="148"/>
      <c r="AC120" s="148"/>
      <c r="AD120" s="148"/>
      <c r="AE120" s="26">
        <f>Data!A115</f>
        <v>42796</v>
      </c>
      <c r="AF120" s="35">
        <f>Data!B115</f>
        <v>104.14</v>
      </c>
      <c r="AG120" s="35">
        <f>Data!F115</f>
        <v>1697190</v>
      </c>
      <c r="AH120" s="35">
        <f>Data!C115</f>
        <v>104.37</v>
      </c>
      <c r="AI120" s="35">
        <f>Data!D115</f>
        <v>103.86</v>
      </c>
      <c r="AJ120" s="35">
        <f>Data!E115</f>
        <v>104.07</v>
      </c>
      <c r="AK120" s="35">
        <f>Data!F115</f>
        <v>1697190</v>
      </c>
      <c r="AL120" s="35">
        <f t="shared" si="13"/>
        <v>104.07</v>
      </c>
      <c r="AM120" s="35">
        <f t="shared" si="23"/>
        <v>-0.41318343422696918</v>
      </c>
      <c r="AN120" s="35">
        <f t="shared" si="22"/>
        <v>28.330357826760704</v>
      </c>
      <c r="AO120" s="35" t="str">
        <f t="shared" si="16"/>
        <v>no</v>
      </c>
      <c r="AP120" s="35" t="str">
        <f t="shared" si="17"/>
        <v>no</v>
      </c>
      <c r="AQ120" s="35" t="str">
        <f t="shared" si="17"/>
        <v>FITS BITCH</v>
      </c>
      <c r="AR120" s="35" t="str">
        <f t="shared" si="18"/>
        <v>FITS BITCH</v>
      </c>
      <c r="AS120" s="35" t="str">
        <f t="shared" si="19"/>
        <v>no</v>
      </c>
      <c r="AT120" s="20" t="str">
        <f t="shared" si="20"/>
        <v/>
      </c>
      <c r="AU120" s="20" t="str">
        <f t="shared" si="21"/>
        <v/>
      </c>
      <c r="AV120" s="20"/>
      <c r="AW120" s="20"/>
      <c r="AX120" s="20"/>
      <c r="CL120" s="106">
        <v>42962</v>
      </c>
      <c r="CM120" s="107">
        <f t="shared" si="14"/>
        <v>108.26025754686725</v>
      </c>
    </row>
    <row r="121" spans="1:91" ht="15" customHeight="1">
      <c r="A121" s="148"/>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48"/>
      <c r="AB121" s="148"/>
      <c r="AC121" s="148"/>
      <c r="AD121" s="148"/>
      <c r="AE121" s="26">
        <f>Data!A116</f>
        <v>42795</v>
      </c>
      <c r="AF121" s="35">
        <f>Data!B116</f>
        <v>103.66</v>
      </c>
      <c r="AG121" s="35">
        <f>Data!F116</f>
        <v>1828233</v>
      </c>
      <c r="AH121" s="35">
        <f>Data!C116</f>
        <v>104.71</v>
      </c>
      <c r="AI121" s="35">
        <f>Data!D116</f>
        <v>103.23</v>
      </c>
      <c r="AJ121" s="35">
        <f>Data!E116</f>
        <v>104.53</v>
      </c>
      <c r="AK121" s="35">
        <f>Data!F116</f>
        <v>1828233</v>
      </c>
      <c r="AL121" s="35">
        <f t="shared" si="13"/>
        <v>104.53</v>
      </c>
      <c r="AM121" s="35">
        <f t="shared" si="23"/>
        <v>0.44006505309481292</v>
      </c>
      <c r="AN121" s="35">
        <f t="shared" si="22"/>
        <v>7.1677406545008218</v>
      </c>
      <c r="AO121" s="35" t="str">
        <f t="shared" si="16"/>
        <v>no</v>
      </c>
      <c r="AP121" s="35" t="str">
        <f t="shared" si="17"/>
        <v>FITS BITCH</v>
      </c>
      <c r="AQ121" s="35" t="str">
        <f t="shared" si="17"/>
        <v>FITS BITCH</v>
      </c>
      <c r="AR121" s="35" t="str">
        <f t="shared" si="18"/>
        <v>no</v>
      </c>
      <c r="AS121" s="35" t="str">
        <f t="shared" si="19"/>
        <v>FITS BITCH</v>
      </c>
      <c r="AT121" s="20" t="str">
        <f t="shared" si="20"/>
        <v/>
      </c>
      <c r="AU121" s="20" t="str">
        <f t="shared" si="21"/>
        <v/>
      </c>
      <c r="AV121" s="20"/>
      <c r="AW121" s="20"/>
      <c r="AX121" s="20"/>
      <c r="CL121" s="106">
        <v>42961</v>
      </c>
      <c r="CM121" s="107">
        <f t="shared" si="14"/>
        <v>108.20697035844478</v>
      </c>
    </row>
    <row r="122" spans="1:91" ht="15" customHeight="1">
      <c r="A122" s="148"/>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8"/>
      <c r="AB122" s="148"/>
      <c r="AC122" s="148"/>
      <c r="AD122" s="148"/>
      <c r="AE122" s="26">
        <f>Data!A117</f>
        <v>42794</v>
      </c>
      <c r="AF122" s="35">
        <f>Data!B117</f>
        <v>102.68</v>
      </c>
      <c r="AG122" s="35">
        <f>Data!F117</f>
        <v>2060663</v>
      </c>
      <c r="AH122" s="35">
        <f>Data!C117</f>
        <v>102.81</v>
      </c>
      <c r="AI122" s="35">
        <f>Data!D117</f>
        <v>102.24</v>
      </c>
      <c r="AJ122" s="35">
        <f>Data!E117</f>
        <v>102.62</v>
      </c>
      <c r="AK122" s="35">
        <f>Data!F117</f>
        <v>2060663</v>
      </c>
      <c r="AL122" s="35">
        <f t="shared" si="13"/>
        <v>102.62</v>
      </c>
      <c r="AM122" s="35">
        <f t="shared" si="23"/>
        <v>-1.8612356265835086</v>
      </c>
      <c r="AN122" s="35">
        <f t="shared" si="22"/>
        <v>11.279379500675269</v>
      </c>
      <c r="AO122" s="35" t="str">
        <f t="shared" si="16"/>
        <v>no</v>
      </c>
      <c r="AP122" s="35" t="str">
        <f t="shared" si="17"/>
        <v>no</v>
      </c>
      <c r="AQ122" s="35" t="str">
        <f t="shared" si="17"/>
        <v>no</v>
      </c>
      <c r="AR122" s="35" t="str">
        <f t="shared" si="18"/>
        <v>FITS BITCH</v>
      </c>
      <c r="AS122" s="35" t="str">
        <f t="shared" si="19"/>
        <v>no</v>
      </c>
      <c r="AT122" s="20" t="str">
        <f t="shared" si="20"/>
        <v/>
      </c>
      <c r="AU122" s="20" t="str">
        <f t="shared" si="21"/>
        <v/>
      </c>
      <c r="AV122" s="20"/>
      <c r="AW122" s="20"/>
      <c r="AX122" s="20"/>
      <c r="CL122" s="106">
        <v>42958</v>
      </c>
      <c r="CM122" s="107">
        <f t="shared" si="14"/>
        <v>108.04710879317645</v>
      </c>
    </row>
    <row r="123" spans="1:91" ht="15" customHeight="1">
      <c r="A123" s="148"/>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8"/>
      <c r="AB123" s="148"/>
      <c r="AC123" s="148"/>
      <c r="AD123" s="148"/>
      <c r="AE123" s="26">
        <f>Data!A118</f>
        <v>42793</v>
      </c>
      <c r="AF123" s="35">
        <f>Data!B118</f>
        <v>102.93</v>
      </c>
      <c r="AG123" s="35">
        <f>Data!F118</f>
        <v>1188346</v>
      </c>
      <c r="AH123" s="35">
        <f>Data!C118</f>
        <v>103.14</v>
      </c>
      <c r="AI123" s="35">
        <f>Data!D118</f>
        <v>102.47</v>
      </c>
      <c r="AJ123" s="35">
        <f>Data!E118</f>
        <v>102.7</v>
      </c>
      <c r="AK123" s="35">
        <f>Data!F118</f>
        <v>1188346</v>
      </c>
      <c r="AL123" s="35">
        <f t="shared" si="13"/>
        <v>102.7</v>
      </c>
      <c r="AM123" s="35">
        <f t="shared" si="23"/>
        <v>7.7896786757544592E-2</v>
      </c>
      <c r="AN123" s="35">
        <f t="shared" si="22"/>
        <v>-73.405977720293578</v>
      </c>
      <c r="AO123" s="35" t="str">
        <f t="shared" si="16"/>
        <v>FITS BITCH</v>
      </c>
      <c r="AP123" s="35" t="str">
        <f t="shared" si="17"/>
        <v>FITS BITCH</v>
      </c>
      <c r="AQ123" s="35" t="str">
        <f t="shared" si="17"/>
        <v>FITS BITCH</v>
      </c>
      <c r="AR123" s="35" t="str">
        <f t="shared" si="18"/>
        <v>FITS BITCH</v>
      </c>
      <c r="AS123" s="35" t="str">
        <f t="shared" si="19"/>
        <v>no</v>
      </c>
      <c r="AT123" s="20" t="str">
        <f t="shared" si="20"/>
        <v>BULLISH</v>
      </c>
      <c r="AU123" s="20" t="str">
        <f t="shared" si="21"/>
        <v/>
      </c>
      <c r="AV123" s="20"/>
      <c r="AW123" s="20"/>
      <c r="AX123" s="20"/>
      <c r="CL123" s="106">
        <v>42957</v>
      </c>
      <c r="CM123" s="107">
        <f t="shared" si="14"/>
        <v>107.99382160475352</v>
      </c>
    </row>
    <row r="124" spans="1:91" ht="15" customHeight="1">
      <c r="A124" s="148"/>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c r="AB124" s="148"/>
      <c r="AC124" s="148"/>
      <c r="AD124" s="148"/>
      <c r="AE124" s="26">
        <f>Data!A119</f>
        <v>42790</v>
      </c>
      <c r="AF124" s="35">
        <f>Data!B119</f>
        <v>101.63</v>
      </c>
      <c r="AG124" s="35">
        <f>Data!F119</f>
        <v>1774494</v>
      </c>
      <c r="AH124" s="35">
        <f>Data!C119</f>
        <v>103.01</v>
      </c>
      <c r="AI124" s="35">
        <f>Data!D119</f>
        <v>101.3</v>
      </c>
      <c r="AJ124" s="35">
        <f>Data!E119</f>
        <v>103</v>
      </c>
      <c r="AK124" s="35">
        <f>Data!F119</f>
        <v>1774494</v>
      </c>
      <c r="AL124" s="35">
        <f t="shared" si="13"/>
        <v>103</v>
      </c>
      <c r="AM124" s="35">
        <f t="shared" si="23"/>
        <v>0.2912621359223273</v>
      </c>
      <c r="AN124" s="35">
        <f t="shared" si="22"/>
        <v>33.031838935493724</v>
      </c>
      <c r="AO124" s="35" t="str">
        <f t="shared" si="16"/>
        <v>no</v>
      </c>
      <c r="AP124" s="35" t="str">
        <f t="shared" si="17"/>
        <v>FITS BITCH</v>
      </c>
      <c r="AQ124" s="35" t="str">
        <f t="shared" si="17"/>
        <v>FITS BITCH</v>
      </c>
      <c r="AR124" s="35" t="str">
        <f t="shared" si="18"/>
        <v>no</v>
      </c>
      <c r="AS124" s="35" t="str">
        <f t="shared" si="19"/>
        <v>FITS BITCH</v>
      </c>
      <c r="AT124" s="20" t="str">
        <f t="shared" si="20"/>
        <v/>
      </c>
      <c r="AU124" s="20" t="str">
        <f t="shared" si="21"/>
        <v/>
      </c>
      <c r="AV124" s="20"/>
      <c r="AW124" s="20"/>
      <c r="AX124" s="20"/>
      <c r="CL124" s="106">
        <v>42956</v>
      </c>
      <c r="CM124" s="107">
        <f t="shared" si="14"/>
        <v>107.94053441633059</v>
      </c>
    </row>
    <row r="125" spans="1:91" ht="15" customHeight="1">
      <c r="A125" s="148"/>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148"/>
      <c r="AB125" s="148"/>
      <c r="AC125" s="148"/>
      <c r="AD125" s="148"/>
      <c r="AE125" s="26">
        <f>Data!A120</f>
        <v>42789</v>
      </c>
      <c r="AF125" s="35">
        <f>Data!B120</f>
        <v>100.79</v>
      </c>
      <c r="AG125" s="35">
        <f>Data!F120</f>
        <v>1459263</v>
      </c>
      <c r="AH125" s="35">
        <f>Data!C120</f>
        <v>101.78</v>
      </c>
      <c r="AI125" s="35">
        <f>Data!D120</f>
        <v>100.49</v>
      </c>
      <c r="AJ125" s="35">
        <f>Data!E120</f>
        <v>101.64</v>
      </c>
      <c r="AK125" s="35">
        <f>Data!F120</f>
        <v>1459263</v>
      </c>
      <c r="AL125" s="35">
        <f t="shared" si="13"/>
        <v>101.64</v>
      </c>
      <c r="AM125" s="35">
        <f t="shared" si="23"/>
        <v>-1.3380558835104284</v>
      </c>
      <c r="AN125" s="35">
        <f t="shared" si="22"/>
        <v>-21.602068989620101</v>
      </c>
      <c r="AO125" s="35" t="str">
        <f t="shared" si="16"/>
        <v>FITS BITCH</v>
      </c>
      <c r="AP125" s="35" t="str">
        <f t="shared" si="17"/>
        <v>FITS BITCH</v>
      </c>
      <c r="AQ125" s="35" t="str">
        <f t="shared" si="17"/>
        <v>FITS BITCH</v>
      </c>
      <c r="AR125" s="35" t="str">
        <f t="shared" si="18"/>
        <v>no</v>
      </c>
      <c r="AS125" s="35" t="str">
        <f t="shared" si="19"/>
        <v>FITS BITCH</v>
      </c>
      <c r="AT125" s="20" t="str">
        <f t="shared" si="20"/>
        <v/>
      </c>
      <c r="AU125" s="20" t="str">
        <f t="shared" si="21"/>
        <v>BEARISH</v>
      </c>
      <c r="AV125" s="20"/>
      <c r="AW125" s="20"/>
      <c r="AX125" s="20"/>
      <c r="CL125" s="106">
        <v>42955</v>
      </c>
      <c r="CM125" s="107">
        <f t="shared" si="14"/>
        <v>107.88724722790812</v>
      </c>
    </row>
    <row r="126" spans="1:91" ht="15" customHeight="1">
      <c r="A126" s="148"/>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48"/>
      <c r="AA126" s="148"/>
      <c r="AB126" s="148"/>
      <c r="AC126" s="148"/>
      <c r="AD126" s="148"/>
      <c r="AE126" s="26">
        <f>Data!A121</f>
        <v>42788</v>
      </c>
      <c r="AF126" s="35">
        <f>Data!B121</f>
        <v>99.09</v>
      </c>
      <c r="AG126" s="35">
        <f>Data!F121</f>
        <v>1677855</v>
      </c>
      <c r="AH126" s="35">
        <f>Data!C121</f>
        <v>100.68</v>
      </c>
      <c r="AI126" s="35">
        <f>Data!D121</f>
        <v>99.09</v>
      </c>
      <c r="AJ126" s="35">
        <f>Data!E121</f>
        <v>100.42</v>
      </c>
      <c r="AK126" s="35">
        <f>Data!F121</f>
        <v>1677855</v>
      </c>
      <c r="AL126" s="35">
        <f t="shared" si="13"/>
        <v>100.42</v>
      </c>
      <c r="AM126" s="35">
        <f t="shared" si="23"/>
        <v>-1.2148974307906779</v>
      </c>
      <c r="AN126" s="35">
        <f t="shared" si="22"/>
        <v>13.028062615661067</v>
      </c>
      <c r="AO126" s="35" t="str">
        <f t="shared" si="16"/>
        <v>no</v>
      </c>
      <c r="AP126" s="35" t="str">
        <f t="shared" si="17"/>
        <v>FITS BITCH</v>
      </c>
      <c r="AQ126" s="35" t="str">
        <f t="shared" si="17"/>
        <v>FITS BITCH</v>
      </c>
      <c r="AR126" s="35" t="str">
        <f t="shared" si="18"/>
        <v>no</v>
      </c>
      <c r="AS126" s="35" t="str">
        <f t="shared" si="19"/>
        <v>FITS BITCH</v>
      </c>
      <c r="AT126" s="20" t="str">
        <f t="shared" si="20"/>
        <v/>
      </c>
      <c r="AU126" s="20" t="str">
        <f t="shared" si="21"/>
        <v/>
      </c>
      <c r="AV126" s="20"/>
      <c r="AW126" s="20"/>
      <c r="AX126" s="20"/>
      <c r="CL126" s="106">
        <v>42954</v>
      </c>
      <c r="CM126" s="107">
        <f t="shared" si="14"/>
        <v>107.83396003948519</v>
      </c>
    </row>
    <row r="127" spans="1:91" ht="15" customHeight="1">
      <c r="A127" s="148"/>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48"/>
      <c r="AA127" s="148"/>
      <c r="AB127" s="148"/>
      <c r="AC127" s="148"/>
      <c r="AD127" s="148"/>
      <c r="AE127" s="26">
        <f>Data!A122</f>
        <v>42787</v>
      </c>
      <c r="AF127" s="35">
        <f>Data!B122</f>
        <v>99.39</v>
      </c>
      <c r="AG127" s="35">
        <f>Data!F122</f>
        <v>2099415</v>
      </c>
      <c r="AH127" s="35">
        <f>Data!C122</f>
        <v>99.59</v>
      </c>
      <c r="AI127" s="35">
        <f>Data!D122</f>
        <v>98.75</v>
      </c>
      <c r="AJ127" s="35">
        <f>Data!E122</f>
        <v>99.22</v>
      </c>
      <c r="AK127" s="35">
        <f>Data!F122</f>
        <v>2099415</v>
      </c>
      <c r="AL127" s="35">
        <f t="shared" si="13"/>
        <v>99.22</v>
      </c>
      <c r="AM127" s="35">
        <f t="shared" si="23"/>
        <v>-1.209433581939128</v>
      </c>
      <c r="AN127" s="35">
        <f t="shared" si="22"/>
        <v>20.079879394974316</v>
      </c>
      <c r="AO127" s="35" t="str">
        <f t="shared" si="16"/>
        <v>no</v>
      </c>
      <c r="AP127" s="35" t="str">
        <f t="shared" si="17"/>
        <v>no</v>
      </c>
      <c r="AQ127" s="35" t="str">
        <f t="shared" si="17"/>
        <v>no</v>
      </c>
      <c r="AR127" s="35" t="str">
        <f t="shared" si="18"/>
        <v>FITS BITCH</v>
      </c>
      <c r="AS127" s="35" t="str">
        <f t="shared" si="19"/>
        <v>no</v>
      </c>
      <c r="AT127" s="20" t="str">
        <f t="shared" si="20"/>
        <v/>
      </c>
      <c r="AU127" s="20" t="str">
        <f t="shared" si="21"/>
        <v/>
      </c>
      <c r="AV127" s="20"/>
      <c r="AW127" s="20"/>
      <c r="AX127" s="20"/>
      <c r="CL127" s="106">
        <v>42951</v>
      </c>
      <c r="CM127" s="107">
        <f t="shared" si="14"/>
        <v>107.67409847421686</v>
      </c>
    </row>
    <row r="128" spans="1:91" ht="15" customHeight="1">
      <c r="A128" s="148"/>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48"/>
      <c r="AA128" s="148"/>
      <c r="AB128" s="148"/>
      <c r="AC128" s="148"/>
      <c r="AD128" s="148"/>
      <c r="AE128" s="26">
        <f>Data!A123</f>
        <v>42783</v>
      </c>
      <c r="AF128" s="35">
        <f>Data!B123</f>
        <v>99.6</v>
      </c>
      <c r="AG128" s="35">
        <f>Data!F123</f>
        <v>1577550</v>
      </c>
      <c r="AH128" s="35">
        <f>Data!C123</f>
        <v>99.7</v>
      </c>
      <c r="AI128" s="35">
        <f>Data!D123</f>
        <v>98.82</v>
      </c>
      <c r="AJ128" s="35">
        <f>Data!E123</f>
        <v>99.68</v>
      </c>
      <c r="AK128" s="35">
        <f>Data!F123</f>
        <v>1577550</v>
      </c>
      <c r="AL128" s="35">
        <f t="shared" si="13"/>
        <v>99.68</v>
      </c>
      <c r="AM128" s="35">
        <f t="shared" si="23"/>
        <v>0.46147672552167729</v>
      </c>
      <c r="AN128" s="35">
        <f t="shared" si="22"/>
        <v>-33.08072644290197</v>
      </c>
      <c r="AO128" s="35" t="str">
        <f t="shared" si="16"/>
        <v>FITS BITCH</v>
      </c>
      <c r="AP128" s="35" t="str">
        <f t="shared" si="17"/>
        <v>no</v>
      </c>
      <c r="AQ128" s="35" t="str">
        <f t="shared" si="17"/>
        <v>no</v>
      </c>
      <c r="AR128" s="35" t="str">
        <f t="shared" si="18"/>
        <v>FITS BITCH</v>
      </c>
      <c r="AS128" s="35" t="str">
        <f t="shared" si="19"/>
        <v>no</v>
      </c>
      <c r="AT128" s="20" t="str">
        <f t="shared" si="20"/>
        <v/>
      </c>
      <c r="AU128" s="20" t="str">
        <f t="shared" si="21"/>
        <v/>
      </c>
      <c r="AV128" s="20"/>
      <c r="AW128" s="20"/>
      <c r="AX128" s="20"/>
      <c r="CL128" s="106">
        <v>42950</v>
      </c>
      <c r="CM128" s="107">
        <f t="shared" si="14"/>
        <v>107.62081128579393</v>
      </c>
    </row>
    <row r="129" spans="1:91" ht="15" customHeight="1">
      <c r="A129" s="148"/>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48"/>
      <c r="AA129" s="148"/>
      <c r="AB129" s="148"/>
      <c r="AC129" s="148"/>
      <c r="AD129" s="148"/>
      <c r="AE129" s="26">
        <f>Data!A124</f>
        <v>42782</v>
      </c>
      <c r="AF129" s="35">
        <f>Data!B124</f>
        <v>99.59</v>
      </c>
      <c r="AG129" s="35">
        <f>Data!F124</f>
        <v>1314754</v>
      </c>
      <c r="AH129" s="35">
        <f>Data!C124</f>
        <v>99.88</v>
      </c>
      <c r="AI129" s="35">
        <f>Data!D124</f>
        <v>99.19</v>
      </c>
      <c r="AJ129" s="35">
        <f>Data!E124</f>
        <v>99.88</v>
      </c>
      <c r="AK129" s="35">
        <f>Data!F124</f>
        <v>1314754</v>
      </c>
      <c r="AL129" s="35">
        <f t="shared" si="13"/>
        <v>99.88</v>
      </c>
      <c r="AM129" s="35">
        <f t="shared" si="23"/>
        <v>0.20024028834600385</v>
      </c>
      <c r="AN129" s="35">
        <f t="shared" si="22"/>
        <v>-19.988225934281243</v>
      </c>
      <c r="AO129" s="35" t="str">
        <f t="shared" si="16"/>
        <v>FITS BITCH</v>
      </c>
      <c r="AP129" s="35" t="str">
        <f t="shared" si="17"/>
        <v>FITS BITCH</v>
      </c>
      <c r="AQ129" s="35" t="str">
        <f t="shared" si="17"/>
        <v>FITS BITCH</v>
      </c>
      <c r="AR129" s="35" t="str">
        <f t="shared" si="18"/>
        <v>no</v>
      </c>
      <c r="AS129" s="35" t="str">
        <f t="shared" si="19"/>
        <v>FITS BITCH</v>
      </c>
      <c r="AT129" s="20" t="str">
        <f t="shared" si="20"/>
        <v/>
      </c>
      <c r="AU129" s="20" t="str">
        <f t="shared" si="21"/>
        <v>BEARISH</v>
      </c>
      <c r="AV129" s="20"/>
      <c r="AW129" s="20"/>
      <c r="AX129" s="20"/>
      <c r="CL129" s="106">
        <v>42949</v>
      </c>
      <c r="CM129" s="107">
        <f t="shared" si="14"/>
        <v>107.56752409737146</v>
      </c>
    </row>
    <row r="130" spans="1:91" ht="15" customHeight="1">
      <c r="A130" s="148"/>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8"/>
      <c r="AC130" s="148"/>
      <c r="AD130" s="148"/>
      <c r="AE130" s="26">
        <f>Data!A125</f>
        <v>42781</v>
      </c>
      <c r="AF130" s="35">
        <f>Data!B125</f>
        <v>98.89</v>
      </c>
      <c r="AG130" s="35">
        <f>Data!F125</f>
        <v>1579762</v>
      </c>
      <c r="AH130" s="35">
        <f>Data!C125</f>
        <v>99.66</v>
      </c>
      <c r="AI130" s="35">
        <f>Data!D125</f>
        <v>98.54</v>
      </c>
      <c r="AJ130" s="35">
        <f>Data!E125</f>
        <v>99.65</v>
      </c>
      <c r="AK130" s="35">
        <f>Data!F125</f>
        <v>1579762</v>
      </c>
      <c r="AL130" s="35">
        <f t="shared" si="13"/>
        <v>99.65</v>
      </c>
      <c r="AM130" s="35">
        <f t="shared" si="23"/>
        <v>-0.2308078273958753</v>
      </c>
      <c r="AN130" s="35">
        <f t="shared" si="22"/>
        <v>16.775185122822297</v>
      </c>
      <c r="AO130" s="35" t="str">
        <f t="shared" si="16"/>
        <v>no</v>
      </c>
      <c r="AP130" s="35" t="str">
        <f t="shared" si="17"/>
        <v>FITS BITCH</v>
      </c>
      <c r="AQ130" s="35" t="str">
        <f t="shared" si="17"/>
        <v>FITS BITCH</v>
      </c>
      <c r="AR130" s="35" t="str">
        <f t="shared" si="18"/>
        <v>no</v>
      </c>
      <c r="AS130" s="35" t="str">
        <f t="shared" si="19"/>
        <v>FITS BITCH</v>
      </c>
      <c r="AT130" s="20" t="str">
        <f t="shared" si="20"/>
        <v/>
      </c>
      <c r="AU130" s="20" t="str">
        <f t="shared" si="21"/>
        <v/>
      </c>
      <c r="AV130" s="20"/>
      <c r="AW130" s="20"/>
      <c r="AX130" s="20"/>
      <c r="CL130" s="106">
        <v>42948</v>
      </c>
      <c r="CM130" s="107">
        <f t="shared" si="14"/>
        <v>107.51423690894853</v>
      </c>
    </row>
    <row r="131" spans="1:91" ht="15" customHeight="1">
      <c r="A131" s="148"/>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48"/>
      <c r="AA131" s="148"/>
      <c r="AB131" s="148"/>
      <c r="AC131" s="148"/>
      <c r="AD131" s="148"/>
      <c r="AE131" s="26">
        <f>Data!A126</f>
        <v>42780</v>
      </c>
      <c r="AF131" s="35">
        <f>Data!B126</f>
        <v>98.42</v>
      </c>
      <c r="AG131" s="35">
        <f>Data!F126</f>
        <v>1615005</v>
      </c>
      <c r="AH131" s="35">
        <f>Data!C126</f>
        <v>99.6</v>
      </c>
      <c r="AI131" s="35">
        <f>Data!D126</f>
        <v>98.32</v>
      </c>
      <c r="AJ131" s="35">
        <f>Data!E126</f>
        <v>99.44</v>
      </c>
      <c r="AK131" s="35">
        <f>Data!F126</f>
        <v>1615005</v>
      </c>
      <c r="AL131" s="35">
        <f t="shared" si="13"/>
        <v>99.44</v>
      </c>
      <c r="AM131" s="35">
        <f t="shared" si="23"/>
        <v>-0.21118262268705548</v>
      </c>
      <c r="AN131" s="35">
        <f t="shared" si="22"/>
        <v>2.1822223460608479</v>
      </c>
      <c r="AO131" s="35" t="str">
        <f t="shared" si="16"/>
        <v>no</v>
      </c>
      <c r="AP131" s="35" t="str">
        <f t="shared" si="17"/>
        <v>FITS BITCH</v>
      </c>
      <c r="AQ131" s="35" t="str">
        <f t="shared" si="17"/>
        <v>FITS BITCH</v>
      </c>
      <c r="AR131" s="35" t="str">
        <f t="shared" si="18"/>
        <v>no</v>
      </c>
      <c r="AS131" s="35" t="str">
        <f t="shared" si="19"/>
        <v>FITS BITCH</v>
      </c>
      <c r="AT131" s="20" t="str">
        <f t="shared" si="20"/>
        <v/>
      </c>
      <c r="AU131" s="20" t="str">
        <f t="shared" si="21"/>
        <v/>
      </c>
      <c r="AV131" s="20"/>
      <c r="AW131" s="20"/>
      <c r="AX131" s="20"/>
      <c r="CL131" s="106">
        <v>42947</v>
      </c>
      <c r="CM131" s="107">
        <f t="shared" si="14"/>
        <v>107.4609497205256</v>
      </c>
    </row>
    <row r="132" spans="1:91" ht="15" customHeight="1">
      <c r="A132" s="148"/>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48"/>
      <c r="AA132" s="148"/>
      <c r="AB132" s="148"/>
      <c r="AC132" s="148"/>
      <c r="AD132" s="148"/>
      <c r="AE132" s="26">
        <f>Data!A127</f>
        <v>42779</v>
      </c>
      <c r="AF132" s="35">
        <f>Data!B127</f>
        <v>98.06</v>
      </c>
      <c r="AG132" s="35">
        <f>Data!F127</f>
        <v>1500759</v>
      </c>
      <c r="AH132" s="35">
        <f>Data!C127</f>
        <v>98.6</v>
      </c>
      <c r="AI132" s="35">
        <f>Data!D127</f>
        <v>98.06</v>
      </c>
      <c r="AJ132" s="35">
        <f>Data!E127</f>
        <v>98.58</v>
      </c>
      <c r="AK132" s="35">
        <f>Data!F127</f>
        <v>1500759</v>
      </c>
      <c r="AL132" s="35">
        <f t="shared" si="13"/>
        <v>98.58</v>
      </c>
      <c r="AM132" s="35">
        <f t="shared" si="23"/>
        <v>-0.87238790829782864</v>
      </c>
      <c r="AN132" s="35">
        <f t="shared" si="22"/>
        <v>-7.6125480506863532</v>
      </c>
      <c r="AO132" s="35" t="str">
        <f t="shared" si="16"/>
        <v>no</v>
      </c>
      <c r="AP132" s="35" t="str">
        <f t="shared" si="17"/>
        <v>FITS BITCH</v>
      </c>
      <c r="AQ132" s="35" t="str">
        <f t="shared" si="17"/>
        <v>FITS BITCH</v>
      </c>
      <c r="AR132" s="35" t="str">
        <f t="shared" si="18"/>
        <v>no</v>
      </c>
      <c r="AS132" s="35" t="str">
        <f t="shared" si="19"/>
        <v>FITS BITCH</v>
      </c>
      <c r="AT132" s="20" t="str">
        <f t="shared" si="20"/>
        <v/>
      </c>
      <c r="AU132" s="20" t="str">
        <f t="shared" si="21"/>
        <v/>
      </c>
      <c r="AV132" s="20"/>
      <c r="AW132" s="20"/>
      <c r="AX132" s="20"/>
      <c r="CL132" s="106">
        <v>42944</v>
      </c>
      <c r="CM132" s="107">
        <f t="shared" si="14"/>
        <v>107.30108815525773</v>
      </c>
    </row>
    <row r="133" spans="1:91" ht="15" customHeight="1">
      <c r="A133" s="148"/>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c r="AB133" s="148"/>
      <c r="AC133" s="148"/>
      <c r="AD133" s="148"/>
      <c r="AE133" s="26">
        <f>Data!A128</f>
        <v>42776</v>
      </c>
      <c r="AF133" s="35">
        <f>Data!B128</f>
        <v>97.7</v>
      </c>
      <c r="AG133" s="35">
        <f>Data!F128</f>
        <v>1214696</v>
      </c>
      <c r="AH133" s="35">
        <f>Data!C128</f>
        <v>98.3</v>
      </c>
      <c r="AI133" s="35">
        <f>Data!D128</f>
        <v>97.46</v>
      </c>
      <c r="AJ133" s="35">
        <f>Data!E128</f>
        <v>97.82</v>
      </c>
      <c r="AK133" s="35">
        <f>Data!F128</f>
        <v>1214696</v>
      </c>
      <c r="AL133" s="35">
        <f t="shared" si="13"/>
        <v>97.82</v>
      </c>
      <c r="AM133" s="35">
        <f t="shared" si="23"/>
        <v>-0.77693723164997452</v>
      </c>
      <c r="AN133" s="35">
        <f t="shared" si="22"/>
        <v>-23.550172224161436</v>
      </c>
      <c r="AO133" s="35" t="str">
        <f t="shared" si="16"/>
        <v>FITS BITCH</v>
      </c>
      <c r="AP133" s="35" t="str">
        <f t="shared" si="17"/>
        <v>FITS BITCH</v>
      </c>
      <c r="AQ133" s="35" t="str">
        <f t="shared" si="17"/>
        <v>FITS BITCH</v>
      </c>
      <c r="AR133" s="35" t="str">
        <f t="shared" si="18"/>
        <v>FITS BITCH</v>
      </c>
      <c r="AS133" s="35" t="str">
        <f t="shared" si="19"/>
        <v>FITS BITCH</v>
      </c>
      <c r="AT133" s="20" t="str">
        <f t="shared" si="20"/>
        <v>BULLISH</v>
      </c>
      <c r="AU133" s="20" t="str">
        <f t="shared" si="21"/>
        <v>BEARISH</v>
      </c>
      <c r="AV133" s="20"/>
      <c r="AW133" s="20"/>
      <c r="AX133" s="20"/>
      <c r="CL133" s="106">
        <v>42943</v>
      </c>
      <c r="CM133" s="107">
        <f t="shared" si="14"/>
        <v>107.2478009668348</v>
      </c>
    </row>
    <row r="134" spans="1:91" ht="15" customHeight="1">
      <c r="A134" s="148"/>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26">
        <f>Data!A129</f>
        <v>42775</v>
      </c>
      <c r="AF134" s="35">
        <f>Data!B129</f>
        <v>96.77</v>
      </c>
      <c r="AG134" s="35">
        <f>Data!F129</f>
        <v>3380808</v>
      </c>
      <c r="AH134" s="35">
        <f>Data!C129</f>
        <v>97.99</v>
      </c>
      <c r="AI134" s="35">
        <f>Data!D129</f>
        <v>96.31</v>
      </c>
      <c r="AJ134" s="35">
        <f>Data!E129</f>
        <v>97.65</v>
      </c>
      <c r="AK134" s="35">
        <f>Data!F129</f>
        <v>3380808</v>
      </c>
      <c r="AL134" s="35">
        <f t="shared" ref="AL134:AL197" si="24">AJ134</f>
        <v>97.65</v>
      </c>
      <c r="AM134" s="35">
        <f t="shared" si="23"/>
        <v>-0.17409114183306451</v>
      </c>
      <c r="AN134" s="35">
        <f t="shared" si="22"/>
        <v>64.070837503933973</v>
      </c>
      <c r="AO134" s="35" t="str">
        <f t="shared" si="16"/>
        <v>no</v>
      </c>
      <c r="AP134" s="35" t="str">
        <f t="shared" si="17"/>
        <v>FITS BITCH</v>
      </c>
      <c r="AQ134" s="35" t="str">
        <f t="shared" si="17"/>
        <v>FITS BITCH</v>
      </c>
      <c r="AR134" s="35" t="str">
        <f t="shared" si="18"/>
        <v>no</v>
      </c>
      <c r="AS134" s="35" t="str">
        <f t="shared" si="19"/>
        <v>FITS BITCH</v>
      </c>
      <c r="AT134" s="20" t="str">
        <f t="shared" si="20"/>
        <v/>
      </c>
      <c r="AU134" s="20" t="str">
        <f t="shared" si="21"/>
        <v/>
      </c>
      <c r="AV134" s="20"/>
      <c r="AW134" s="20"/>
      <c r="AX134" s="20"/>
      <c r="CL134" s="106">
        <v>42942</v>
      </c>
      <c r="CM134" s="107">
        <f t="shared" si="14"/>
        <v>107.19451377841187</v>
      </c>
    </row>
    <row r="135" spans="1:91" ht="15" customHeight="1">
      <c r="A135" s="148"/>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26">
        <f>Data!A130</f>
        <v>42774</v>
      </c>
      <c r="AF135" s="35">
        <f>Data!B130</f>
        <v>96.19</v>
      </c>
      <c r="AG135" s="35">
        <f>Data!F130</f>
        <v>1297972</v>
      </c>
      <c r="AH135" s="35">
        <f>Data!C130</f>
        <v>97.06</v>
      </c>
      <c r="AI135" s="35">
        <f>Data!D130</f>
        <v>96.05</v>
      </c>
      <c r="AJ135" s="35">
        <f>Data!E130</f>
        <v>96.58</v>
      </c>
      <c r="AK135" s="35">
        <f>Data!F130</f>
        <v>1297972</v>
      </c>
      <c r="AL135" s="35">
        <f t="shared" si="24"/>
        <v>96.58</v>
      </c>
      <c r="AM135" s="35">
        <f t="shared" si="23"/>
        <v>-1.1078898322634163</v>
      </c>
      <c r="AN135" s="35">
        <f t="shared" si="22"/>
        <v>-160.46848468225815</v>
      </c>
      <c r="AO135" s="35" t="str">
        <f t="shared" si="16"/>
        <v>FITS BITCH</v>
      </c>
      <c r="AP135" s="35" t="str">
        <f t="shared" si="17"/>
        <v>FITS BITCH</v>
      </c>
      <c r="AQ135" s="35" t="str">
        <f t="shared" si="17"/>
        <v>FITS BITCH</v>
      </c>
      <c r="AR135" s="35" t="str">
        <f t="shared" si="18"/>
        <v>FITS BITCH</v>
      </c>
      <c r="AS135" s="35" t="str">
        <f t="shared" si="19"/>
        <v>FITS BITCH</v>
      </c>
      <c r="AT135" s="20" t="str">
        <f t="shared" si="20"/>
        <v>BULLISH</v>
      </c>
      <c r="AU135" s="20" t="str">
        <f t="shared" si="21"/>
        <v>BEARISH</v>
      </c>
      <c r="AV135" s="20"/>
      <c r="AW135" s="20"/>
      <c r="AX135" s="20"/>
      <c r="CL135" s="106">
        <v>42941</v>
      </c>
      <c r="CM135" s="107">
        <f t="shared" si="14"/>
        <v>107.1412265899894</v>
      </c>
    </row>
    <row r="136" spans="1:91" ht="15" customHeight="1">
      <c r="A136" s="148"/>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26">
        <f>Data!A131</f>
        <v>42773</v>
      </c>
      <c r="AF136" s="35">
        <f>Data!B131</f>
        <v>96.5</v>
      </c>
      <c r="AG136" s="35">
        <f>Data!F131</f>
        <v>1521355</v>
      </c>
      <c r="AH136" s="35">
        <f>Data!C131</f>
        <v>96.86</v>
      </c>
      <c r="AI136" s="35">
        <f>Data!D131</f>
        <v>95.91</v>
      </c>
      <c r="AJ136" s="35">
        <f>Data!E131</f>
        <v>96.29</v>
      </c>
      <c r="AK136" s="35">
        <f>Data!F131</f>
        <v>1521355</v>
      </c>
      <c r="AL136" s="35">
        <f t="shared" si="24"/>
        <v>96.29</v>
      </c>
      <c r="AM136" s="35">
        <f t="shared" si="23"/>
        <v>-0.30117353826980164</v>
      </c>
      <c r="AN136" s="35">
        <f t="shared" si="22"/>
        <v>14.683160735002678</v>
      </c>
      <c r="AO136" s="35" t="str">
        <f t="shared" si="16"/>
        <v>no</v>
      </c>
      <c r="AP136" s="35" t="str">
        <f t="shared" si="17"/>
        <v>no</v>
      </c>
      <c r="AQ136" s="35" t="str">
        <f t="shared" si="17"/>
        <v>no</v>
      </c>
      <c r="AR136" s="35" t="str">
        <f t="shared" si="18"/>
        <v>FITS BITCH</v>
      </c>
      <c r="AS136" s="35" t="str">
        <f t="shared" si="19"/>
        <v>no</v>
      </c>
      <c r="AT136" s="20" t="str">
        <f t="shared" si="20"/>
        <v/>
      </c>
      <c r="AU136" s="20" t="str">
        <f t="shared" si="21"/>
        <v/>
      </c>
      <c r="AV136" s="20"/>
      <c r="AW136" s="20"/>
      <c r="AX136" s="20"/>
      <c r="CL136" s="106">
        <v>42940</v>
      </c>
      <c r="CM136" s="107">
        <f t="shared" ref="CM136:CM199" si="25">$BA$68*CL136+$BA$70</f>
        <v>107.08793940156647</v>
      </c>
    </row>
    <row r="137" spans="1:91" ht="15" customHeight="1">
      <c r="A137" s="148"/>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26">
        <f>Data!A132</f>
        <v>42772</v>
      </c>
      <c r="AF137" s="35">
        <f>Data!B132</f>
        <v>96.68</v>
      </c>
      <c r="AG137" s="35">
        <f>Data!F132</f>
        <v>1770640</v>
      </c>
      <c r="AH137" s="35">
        <f>Data!C132</f>
        <v>97.07</v>
      </c>
      <c r="AI137" s="35">
        <f>Data!D132</f>
        <v>96.07</v>
      </c>
      <c r="AJ137" s="35">
        <f>Data!E132</f>
        <v>96.47</v>
      </c>
      <c r="AK137" s="35">
        <f>Data!F132</f>
        <v>1770640</v>
      </c>
      <c r="AL137" s="35">
        <f t="shared" si="24"/>
        <v>96.47</v>
      </c>
      <c r="AM137" s="35">
        <f t="shared" si="23"/>
        <v>0.18658650357623366</v>
      </c>
      <c r="AN137" s="35">
        <f t="shared" si="22"/>
        <v>14.078807662766005</v>
      </c>
      <c r="AO137" s="35" t="str">
        <f t="shared" ref="AO137:AO200" si="26">IF(AN137&lt;-8,"FITS BITCH",IF(AN137&gt;-8,"no"))</f>
        <v>no</v>
      </c>
      <c r="AP137" s="35" t="str">
        <f t="shared" ref="AP137:AQ200" si="27">IF(AH138&lt;AH137,"FITS BITCH",IF(AH138&gt;AH137,"no"))</f>
        <v>no</v>
      </c>
      <c r="AQ137" s="35" t="str">
        <f t="shared" si="27"/>
        <v>no</v>
      </c>
      <c r="AR137" s="35" t="str">
        <f t="shared" ref="AR137:AR200" si="28">IF(AJ137&lt;AH138,"FITS BITCH",IF(AJ137&gt;AH138,"no"))</f>
        <v>FITS BITCH</v>
      </c>
      <c r="AS137" s="35" t="str">
        <f t="shared" ref="AS137:AS200" si="29">IF(AJ137&gt;AJ138,"FITS BITCH",IF(AJ137&lt;AJ138,"no"))</f>
        <v>no</v>
      </c>
      <c r="AT137" s="20" t="str">
        <f t="shared" ref="AT137:AT200" si="30">IF(AND($AO137="FITS BITCH",$AP137="FITS BITCH",$AR137="FITS BITCH"),"BULLISH","")</f>
        <v/>
      </c>
      <c r="AU137" s="20" t="str">
        <f t="shared" ref="AU137:AU200" si="31">IF(AND($AO137="FITS BITCH",$AQ137="FITS BITCH",$AS137="FITS BITCH"),"BEARISH","")</f>
        <v/>
      </c>
      <c r="AV137" s="20"/>
      <c r="AW137" s="20"/>
      <c r="AX137" s="20"/>
      <c r="CL137" s="106">
        <v>42937</v>
      </c>
      <c r="CM137" s="107">
        <f t="shared" si="25"/>
        <v>106.92807783629814</v>
      </c>
    </row>
    <row r="138" spans="1:91" ht="15" customHeight="1">
      <c r="A138" s="148"/>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26">
        <f>Data!A133</f>
        <v>42769</v>
      </c>
      <c r="AF138" s="35">
        <f>Data!B133</f>
        <v>97.21</v>
      </c>
      <c r="AG138" s="35">
        <f>Data!F133</f>
        <v>2936592</v>
      </c>
      <c r="AH138" s="35">
        <f>Data!C133</f>
        <v>97.4</v>
      </c>
      <c r="AI138" s="35">
        <f>Data!D133</f>
        <v>96.51</v>
      </c>
      <c r="AJ138" s="35">
        <f>Data!E133</f>
        <v>96.87</v>
      </c>
      <c r="AK138" s="35">
        <f>Data!F133</f>
        <v>2936592</v>
      </c>
      <c r="AL138" s="35">
        <f t="shared" si="24"/>
        <v>96.87</v>
      </c>
      <c r="AM138" s="35">
        <f t="shared" si="23"/>
        <v>0.41292453804067897</v>
      </c>
      <c r="AN138" s="35">
        <f t="shared" ref="AN138:AN201" si="32">(AK138-AK137)/AK138*100</f>
        <v>39.704255817628052</v>
      </c>
      <c r="AO138" s="35" t="str">
        <f t="shared" si="26"/>
        <v>no</v>
      </c>
      <c r="AP138" s="35" t="str">
        <f t="shared" si="27"/>
        <v>FITS BITCH</v>
      </c>
      <c r="AQ138" s="35" t="str">
        <f t="shared" si="27"/>
        <v>FITS BITCH</v>
      </c>
      <c r="AR138" s="35" t="str">
        <f t="shared" si="28"/>
        <v>FITS BITCH</v>
      </c>
      <c r="AS138" s="35" t="str">
        <f t="shared" si="29"/>
        <v>FITS BITCH</v>
      </c>
      <c r="AT138" s="20" t="str">
        <f t="shared" si="30"/>
        <v/>
      </c>
      <c r="AU138" s="20" t="str">
        <f t="shared" si="31"/>
        <v/>
      </c>
      <c r="AV138" s="20"/>
      <c r="AW138" s="20"/>
      <c r="AX138" s="20"/>
      <c r="CL138" s="106">
        <v>42936</v>
      </c>
      <c r="CM138" s="107">
        <f t="shared" si="25"/>
        <v>106.87479064787522</v>
      </c>
    </row>
    <row r="139" spans="1:91" ht="15" customHeight="1">
      <c r="A139" s="148"/>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26">
        <f>Data!A134</f>
        <v>42768</v>
      </c>
      <c r="AF139" s="35">
        <f>Data!B134</f>
        <v>95.23</v>
      </c>
      <c r="AG139" s="35">
        <f>Data!F134</f>
        <v>3975500</v>
      </c>
      <c r="AH139" s="35">
        <f>Data!C134</f>
        <v>97.19</v>
      </c>
      <c r="AI139" s="35">
        <f>Data!D134</f>
        <v>95.03</v>
      </c>
      <c r="AJ139" s="35">
        <f>Data!E134</f>
        <v>96.32</v>
      </c>
      <c r="AK139" s="35">
        <f>Data!F134</f>
        <v>3975500</v>
      </c>
      <c r="AL139" s="35">
        <f t="shared" si="24"/>
        <v>96.32</v>
      </c>
      <c r="AM139" s="35">
        <f t="shared" si="23"/>
        <v>-0.57101328903655668</v>
      </c>
      <c r="AN139" s="35">
        <f t="shared" si="32"/>
        <v>26.132763174443468</v>
      </c>
      <c r="AO139" s="35" t="str">
        <f t="shared" si="26"/>
        <v>no</v>
      </c>
      <c r="AP139" s="35" t="str">
        <f t="shared" si="27"/>
        <v>no</v>
      </c>
      <c r="AQ139" s="35" t="str">
        <f t="shared" si="27"/>
        <v>FITS BITCH</v>
      </c>
      <c r="AR139" s="35" t="str">
        <f t="shared" si="28"/>
        <v>FITS BITCH</v>
      </c>
      <c r="AS139" s="35" t="str">
        <f t="shared" si="29"/>
        <v>FITS BITCH</v>
      </c>
      <c r="AT139" s="20" t="str">
        <f t="shared" si="30"/>
        <v/>
      </c>
      <c r="AU139" s="20" t="str">
        <f t="shared" si="31"/>
        <v/>
      </c>
      <c r="AV139" s="20"/>
      <c r="AW139" s="20"/>
      <c r="AX139" s="20"/>
      <c r="CL139" s="106">
        <v>42935</v>
      </c>
      <c r="CM139" s="107">
        <f t="shared" si="25"/>
        <v>106.82150345945274</v>
      </c>
    </row>
    <row r="140" spans="1:91" ht="15" customHeight="1">
      <c r="A140" s="148"/>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26">
        <f>Data!A135</f>
        <v>42767</v>
      </c>
      <c r="AF140" s="35">
        <f>Data!B135</f>
        <v>96.03</v>
      </c>
      <c r="AG140" s="35">
        <f>Data!F135</f>
        <v>8013843</v>
      </c>
      <c r="AH140" s="35">
        <f>Data!C135</f>
        <v>97.32</v>
      </c>
      <c r="AI140" s="35">
        <f>Data!D135</f>
        <v>94.11</v>
      </c>
      <c r="AJ140" s="35">
        <f>Data!E135</f>
        <v>95.25</v>
      </c>
      <c r="AK140" s="35">
        <f>Data!F135</f>
        <v>8013843</v>
      </c>
      <c r="AL140" s="35">
        <f t="shared" si="24"/>
        <v>95.25</v>
      </c>
      <c r="AM140" s="35">
        <f t="shared" si="23"/>
        <v>-1.1233595800524863</v>
      </c>
      <c r="AN140" s="35">
        <f t="shared" si="32"/>
        <v>50.392090286770028</v>
      </c>
      <c r="AO140" s="35" t="str">
        <f t="shared" si="26"/>
        <v>no</v>
      </c>
      <c r="AP140" s="35" t="str">
        <f t="shared" si="27"/>
        <v>no</v>
      </c>
      <c r="AQ140" s="35" t="str">
        <f t="shared" si="27"/>
        <v>no</v>
      </c>
      <c r="AR140" s="35" t="str">
        <f t="shared" si="28"/>
        <v>FITS BITCH</v>
      </c>
      <c r="AS140" s="35" t="str">
        <f t="shared" si="29"/>
        <v>no</v>
      </c>
      <c r="AT140" s="20" t="str">
        <f t="shared" si="30"/>
        <v/>
      </c>
      <c r="AU140" s="20" t="str">
        <f t="shared" si="31"/>
        <v/>
      </c>
      <c r="AV140" s="20"/>
      <c r="AW140" s="20"/>
      <c r="AX140" s="20"/>
      <c r="CL140" s="106">
        <v>42934</v>
      </c>
      <c r="CM140" s="107">
        <f t="shared" si="25"/>
        <v>106.76821627102981</v>
      </c>
    </row>
    <row r="141" spans="1:91" ht="15" customHeight="1">
      <c r="A141" s="148"/>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26">
        <f>Data!A136</f>
        <v>42766</v>
      </c>
      <c r="AF141" s="35">
        <f>Data!B136</f>
        <v>101.79</v>
      </c>
      <c r="AG141" s="35">
        <f>Data!F136</f>
        <v>2610235</v>
      </c>
      <c r="AH141" s="35">
        <f>Data!C136</f>
        <v>102.13</v>
      </c>
      <c r="AI141" s="35">
        <f>Data!D136</f>
        <v>100.77</v>
      </c>
      <c r="AJ141" s="35">
        <f>Data!E136</f>
        <v>100.99</v>
      </c>
      <c r="AK141" s="35">
        <f>Data!F136</f>
        <v>2610235</v>
      </c>
      <c r="AL141" s="35">
        <f t="shared" si="24"/>
        <v>100.99</v>
      </c>
      <c r="AM141" s="35">
        <f t="shared" si="23"/>
        <v>5.6837310624814297</v>
      </c>
      <c r="AN141" s="35">
        <f t="shared" si="32"/>
        <v>-207.01614988688758</v>
      </c>
      <c r="AO141" s="35" t="str">
        <f t="shared" si="26"/>
        <v>FITS BITCH</v>
      </c>
      <c r="AP141" s="35" t="str">
        <f t="shared" si="27"/>
        <v>FITS BITCH</v>
      </c>
      <c r="AQ141" s="35" t="str">
        <f t="shared" si="27"/>
        <v>no</v>
      </c>
      <c r="AR141" s="35" t="str">
        <f t="shared" si="28"/>
        <v>FITS BITCH</v>
      </c>
      <c r="AS141" s="35" t="str">
        <f t="shared" si="29"/>
        <v>no</v>
      </c>
      <c r="AT141" s="20" t="str">
        <f t="shared" si="30"/>
        <v>BULLISH</v>
      </c>
      <c r="AU141" s="20" t="str">
        <f t="shared" si="31"/>
        <v/>
      </c>
      <c r="AV141" s="20"/>
      <c r="AW141" s="20"/>
      <c r="AX141" s="20"/>
      <c r="CL141" s="106">
        <v>42933</v>
      </c>
      <c r="CM141" s="107">
        <f t="shared" si="25"/>
        <v>106.71492908260689</v>
      </c>
    </row>
    <row r="142" spans="1:91" ht="15" customHeight="1">
      <c r="A142" s="148"/>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26">
        <f>Data!A137</f>
        <v>42765</v>
      </c>
      <c r="AF142" s="35">
        <f>Data!B137</f>
        <v>101.56</v>
      </c>
      <c r="AG142" s="35">
        <f>Data!F137</f>
        <v>1648288</v>
      </c>
      <c r="AH142" s="35">
        <f>Data!C137</f>
        <v>102.01</v>
      </c>
      <c r="AI142" s="35">
        <f>Data!D137</f>
        <v>100.9</v>
      </c>
      <c r="AJ142" s="35">
        <f>Data!E137</f>
        <v>101.97</v>
      </c>
      <c r="AK142" s="35">
        <f>Data!F137</f>
        <v>1648288</v>
      </c>
      <c r="AL142" s="35">
        <f t="shared" si="24"/>
        <v>101.97</v>
      </c>
      <c r="AM142" s="35">
        <f t="shared" si="23"/>
        <v>0.96106698048446015</v>
      </c>
      <c r="AN142" s="35">
        <f t="shared" si="32"/>
        <v>-58.360371488477746</v>
      </c>
      <c r="AO142" s="35" t="str">
        <f t="shared" si="26"/>
        <v>FITS BITCH</v>
      </c>
      <c r="AP142" s="35" t="str">
        <f t="shared" si="27"/>
        <v>no</v>
      </c>
      <c r="AQ142" s="35" t="str">
        <f t="shared" si="27"/>
        <v>no</v>
      </c>
      <c r="AR142" s="35" t="str">
        <f t="shared" si="28"/>
        <v>FITS BITCH</v>
      </c>
      <c r="AS142" s="35" t="str">
        <f t="shared" si="29"/>
        <v>FITS BITCH</v>
      </c>
      <c r="AT142" s="20" t="str">
        <f t="shared" si="30"/>
        <v/>
      </c>
      <c r="AU142" s="20" t="str">
        <f t="shared" si="31"/>
        <v/>
      </c>
      <c r="AV142" s="20"/>
      <c r="AW142" s="20"/>
      <c r="AX142" s="20"/>
      <c r="CL142" s="106">
        <v>42930</v>
      </c>
      <c r="CM142" s="107">
        <f t="shared" si="25"/>
        <v>106.55506751733856</v>
      </c>
    </row>
    <row r="143" spans="1:91" ht="15" customHeight="1">
      <c r="A143" s="148"/>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26">
        <f>Data!A138</f>
        <v>42762</v>
      </c>
      <c r="AF143" s="35">
        <f>Data!B138</f>
        <v>101.44</v>
      </c>
      <c r="AG143" s="35">
        <f>Data!F138</f>
        <v>1804455</v>
      </c>
      <c r="AH143" s="35">
        <f>Data!C138</f>
        <v>102.15</v>
      </c>
      <c r="AI143" s="35">
        <f>Data!D138</f>
        <v>101.18</v>
      </c>
      <c r="AJ143" s="35">
        <f>Data!E138</f>
        <v>101.71</v>
      </c>
      <c r="AK143" s="35">
        <f>Data!F138</f>
        <v>1804455</v>
      </c>
      <c r="AL143" s="35">
        <f t="shared" si="24"/>
        <v>101.71</v>
      </c>
      <c r="AM143" s="35">
        <f t="shared" si="23"/>
        <v>-0.25562874840232536</v>
      </c>
      <c r="AN143" s="35">
        <f t="shared" si="32"/>
        <v>8.6545244963160624</v>
      </c>
      <c r="AO143" s="35" t="str">
        <f t="shared" si="26"/>
        <v>no</v>
      </c>
      <c r="AP143" s="35" t="str">
        <f t="shared" si="27"/>
        <v>no</v>
      </c>
      <c r="AQ143" s="35" t="str">
        <f t="shared" si="27"/>
        <v>no</v>
      </c>
      <c r="AR143" s="35" t="str">
        <f t="shared" si="28"/>
        <v>FITS BITCH</v>
      </c>
      <c r="AS143" s="35" t="str">
        <f t="shared" si="29"/>
        <v>no</v>
      </c>
      <c r="AT143" s="20" t="str">
        <f t="shared" si="30"/>
        <v/>
      </c>
      <c r="AU143" s="20" t="str">
        <f t="shared" si="31"/>
        <v/>
      </c>
      <c r="AV143" s="20"/>
      <c r="AW143" s="20"/>
      <c r="AX143" s="20"/>
      <c r="CL143" s="106">
        <v>42929</v>
      </c>
      <c r="CM143" s="107">
        <f t="shared" si="25"/>
        <v>106.50178032891608</v>
      </c>
    </row>
    <row r="144" spans="1:91" ht="15" customHeight="1">
      <c r="A144" s="148"/>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26">
        <f>Data!A139</f>
        <v>42761</v>
      </c>
      <c r="AF144" s="35">
        <f>Data!B139</f>
        <v>102.41</v>
      </c>
      <c r="AG144" s="35">
        <f>Data!F139</f>
        <v>2119697</v>
      </c>
      <c r="AH144" s="35">
        <f>Data!C139</f>
        <v>102.66</v>
      </c>
      <c r="AI144" s="35">
        <f>Data!D139</f>
        <v>102</v>
      </c>
      <c r="AJ144" s="35">
        <f>Data!E139</f>
        <v>102.04</v>
      </c>
      <c r="AK144" s="35">
        <f>Data!F139</f>
        <v>2119697</v>
      </c>
      <c r="AL144" s="35">
        <f t="shared" si="24"/>
        <v>102.04</v>
      </c>
      <c r="AM144" s="35">
        <f t="shared" si="23"/>
        <v>0.32340258722071002</v>
      </c>
      <c r="AN144" s="35">
        <f t="shared" si="32"/>
        <v>14.872031238427002</v>
      </c>
      <c r="AO144" s="35" t="str">
        <f t="shared" si="26"/>
        <v>no</v>
      </c>
      <c r="AP144" s="35" t="str">
        <f t="shared" si="27"/>
        <v>no</v>
      </c>
      <c r="AQ144" s="35" t="str">
        <f t="shared" si="27"/>
        <v>no</v>
      </c>
      <c r="AR144" s="35" t="str">
        <f t="shared" si="28"/>
        <v>FITS BITCH</v>
      </c>
      <c r="AS144" s="35" t="str">
        <f t="shared" si="29"/>
        <v>no</v>
      </c>
      <c r="AT144" s="20" t="str">
        <f t="shared" si="30"/>
        <v/>
      </c>
      <c r="AU144" s="20" t="str">
        <f t="shared" si="31"/>
        <v/>
      </c>
      <c r="AV144" s="20"/>
      <c r="AW144" s="20"/>
      <c r="AX144" s="20"/>
      <c r="CL144" s="106">
        <v>42928</v>
      </c>
      <c r="CM144" s="107">
        <f t="shared" si="25"/>
        <v>106.44849314049316</v>
      </c>
    </row>
    <row r="145" spans="1:91" ht="15" customHeight="1">
      <c r="A145" s="148"/>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26">
        <f>Data!A140</f>
        <v>42760</v>
      </c>
      <c r="AF145" s="35">
        <f>Data!B140</f>
        <v>103.46</v>
      </c>
      <c r="AG145" s="35">
        <f>Data!F140</f>
        <v>1979432</v>
      </c>
      <c r="AH145" s="35">
        <f>Data!C140</f>
        <v>103.65</v>
      </c>
      <c r="AI145" s="35">
        <f>Data!D140</f>
        <v>102.38</v>
      </c>
      <c r="AJ145" s="35">
        <f>Data!E140</f>
        <v>102.7</v>
      </c>
      <c r="AK145" s="35">
        <f>Data!F140</f>
        <v>1979432</v>
      </c>
      <c r="AL145" s="35">
        <f t="shared" si="24"/>
        <v>102.7</v>
      </c>
      <c r="AM145" s="35">
        <f t="shared" si="23"/>
        <v>0.64264849074975328</v>
      </c>
      <c r="AN145" s="35">
        <f t="shared" si="32"/>
        <v>-7.0861236960905956</v>
      </c>
      <c r="AO145" s="35" t="str">
        <f t="shared" si="26"/>
        <v>no</v>
      </c>
      <c r="AP145" s="35" t="str">
        <f t="shared" si="27"/>
        <v>FITS BITCH</v>
      </c>
      <c r="AQ145" s="35" t="str">
        <f t="shared" si="27"/>
        <v>FITS BITCH</v>
      </c>
      <c r="AR145" s="35" t="str">
        <f t="shared" si="28"/>
        <v>FITS BITCH</v>
      </c>
      <c r="AS145" s="35" t="str">
        <f t="shared" si="29"/>
        <v>no</v>
      </c>
      <c r="AT145" s="20" t="str">
        <f t="shared" si="30"/>
        <v/>
      </c>
      <c r="AU145" s="20" t="str">
        <f t="shared" si="31"/>
        <v/>
      </c>
      <c r="AV145" s="20"/>
      <c r="AW145" s="20"/>
      <c r="AX145" s="20"/>
      <c r="CL145" s="106">
        <v>42927</v>
      </c>
      <c r="CM145" s="107">
        <f t="shared" si="25"/>
        <v>106.39520595207023</v>
      </c>
    </row>
    <row r="146" spans="1:91" ht="15" customHeight="1">
      <c r="A146" s="148"/>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26">
        <f>Data!A141</f>
        <v>42759</v>
      </c>
      <c r="AF146" s="35">
        <f>Data!B141</f>
        <v>102.25</v>
      </c>
      <c r="AG146" s="35">
        <f>Data!F141</f>
        <v>1687913</v>
      </c>
      <c r="AH146" s="35">
        <f>Data!C141</f>
        <v>103.35</v>
      </c>
      <c r="AI146" s="35">
        <f>Data!D141</f>
        <v>102.14</v>
      </c>
      <c r="AJ146" s="35">
        <f>Data!E141</f>
        <v>103.24</v>
      </c>
      <c r="AK146" s="35">
        <f>Data!F141</f>
        <v>1687913</v>
      </c>
      <c r="AL146" s="35">
        <f t="shared" si="24"/>
        <v>103.24</v>
      </c>
      <c r="AM146" s="35">
        <f t="shared" si="23"/>
        <v>0.52305308020146457</v>
      </c>
      <c r="AN146" s="35">
        <f t="shared" si="32"/>
        <v>-17.270973089252823</v>
      </c>
      <c r="AO146" s="35" t="str">
        <f t="shared" si="26"/>
        <v>FITS BITCH</v>
      </c>
      <c r="AP146" s="35" t="str">
        <f t="shared" si="27"/>
        <v>FITS BITCH</v>
      </c>
      <c r="AQ146" s="35" t="str">
        <f t="shared" si="27"/>
        <v>FITS BITCH</v>
      </c>
      <c r="AR146" s="35" t="str">
        <f t="shared" si="28"/>
        <v>no</v>
      </c>
      <c r="AS146" s="35" t="str">
        <f t="shared" si="29"/>
        <v>FITS BITCH</v>
      </c>
      <c r="AT146" s="20" t="str">
        <f t="shared" si="30"/>
        <v/>
      </c>
      <c r="AU146" s="20" t="str">
        <f t="shared" si="31"/>
        <v>BEARISH</v>
      </c>
      <c r="AV146" s="20"/>
      <c r="AW146" s="20"/>
      <c r="AX146" s="20"/>
      <c r="CL146" s="106">
        <v>42926</v>
      </c>
      <c r="CM146" s="107">
        <f t="shared" si="25"/>
        <v>106.34191876364775</v>
      </c>
    </row>
    <row r="147" spans="1:91" ht="15" customHeight="1">
      <c r="A147" s="148"/>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26">
        <f>Data!A142</f>
        <v>42758</v>
      </c>
      <c r="AF147" s="35">
        <f>Data!B142</f>
        <v>102.81</v>
      </c>
      <c r="AG147" s="35">
        <f>Data!F142</f>
        <v>1486737</v>
      </c>
      <c r="AH147" s="35">
        <f>Data!C142</f>
        <v>103.1</v>
      </c>
      <c r="AI147" s="35">
        <f>Data!D142</f>
        <v>101.86</v>
      </c>
      <c r="AJ147" s="35">
        <f>Data!E142</f>
        <v>102.2</v>
      </c>
      <c r="AK147" s="35">
        <f>Data!F142</f>
        <v>1486737</v>
      </c>
      <c r="AL147" s="35">
        <f t="shared" si="24"/>
        <v>102.2</v>
      </c>
      <c r="AM147" s="35">
        <f t="shared" si="23"/>
        <v>-1.0176125244618317</v>
      </c>
      <c r="AN147" s="35">
        <f t="shared" si="32"/>
        <v>-13.531377775625414</v>
      </c>
      <c r="AO147" s="35" t="str">
        <f t="shared" si="26"/>
        <v>FITS BITCH</v>
      </c>
      <c r="AP147" s="35" t="str">
        <f t="shared" si="27"/>
        <v>no</v>
      </c>
      <c r="AQ147" s="35" t="str">
        <f t="shared" si="27"/>
        <v>no</v>
      </c>
      <c r="AR147" s="35" t="str">
        <f t="shared" si="28"/>
        <v>FITS BITCH</v>
      </c>
      <c r="AS147" s="35" t="str">
        <f t="shared" si="29"/>
        <v>no</v>
      </c>
      <c r="AT147" s="20" t="str">
        <f t="shared" si="30"/>
        <v/>
      </c>
      <c r="AU147" s="20" t="str">
        <f t="shared" si="31"/>
        <v/>
      </c>
      <c r="AV147" s="20"/>
      <c r="AW147" s="20"/>
      <c r="AX147" s="20"/>
      <c r="CL147" s="106">
        <v>42923</v>
      </c>
      <c r="CM147" s="107">
        <f t="shared" si="25"/>
        <v>106.18205719837943</v>
      </c>
    </row>
    <row r="148" spans="1:91" ht="15" customHeight="1">
      <c r="A148" s="148"/>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26">
        <f>Data!A143</f>
        <v>42755</v>
      </c>
      <c r="AF148" s="35">
        <f>Data!B143</f>
        <v>103</v>
      </c>
      <c r="AG148" s="35">
        <f>Data!F143</f>
        <v>1653207</v>
      </c>
      <c r="AH148" s="35">
        <f>Data!C143</f>
        <v>103.74</v>
      </c>
      <c r="AI148" s="35">
        <f>Data!D143</f>
        <v>102.8</v>
      </c>
      <c r="AJ148" s="35">
        <f>Data!E143</f>
        <v>103.24</v>
      </c>
      <c r="AK148" s="35">
        <f>Data!F143</f>
        <v>1653207</v>
      </c>
      <c r="AL148" s="35">
        <f t="shared" si="24"/>
        <v>103.24</v>
      </c>
      <c r="AM148" s="35">
        <f t="shared" si="23"/>
        <v>1.0073614877954205</v>
      </c>
      <c r="AN148" s="35">
        <f t="shared" si="32"/>
        <v>10.06951942497219</v>
      </c>
      <c r="AO148" s="35" t="str">
        <f t="shared" si="26"/>
        <v>no</v>
      </c>
      <c r="AP148" s="35" t="str">
        <f t="shared" si="27"/>
        <v>FITS BITCH</v>
      </c>
      <c r="AQ148" s="35" t="str">
        <f t="shared" si="27"/>
        <v>FITS BITCH</v>
      </c>
      <c r="AR148" s="35" t="str">
        <f t="shared" si="28"/>
        <v>FITS BITCH</v>
      </c>
      <c r="AS148" s="35" t="str">
        <f t="shared" si="29"/>
        <v>FITS BITCH</v>
      </c>
      <c r="AT148" s="20" t="str">
        <f t="shared" si="30"/>
        <v/>
      </c>
      <c r="AU148" s="20" t="str">
        <f t="shared" si="31"/>
        <v/>
      </c>
      <c r="AV148" s="20"/>
      <c r="AW148" s="20"/>
      <c r="AX148" s="20"/>
      <c r="CL148" s="106">
        <v>42922</v>
      </c>
      <c r="CM148" s="107">
        <f t="shared" si="25"/>
        <v>106.1287700099565</v>
      </c>
    </row>
    <row r="149" spans="1:91" ht="15" customHeight="1">
      <c r="A149" s="148"/>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26">
        <f>Data!A144</f>
        <v>42754</v>
      </c>
      <c r="AF149" s="35">
        <f>Data!B144</f>
        <v>102.79</v>
      </c>
      <c r="AG149" s="35">
        <f>Data!F144</f>
        <v>1530993</v>
      </c>
      <c r="AH149" s="35">
        <f>Data!C144</f>
        <v>103.26</v>
      </c>
      <c r="AI149" s="35">
        <f>Data!D144</f>
        <v>102.7</v>
      </c>
      <c r="AJ149" s="35">
        <f>Data!E144</f>
        <v>102.97</v>
      </c>
      <c r="AK149" s="35">
        <f>Data!F144</f>
        <v>1530993</v>
      </c>
      <c r="AL149" s="35">
        <f t="shared" si="24"/>
        <v>102.97</v>
      </c>
      <c r="AM149" s="35">
        <f t="shared" si="23"/>
        <v>-0.26221229484315434</v>
      </c>
      <c r="AN149" s="35">
        <f t="shared" si="32"/>
        <v>-7.9826622329429329</v>
      </c>
      <c r="AO149" s="35" t="str">
        <f t="shared" si="26"/>
        <v>no</v>
      </c>
      <c r="AP149" s="35" t="str">
        <f t="shared" si="27"/>
        <v>no</v>
      </c>
      <c r="AQ149" s="35" t="str">
        <f t="shared" si="27"/>
        <v>no</v>
      </c>
      <c r="AR149" s="35" t="str">
        <f t="shared" si="28"/>
        <v>FITS BITCH</v>
      </c>
      <c r="AS149" s="35" t="str">
        <f t="shared" si="29"/>
        <v>FITS BITCH</v>
      </c>
      <c r="AT149" s="20" t="str">
        <f t="shared" si="30"/>
        <v/>
      </c>
      <c r="AU149" s="20" t="str">
        <f t="shared" si="31"/>
        <v/>
      </c>
      <c r="AV149" s="20"/>
      <c r="AW149" s="20"/>
      <c r="AX149" s="20"/>
      <c r="CL149" s="106">
        <v>42921</v>
      </c>
      <c r="CM149" s="107">
        <f t="shared" si="25"/>
        <v>106.07548282153402</v>
      </c>
    </row>
    <row r="150" spans="1:91" ht="15" customHeight="1">
      <c r="A150" s="148"/>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26">
        <f>Data!A145</f>
        <v>42753</v>
      </c>
      <c r="AF150" s="35">
        <f>Data!B145</f>
        <v>103.49</v>
      </c>
      <c r="AG150" s="35">
        <f>Data!F145</f>
        <v>1485900</v>
      </c>
      <c r="AH150" s="35">
        <f>Data!C145</f>
        <v>103.49</v>
      </c>
      <c r="AI150" s="35">
        <f>Data!D145</f>
        <v>102.73</v>
      </c>
      <c r="AJ150" s="35">
        <f>Data!E145</f>
        <v>102.91</v>
      </c>
      <c r="AK150" s="35">
        <f>Data!F145</f>
        <v>1485900</v>
      </c>
      <c r="AL150" s="35">
        <f t="shared" si="24"/>
        <v>102.91</v>
      </c>
      <c r="AM150" s="35">
        <f t="shared" si="23"/>
        <v>-5.830337187834251E-2</v>
      </c>
      <c r="AN150" s="35">
        <f t="shared" si="32"/>
        <v>-3.0347264284272155</v>
      </c>
      <c r="AO150" s="35" t="str">
        <f t="shared" si="26"/>
        <v>no</v>
      </c>
      <c r="AP150" s="35" t="str">
        <f t="shared" si="27"/>
        <v>no</v>
      </c>
      <c r="AQ150" s="35" t="str">
        <f t="shared" si="27"/>
        <v>no</v>
      </c>
      <c r="AR150" s="35" t="str">
        <f t="shared" si="28"/>
        <v>FITS BITCH</v>
      </c>
      <c r="AS150" s="35" t="str">
        <f t="shared" si="29"/>
        <v>no</v>
      </c>
      <c r="AT150" s="20" t="str">
        <f t="shared" si="30"/>
        <v/>
      </c>
      <c r="AU150" s="20" t="str">
        <f t="shared" si="31"/>
        <v/>
      </c>
      <c r="AV150" s="20"/>
      <c r="AW150" s="20"/>
      <c r="AX150" s="20"/>
      <c r="CL150" s="106">
        <v>42920</v>
      </c>
      <c r="CM150" s="107">
        <f t="shared" si="25"/>
        <v>106.0221956331111</v>
      </c>
    </row>
    <row r="151" spans="1:91" ht="15" customHeight="1">
      <c r="A151" s="148"/>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26">
        <f>Data!A146</f>
        <v>42752</v>
      </c>
      <c r="AF151" s="35">
        <f>Data!B146</f>
        <v>103.32</v>
      </c>
      <c r="AG151" s="35">
        <f>Data!F146</f>
        <v>1276993</v>
      </c>
      <c r="AH151" s="35">
        <f>Data!C146</f>
        <v>103.54</v>
      </c>
      <c r="AI151" s="35">
        <f>Data!D146</f>
        <v>102.89</v>
      </c>
      <c r="AJ151" s="35">
        <f>Data!E146</f>
        <v>103.07</v>
      </c>
      <c r="AK151" s="35">
        <f>Data!F146</f>
        <v>1276993</v>
      </c>
      <c r="AL151" s="35">
        <f t="shared" si="24"/>
        <v>103.07</v>
      </c>
      <c r="AM151" s="35">
        <f t="shared" si="23"/>
        <v>0.15523430678179548</v>
      </c>
      <c r="AN151" s="35">
        <f t="shared" si="32"/>
        <v>-16.359290927984727</v>
      </c>
      <c r="AO151" s="35" t="str">
        <f t="shared" si="26"/>
        <v>FITS BITCH</v>
      </c>
      <c r="AP151" s="35" t="str">
        <f t="shared" si="27"/>
        <v>no</v>
      </c>
      <c r="AQ151" s="35" t="str">
        <f t="shared" si="27"/>
        <v>no</v>
      </c>
      <c r="AR151" s="35" t="str">
        <f t="shared" si="28"/>
        <v>FITS BITCH</v>
      </c>
      <c r="AS151" s="35" t="str">
        <f t="shared" si="29"/>
        <v>no</v>
      </c>
      <c r="AT151" s="20" t="str">
        <f t="shared" si="30"/>
        <v/>
      </c>
      <c r="AU151" s="20" t="str">
        <f t="shared" si="31"/>
        <v/>
      </c>
      <c r="AV151" s="20"/>
      <c r="AW151" s="20"/>
      <c r="AX151" s="20"/>
      <c r="CL151" s="106">
        <v>42919</v>
      </c>
      <c r="CM151" s="107">
        <f t="shared" si="25"/>
        <v>105.96890844468817</v>
      </c>
    </row>
    <row r="152" spans="1:91" ht="15" customHeight="1">
      <c r="A152" s="148"/>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26">
        <f>Data!A147</f>
        <v>42748</v>
      </c>
      <c r="AF152" s="35">
        <f>Data!B147</f>
        <v>103.77</v>
      </c>
      <c r="AG152" s="35">
        <f>Data!F147</f>
        <v>1628270</v>
      </c>
      <c r="AH152" s="35">
        <f>Data!C147</f>
        <v>104.09</v>
      </c>
      <c r="AI152" s="35">
        <f>Data!D147</f>
        <v>103.17</v>
      </c>
      <c r="AJ152" s="35">
        <f>Data!E147</f>
        <v>103.77</v>
      </c>
      <c r="AK152" s="35">
        <f>Data!F147</f>
        <v>1628270</v>
      </c>
      <c r="AL152" s="35">
        <f t="shared" si="24"/>
        <v>103.77</v>
      </c>
      <c r="AM152" s="35">
        <f t="shared" si="23"/>
        <v>0.67456875782981873</v>
      </c>
      <c r="AN152" s="35">
        <f t="shared" si="32"/>
        <v>21.573633365473786</v>
      </c>
      <c r="AO152" s="35" t="str">
        <f t="shared" si="26"/>
        <v>no</v>
      </c>
      <c r="AP152" s="35" t="str">
        <f t="shared" si="27"/>
        <v>FITS BITCH</v>
      </c>
      <c r="AQ152" s="35" t="str">
        <f t="shared" si="27"/>
        <v>FITS BITCH</v>
      </c>
      <c r="AR152" s="35" t="str">
        <f t="shared" si="28"/>
        <v>FITS BITCH</v>
      </c>
      <c r="AS152" s="35" t="str">
        <f t="shared" si="29"/>
        <v>no</v>
      </c>
      <c r="AT152" s="20" t="str">
        <f t="shared" si="30"/>
        <v/>
      </c>
      <c r="AU152" s="20" t="str">
        <f t="shared" si="31"/>
        <v/>
      </c>
      <c r="AV152" s="20"/>
      <c r="AW152" s="20"/>
      <c r="AX152" s="20"/>
      <c r="CL152" s="106">
        <v>42916</v>
      </c>
      <c r="CM152" s="107">
        <f t="shared" si="25"/>
        <v>105.80904687941984</v>
      </c>
    </row>
    <row r="153" spans="1:91" ht="15" customHeight="1">
      <c r="A153" s="148"/>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26">
        <f>Data!A148</f>
        <v>42747</v>
      </c>
      <c r="AF153" s="35">
        <f>Data!B148</f>
        <v>102.98</v>
      </c>
      <c r="AG153" s="35">
        <f>Data!F148</f>
        <v>1546666</v>
      </c>
      <c r="AH153" s="35">
        <f>Data!C148</f>
        <v>103.92</v>
      </c>
      <c r="AI153" s="35">
        <f>Data!D148</f>
        <v>102.24</v>
      </c>
      <c r="AJ153" s="35">
        <f>Data!E148</f>
        <v>103.8</v>
      </c>
      <c r="AK153" s="35">
        <f>Data!F148</f>
        <v>1546666</v>
      </c>
      <c r="AL153" s="35">
        <f t="shared" si="24"/>
        <v>103.8</v>
      </c>
      <c r="AM153" s="35">
        <f t="shared" si="23"/>
        <v>2.8901734104047339E-2</v>
      </c>
      <c r="AN153" s="35">
        <f t="shared" si="32"/>
        <v>-5.2761229638461051</v>
      </c>
      <c r="AO153" s="35" t="str">
        <f t="shared" si="26"/>
        <v>no</v>
      </c>
      <c r="AP153" s="35" t="str">
        <f t="shared" si="27"/>
        <v>FITS BITCH</v>
      </c>
      <c r="AQ153" s="35" t="str">
        <f t="shared" si="27"/>
        <v>no</v>
      </c>
      <c r="AR153" s="35" t="str">
        <f t="shared" si="28"/>
        <v>no</v>
      </c>
      <c r="AS153" s="35" t="str">
        <f t="shared" si="29"/>
        <v>FITS BITCH</v>
      </c>
      <c r="AT153" s="20" t="str">
        <f t="shared" si="30"/>
        <v/>
      </c>
      <c r="AU153" s="20" t="str">
        <f t="shared" si="31"/>
        <v/>
      </c>
      <c r="AV153" s="20"/>
      <c r="AW153" s="20"/>
      <c r="AX153" s="20"/>
      <c r="CL153" s="106">
        <v>42915</v>
      </c>
      <c r="CM153" s="107">
        <f t="shared" si="25"/>
        <v>105.75575969099737</v>
      </c>
    </row>
    <row r="154" spans="1:91" ht="15" customHeight="1">
      <c r="A154" s="148"/>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26">
        <f>Data!A149</f>
        <v>42746</v>
      </c>
      <c r="AF154" s="35">
        <f>Data!B149</f>
        <v>102.27</v>
      </c>
      <c r="AG154" s="35">
        <f>Data!F149</f>
        <v>1783842</v>
      </c>
      <c r="AH154" s="35">
        <f>Data!C149</f>
        <v>103.58</v>
      </c>
      <c r="AI154" s="35">
        <f>Data!D149</f>
        <v>102.27</v>
      </c>
      <c r="AJ154" s="35">
        <f>Data!E149</f>
        <v>103.2</v>
      </c>
      <c r="AK154" s="35">
        <f>Data!F149</f>
        <v>1783842</v>
      </c>
      <c r="AL154" s="35">
        <f t="shared" si="24"/>
        <v>103.2</v>
      </c>
      <c r="AM154" s="35">
        <f t="shared" si="23"/>
        <v>-0.58139534883720378</v>
      </c>
      <c r="AN154" s="35">
        <f t="shared" si="32"/>
        <v>13.295796376584923</v>
      </c>
      <c r="AO154" s="35" t="str">
        <f t="shared" si="26"/>
        <v>no</v>
      </c>
      <c r="AP154" s="35" t="str">
        <f t="shared" si="27"/>
        <v>FITS BITCH</v>
      </c>
      <c r="AQ154" s="35" t="str">
        <f t="shared" si="27"/>
        <v>FITS BITCH</v>
      </c>
      <c r="AR154" s="35" t="str">
        <f t="shared" si="28"/>
        <v>no</v>
      </c>
      <c r="AS154" s="35" t="str">
        <f t="shared" si="29"/>
        <v>FITS BITCH</v>
      </c>
      <c r="AT154" s="20" t="str">
        <f t="shared" si="30"/>
        <v/>
      </c>
      <c r="AU154" s="20" t="str">
        <f t="shared" si="31"/>
        <v/>
      </c>
      <c r="AV154" s="20"/>
      <c r="AW154" s="20"/>
      <c r="AX154" s="20"/>
      <c r="CL154" s="106">
        <v>42914</v>
      </c>
      <c r="CM154" s="107">
        <f t="shared" si="25"/>
        <v>105.70247250257444</v>
      </c>
    </row>
    <row r="155" spans="1:91" ht="15" customHeight="1">
      <c r="A155" s="148"/>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26">
        <f>Data!A150</f>
        <v>42745</v>
      </c>
      <c r="AF155" s="35">
        <f>Data!B150</f>
        <v>102.25</v>
      </c>
      <c r="AG155" s="35">
        <f>Data!F150</f>
        <v>1639355</v>
      </c>
      <c r="AH155" s="35">
        <f>Data!C150</f>
        <v>103.04</v>
      </c>
      <c r="AI155" s="35">
        <f>Data!D150</f>
        <v>102.04</v>
      </c>
      <c r="AJ155" s="35">
        <f>Data!E150</f>
        <v>102.2</v>
      </c>
      <c r="AK155" s="35">
        <f>Data!F150</f>
        <v>1639355</v>
      </c>
      <c r="AL155" s="35">
        <f t="shared" si="24"/>
        <v>102.2</v>
      </c>
      <c r="AM155" s="35">
        <f t="shared" si="23"/>
        <v>-0.97847358121330719</v>
      </c>
      <c r="AN155" s="35">
        <f t="shared" si="32"/>
        <v>-8.8136492705972778</v>
      </c>
      <c r="AO155" s="35" t="str">
        <f t="shared" si="26"/>
        <v>FITS BITCH</v>
      </c>
      <c r="AP155" s="35" t="str">
        <f t="shared" si="27"/>
        <v>no</v>
      </c>
      <c r="AQ155" s="35" t="str">
        <f t="shared" si="27"/>
        <v>no</v>
      </c>
      <c r="AR155" s="35" t="str">
        <f t="shared" si="28"/>
        <v>FITS BITCH</v>
      </c>
      <c r="AS155" s="35" t="str">
        <f t="shared" si="29"/>
        <v>no</v>
      </c>
      <c r="AT155" s="20" t="str">
        <f t="shared" si="30"/>
        <v/>
      </c>
      <c r="AU155" s="20" t="str">
        <f t="shared" si="31"/>
        <v/>
      </c>
      <c r="AV155" s="20"/>
      <c r="AW155" s="20"/>
      <c r="AX155" s="20"/>
      <c r="CL155" s="106">
        <v>42913</v>
      </c>
      <c r="CM155" s="107">
        <f t="shared" si="25"/>
        <v>105.64918531415151</v>
      </c>
    </row>
    <row r="156" spans="1:91" ht="15" customHeight="1">
      <c r="A156" s="148"/>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26">
        <f>Data!A151</f>
        <v>42744</v>
      </c>
      <c r="AF156" s="35">
        <f>Data!B151</f>
        <v>102.95</v>
      </c>
      <c r="AG156" s="35">
        <f>Data!F151</f>
        <v>1379273</v>
      </c>
      <c r="AH156" s="35">
        <f>Data!C151</f>
        <v>103.24</v>
      </c>
      <c r="AI156" s="35">
        <f>Data!D151</f>
        <v>102.47</v>
      </c>
      <c r="AJ156" s="35">
        <f>Data!E151</f>
        <v>102.47</v>
      </c>
      <c r="AK156" s="35">
        <f>Data!F151</f>
        <v>1379273</v>
      </c>
      <c r="AL156" s="35">
        <f t="shared" si="24"/>
        <v>102.47</v>
      </c>
      <c r="AM156" s="35">
        <f t="shared" si="23"/>
        <v>0.26349175368400118</v>
      </c>
      <c r="AN156" s="35">
        <f t="shared" si="32"/>
        <v>-18.856455538533705</v>
      </c>
      <c r="AO156" s="35" t="str">
        <f t="shared" si="26"/>
        <v>FITS BITCH</v>
      </c>
      <c r="AP156" s="35" t="str">
        <f t="shared" si="27"/>
        <v>no</v>
      </c>
      <c r="AQ156" s="35" t="str">
        <f t="shared" si="27"/>
        <v>FITS BITCH</v>
      </c>
      <c r="AR156" s="35" t="str">
        <f t="shared" si="28"/>
        <v>FITS BITCH</v>
      </c>
      <c r="AS156" s="35" t="str">
        <f t="shared" si="29"/>
        <v>no</v>
      </c>
      <c r="AT156" s="20" t="str">
        <f t="shared" si="30"/>
        <v/>
      </c>
      <c r="AU156" s="20" t="str">
        <f t="shared" si="31"/>
        <v/>
      </c>
      <c r="AV156" s="20"/>
      <c r="AW156" s="20"/>
      <c r="AX156" s="20"/>
      <c r="CL156" s="106">
        <v>42912</v>
      </c>
      <c r="CM156" s="107">
        <f t="shared" si="25"/>
        <v>105.59589812572904</v>
      </c>
    </row>
    <row r="157" spans="1:91" ht="15" customHeight="1">
      <c r="A157" s="148"/>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26">
        <f>Data!A152</f>
        <v>42741</v>
      </c>
      <c r="AF157" s="35">
        <f>Data!B152</f>
        <v>103.23</v>
      </c>
      <c r="AG157" s="35">
        <f>Data!F152</f>
        <v>2016595</v>
      </c>
      <c r="AH157" s="35">
        <f>Data!C152</f>
        <v>103.27</v>
      </c>
      <c r="AI157" s="35">
        <f>Data!D152</f>
        <v>102.27</v>
      </c>
      <c r="AJ157" s="35">
        <f>Data!E152</f>
        <v>103.11</v>
      </c>
      <c r="AK157" s="35">
        <f>Data!F152</f>
        <v>2016595</v>
      </c>
      <c r="AL157" s="35">
        <f t="shared" si="24"/>
        <v>103.11</v>
      </c>
      <c r="AM157" s="35">
        <f t="shared" si="23"/>
        <v>0.6206963437106009</v>
      </c>
      <c r="AN157" s="35">
        <f t="shared" si="32"/>
        <v>31.603866914278772</v>
      </c>
      <c r="AO157" s="35" t="str">
        <f t="shared" si="26"/>
        <v>no</v>
      </c>
      <c r="AP157" s="35" t="str">
        <f t="shared" si="27"/>
        <v>no</v>
      </c>
      <c r="AQ157" s="35" t="str">
        <f t="shared" si="27"/>
        <v>no</v>
      </c>
      <c r="AR157" s="35" t="str">
        <f t="shared" si="28"/>
        <v>FITS BITCH</v>
      </c>
      <c r="AS157" s="35" t="str">
        <f t="shared" si="29"/>
        <v>FITS BITCH</v>
      </c>
      <c r="AT157" s="20" t="str">
        <f t="shared" si="30"/>
        <v/>
      </c>
      <c r="AU157" s="20" t="str">
        <f t="shared" si="31"/>
        <v/>
      </c>
      <c r="AV157" s="20"/>
      <c r="AW157" s="20"/>
      <c r="AX157" s="20"/>
      <c r="CL157" s="106">
        <v>42909</v>
      </c>
      <c r="CM157" s="107">
        <f t="shared" si="25"/>
        <v>105.43603656046071</v>
      </c>
    </row>
    <row r="158" spans="1:91" ht="15" customHeight="1">
      <c r="A158" s="148"/>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26">
        <f>Data!A153</f>
        <v>42740</v>
      </c>
      <c r="AF158" s="35">
        <f>Data!B153</f>
        <v>103.46</v>
      </c>
      <c r="AG158" s="35">
        <f>Data!F153</f>
        <v>2215362</v>
      </c>
      <c r="AH158" s="35">
        <f>Data!C153</f>
        <v>103.89</v>
      </c>
      <c r="AI158" s="35">
        <f>Data!D153</f>
        <v>102.4</v>
      </c>
      <c r="AJ158" s="35">
        <f>Data!E153</f>
        <v>103.04</v>
      </c>
      <c r="AK158" s="35">
        <f>Data!F153</f>
        <v>2215362</v>
      </c>
      <c r="AL158" s="35">
        <f t="shared" si="24"/>
        <v>103.04</v>
      </c>
      <c r="AM158" s="35">
        <f t="shared" si="23"/>
        <v>-6.7934782608689029E-2</v>
      </c>
      <c r="AN158" s="35">
        <f t="shared" si="32"/>
        <v>8.9722131191200365</v>
      </c>
      <c r="AO158" s="35" t="str">
        <f t="shared" si="26"/>
        <v>no</v>
      </c>
      <c r="AP158" s="35" t="str">
        <f t="shared" si="27"/>
        <v>no</v>
      </c>
      <c r="AQ158" s="35" t="str">
        <f t="shared" si="27"/>
        <v>no</v>
      </c>
      <c r="AR158" s="35" t="str">
        <f t="shared" si="28"/>
        <v>FITS BITCH</v>
      </c>
      <c r="AS158" s="35" t="str">
        <f t="shared" si="29"/>
        <v>no</v>
      </c>
      <c r="AT158" s="20" t="str">
        <f t="shared" si="30"/>
        <v/>
      </c>
      <c r="AU158" s="20" t="str">
        <f t="shared" si="31"/>
        <v/>
      </c>
      <c r="AV158" s="20"/>
      <c r="AW158" s="20"/>
      <c r="AX158" s="20"/>
      <c r="CL158" s="106">
        <v>42908</v>
      </c>
      <c r="CM158" s="107">
        <f t="shared" si="25"/>
        <v>105.38274937203778</v>
      </c>
    </row>
    <row r="159" spans="1:91" ht="15" customHeight="1">
      <c r="A159" s="148"/>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26">
        <f>Data!A154</f>
        <v>42739</v>
      </c>
      <c r="AF159" s="35">
        <f>Data!B154</f>
        <v>103.41</v>
      </c>
      <c r="AG159" s="35">
        <f>Data!F154</f>
        <v>2498459</v>
      </c>
      <c r="AH159" s="35">
        <f>Data!C154</f>
        <v>103.98</v>
      </c>
      <c r="AI159" s="35">
        <f>Data!D154</f>
        <v>103.25</v>
      </c>
      <c r="AJ159" s="35">
        <f>Data!E154</f>
        <v>103.66</v>
      </c>
      <c r="AK159" s="35">
        <f>Data!F154</f>
        <v>2498459</v>
      </c>
      <c r="AL159" s="35">
        <f t="shared" si="24"/>
        <v>103.66</v>
      </c>
      <c r="AM159" s="35">
        <f t="shared" si="23"/>
        <v>0.59810920316418126</v>
      </c>
      <c r="AN159" s="35">
        <f t="shared" si="32"/>
        <v>11.330864344782125</v>
      </c>
      <c r="AO159" s="35" t="str">
        <f t="shared" si="26"/>
        <v>no</v>
      </c>
      <c r="AP159" s="35" t="str">
        <f t="shared" si="27"/>
        <v>FITS BITCH</v>
      </c>
      <c r="AQ159" s="35" t="str">
        <f t="shared" si="27"/>
        <v>FITS BITCH</v>
      </c>
      <c r="AR159" s="35" t="str">
        <f t="shared" si="28"/>
        <v>no</v>
      </c>
      <c r="AS159" s="35" t="str">
        <f t="shared" si="29"/>
        <v>FITS BITCH</v>
      </c>
      <c r="AT159" s="20" t="str">
        <f t="shared" si="30"/>
        <v/>
      </c>
      <c r="AU159" s="20" t="str">
        <f t="shared" si="31"/>
        <v/>
      </c>
      <c r="AV159" s="20"/>
      <c r="AW159" s="20"/>
      <c r="AX159" s="20"/>
      <c r="CL159" s="106">
        <v>42907</v>
      </c>
      <c r="CM159" s="107">
        <f t="shared" si="25"/>
        <v>105.32946218361485</v>
      </c>
    </row>
    <row r="160" spans="1:91" ht="15" customHeight="1">
      <c r="A160" s="148"/>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26">
        <f>Data!A155</f>
        <v>42738</v>
      </c>
      <c r="AF160" s="35">
        <f>Data!B155</f>
        <v>102.38</v>
      </c>
      <c r="AG160" s="35">
        <f>Data!F155</f>
        <v>2227449</v>
      </c>
      <c r="AH160" s="35">
        <f>Data!C155</f>
        <v>103.58</v>
      </c>
      <c r="AI160" s="35">
        <f>Data!D155</f>
        <v>102.31</v>
      </c>
      <c r="AJ160" s="35">
        <f>Data!E155</f>
        <v>103.5</v>
      </c>
      <c r="AK160" s="35">
        <f>Data!F155</f>
        <v>2227449</v>
      </c>
      <c r="AL160" s="35">
        <f t="shared" si="24"/>
        <v>103.5</v>
      </c>
      <c r="AM160" s="35">
        <f t="shared" si="23"/>
        <v>-0.15458937198067302</v>
      </c>
      <c r="AN160" s="35">
        <f t="shared" si="32"/>
        <v>-12.166833000441311</v>
      </c>
      <c r="AO160" s="35" t="str">
        <f t="shared" si="26"/>
        <v>FITS BITCH</v>
      </c>
      <c r="AP160" s="35" t="str">
        <f t="shared" si="27"/>
        <v>FITS BITCH</v>
      </c>
      <c r="AQ160" s="35" t="str">
        <f t="shared" si="27"/>
        <v>FITS BITCH</v>
      </c>
      <c r="AR160" s="35" t="str">
        <f t="shared" si="28"/>
        <v>no</v>
      </c>
      <c r="AS160" s="35" t="str">
        <f t="shared" si="29"/>
        <v>FITS BITCH</v>
      </c>
      <c r="AT160" s="20" t="str">
        <f t="shared" si="30"/>
        <v/>
      </c>
      <c r="AU160" s="20" t="str">
        <f t="shared" si="31"/>
        <v>BEARISH</v>
      </c>
      <c r="AV160" s="20"/>
      <c r="AW160" s="20"/>
      <c r="AX160" s="20"/>
      <c r="CL160" s="106">
        <v>42906</v>
      </c>
      <c r="CM160" s="107">
        <f t="shared" si="25"/>
        <v>105.27617499519238</v>
      </c>
    </row>
    <row r="161" spans="1:91" ht="15" customHeight="1">
      <c r="A161" s="148"/>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26">
        <f>Data!A156</f>
        <v>42734</v>
      </c>
      <c r="AF161" s="35">
        <f>Data!B156</f>
        <v>103.38</v>
      </c>
      <c r="AG161" s="35">
        <f>Data!F156</f>
        <v>2008839</v>
      </c>
      <c r="AH161" s="35">
        <f>Data!C156</f>
        <v>103.44</v>
      </c>
      <c r="AI161" s="35">
        <f>Data!D156</f>
        <v>102</v>
      </c>
      <c r="AJ161" s="35">
        <f>Data!E156</f>
        <v>102.78</v>
      </c>
      <c r="AK161" s="35">
        <f>Data!F156</f>
        <v>2008839</v>
      </c>
      <c r="AL161" s="35">
        <f t="shared" si="24"/>
        <v>102.78</v>
      </c>
      <c r="AM161" s="35">
        <f t="shared" si="23"/>
        <v>-0.70052539404553305</v>
      </c>
      <c r="AN161" s="35">
        <f t="shared" si="32"/>
        <v>-10.882405210173637</v>
      </c>
      <c r="AO161" s="35" t="str">
        <f t="shared" si="26"/>
        <v>FITS BITCH</v>
      </c>
      <c r="AP161" s="35" t="str">
        <f t="shared" si="27"/>
        <v>no</v>
      </c>
      <c r="AQ161" s="35" t="str">
        <f t="shared" si="27"/>
        <v>no</v>
      </c>
      <c r="AR161" s="35" t="str">
        <f t="shared" si="28"/>
        <v>FITS BITCH</v>
      </c>
      <c r="AS161" s="35" t="str">
        <f t="shared" si="29"/>
        <v>no</v>
      </c>
      <c r="AT161" s="20" t="str">
        <f t="shared" si="30"/>
        <v/>
      </c>
      <c r="AU161" s="20" t="str">
        <f t="shared" si="31"/>
        <v/>
      </c>
      <c r="AV161" s="20"/>
      <c r="AW161" s="20"/>
      <c r="AX161" s="20"/>
      <c r="CL161" s="106">
        <v>42905</v>
      </c>
      <c r="CM161" s="107">
        <f t="shared" si="25"/>
        <v>105.22288780676945</v>
      </c>
    </row>
    <row r="162" spans="1:91" ht="15" customHeight="1">
      <c r="A162" s="148"/>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26">
        <f>Data!A157</f>
        <v>42733</v>
      </c>
      <c r="AF162" s="35">
        <f>Data!B157</f>
        <v>103.27</v>
      </c>
      <c r="AG162" s="35">
        <f>Data!F157</f>
        <v>1264492</v>
      </c>
      <c r="AH162" s="35">
        <f>Data!C157</f>
        <v>103.85</v>
      </c>
      <c r="AI162" s="35">
        <f>Data!D157</f>
        <v>103</v>
      </c>
      <c r="AJ162" s="35">
        <f>Data!E157</f>
        <v>103.45</v>
      </c>
      <c r="AK162" s="35">
        <f>Data!F157</f>
        <v>1264492</v>
      </c>
      <c r="AL162" s="35">
        <f t="shared" si="24"/>
        <v>103.45</v>
      </c>
      <c r="AM162" s="35">
        <f t="shared" si="23"/>
        <v>0.6476558724021283</v>
      </c>
      <c r="AN162" s="35">
        <f t="shared" si="32"/>
        <v>-58.865299266424778</v>
      </c>
      <c r="AO162" s="35" t="str">
        <f t="shared" si="26"/>
        <v>FITS BITCH</v>
      </c>
      <c r="AP162" s="35" t="str">
        <f t="shared" si="27"/>
        <v>no</v>
      </c>
      <c r="AQ162" s="35" t="str">
        <f t="shared" si="27"/>
        <v>no</v>
      </c>
      <c r="AR162" s="35" t="str">
        <f t="shared" si="28"/>
        <v>FITS BITCH</v>
      </c>
      <c r="AS162" s="35" t="str">
        <f t="shared" si="29"/>
        <v>FITS BITCH</v>
      </c>
      <c r="AT162" s="20" t="str">
        <f t="shared" si="30"/>
        <v/>
      </c>
      <c r="AU162" s="20" t="str">
        <f t="shared" si="31"/>
        <v/>
      </c>
      <c r="AV162" s="20"/>
      <c r="AW162" s="20"/>
      <c r="AX162" s="20"/>
      <c r="CL162" s="106">
        <v>42902</v>
      </c>
      <c r="CM162" s="107">
        <f t="shared" si="25"/>
        <v>105.06302624150112</v>
      </c>
    </row>
    <row r="163" spans="1:91" ht="15" customHeight="1">
      <c r="A163" s="148"/>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26">
        <f>Data!A158</f>
        <v>42732</v>
      </c>
      <c r="AF163" s="35">
        <f>Data!B158</f>
        <v>103.53</v>
      </c>
      <c r="AG163" s="35">
        <f>Data!F158</f>
        <v>1559082</v>
      </c>
      <c r="AH163" s="35">
        <f>Data!C158</f>
        <v>103.88</v>
      </c>
      <c r="AI163" s="35">
        <f>Data!D158</f>
        <v>103.02</v>
      </c>
      <c r="AJ163" s="35">
        <f>Data!E158</f>
        <v>103.05</v>
      </c>
      <c r="AK163" s="35">
        <f>Data!F158</f>
        <v>1559082</v>
      </c>
      <c r="AL163" s="35">
        <f t="shared" si="24"/>
        <v>103.05</v>
      </c>
      <c r="AM163" s="35">
        <f t="shared" si="23"/>
        <v>-0.38816108685104872</v>
      </c>
      <c r="AN163" s="35">
        <f t="shared" si="32"/>
        <v>18.89509339470278</v>
      </c>
      <c r="AO163" s="35" t="str">
        <f t="shared" si="26"/>
        <v>no</v>
      </c>
      <c r="AP163" s="35" t="str">
        <f t="shared" si="27"/>
        <v>FITS BITCH</v>
      </c>
      <c r="AQ163" s="35" t="str">
        <f t="shared" si="27"/>
        <v>FITS BITCH</v>
      </c>
      <c r="AR163" s="35" t="str">
        <f t="shared" si="28"/>
        <v>FITS BITCH</v>
      </c>
      <c r="AS163" s="35" t="str">
        <f t="shared" si="29"/>
        <v>no</v>
      </c>
      <c r="AT163" s="20" t="str">
        <f t="shared" si="30"/>
        <v/>
      </c>
      <c r="AU163" s="20" t="str">
        <f t="shared" si="31"/>
        <v/>
      </c>
      <c r="AV163" s="20"/>
      <c r="AW163" s="20"/>
      <c r="AX163" s="20"/>
      <c r="CL163" s="106">
        <v>42901</v>
      </c>
      <c r="CM163" s="107">
        <f t="shared" si="25"/>
        <v>105.00973905307865</v>
      </c>
    </row>
    <row r="164" spans="1:91" ht="15" customHeight="1">
      <c r="A164" s="148"/>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26">
        <f>Data!A159</f>
        <v>42731</v>
      </c>
      <c r="AF164" s="35">
        <f>Data!B159</f>
        <v>102.86</v>
      </c>
      <c r="AG164" s="35">
        <f>Data!F159</f>
        <v>929959</v>
      </c>
      <c r="AH164" s="35">
        <f>Data!C159</f>
        <v>103.78</v>
      </c>
      <c r="AI164" s="35">
        <f>Data!D159</f>
        <v>102.78</v>
      </c>
      <c r="AJ164" s="35">
        <f>Data!E159</f>
        <v>103.31</v>
      </c>
      <c r="AK164" s="35">
        <f>Data!F159</f>
        <v>929959</v>
      </c>
      <c r="AL164" s="35">
        <f t="shared" si="24"/>
        <v>103.31</v>
      </c>
      <c r="AM164" s="35">
        <f t="shared" si="23"/>
        <v>0.25166973187494446</v>
      </c>
      <c r="AN164" s="35">
        <f t="shared" si="32"/>
        <v>-67.650616855151682</v>
      </c>
      <c r="AO164" s="35" t="str">
        <f t="shared" si="26"/>
        <v>FITS BITCH</v>
      </c>
      <c r="AP164" s="35" t="str">
        <f t="shared" si="27"/>
        <v>FITS BITCH</v>
      </c>
      <c r="AQ164" s="35" t="str">
        <f t="shared" si="27"/>
        <v>FITS BITCH</v>
      </c>
      <c r="AR164" s="35" t="str">
        <f t="shared" si="28"/>
        <v>no</v>
      </c>
      <c r="AS164" s="35" t="str">
        <f t="shared" si="29"/>
        <v>FITS BITCH</v>
      </c>
      <c r="AT164" s="20" t="str">
        <f t="shared" si="30"/>
        <v/>
      </c>
      <c r="AU164" s="20" t="str">
        <f t="shared" si="31"/>
        <v>BEARISH</v>
      </c>
      <c r="AV164" s="20"/>
      <c r="AW164" s="20"/>
      <c r="AX164" s="20"/>
      <c r="CL164" s="106">
        <v>42900</v>
      </c>
      <c r="CM164" s="107">
        <f t="shared" si="25"/>
        <v>104.95645186465572</v>
      </c>
    </row>
    <row r="165" spans="1:91" ht="15" customHeight="1">
      <c r="A165" s="148"/>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26">
        <f>Data!A160</f>
        <v>42727</v>
      </c>
      <c r="AF165" s="35">
        <f>Data!B160</f>
        <v>102.52</v>
      </c>
      <c r="AG165" s="35">
        <f>Data!F160</f>
        <v>777989</v>
      </c>
      <c r="AH165" s="35">
        <f>Data!C160</f>
        <v>102.96</v>
      </c>
      <c r="AI165" s="35">
        <f>Data!D160</f>
        <v>102.51</v>
      </c>
      <c r="AJ165" s="35">
        <f>Data!E160</f>
        <v>102.93</v>
      </c>
      <c r="AK165" s="35">
        <f>Data!F160</f>
        <v>777989</v>
      </c>
      <c r="AL165" s="35">
        <f t="shared" si="24"/>
        <v>102.93</v>
      </c>
      <c r="AM165" s="35">
        <f t="shared" si="23"/>
        <v>-0.36918293986203776</v>
      </c>
      <c r="AN165" s="35">
        <f t="shared" si="32"/>
        <v>-19.533695206487494</v>
      </c>
      <c r="AO165" s="35" t="str">
        <f t="shared" si="26"/>
        <v>FITS BITCH</v>
      </c>
      <c r="AP165" s="35" t="str">
        <f t="shared" si="27"/>
        <v>FITS BITCH</v>
      </c>
      <c r="AQ165" s="35" t="str">
        <f t="shared" si="27"/>
        <v>FITS BITCH</v>
      </c>
      <c r="AR165" s="35" t="str">
        <f t="shared" si="28"/>
        <v>no</v>
      </c>
      <c r="AS165" s="35" t="str">
        <f t="shared" si="29"/>
        <v>FITS BITCH</v>
      </c>
      <c r="AT165" s="20" t="str">
        <f t="shared" si="30"/>
        <v/>
      </c>
      <c r="AU165" s="20" t="str">
        <f t="shared" si="31"/>
        <v>BEARISH</v>
      </c>
      <c r="AV165" s="20"/>
      <c r="AW165" s="20"/>
      <c r="AX165" s="20"/>
      <c r="CL165" s="106">
        <v>42899</v>
      </c>
      <c r="CM165" s="107">
        <f t="shared" si="25"/>
        <v>104.90316467623279</v>
      </c>
    </row>
    <row r="166" spans="1:91" ht="15" customHeight="1">
      <c r="A166" s="148"/>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26">
        <f>Data!A161</f>
        <v>42726</v>
      </c>
      <c r="AF166" s="35">
        <f>Data!B161</f>
        <v>102.64</v>
      </c>
      <c r="AG166" s="35">
        <f>Data!F161</f>
        <v>1568211</v>
      </c>
      <c r="AH166" s="35">
        <f>Data!C161</f>
        <v>102.81</v>
      </c>
      <c r="AI166" s="35">
        <f>Data!D161</f>
        <v>101.89</v>
      </c>
      <c r="AJ166" s="35">
        <f>Data!E161</f>
        <v>102.6</v>
      </c>
      <c r="AK166" s="35">
        <f>Data!F161</f>
        <v>1568211</v>
      </c>
      <c r="AL166" s="35">
        <f t="shared" si="24"/>
        <v>102.6</v>
      </c>
      <c r="AM166" s="35">
        <f t="shared" si="23"/>
        <v>-0.32163742690059699</v>
      </c>
      <c r="AN166" s="35">
        <f t="shared" si="32"/>
        <v>50.390030423201978</v>
      </c>
      <c r="AO166" s="35" t="str">
        <f t="shared" si="26"/>
        <v>no</v>
      </c>
      <c r="AP166" s="35" t="str">
        <f t="shared" si="27"/>
        <v>no</v>
      </c>
      <c r="AQ166" s="35" t="str">
        <f t="shared" si="27"/>
        <v>FITS BITCH</v>
      </c>
      <c r="AR166" s="35" t="str">
        <f t="shared" si="28"/>
        <v>FITS BITCH</v>
      </c>
      <c r="AS166" s="35" t="str">
        <f t="shared" si="29"/>
        <v>FITS BITCH</v>
      </c>
      <c r="AT166" s="20" t="str">
        <f t="shared" si="30"/>
        <v/>
      </c>
      <c r="AU166" s="20" t="str">
        <f t="shared" si="31"/>
        <v/>
      </c>
      <c r="AV166" s="20"/>
      <c r="AW166" s="20"/>
      <c r="AX166" s="20"/>
      <c r="CL166" s="106">
        <v>42898</v>
      </c>
      <c r="CM166" s="107">
        <f t="shared" si="25"/>
        <v>104.84987748781032</v>
      </c>
    </row>
    <row r="167" spans="1:91" ht="15" customHeight="1">
      <c r="A167" s="148"/>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26">
        <f>Data!A162</f>
        <v>42725</v>
      </c>
      <c r="AF167" s="35">
        <f>Data!B162</f>
        <v>102.26</v>
      </c>
      <c r="AG167" s="35">
        <f>Data!F162</f>
        <v>2042866</v>
      </c>
      <c r="AH167" s="35">
        <f>Data!C162</f>
        <v>102.82</v>
      </c>
      <c r="AI167" s="35">
        <f>Data!D162</f>
        <v>101.69</v>
      </c>
      <c r="AJ167" s="35">
        <f>Data!E162</f>
        <v>102.47</v>
      </c>
      <c r="AK167" s="35">
        <f>Data!F162</f>
        <v>2042866</v>
      </c>
      <c r="AL167" s="35">
        <f t="shared" si="24"/>
        <v>102.47</v>
      </c>
      <c r="AM167" s="35">
        <f t="shared" si="23"/>
        <v>-0.12686639992192394</v>
      </c>
      <c r="AN167" s="35">
        <f t="shared" si="32"/>
        <v>23.234759401742455</v>
      </c>
      <c r="AO167" s="35" t="str">
        <f t="shared" si="26"/>
        <v>no</v>
      </c>
      <c r="AP167" s="35" t="str">
        <f t="shared" si="27"/>
        <v>FITS BITCH</v>
      </c>
      <c r="AQ167" s="35" t="str">
        <f t="shared" si="27"/>
        <v>FITS BITCH</v>
      </c>
      <c r="AR167" s="35" t="str">
        <f t="shared" si="28"/>
        <v>FITS BITCH</v>
      </c>
      <c r="AS167" s="35" t="str">
        <f t="shared" si="29"/>
        <v>FITS BITCH</v>
      </c>
      <c r="AT167" s="20" t="str">
        <f t="shared" si="30"/>
        <v/>
      </c>
      <c r="AU167" s="20" t="str">
        <f t="shared" si="31"/>
        <v/>
      </c>
      <c r="AV167" s="20"/>
      <c r="AW167" s="20"/>
      <c r="AX167" s="20"/>
      <c r="CL167" s="106">
        <v>42895</v>
      </c>
      <c r="CM167" s="107">
        <f t="shared" si="25"/>
        <v>104.69001592254199</v>
      </c>
    </row>
    <row r="168" spans="1:91" ht="15" customHeight="1">
      <c r="A168" s="148"/>
      <c r="B168" s="148"/>
      <c r="C168" s="148"/>
      <c r="D168" s="148"/>
      <c r="E168" s="148"/>
      <c r="F168" s="148"/>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26">
        <f>Data!A163</f>
        <v>42724</v>
      </c>
      <c r="AF168" s="35">
        <f>Data!B163</f>
        <v>101.74</v>
      </c>
      <c r="AG168" s="35">
        <f>Data!F163</f>
        <v>2396875</v>
      </c>
      <c r="AH168" s="35">
        <f>Data!C163</f>
        <v>102.66</v>
      </c>
      <c r="AI168" s="35">
        <f>Data!D163</f>
        <v>101.4</v>
      </c>
      <c r="AJ168" s="35">
        <f>Data!E163</f>
        <v>102.33</v>
      </c>
      <c r="AK168" s="35">
        <f>Data!F163</f>
        <v>2396875</v>
      </c>
      <c r="AL168" s="35">
        <f t="shared" si="24"/>
        <v>102.33</v>
      </c>
      <c r="AM168" s="35">
        <f t="shared" si="23"/>
        <v>-0.1368122740154408</v>
      </c>
      <c r="AN168" s="35">
        <f t="shared" si="32"/>
        <v>14.769606258148633</v>
      </c>
      <c r="AO168" s="35" t="str">
        <f t="shared" si="26"/>
        <v>no</v>
      </c>
      <c r="AP168" s="35" t="str">
        <f t="shared" si="27"/>
        <v>FITS BITCH</v>
      </c>
      <c r="AQ168" s="35" t="str">
        <f t="shared" si="27"/>
        <v>FITS BITCH</v>
      </c>
      <c r="AR168" s="35" t="str">
        <f t="shared" si="28"/>
        <v>no</v>
      </c>
      <c r="AS168" s="35" t="str">
        <f t="shared" si="29"/>
        <v>FITS BITCH</v>
      </c>
      <c r="AT168" s="20" t="str">
        <f t="shared" si="30"/>
        <v/>
      </c>
      <c r="AU168" s="20" t="str">
        <f t="shared" si="31"/>
        <v/>
      </c>
      <c r="AV168" s="20"/>
      <c r="AW168" s="20"/>
      <c r="AX168" s="20"/>
      <c r="CL168" s="106">
        <v>42894</v>
      </c>
      <c r="CM168" s="107">
        <f t="shared" si="25"/>
        <v>104.63672873411906</v>
      </c>
    </row>
    <row r="169" spans="1:91" ht="15" customHeight="1">
      <c r="A169" s="148"/>
      <c r="B169" s="148"/>
      <c r="C169" s="148"/>
      <c r="D169" s="148"/>
      <c r="E169" s="148"/>
      <c r="F169" s="148"/>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26">
        <f>Data!A164</f>
        <v>42723</v>
      </c>
      <c r="AF169" s="35">
        <f>Data!B164</f>
        <v>100.72</v>
      </c>
      <c r="AG169" s="35">
        <f>Data!F164</f>
        <v>1993229</v>
      </c>
      <c r="AH169" s="35">
        <f>Data!C164</f>
        <v>101.6</v>
      </c>
      <c r="AI169" s="35">
        <f>Data!D164</f>
        <v>100.58</v>
      </c>
      <c r="AJ169" s="35">
        <f>Data!E164</f>
        <v>101.09</v>
      </c>
      <c r="AK169" s="35">
        <f>Data!F164</f>
        <v>1993229</v>
      </c>
      <c r="AL169" s="35">
        <f t="shared" si="24"/>
        <v>101.09</v>
      </c>
      <c r="AM169" s="35">
        <f t="shared" si="23"/>
        <v>-1.2266297358789147</v>
      </c>
      <c r="AN169" s="35">
        <f t="shared" si="32"/>
        <v>-20.250859284106344</v>
      </c>
      <c r="AO169" s="35" t="str">
        <f t="shared" si="26"/>
        <v>FITS BITCH</v>
      </c>
      <c r="AP169" s="35" t="str">
        <f t="shared" si="27"/>
        <v>FITS BITCH</v>
      </c>
      <c r="AQ169" s="35" t="str">
        <f t="shared" si="27"/>
        <v>FITS BITCH</v>
      </c>
      <c r="AR169" s="35" t="str">
        <f t="shared" si="28"/>
        <v>FITS BITCH</v>
      </c>
      <c r="AS169" s="35" t="str">
        <f t="shared" si="29"/>
        <v>FITS BITCH</v>
      </c>
      <c r="AT169" s="20" t="str">
        <f t="shared" si="30"/>
        <v>BULLISH</v>
      </c>
      <c r="AU169" s="20" t="str">
        <f t="shared" si="31"/>
        <v>BEARISH</v>
      </c>
      <c r="AV169" s="20"/>
      <c r="AW169" s="20"/>
      <c r="AX169" s="20"/>
      <c r="CL169" s="106">
        <v>42893</v>
      </c>
      <c r="CM169" s="107">
        <f t="shared" si="25"/>
        <v>104.58344154569613</v>
      </c>
    </row>
    <row r="170" spans="1:91" ht="15" customHeight="1">
      <c r="A170" s="148"/>
      <c r="B170" s="148"/>
      <c r="C170" s="148"/>
      <c r="D170" s="148"/>
      <c r="E170" s="148"/>
      <c r="F170" s="148"/>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26">
        <f>Data!A165</f>
        <v>42720</v>
      </c>
      <c r="AF170" s="35">
        <f>Data!B165</f>
        <v>100.32</v>
      </c>
      <c r="AG170" s="35">
        <f>Data!F165</f>
        <v>5682594</v>
      </c>
      <c r="AH170" s="35">
        <f>Data!C165</f>
        <v>101.58</v>
      </c>
      <c r="AI170" s="35">
        <f>Data!D165</f>
        <v>99.34</v>
      </c>
      <c r="AJ170" s="35">
        <f>Data!E165</f>
        <v>100.85</v>
      </c>
      <c r="AK170" s="35">
        <f>Data!F165</f>
        <v>5682594</v>
      </c>
      <c r="AL170" s="35">
        <f t="shared" si="24"/>
        <v>100.85</v>
      </c>
      <c r="AM170" s="35">
        <f t="shared" si="23"/>
        <v>-0.23797719385226487</v>
      </c>
      <c r="AN170" s="35">
        <f t="shared" si="32"/>
        <v>64.923959022939172</v>
      </c>
      <c r="AO170" s="35" t="str">
        <f t="shared" si="26"/>
        <v>no</v>
      </c>
      <c r="AP170" s="35" t="str">
        <f t="shared" si="27"/>
        <v>FITS BITCH</v>
      </c>
      <c r="AQ170" s="35" t="str">
        <f t="shared" si="27"/>
        <v>FITS BITCH</v>
      </c>
      <c r="AR170" s="35" t="str">
        <f t="shared" si="28"/>
        <v>no</v>
      </c>
      <c r="AS170" s="35" t="str">
        <f t="shared" si="29"/>
        <v>FITS BITCH</v>
      </c>
      <c r="AT170" s="20" t="str">
        <f t="shared" si="30"/>
        <v/>
      </c>
      <c r="AU170" s="20" t="str">
        <f t="shared" si="31"/>
        <v/>
      </c>
      <c r="AV170" s="20"/>
      <c r="AW170" s="20"/>
      <c r="AX170" s="20"/>
      <c r="CL170" s="106">
        <v>42892</v>
      </c>
      <c r="CM170" s="107">
        <f t="shared" si="25"/>
        <v>104.53015435727366</v>
      </c>
    </row>
    <row r="171" spans="1:91" ht="15" customHeight="1">
      <c r="A171" s="148"/>
      <c r="B171" s="148"/>
      <c r="C171" s="148"/>
      <c r="D171" s="148"/>
      <c r="E171" s="148"/>
      <c r="F171" s="148"/>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26">
        <f>Data!A166</f>
        <v>42719</v>
      </c>
      <c r="AF171" s="35">
        <f>Data!B166</f>
        <v>97.82</v>
      </c>
      <c r="AG171" s="35">
        <f>Data!F166</f>
        <v>1717955</v>
      </c>
      <c r="AH171" s="35">
        <f>Data!C166</f>
        <v>99.13</v>
      </c>
      <c r="AI171" s="35">
        <f>Data!D166</f>
        <v>97.51</v>
      </c>
      <c r="AJ171" s="35">
        <f>Data!E166</f>
        <v>98.76</v>
      </c>
      <c r="AK171" s="35">
        <f>Data!F166</f>
        <v>1717955</v>
      </c>
      <c r="AL171" s="35">
        <f t="shared" si="24"/>
        <v>98.76</v>
      </c>
      <c r="AM171" s="35">
        <f t="shared" si="23"/>
        <v>-2.1162413932766193</v>
      </c>
      <c r="AN171" s="35">
        <f t="shared" si="32"/>
        <v>-230.77665014508528</v>
      </c>
      <c r="AO171" s="35" t="str">
        <f t="shared" si="26"/>
        <v>FITS BITCH</v>
      </c>
      <c r="AP171" s="35" t="str">
        <f t="shared" si="27"/>
        <v>FITS BITCH</v>
      </c>
      <c r="AQ171" s="35" t="str">
        <f t="shared" si="27"/>
        <v>no</v>
      </c>
      <c r="AR171" s="35" t="str">
        <f t="shared" si="28"/>
        <v>FITS BITCH</v>
      </c>
      <c r="AS171" s="35" t="str">
        <f t="shared" si="29"/>
        <v>FITS BITCH</v>
      </c>
      <c r="AT171" s="20" t="str">
        <f t="shared" si="30"/>
        <v>BULLISH</v>
      </c>
      <c r="AU171" s="20" t="str">
        <f t="shared" si="31"/>
        <v/>
      </c>
      <c r="AV171" s="20"/>
      <c r="AW171" s="20"/>
      <c r="AX171" s="20"/>
      <c r="CL171" s="106">
        <v>42891</v>
      </c>
      <c r="CM171" s="107">
        <f t="shared" si="25"/>
        <v>104.47686716885073</v>
      </c>
    </row>
    <row r="172" spans="1:91" ht="15" customHeight="1">
      <c r="A172" s="148"/>
      <c r="B172" s="148"/>
      <c r="C172" s="148"/>
      <c r="D172" s="148"/>
      <c r="E172" s="148"/>
      <c r="F172" s="148"/>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26">
        <f>Data!A167</f>
        <v>42718</v>
      </c>
      <c r="AF172" s="35">
        <f>Data!B167</f>
        <v>98.4</v>
      </c>
      <c r="AG172" s="35">
        <f>Data!F167</f>
        <v>1896926</v>
      </c>
      <c r="AH172" s="35">
        <f>Data!C167</f>
        <v>98.85</v>
      </c>
      <c r="AI172" s="35">
        <f>Data!D167</f>
        <v>97.52</v>
      </c>
      <c r="AJ172" s="35">
        <f>Data!E167</f>
        <v>97.69</v>
      </c>
      <c r="AK172" s="35">
        <f>Data!F167</f>
        <v>1896926</v>
      </c>
      <c r="AL172" s="35">
        <f t="shared" si="24"/>
        <v>97.69</v>
      </c>
      <c r="AM172" s="35">
        <f t="shared" si="23"/>
        <v>-1.0953014638141134</v>
      </c>
      <c r="AN172" s="35">
        <f t="shared" si="32"/>
        <v>9.4347908141909596</v>
      </c>
      <c r="AO172" s="35" t="str">
        <f t="shared" si="26"/>
        <v>no</v>
      </c>
      <c r="AP172" s="35" t="str">
        <f t="shared" si="27"/>
        <v>no</v>
      </c>
      <c r="AQ172" s="35" t="str">
        <f t="shared" si="27"/>
        <v>no</v>
      </c>
      <c r="AR172" s="35" t="str">
        <f t="shared" si="28"/>
        <v>FITS BITCH</v>
      </c>
      <c r="AS172" s="35" t="str">
        <f t="shared" si="29"/>
        <v>no</v>
      </c>
      <c r="AT172" s="20" t="str">
        <f t="shared" si="30"/>
        <v/>
      </c>
      <c r="AU172" s="20" t="str">
        <f t="shared" si="31"/>
        <v/>
      </c>
      <c r="AV172" s="20"/>
      <c r="AW172" s="20"/>
      <c r="AX172" s="20"/>
      <c r="CL172" s="106">
        <v>42888</v>
      </c>
      <c r="CM172" s="107">
        <f t="shared" si="25"/>
        <v>104.3170056035824</v>
      </c>
    </row>
    <row r="173" spans="1:91" ht="15" customHeight="1">
      <c r="A173" s="148"/>
      <c r="B173" s="148"/>
      <c r="C173" s="148"/>
      <c r="D173" s="148"/>
      <c r="E173" s="148"/>
      <c r="F173" s="148"/>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26">
        <f>Data!A168</f>
        <v>42717</v>
      </c>
      <c r="AF173" s="35">
        <f>Data!B168</f>
        <v>98.64</v>
      </c>
      <c r="AG173" s="35">
        <f>Data!F168</f>
        <v>2093816</v>
      </c>
      <c r="AH173" s="35">
        <f>Data!C168</f>
        <v>99.25</v>
      </c>
      <c r="AI173" s="35">
        <f>Data!D168</f>
        <v>98.04</v>
      </c>
      <c r="AJ173" s="35">
        <f>Data!E168</f>
        <v>98.4</v>
      </c>
      <c r="AK173" s="35">
        <f>Data!F168</f>
        <v>2093816</v>
      </c>
      <c r="AL173" s="35">
        <f t="shared" si="24"/>
        <v>98.4</v>
      </c>
      <c r="AM173" s="35">
        <f t="shared" si="23"/>
        <v>0.72154471544716259</v>
      </c>
      <c r="AN173" s="35">
        <f t="shared" si="32"/>
        <v>9.4034050747534632</v>
      </c>
      <c r="AO173" s="35" t="str">
        <f t="shared" si="26"/>
        <v>no</v>
      </c>
      <c r="AP173" s="35" t="str">
        <f t="shared" si="27"/>
        <v>FITS BITCH</v>
      </c>
      <c r="AQ173" s="35" t="str">
        <f t="shared" si="27"/>
        <v>FITS BITCH</v>
      </c>
      <c r="AR173" s="35" t="str">
        <f t="shared" si="28"/>
        <v>FITS BITCH</v>
      </c>
      <c r="AS173" s="35" t="str">
        <f t="shared" si="29"/>
        <v>FITS BITCH</v>
      </c>
      <c r="AT173" s="20" t="str">
        <f t="shared" si="30"/>
        <v/>
      </c>
      <c r="AU173" s="20" t="str">
        <f t="shared" si="31"/>
        <v/>
      </c>
      <c r="AV173" s="20"/>
      <c r="AW173" s="20"/>
      <c r="AX173" s="20"/>
      <c r="CL173" s="106">
        <v>42887</v>
      </c>
      <c r="CM173" s="107">
        <f t="shared" si="25"/>
        <v>104.26371841515947</v>
      </c>
    </row>
    <row r="174" spans="1:91" ht="15" customHeight="1">
      <c r="A174" s="148"/>
      <c r="B174" s="148"/>
      <c r="C174" s="148"/>
      <c r="D174" s="148"/>
      <c r="E174" s="148"/>
      <c r="F174" s="148"/>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26">
        <f>Data!A169</f>
        <v>42716</v>
      </c>
      <c r="AF174" s="35">
        <f>Data!B169</f>
        <v>98.13</v>
      </c>
      <c r="AG174" s="35">
        <f>Data!F169</f>
        <v>1769933</v>
      </c>
      <c r="AH174" s="35">
        <f>Data!C169</f>
        <v>98.55</v>
      </c>
      <c r="AI174" s="35">
        <f>Data!D169</f>
        <v>97.84</v>
      </c>
      <c r="AJ174" s="35">
        <f>Data!E169</f>
        <v>98.06</v>
      </c>
      <c r="AK174" s="35">
        <f>Data!F169</f>
        <v>1769933</v>
      </c>
      <c r="AL174" s="35">
        <f t="shared" si="24"/>
        <v>98.06</v>
      </c>
      <c r="AM174" s="35">
        <f t="shared" ref="AM174:AM237" si="33">(AL174-AL173)/AL174*100</f>
        <v>-0.34672649398327898</v>
      </c>
      <c r="AN174" s="35">
        <f t="shared" si="32"/>
        <v>-18.299167256613668</v>
      </c>
      <c r="AO174" s="35" t="str">
        <f t="shared" si="26"/>
        <v>FITS BITCH</v>
      </c>
      <c r="AP174" s="35" t="str">
        <f t="shared" si="27"/>
        <v>FITS BITCH</v>
      </c>
      <c r="AQ174" s="35" t="str">
        <f t="shared" si="27"/>
        <v>FITS BITCH</v>
      </c>
      <c r="AR174" s="35" t="str">
        <f t="shared" si="28"/>
        <v>FITS BITCH</v>
      </c>
      <c r="AS174" s="35" t="str">
        <f t="shared" si="29"/>
        <v>no</v>
      </c>
      <c r="AT174" s="20" t="str">
        <f t="shared" si="30"/>
        <v>BULLISH</v>
      </c>
      <c r="AU174" s="20" t="str">
        <f t="shared" si="31"/>
        <v/>
      </c>
      <c r="AV174" s="20"/>
      <c r="AW174" s="20"/>
      <c r="AX174" s="20"/>
      <c r="CL174" s="106">
        <v>42886</v>
      </c>
      <c r="CM174" s="107">
        <f t="shared" si="25"/>
        <v>104.210431226737</v>
      </c>
    </row>
    <row r="175" spans="1:91" ht="15" customHeight="1">
      <c r="A175" s="148"/>
      <c r="B175" s="148"/>
      <c r="C175" s="148"/>
      <c r="D175" s="148"/>
      <c r="E175" s="148"/>
      <c r="F175" s="148"/>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26">
        <f>Data!A170</f>
        <v>42713</v>
      </c>
      <c r="AF175" s="35">
        <f>Data!B170</f>
        <v>98.07</v>
      </c>
      <c r="AG175" s="35">
        <f>Data!F170</f>
        <v>3350650</v>
      </c>
      <c r="AH175" s="35">
        <f>Data!C170</f>
        <v>98.3</v>
      </c>
      <c r="AI175" s="35">
        <f>Data!D170</f>
        <v>97.57</v>
      </c>
      <c r="AJ175" s="35">
        <f>Data!E170</f>
        <v>98.22</v>
      </c>
      <c r="AK175" s="35">
        <f>Data!F170</f>
        <v>3350650</v>
      </c>
      <c r="AL175" s="35">
        <f t="shared" si="24"/>
        <v>98.22</v>
      </c>
      <c r="AM175" s="35">
        <f t="shared" si="33"/>
        <v>0.16289961311341539</v>
      </c>
      <c r="AN175" s="35">
        <f t="shared" si="32"/>
        <v>47.176428454180531</v>
      </c>
      <c r="AO175" s="35" t="str">
        <f t="shared" si="26"/>
        <v>no</v>
      </c>
      <c r="AP175" s="35" t="str">
        <f t="shared" si="27"/>
        <v>no</v>
      </c>
      <c r="AQ175" s="35" t="str">
        <f t="shared" si="27"/>
        <v>FITS BITCH</v>
      </c>
      <c r="AR175" s="35" t="str">
        <f t="shared" si="28"/>
        <v>FITS BITCH</v>
      </c>
      <c r="AS175" s="35" t="str">
        <f t="shared" si="29"/>
        <v>FITS BITCH</v>
      </c>
      <c r="AT175" s="20" t="str">
        <f t="shared" si="30"/>
        <v/>
      </c>
      <c r="AU175" s="20" t="str">
        <f t="shared" si="31"/>
        <v/>
      </c>
      <c r="AV175" s="20"/>
      <c r="AW175" s="20"/>
      <c r="AX175" s="20"/>
      <c r="CL175" s="106">
        <v>42885</v>
      </c>
      <c r="CM175" s="107">
        <f t="shared" si="25"/>
        <v>104.15714403831407</v>
      </c>
    </row>
    <row r="176" spans="1:91" ht="15" customHeight="1">
      <c r="A176" s="148"/>
      <c r="B176" s="148"/>
      <c r="C176" s="148"/>
      <c r="D176" s="148"/>
      <c r="E176" s="148"/>
      <c r="F176" s="148"/>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26">
        <f>Data!A171</f>
        <v>42712</v>
      </c>
      <c r="AF176" s="35">
        <f>Data!B171</f>
        <v>97.53</v>
      </c>
      <c r="AG176" s="35">
        <f>Data!F171</f>
        <v>2075682</v>
      </c>
      <c r="AH176" s="35">
        <f>Data!C171</f>
        <v>98.36</v>
      </c>
      <c r="AI176" s="35">
        <f>Data!D171</f>
        <v>97.36</v>
      </c>
      <c r="AJ176" s="35">
        <f>Data!E171</f>
        <v>98.19</v>
      </c>
      <c r="AK176" s="35">
        <f>Data!F171</f>
        <v>2075682</v>
      </c>
      <c r="AL176" s="35">
        <f t="shared" si="24"/>
        <v>98.19</v>
      </c>
      <c r="AM176" s="35">
        <f t="shared" si="33"/>
        <v>-3.0553009471434096E-2</v>
      </c>
      <c r="AN176" s="35">
        <f t="shared" si="32"/>
        <v>-61.424052431923585</v>
      </c>
      <c r="AO176" s="35" t="str">
        <f t="shared" si="26"/>
        <v>FITS BITCH</v>
      </c>
      <c r="AP176" s="35" t="str">
        <f t="shared" si="27"/>
        <v>FITS BITCH</v>
      </c>
      <c r="AQ176" s="35" t="str">
        <f t="shared" si="27"/>
        <v>FITS BITCH</v>
      </c>
      <c r="AR176" s="35" t="str">
        <f t="shared" si="28"/>
        <v>no</v>
      </c>
      <c r="AS176" s="35" t="str">
        <f t="shared" si="29"/>
        <v>FITS BITCH</v>
      </c>
      <c r="AT176" s="20" t="str">
        <f t="shared" si="30"/>
        <v/>
      </c>
      <c r="AU176" s="20" t="str">
        <f t="shared" si="31"/>
        <v>BEARISH</v>
      </c>
      <c r="AV176" s="20"/>
      <c r="AW176" s="20"/>
      <c r="AX176" s="20"/>
      <c r="CL176" s="106">
        <v>42884</v>
      </c>
      <c r="CM176" s="107">
        <f t="shared" si="25"/>
        <v>104.10385684989114</v>
      </c>
    </row>
    <row r="177" spans="1:91" ht="15" customHeight="1">
      <c r="A177" s="148"/>
      <c r="B177" s="148"/>
      <c r="C177" s="148"/>
      <c r="D177" s="148"/>
      <c r="E177" s="148"/>
      <c r="F177" s="148"/>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26">
        <f>Data!A172</f>
        <v>42711</v>
      </c>
      <c r="AF177" s="35">
        <f>Data!B172</f>
        <v>95.33</v>
      </c>
      <c r="AG177" s="35">
        <f>Data!F172</f>
        <v>2245264</v>
      </c>
      <c r="AH177" s="35">
        <f>Data!C172</f>
        <v>97.72</v>
      </c>
      <c r="AI177" s="35">
        <f>Data!D172</f>
        <v>95.33</v>
      </c>
      <c r="AJ177" s="35">
        <f>Data!E172</f>
        <v>97.57</v>
      </c>
      <c r="AK177" s="35">
        <f>Data!F172</f>
        <v>2245264</v>
      </c>
      <c r="AL177" s="35">
        <f t="shared" si="24"/>
        <v>97.57</v>
      </c>
      <c r="AM177" s="35">
        <f t="shared" si="33"/>
        <v>-0.63544122168699868</v>
      </c>
      <c r="AN177" s="35">
        <f t="shared" si="32"/>
        <v>7.5528757420062851</v>
      </c>
      <c r="AO177" s="35" t="str">
        <f t="shared" si="26"/>
        <v>no</v>
      </c>
      <c r="AP177" s="35" t="str">
        <f t="shared" si="27"/>
        <v>FITS BITCH</v>
      </c>
      <c r="AQ177" s="35" t="str">
        <f t="shared" si="27"/>
        <v>FITS BITCH</v>
      </c>
      <c r="AR177" s="35" t="str">
        <f t="shared" si="28"/>
        <v>no</v>
      </c>
      <c r="AS177" s="35" t="str">
        <f t="shared" si="29"/>
        <v>FITS BITCH</v>
      </c>
      <c r="AT177" s="20" t="str">
        <f t="shared" si="30"/>
        <v/>
      </c>
      <c r="AU177" s="20" t="str">
        <f t="shared" si="31"/>
        <v/>
      </c>
      <c r="AV177" s="20"/>
      <c r="AW177" s="20"/>
      <c r="AX177" s="20"/>
      <c r="CL177" s="106">
        <v>42881</v>
      </c>
      <c r="CM177" s="107">
        <f t="shared" si="25"/>
        <v>103.94399528462282</v>
      </c>
    </row>
    <row r="178" spans="1:91" ht="15" customHeight="1">
      <c r="A178" s="148"/>
      <c r="B178" s="148"/>
      <c r="C178" s="148"/>
      <c r="D178" s="148"/>
      <c r="E178" s="148"/>
      <c r="F178" s="148"/>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26">
        <f>Data!A173</f>
        <v>42710</v>
      </c>
      <c r="AF178" s="35">
        <f>Data!B173</f>
        <v>96.15</v>
      </c>
      <c r="AG178" s="35">
        <f>Data!F173</f>
        <v>1817753</v>
      </c>
      <c r="AH178" s="35">
        <f>Data!C173</f>
        <v>96.45</v>
      </c>
      <c r="AI178" s="35">
        <f>Data!D173</f>
        <v>95.15</v>
      </c>
      <c r="AJ178" s="35">
        <f>Data!E173</f>
        <v>96</v>
      </c>
      <c r="AK178" s="35">
        <f>Data!F173</f>
        <v>1817753</v>
      </c>
      <c r="AL178" s="35">
        <f t="shared" si="24"/>
        <v>96</v>
      </c>
      <c r="AM178" s="35">
        <f t="shared" si="33"/>
        <v>-1.6354166666666596</v>
      </c>
      <c r="AN178" s="35">
        <f t="shared" si="32"/>
        <v>-23.518651874044494</v>
      </c>
      <c r="AO178" s="35" t="str">
        <f t="shared" si="26"/>
        <v>FITS BITCH</v>
      </c>
      <c r="AP178" s="35" t="str">
        <f t="shared" si="27"/>
        <v>FITS BITCH</v>
      </c>
      <c r="AQ178" s="35" t="str">
        <f t="shared" si="27"/>
        <v>no</v>
      </c>
      <c r="AR178" s="35" t="str">
        <f t="shared" si="28"/>
        <v>FITS BITCH</v>
      </c>
      <c r="AS178" s="35" t="str">
        <f t="shared" si="29"/>
        <v>no</v>
      </c>
      <c r="AT178" s="20" t="str">
        <f t="shared" si="30"/>
        <v>BULLISH</v>
      </c>
      <c r="AU178" s="20" t="str">
        <f t="shared" si="31"/>
        <v/>
      </c>
      <c r="AV178" s="20"/>
      <c r="AW178" s="20"/>
      <c r="AX178" s="20"/>
      <c r="CL178" s="106">
        <v>42880</v>
      </c>
      <c r="CM178" s="107">
        <f t="shared" si="25"/>
        <v>103.89070809620034</v>
      </c>
    </row>
    <row r="179" spans="1:91" ht="15" customHeight="1">
      <c r="A179" s="148"/>
      <c r="B179" s="148"/>
      <c r="C179" s="148"/>
      <c r="D179" s="148"/>
      <c r="E179" s="148"/>
      <c r="F179" s="148"/>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26">
        <f>Data!A174</f>
        <v>42709</v>
      </c>
      <c r="AF179" s="35">
        <f>Data!B174</f>
        <v>95.86</v>
      </c>
      <c r="AG179" s="35">
        <f>Data!F174</f>
        <v>2485664</v>
      </c>
      <c r="AH179" s="35">
        <f>Data!C174</f>
        <v>96.22</v>
      </c>
      <c r="AI179" s="35">
        <f>Data!D174</f>
        <v>95.45</v>
      </c>
      <c r="AJ179" s="35">
        <f>Data!E174</f>
        <v>96.05</v>
      </c>
      <c r="AK179" s="35">
        <f>Data!F174</f>
        <v>2485664</v>
      </c>
      <c r="AL179" s="35">
        <f t="shared" si="24"/>
        <v>96.05</v>
      </c>
      <c r="AM179" s="35">
        <f t="shared" si="33"/>
        <v>5.2056220718372882E-2</v>
      </c>
      <c r="AN179" s="35">
        <f t="shared" si="32"/>
        <v>26.870526346280108</v>
      </c>
      <c r="AO179" s="35" t="str">
        <f t="shared" si="26"/>
        <v>no</v>
      </c>
      <c r="AP179" s="35" t="str">
        <f t="shared" si="27"/>
        <v>FITS BITCH</v>
      </c>
      <c r="AQ179" s="35" t="str">
        <f t="shared" si="27"/>
        <v>FITS BITCH</v>
      </c>
      <c r="AR179" s="35" t="str">
        <f t="shared" si="28"/>
        <v>FITS BITCH</v>
      </c>
      <c r="AS179" s="35" t="str">
        <f t="shared" si="29"/>
        <v>FITS BITCH</v>
      </c>
      <c r="AT179" s="20" t="str">
        <f t="shared" si="30"/>
        <v/>
      </c>
      <c r="AU179" s="20" t="str">
        <f t="shared" si="31"/>
        <v/>
      </c>
      <c r="AV179" s="20"/>
      <c r="AW179" s="20"/>
      <c r="AX179" s="20"/>
      <c r="CL179" s="106">
        <v>42879</v>
      </c>
      <c r="CM179" s="107">
        <f t="shared" si="25"/>
        <v>103.83742090777741</v>
      </c>
    </row>
    <row r="180" spans="1:91" ht="15" customHeight="1">
      <c r="A180" s="148"/>
      <c r="B180" s="148"/>
      <c r="C180" s="148"/>
      <c r="D180" s="148"/>
      <c r="E180" s="148"/>
      <c r="F180" s="148"/>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26">
        <f>Data!A175</f>
        <v>42706</v>
      </c>
      <c r="AF180" s="35">
        <f>Data!B175</f>
        <v>95.46</v>
      </c>
      <c r="AG180" s="35">
        <f>Data!F175</f>
        <v>1711203</v>
      </c>
      <c r="AH180" s="35">
        <f>Data!C175</f>
        <v>96.1</v>
      </c>
      <c r="AI180" s="35">
        <f>Data!D175</f>
        <v>94.99</v>
      </c>
      <c r="AJ180" s="35">
        <f>Data!E175</f>
        <v>95.24</v>
      </c>
      <c r="AK180" s="35">
        <f>Data!F175</f>
        <v>1711203</v>
      </c>
      <c r="AL180" s="35">
        <f t="shared" si="24"/>
        <v>95.24</v>
      </c>
      <c r="AM180" s="35">
        <f t="shared" si="33"/>
        <v>-0.85048299034019559</v>
      </c>
      <c r="AN180" s="35">
        <f t="shared" si="32"/>
        <v>-45.258277363936365</v>
      </c>
      <c r="AO180" s="35" t="str">
        <f t="shared" si="26"/>
        <v>FITS BITCH</v>
      </c>
      <c r="AP180" s="35" t="str">
        <f t="shared" si="27"/>
        <v>no</v>
      </c>
      <c r="AQ180" s="35" t="str">
        <f t="shared" si="27"/>
        <v>no</v>
      </c>
      <c r="AR180" s="35" t="str">
        <f t="shared" si="28"/>
        <v>FITS BITCH</v>
      </c>
      <c r="AS180" s="35" t="str">
        <f t="shared" si="29"/>
        <v>no</v>
      </c>
      <c r="AT180" s="20" t="str">
        <f t="shared" si="30"/>
        <v/>
      </c>
      <c r="AU180" s="20" t="str">
        <f t="shared" si="31"/>
        <v/>
      </c>
      <c r="AV180" s="20"/>
      <c r="AW180" s="20"/>
      <c r="AX180" s="20"/>
      <c r="CL180" s="106">
        <v>42878</v>
      </c>
      <c r="CM180" s="107">
        <f t="shared" si="25"/>
        <v>103.78413371935494</v>
      </c>
    </row>
    <row r="181" spans="1:91" ht="15" customHeight="1">
      <c r="A181" s="148"/>
      <c r="B181" s="148"/>
      <c r="C181" s="148"/>
      <c r="D181" s="148"/>
      <c r="E181" s="148"/>
      <c r="F181" s="148"/>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26">
        <f>Data!A176</f>
        <v>42705</v>
      </c>
      <c r="AF181" s="35">
        <f>Data!B176</f>
        <v>95.99</v>
      </c>
      <c r="AG181" s="35">
        <f>Data!F176</f>
        <v>2056944</v>
      </c>
      <c r="AH181" s="35">
        <f>Data!C176</f>
        <v>96.2</v>
      </c>
      <c r="AI181" s="35">
        <f>Data!D176</f>
        <v>95.2</v>
      </c>
      <c r="AJ181" s="35">
        <f>Data!E176</f>
        <v>95.77</v>
      </c>
      <c r="AK181" s="35">
        <f>Data!F176</f>
        <v>2056944</v>
      </c>
      <c r="AL181" s="35">
        <f t="shared" si="24"/>
        <v>95.77</v>
      </c>
      <c r="AM181" s="35">
        <f t="shared" si="33"/>
        <v>0.55340920956458295</v>
      </c>
      <c r="AN181" s="35">
        <f t="shared" si="32"/>
        <v>16.80847898630201</v>
      </c>
      <c r="AO181" s="35" t="str">
        <f t="shared" si="26"/>
        <v>no</v>
      </c>
      <c r="AP181" s="35" t="str">
        <f t="shared" si="27"/>
        <v>no</v>
      </c>
      <c r="AQ181" s="35" t="str">
        <f t="shared" si="27"/>
        <v>no</v>
      </c>
      <c r="AR181" s="35" t="str">
        <f t="shared" si="28"/>
        <v>FITS BITCH</v>
      </c>
      <c r="AS181" s="35" t="str">
        <f t="shared" si="29"/>
        <v>no</v>
      </c>
      <c r="AT181" s="20" t="str">
        <f t="shared" si="30"/>
        <v/>
      </c>
      <c r="AU181" s="20" t="str">
        <f t="shared" si="31"/>
        <v/>
      </c>
      <c r="AV181" s="20"/>
      <c r="AW181" s="20"/>
      <c r="AX181" s="20"/>
      <c r="CL181" s="106">
        <v>42877</v>
      </c>
      <c r="CM181" s="107">
        <f t="shared" si="25"/>
        <v>103.73084653093201</v>
      </c>
    </row>
    <row r="182" spans="1:91" ht="15" customHeight="1">
      <c r="A182" s="148"/>
      <c r="B182" s="148"/>
      <c r="C182" s="148"/>
      <c r="D182" s="148"/>
      <c r="E182" s="148"/>
      <c r="F182" s="148"/>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6">
        <f>Data!A177</f>
        <v>42704</v>
      </c>
      <c r="AF182" s="35">
        <f>Data!B177</f>
        <v>97.14</v>
      </c>
      <c r="AG182" s="35">
        <f>Data!F177</f>
        <v>2812477</v>
      </c>
      <c r="AH182" s="35">
        <f>Data!C177</f>
        <v>97.54</v>
      </c>
      <c r="AI182" s="35">
        <f>Data!D177</f>
        <v>96.01</v>
      </c>
      <c r="AJ182" s="35">
        <f>Data!E177</f>
        <v>96.02</v>
      </c>
      <c r="AK182" s="35">
        <f>Data!F177</f>
        <v>2812477</v>
      </c>
      <c r="AL182" s="35">
        <f t="shared" si="24"/>
        <v>96.02</v>
      </c>
      <c r="AM182" s="35">
        <f t="shared" si="33"/>
        <v>0.26036242449489694</v>
      </c>
      <c r="AN182" s="35">
        <f t="shared" si="32"/>
        <v>26.863615240231297</v>
      </c>
      <c r="AO182" s="35" t="str">
        <f t="shared" si="26"/>
        <v>no</v>
      </c>
      <c r="AP182" s="35" t="str">
        <f t="shared" si="27"/>
        <v>FITS BITCH</v>
      </c>
      <c r="AQ182" s="35" t="str">
        <f t="shared" si="27"/>
        <v>no</v>
      </c>
      <c r="AR182" s="35" t="str">
        <f t="shared" si="28"/>
        <v>FITS BITCH</v>
      </c>
      <c r="AS182" s="35" t="str">
        <f t="shared" si="29"/>
        <v>no</v>
      </c>
      <c r="AT182" s="20" t="str">
        <f t="shared" si="30"/>
        <v/>
      </c>
      <c r="AU182" s="20" t="str">
        <f t="shared" si="31"/>
        <v/>
      </c>
      <c r="AV182" s="20"/>
      <c r="AW182" s="20"/>
      <c r="AX182" s="20"/>
      <c r="CL182" s="106">
        <v>42874</v>
      </c>
      <c r="CM182" s="107">
        <f t="shared" si="25"/>
        <v>103.57098496566368</v>
      </c>
    </row>
    <row r="183" spans="1:91" ht="15" customHeight="1">
      <c r="A183" s="148"/>
      <c r="B183" s="148"/>
      <c r="C183" s="148"/>
      <c r="D183" s="148"/>
      <c r="E183" s="148"/>
      <c r="F183" s="148"/>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6">
        <f>Data!A178</f>
        <v>42703</v>
      </c>
      <c r="AF183" s="35">
        <f>Data!B178</f>
        <v>96.71</v>
      </c>
      <c r="AG183" s="35">
        <f>Data!F178</f>
        <v>1590936</v>
      </c>
      <c r="AH183" s="35">
        <f>Data!C178</f>
        <v>97.37</v>
      </c>
      <c r="AI183" s="35">
        <f>Data!D178</f>
        <v>96.43</v>
      </c>
      <c r="AJ183" s="35">
        <f>Data!E178</f>
        <v>97.04</v>
      </c>
      <c r="AK183" s="35">
        <f>Data!F178</f>
        <v>1590936</v>
      </c>
      <c r="AL183" s="35">
        <f t="shared" si="24"/>
        <v>97.04</v>
      </c>
      <c r="AM183" s="35">
        <f t="shared" si="33"/>
        <v>1.0511129431162511</v>
      </c>
      <c r="AN183" s="35">
        <f t="shared" si="32"/>
        <v>-76.781278442376049</v>
      </c>
      <c r="AO183" s="35" t="str">
        <f t="shared" si="26"/>
        <v>FITS BITCH</v>
      </c>
      <c r="AP183" s="35" t="str">
        <f t="shared" si="27"/>
        <v>FITS BITCH</v>
      </c>
      <c r="AQ183" s="35" t="str">
        <f t="shared" si="27"/>
        <v>FITS BITCH</v>
      </c>
      <c r="AR183" s="35" t="str">
        <f t="shared" si="28"/>
        <v>no</v>
      </c>
      <c r="AS183" s="35" t="str">
        <f t="shared" si="29"/>
        <v>FITS BITCH</v>
      </c>
      <c r="AT183" s="20" t="str">
        <f t="shared" si="30"/>
        <v/>
      </c>
      <c r="AU183" s="20" t="str">
        <f t="shared" si="31"/>
        <v>BEARISH</v>
      </c>
      <c r="AV183" s="20"/>
      <c r="AW183" s="20"/>
      <c r="AX183" s="20"/>
      <c r="CL183" s="106">
        <v>42873</v>
      </c>
      <c r="CM183" s="107">
        <f t="shared" si="25"/>
        <v>103.51769777724076</v>
      </c>
    </row>
    <row r="184" spans="1:91" ht="15" customHeight="1">
      <c r="A184" s="148"/>
      <c r="B184" s="148"/>
      <c r="C184" s="148"/>
      <c r="D184" s="148"/>
      <c r="E184" s="148"/>
      <c r="F184" s="148"/>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6">
        <f>Data!A179</f>
        <v>42702</v>
      </c>
      <c r="AF184" s="35">
        <f>Data!B179</f>
        <v>96.63</v>
      </c>
      <c r="AG184" s="35">
        <f>Data!F179</f>
        <v>1968349</v>
      </c>
      <c r="AH184" s="35">
        <f>Data!C179</f>
        <v>96.94</v>
      </c>
      <c r="AI184" s="35">
        <f>Data!D179</f>
        <v>96</v>
      </c>
      <c r="AJ184" s="35">
        <f>Data!E179</f>
        <v>96.57</v>
      </c>
      <c r="AK184" s="35">
        <f>Data!F179</f>
        <v>1968349</v>
      </c>
      <c r="AL184" s="35">
        <f t="shared" si="24"/>
        <v>96.57</v>
      </c>
      <c r="AM184" s="35">
        <f t="shared" si="33"/>
        <v>-0.48669359014187957</v>
      </c>
      <c r="AN184" s="35">
        <f t="shared" si="32"/>
        <v>19.174089554240638</v>
      </c>
      <c r="AO184" s="35" t="str">
        <f t="shared" si="26"/>
        <v>no</v>
      </c>
      <c r="AP184" s="35" t="str">
        <f t="shared" si="27"/>
        <v>no</v>
      </c>
      <c r="AQ184" s="35" t="str">
        <f t="shared" si="27"/>
        <v>no</v>
      </c>
      <c r="AR184" s="35" t="str">
        <f t="shared" si="28"/>
        <v>FITS BITCH</v>
      </c>
      <c r="AS184" s="35" t="str">
        <f t="shared" si="29"/>
        <v>no</v>
      </c>
      <c r="AT184" s="20" t="str">
        <f t="shared" si="30"/>
        <v/>
      </c>
      <c r="AU184" s="20" t="str">
        <f t="shared" si="31"/>
        <v/>
      </c>
      <c r="AV184" s="20"/>
      <c r="AW184" s="20"/>
      <c r="AX184" s="20"/>
      <c r="CL184" s="106">
        <v>42872</v>
      </c>
      <c r="CM184" s="107">
        <f t="shared" si="25"/>
        <v>103.46441058881828</v>
      </c>
    </row>
    <row r="185" spans="1:91" ht="15" customHeight="1">
      <c r="A185" s="148"/>
      <c r="B185" s="148"/>
      <c r="C185" s="148"/>
      <c r="D185" s="148"/>
      <c r="E185" s="148"/>
      <c r="F185" s="148"/>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6">
        <f>Data!A180</f>
        <v>42699</v>
      </c>
      <c r="AF185" s="35">
        <f>Data!B180</f>
        <v>96.68</v>
      </c>
      <c r="AG185" s="35">
        <f>Data!F180</f>
        <v>724798</v>
      </c>
      <c r="AH185" s="35">
        <f>Data!C180</f>
        <v>97.15</v>
      </c>
      <c r="AI185" s="35">
        <f>Data!D180</f>
        <v>96.5</v>
      </c>
      <c r="AJ185" s="35">
        <f>Data!E180</f>
        <v>96.92</v>
      </c>
      <c r="AK185" s="35">
        <f>Data!F180</f>
        <v>724798</v>
      </c>
      <c r="AL185" s="35">
        <f t="shared" si="24"/>
        <v>96.92</v>
      </c>
      <c r="AM185" s="35">
        <f t="shared" si="33"/>
        <v>0.3611225753198602</v>
      </c>
      <c r="AN185" s="35">
        <f t="shared" si="32"/>
        <v>-171.57207939315506</v>
      </c>
      <c r="AO185" s="35" t="str">
        <f t="shared" si="26"/>
        <v>FITS BITCH</v>
      </c>
      <c r="AP185" s="35" t="str">
        <f t="shared" si="27"/>
        <v>no</v>
      </c>
      <c r="AQ185" s="35" t="str">
        <f t="shared" si="27"/>
        <v>FITS BITCH</v>
      </c>
      <c r="AR185" s="35" t="str">
        <f t="shared" si="28"/>
        <v>FITS BITCH</v>
      </c>
      <c r="AS185" s="35" t="str">
        <f t="shared" si="29"/>
        <v>FITS BITCH</v>
      </c>
      <c r="AT185" s="20" t="str">
        <f t="shared" si="30"/>
        <v/>
      </c>
      <c r="AU185" s="20" t="str">
        <f t="shared" si="31"/>
        <v>BEARISH</v>
      </c>
      <c r="AV185" s="20"/>
      <c r="AW185" s="20"/>
      <c r="AX185" s="20"/>
      <c r="CL185" s="106">
        <v>42871</v>
      </c>
      <c r="CM185" s="107">
        <f t="shared" si="25"/>
        <v>103.41112340039535</v>
      </c>
    </row>
    <row r="186" spans="1:91" ht="15" customHeight="1">
      <c r="A186" s="148"/>
      <c r="B186" s="148"/>
      <c r="C186" s="148"/>
      <c r="D186" s="148"/>
      <c r="E186" s="148"/>
      <c r="F186" s="148"/>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6">
        <f>Data!A181</f>
        <v>42697</v>
      </c>
      <c r="AF186" s="35">
        <f>Data!B181</f>
        <v>96.59</v>
      </c>
      <c r="AG186" s="35">
        <f>Data!F181</f>
        <v>2968015</v>
      </c>
      <c r="AH186" s="35">
        <f>Data!C181</f>
        <v>97.43</v>
      </c>
      <c r="AI186" s="35">
        <f>Data!D181</f>
        <v>96.47</v>
      </c>
      <c r="AJ186" s="35">
        <f>Data!E181</f>
        <v>96.65</v>
      </c>
      <c r="AK186" s="35">
        <f>Data!F181</f>
        <v>2968015</v>
      </c>
      <c r="AL186" s="35">
        <f t="shared" si="24"/>
        <v>96.65</v>
      </c>
      <c r="AM186" s="35">
        <f t="shared" si="33"/>
        <v>-0.27935851008794205</v>
      </c>
      <c r="AN186" s="35">
        <f t="shared" si="32"/>
        <v>75.579705628172363</v>
      </c>
      <c r="AO186" s="35" t="str">
        <f t="shared" si="26"/>
        <v>no</v>
      </c>
      <c r="AP186" s="35" t="str">
        <f t="shared" si="27"/>
        <v>FITS BITCH</v>
      </c>
      <c r="AQ186" s="35" t="str">
        <f t="shared" si="27"/>
        <v>FITS BITCH</v>
      </c>
      <c r="AR186" s="35" t="str">
        <f t="shared" si="28"/>
        <v>no</v>
      </c>
      <c r="AS186" s="35" t="str">
        <f t="shared" si="29"/>
        <v>FITS BITCH</v>
      </c>
      <c r="AT186" s="20" t="str">
        <f t="shared" si="30"/>
        <v/>
      </c>
      <c r="AU186" s="20" t="str">
        <f t="shared" si="31"/>
        <v/>
      </c>
      <c r="AV186" s="20"/>
      <c r="AW186" s="20"/>
      <c r="AX186" s="20"/>
      <c r="CL186" s="106">
        <v>42870</v>
      </c>
      <c r="CM186" s="107">
        <f t="shared" si="25"/>
        <v>103.35783621197243</v>
      </c>
    </row>
    <row r="187" spans="1:91" ht="15" customHeight="1">
      <c r="A187" s="148"/>
      <c r="B187" s="148"/>
      <c r="C187" s="148"/>
      <c r="D187" s="148"/>
      <c r="E187" s="148"/>
      <c r="F187" s="148"/>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6">
        <f>Data!A182</f>
        <v>42696</v>
      </c>
      <c r="AF187" s="35">
        <f>Data!B182</f>
        <v>95.65</v>
      </c>
      <c r="AG187" s="35">
        <f>Data!F182</f>
        <v>2433464</v>
      </c>
      <c r="AH187" s="35">
        <f>Data!C182</f>
        <v>96.59</v>
      </c>
      <c r="AI187" s="35">
        <f>Data!D182</f>
        <v>95.34</v>
      </c>
      <c r="AJ187" s="35">
        <f>Data!E182</f>
        <v>96.39</v>
      </c>
      <c r="AK187" s="35">
        <f>Data!F182</f>
        <v>2433464</v>
      </c>
      <c r="AL187" s="35">
        <f t="shared" si="24"/>
        <v>96.39</v>
      </c>
      <c r="AM187" s="35">
        <f t="shared" si="33"/>
        <v>-0.26973752463949074</v>
      </c>
      <c r="AN187" s="35">
        <f t="shared" si="32"/>
        <v>-21.966669734995055</v>
      </c>
      <c r="AO187" s="35" t="str">
        <f t="shared" si="26"/>
        <v>FITS BITCH</v>
      </c>
      <c r="AP187" s="35" t="str">
        <f t="shared" si="27"/>
        <v>FITS BITCH</v>
      </c>
      <c r="AQ187" s="35" t="str">
        <f t="shared" si="27"/>
        <v>FITS BITCH</v>
      </c>
      <c r="AR187" s="35" t="str">
        <f t="shared" si="28"/>
        <v>no</v>
      </c>
      <c r="AS187" s="35" t="str">
        <f t="shared" si="29"/>
        <v>FITS BITCH</v>
      </c>
      <c r="AT187" s="20" t="str">
        <f t="shared" si="30"/>
        <v/>
      </c>
      <c r="AU187" s="20" t="str">
        <f t="shared" si="31"/>
        <v>BEARISH</v>
      </c>
      <c r="AV187" s="20"/>
      <c r="AW187" s="20"/>
      <c r="AX187" s="20"/>
      <c r="CL187" s="106">
        <v>42867</v>
      </c>
      <c r="CM187" s="107">
        <f t="shared" si="25"/>
        <v>103.1979746467041</v>
      </c>
    </row>
    <row r="188" spans="1:91" ht="15" customHeight="1">
      <c r="A188" s="148"/>
      <c r="B188" s="148"/>
      <c r="C188" s="148"/>
      <c r="D188" s="148"/>
      <c r="E188" s="148"/>
      <c r="F188" s="148"/>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26">
        <f>Data!A183</f>
        <v>42695</v>
      </c>
      <c r="AF188" s="35">
        <f>Data!B183</f>
        <v>94.47</v>
      </c>
      <c r="AG188" s="35">
        <f>Data!F183</f>
        <v>2251978</v>
      </c>
      <c r="AH188" s="35">
        <f>Data!C183</f>
        <v>95.62</v>
      </c>
      <c r="AI188" s="35">
        <f>Data!D183</f>
        <v>94.38</v>
      </c>
      <c r="AJ188" s="35">
        <f>Data!E183</f>
        <v>95.59</v>
      </c>
      <c r="AK188" s="35">
        <f>Data!F183</f>
        <v>2251978</v>
      </c>
      <c r="AL188" s="35">
        <f t="shared" si="24"/>
        <v>95.59</v>
      </c>
      <c r="AM188" s="35">
        <f t="shared" si="33"/>
        <v>-0.83690762632074189</v>
      </c>
      <c r="AN188" s="35">
        <f t="shared" si="32"/>
        <v>-8.0589597234076003</v>
      </c>
      <c r="AO188" s="35" t="str">
        <f t="shared" si="26"/>
        <v>FITS BITCH</v>
      </c>
      <c r="AP188" s="35" t="str">
        <f t="shared" si="27"/>
        <v>FITS BITCH</v>
      </c>
      <c r="AQ188" s="35" t="str">
        <f t="shared" si="27"/>
        <v>FITS BITCH</v>
      </c>
      <c r="AR188" s="35" t="str">
        <f t="shared" si="28"/>
        <v>no</v>
      </c>
      <c r="AS188" s="35" t="str">
        <f t="shared" si="29"/>
        <v>FITS BITCH</v>
      </c>
      <c r="AT188" s="20" t="str">
        <f t="shared" si="30"/>
        <v/>
      </c>
      <c r="AU188" s="20" t="str">
        <f t="shared" si="31"/>
        <v>BEARISH</v>
      </c>
      <c r="AV188" s="20"/>
      <c r="AW188" s="20"/>
      <c r="AX188" s="20"/>
      <c r="CL188" s="106">
        <v>42866</v>
      </c>
      <c r="CM188" s="107">
        <f t="shared" si="25"/>
        <v>103.14468745828162</v>
      </c>
    </row>
    <row r="189" spans="1:91" ht="15" customHeight="1">
      <c r="A189" s="148"/>
      <c r="B189" s="148"/>
      <c r="C189" s="148"/>
      <c r="D189" s="148"/>
      <c r="E189" s="148"/>
      <c r="F189" s="148"/>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26">
        <f>Data!A184</f>
        <v>42692</v>
      </c>
      <c r="AF189" s="35">
        <f>Data!B184</f>
        <v>94.31</v>
      </c>
      <c r="AG189" s="35">
        <f>Data!F184</f>
        <v>1636557</v>
      </c>
      <c r="AH189" s="35">
        <f>Data!C184</f>
        <v>94.6</v>
      </c>
      <c r="AI189" s="35">
        <f>Data!D184</f>
        <v>93.95</v>
      </c>
      <c r="AJ189" s="35">
        <f>Data!E184</f>
        <v>94.39</v>
      </c>
      <c r="AK189" s="35">
        <f>Data!F184</f>
        <v>1636557</v>
      </c>
      <c r="AL189" s="35">
        <f t="shared" si="24"/>
        <v>94.39</v>
      </c>
      <c r="AM189" s="35">
        <f t="shared" si="33"/>
        <v>-1.2713211145248469</v>
      </c>
      <c r="AN189" s="35">
        <f t="shared" si="32"/>
        <v>-37.604617498810001</v>
      </c>
      <c r="AO189" s="35" t="str">
        <f t="shared" si="26"/>
        <v>FITS BITCH</v>
      </c>
      <c r="AP189" s="35" t="str">
        <f t="shared" si="27"/>
        <v>FITS BITCH</v>
      </c>
      <c r="AQ189" s="35" t="str">
        <f t="shared" si="27"/>
        <v>FITS BITCH</v>
      </c>
      <c r="AR189" s="35" t="str">
        <f t="shared" si="28"/>
        <v>FITS BITCH</v>
      </c>
      <c r="AS189" s="35" t="str">
        <f t="shared" si="29"/>
        <v>FITS BITCH</v>
      </c>
      <c r="AT189" s="20" t="str">
        <f t="shared" si="30"/>
        <v>BULLISH</v>
      </c>
      <c r="AU189" s="20" t="str">
        <f t="shared" si="31"/>
        <v>BEARISH</v>
      </c>
      <c r="AV189" s="20"/>
      <c r="AW189" s="20"/>
      <c r="AX189" s="20"/>
      <c r="CL189" s="106">
        <v>42865</v>
      </c>
      <c r="CM189" s="107">
        <f t="shared" si="25"/>
        <v>103.0914002698587</v>
      </c>
    </row>
    <row r="190" spans="1:91" ht="15" customHeight="1">
      <c r="A190" s="148"/>
      <c r="B190" s="148"/>
      <c r="C190" s="148"/>
      <c r="D190" s="148"/>
      <c r="E190" s="148"/>
      <c r="F190" s="148"/>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26">
        <f>Data!A185</f>
        <v>42691</v>
      </c>
      <c r="AF190" s="35">
        <f>Data!B185</f>
        <v>93.15</v>
      </c>
      <c r="AG190" s="35">
        <f>Data!F185</f>
        <v>2030773</v>
      </c>
      <c r="AH190" s="35">
        <f>Data!C185</f>
        <v>94.43</v>
      </c>
      <c r="AI190" s="35">
        <f>Data!D185</f>
        <v>93.09</v>
      </c>
      <c r="AJ190" s="35">
        <f>Data!E185</f>
        <v>94.38</v>
      </c>
      <c r="AK190" s="35">
        <f>Data!F185</f>
        <v>2030773</v>
      </c>
      <c r="AL190" s="35">
        <f t="shared" si="24"/>
        <v>94.38</v>
      </c>
      <c r="AM190" s="35">
        <f t="shared" si="33"/>
        <v>-1.0595465140925108E-2</v>
      </c>
      <c r="AN190" s="35">
        <f t="shared" si="32"/>
        <v>19.412115485088684</v>
      </c>
      <c r="AO190" s="35" t="str">
        <f t="shared" si="26"/>
        <v>no</v>
      </c>
      <c r="AP190" s="35" t="str">
        <f t="shared" si="27"/>
        <v>FITS BITCH</v>
      </c>
      <c r="AQ190" s="35" t="str">
        <f t="shared" si="27"/>
        <v>FITS BITCH</v>
      </c>
      <c r="AR190" s="35" t="str">
        <f t="shared" si="28"/>
        <v>no</v>
      </c>
      <c r="AS190" s="35" t="str">
        <f t="shared" si="29"/>
        <v>FITS BITCH</v>
      </c>
      <c r="AT190" s="20" t="str">
        <f t="shared" si="30"/>
        <v/>
      </c>
      <c r="AU190" s="20" t="str">
        <f t="shared" si="31"/>
        <v/>
      </c>
      <c r="AV190" s="20"/>
      <c r="AW190" s="20"/>
      <c r="AX190" s="20"/>
      <c r="CL190" s="106">
        <v>42864</v>
      </c>
      <c r="CM190" s="107">
        <f t="shared" si="25"/>
        <v>103.03811308143577</v>
      </c>
    </row>
    <row r="191" spans="1:91" ht="15" customHeight="1">
      <c r="A191" s="148"/>
      <c r="B191" s="148"/>
      <c r="C191" s="148"/>
      <c r="D191" s="148"/>
      <c r="E191" s="148"/>
      <c r="F191" s="148"/>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26">
        <f>Data!A186</f>
        <v>42690</v>
      </c>
      <c r="AF191" s="35">
        <f>Data!B186</f>
        <v>92.34</v>
      </c>
      <c r="AG191" s="35">
        <f>Data!F186</f>
        <v>1962015</v>
      </c>
      <c r="AH191" s="35">
        <f>Data!C186</f>
        <v>93.35</v>
      </c>
      <c r="AI191" s="35">
        <f>Data!D186</f>
        <v>91.6</v>
      </c>
      <c r="AJ191" s="35">
        <f>Data!E186</f>
        <v>93.27</v>
      </c>
      <c r="AK191" s="35">
        <f>Data!F186</f>
        <v>1962015</v>
      </c>
      <c r="AL191" s="35">
        <f t="shared" si="24"/>
        <v>93.27</v>
      </c>
      <c r="AM191" s="35">
        <f t="shared" si="33"/>
        <v>-1.1900932775812152</v>
      </c>
      <c r="AN191" s="35">
        <f t="shared" si="32"/>
        <v>-3.5044584266685019</v>
      </c>
      <c r="AO191" s="35" t="str">
        <f t="shared" si="26"/>
        <v>no</v>
      </c>
      <c r="AP191" s="35" t="str">
        <f t="shared" si="27"/>
        <v>FITS BITCH</v>
      </c>
      <c r="AQ191" s="35" t="str">
        <f t="shared" si="27"/>
        <v>no</v>
      </c>
      <c r="AR191" s="35" t="str">
        <f t="shared" si="28"/>
        <v>no</v>
      </c>
      <c r="AS191" s="35" t="str">
        <f t="shared" si="29"/>
        <v>FITS BITCH</v>
      </c>
      <c r="AT191" s="20" t="str">
        <f t="shared" si="30"/>
        <v/>
      </c>
      <c r="AU191" s="20" t="str">
        <f t="shared" si="31"/>
        <v/>
      </c>
      <c r="AV191" s="20"/>
      <c r="AW191" s="20"/>
      <c r="AX191" s="20"/>
      <c r="CL191" s="106">
        <v>42863</v>
      </c>
      <c r="CM191" s="107">
        <f t="shared" si="25"/>
        <v>102.98482589301329</v>
      </c>
    </row>
    <row r="192" spans="1:91" ht="15" customHeight="1">
      <c r="A192" s="148"/>
      <c r="B192" s="148"/>
      <c r="C192" s="148"/>
      <c r="D192" s="148"/>
      <c r="E192" s="148"/>
      <c r="F192" s="148"/>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26">
        <f>Data!A187</f>
        <v>42689</v>
      </c>
      <c r="AF192" s="35">
        <f>Data!B187</f>
        <v>92.13</v>
      </c>
      <c r="AG192" s="35">
        <f>Data!F187</f>
        <v>2034154</v>
      </c>
      <c r="AH192" s="35">
        <f>Data!C187</f>
        <v>92.62</v>
      </c>
      <c r="AI192" s="35">
        <f>Data!D187</f>
        <v>91.88</v>
      </c>
      <c r="AJ192" s="35">
        <f>Data!E187</f>
        <v>92.34</v>
      </c>
      <c r="AK192" s="35">
        <f>Data!F187</f>
        <v>2034154</v>
      </c>
      <c r="AL192" s="35">
        <f t="shared" si="24"/>
        <v>92.34</v>
      </c>
      <c r="AM192" s="35">
        <f t="shared" si="33"/>
        <v>-1.0071474983755606</v>
      </c>
      <c r="AN192" s="35">
        <f t="shared" si="32"/>
        <v>3.5463883265475475</v>
      </c>
      <c r="AO192" s="35" t="str">
        <f t="shared" si="26"/>
        <v>no</v>
      </c>
      <c r="AP192" s="35" t="str">
        <f t="shared" si="27"/>
        <v>FITS BITCH</v>
      </c>
      <c r="AQ192" s="35" t="str">
        <f t="shared" si="27"/>
        <v>FITS BITCH</v>
      </c>
      <c r="AR192" s="35" t="str">
        <f t="shared" si="28"/>
        <v>FITS BITCH</v>
      </c>
      <c r="AS192" s="35" t="str">
        <f t="shared" si="29"/>
        <v>FITS BITCH</v>
      </c>
      <c r="AT192" s="20" t="str">
        <f t="shared" si="30"/>
        <v/>
      </c>
      <c r="AU192" s="20" t="str">
        <f t="shared" si="31"/>
        <v/>
      </c>
      <c r="AV192" s="20"/>
      <c r="AW192" s="20"/>
      <c r="AX192" s="20"/>
      <c r="CL192" s="106">
        <v>42860</v>
      </c>
      <c r="CM192" s="107">
        <f t="shared" si="25"/>
        <v>102.82496432774496</v>
      </c>
    </row>
    <row r="193" spans="1:91" ht="15" customHeight="1">
      <c r="A193" s="148"/>
      <c r="B193" s="148"/>
      <c r="C193" s="148"/>
      <c r="D193" s="148"/>
      <c r="E193" s="148"/>
      <c r="F193" s="148"/>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26">
        <f>Data!A188</f>
        <v>42688</v>
      </c>
      <c r="AF193" s="35">
        <f>Data!B188</f>
        <v>91.4</v>
      </c>
      <c r="AG193" s="35">
        <f>Data!F188</f>
        <v>2961381</v>
      </c>
      <c r="AH193" s="35">
        <f>Data!C188</f>
        <v>92.36</v>
      </c>
      <c r="AI193" s="35">
        <f>Data!D188</f>
        <v>90.9</v>
      </c>
      <c r="AJ193" s="35">
        <f>Data!E188</f>
        <v>91.89</v>
      </c>
      <c r="AK193" s="35">
        <f>Data!F188</f>
        <v>2961381</v>
      </c>
      <c r="AL193" s="35">
        <f t="shared" si="24"/>
        <v>91.89</v>
      </c>
      <c r="AM193" s="35">
        <f t="shared" si="33"/>
        <v>-0.48971596474045359</v>
      </c>
      <c r="AN193" s="35">
        <f t="shared" si="32"/>
        <v>31.310628385878076</v>
      </c>
      <c r="AO193" s="35" t="str">
        <f t="shared" si="26"/>
        <v>no</v>
      </c>
      <c r="AP193" s="35" t="str">
        <f t="shared" si="27"/>
        <v>FITS BITCH</v>
      </c>
      <c r="AQ193" s="35" t="str">
        <f t="shared" si="27"/>
        <v>FITS BITCH</v>
      </c>
      <c r="AR193" s="35" t="str">
        <f t="shared" si="28"/>
        <v>FITS BITCH</v>
      </c>
      <c r="AS193" s="35" t="str">
        <f t="shared" si="29"/>
        <v>FITS BITCH</v>
      </c>
      <c r="AT193" s="20" t="str">
        <f t="shared" si="30"/>
        <v/>
      </c>
      <c r="AU193" s="20" t="str">
        <f t="shared" si="31"/>
        <v/>
      </c>
      <c r="AV193" s="20"/>
      <c r="AW193" s="20"/>
      <c r="AX193" s="20"/>
      <c r="CL193" s="106">
        <v>42859</v>
      </c>
      <c r="CM193" s="107">
        <f t="shared" si="25"/>
        <v>102.77167713932204</v>
      </c>
    </row>
    <row r="194" spans="1:91" ht="15" customHeight="1">
      <c r="A194" s="148"/>
      <c r="B194" s="148"/>
      <c r="C194" s="148"/>
      <c r="D194" s="148"/>
      <c r="E194" s="148"/>
      <c r="F194" s="148"/>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26">
        <f>Data!A189</f>
        <v>42685</v>
      </c>
      <c r="AF194" s="35">
        <f>Data!B189</f>
        <v>90.94</v>
      </c>
      <c r="AG194" s="35">
        <f>Data!F189</f>
        <v>2098022</v>
      </c>
      <c r="AH194" s="35">
        <f>Data!C189</f>
        <v>91.94</v>
      </c>
      <c r="AI194" s="35">
        <f>Data!D189</f>
        <v>90.45</v>
      </c>
      <c r="AJ194" s="35">
        <f>Data!E189</f>
        <v>91.08</v>
      </c>
      <c r="AK194" s="35">
        <f>Data!F189</f>
        <v>2098022</v>
      </c>
      <c r="AL194" s="35">
        <f t="shared" si="24"/>
        <v>91.08</v>
      </c>
      <c r="AM194" s="35">
        <f t="shared" si="33"/>
        <v>-0.88932806324110925</v>
      </c>
      <c r="AN194" s="35">
        <f t="shared" si="32"/>
        <v>-41.151093744488861</v>
      </c>
      <c r="AO194" s="35" t="str">
        <f t="shared" si="26"/>
        <v>FITS BITCH</v>
      </c>
      <c r="AP194" s="35" t="str">
        <f t="shared" si="27"/>
        <v>FITS BITCH</v>
      </c>
      <c r="AQ194" s="35" t="str">
        <f t="shared" si="27"/>
        <v>FITS BITCH</v>
      </c>
      <c r="AR194" s="35" t="str">
        <f t="shared" si="28"/>
        <v>FITS BITCH</v>
      </c>
      <c r="AS194" s="35" t="str">
        <f t="shared" si="29"/>
        <v>no</v>
      </c>
      <c r="AT194" s="20" t="str">
        <f t="shared" si="30"/>
        <v>BULLISH</v>
      </c>
      <c r="AU194" s="20" t="str">
        <f t="shared" si="31"/>
        <v/>
      </c>
      <c r="AV194" s="20"/>
      <c r="AW194" s="20"/>
      <c r="AX194" s="20"/>
      <c r="CL194" s="106">
        <v>42858</v>
      </c>
      <c r="CM194" s="107">
        <f t="shared" si="25"/>
        <v>102.71838995089911</v>
      </c>
    </row>
    <row r="195" spans="1:91" ht="15" customHeight="1">
      <c r="A195" s="148"/>
      <c r="B195" s="148"/>
      <c r="C195" s="148"/>
      <c r="D195" s="148"/>
      <c r="E195" s="148"/>
      <c r="F195" s="148"/>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26">
        <f>Data!A190</f>
        <v>42684</v>
      </c>
      <c r="AF195" s="35">
        <f>Data!B190</f>
        <v>91.44</v>
      </c>
      <c r="AG195" s="35">
        <f>Data!F190</f>
        <v>2555420</v>
      </c>
      <c r="AH195" s="35">
        <f>Data!C190</f>
        <v>91.89</v>
      </c>
      <c r="AI195" s="35">
        <f>Data!D190</f>
        <v>90.13</v>
      </c>
      <c r="AJ195" s="35">
        <f>Data!E190</f>
        <v>91.39</v>
      </c>
      <c r="AK195" s="35">
        <f>Data!F190</f>
        <v>2555420</v>
      </c>
      <c r="AL195" s="35">
        <f t="shared" si="24"/>
        <v>91.39</v>
      </c>
      <c r="AM195" s="35">
        <f t="shared" si="33"/>
        <v>0.33920560236349961</v>
      </c>
      <c r="AN195" s="35">
        <f t="shared" si="32"/>
        <v>17.899132040916953</v>
      </c>
      <c r="AO195" s="35" t="str">
        <f t="shared" si="26"/>
        <v>no</v>
      </c>
      <c r="AP195" s="35" t="str">
        <f t="shared" si="27"/>
        <v>FITS BITCH</v>
      </c>
      <c r="AQ195" s="35" t="str">
        <f t="shared" si="27"/>
        <v>FITS BITCH</v>
      </c>
      <c r="AR195" s="35" t="str">
        <f t="shared" si="28"/>
        <v>no</v>
      </c>
      <c r="AS195" s="35" t="str">
        <f t="shared" si="29"/>
        <v>FITS BITCH</v>
      </c>
      <c r="AT195" s="20" t="str">
        <f t="shared" si="30"/>
        <v/>
      </c>
      <c r="AU195" s="20" t="str">
        <f t="shared" si="31"/>
        <v/>
      </c>
      <c r="AV195" s="20"/>
      <c r="AW195" s="20"/>
      <c r="AX195" s="20"/>
      <c r="CL195" s="106">
        <v>42857</v>
      </c>
      <c r="CM195" s="107">
        <f t="shared" si="25"/>
        <v>102.66510276247664</v>
      </c>
    </row>
    <row r="196" spans="1:91" ht="15" customHeight="1">
      <c r="A196" s="148"/>
      <c r="B196" s="148"/>
      <c r="C196" s="148"/>
      <c r="D196" s="148"/>
      <c r="E196" s="148"/>
      <c r="F196" s="148"/>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26">
        <f>Data!A191</f>
        <v>42683</v>
      </c>
      <c r="AF196" s="35">
        <f>Data!B191</f>
        <v>87.89</v>
      </c>
      <c r="AG196" s="35">
        <f>Data!F191</f>
        <v>2861443</v>
      </c>
      <c r="AH196" s="35">
        <f>Data!C191</f>
        <v>91.2</v>
      </c>
      <c r="AI196" s="35">
        <f>Data!D191</f>
        <v>87.58</v>
      </c>
      <c r="AJ196" s="35">
        <f>Data!E191</f>
        <v>90.9</v>
      </c>
      <c r="AK196" s="35">
        <f>Data!F191</f>
        <v>2861443</v>
      </c>
      <c r="AL196" s="35">
        <f t="shared" si="24"/>
        <v>90.9</v>
      </c>
      <c r="AM196" s="35">
        <f t="shared" si="33"/>
        <v>-0.53905390539053344</v>
      </c>
      <c r="AN196" s="35">
        <f t="shared" si="32"/>
        <v>10.694708928327421</v>
      </c>
      <c r="AO196" s="35" t="str">
        <f t="shared" si="26"/>
        <v>no</v>
      </c>
      <c r="AP196" s="35" t="str">
        <f t="shared" si="27"/>
        <v>no</v>
      </c>
      <c r="AQ196" s="35" t="str">
        <f t="shared" si="27"/>
        <v>no</v>
      </c>
      <c r="AR196" s="35" t="str">
        <f t="shared" si="28"/>
        <v>FITS BITCH</v>
      </c>
      <c r="AS196" s="35" t="str">
        <f t="shared" si="29"/>
        <v>no</v>
      </c>
      <c r="AT196" s="20" t="str">
        <f t="shared" si="30"/>
        <v/>
      </c>
      <c r="AU196" s="20" t="str">
        <f t="shared" si="31"/>
        <v/>
      </c>
      <c r="AV196" s="20"/>
      <c r="AW196" s="20"/>
      <c r="AX196" s="20"/>
      <c r="CL196" s="106">
        <v>42856</v>
      </c>
      <c r="CM196" s="107">
        <f t="shared" si="25"/>
        <v>102.61181557405371</v>
      </c>
    </row>
    <row r="197" spans="1:91" ht="15" customHeight="1">
      <c r="A197" s="148"/>
      <c r="B197" s="148"/>
      <c r="C197" s="148"/>
      <c r="D197" s="148"/>
      <c r="E197" s="148"/>
      <c r="F197" s="148"/>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26">
        <f>Data!A192</f>
        <v>42682</v>
      </c>
      <c r="AF197" s="35">
        <f>Data!B192</f>
        <v>90.75</v>
      </c>
      <c r="AG197" s="35">
        <f>Data!F192</f>
        <v>1668288</v>
      </c>
      <c r="AH197" s="35">
        <f>Data!C192</f>
        <v>91.6</v>
      </c>
      <c r="AI197" s="35">
        <f>Data!D192</f>
        <v>90.55</v>
      </c>
      <c r="AJ197" s="35">
        <f>Data!E192</f>
        <v>91.15</v>
      </c>
      <c r="AK197" s="35">
        <f>Data!F192</f>
        <v>1668288</v>
      </c>
      <c r="AL197" s="35">
        <f t="shared" si="24"/>
        <v>91.15</v>
      </c>
      <c r="AM197" s="35">
        <f t="shared" si="33"/>
        <v>0.27427317608337903</v>
      </c>
      <c r="AN197" s="35">
        <f t="shared" si="32"/>
        <v>-71.51972561092569</v>
      </c>
      <c r="AO197" s="35" t="str">
        <f t="shared" si="26"/>
        <v>FITS BITCH</v>
      </c>
      <c r="AP197" s="35" t="str">
        <f t="shared" si="27"/>
        <v>FITS BITCH</v>
      </c>
      <c r="AQ197" s="35" t="str">
        <f t="shared" si="27"/>
        <v>FITS BITCH</v>
      </c>
      <c r="AR197" s="35" t="str">
        <f t="shared" si="28"/>
        <v>no</v>
      </c>
      <c r="AS197" s="35" t="str">
        <f t="shared" si="29"/>
        <v>FITS BITCH</v>
      </c>
      <c r="AT197" s="20" t="str">
        <f t="shared" si="30"/>
        <v/>
      </c>
      <c r="AU197" s="20" t="str">
        <f t="shared" si="31"/>
        <v>BEARISH</v>
      </c>
      <c r="AV197" s="20"/>
      <c r="AW197" s="20"/>
      <c r="AX197" s="20"/>
      <c r="CL197" s="106">
        <v>42853</v>
      </c>
      <c r="CM197" s="107">
        <f t="shared" si="25"/>
        <v>102.45195400878538</v>
      </c>
    </row>
    <row r="198" spans="1:91" ht="15" customHeight="1">
      <c r="A198" s="148"/>
      <c r="B198" s="148"/>
      <c r="C198" s="148"/>
      <c r="D198" s="148"/>
      <c r="E198" s="148"/>
      <c r="F198" s="148"/>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26">
        <f>Data!A193</f>
        <v>42681</v>
      </c>
      <c r="AF198" s="35">
        <f>Data!B193</f>
        <v>90.35</v>
      </c>
      <c r="AG198" s="35">
        <f>Data!F193</f>
        <v>2244789</v>
      </c>
      <c r="AH198" s="35">
        <f>Data!C193</f>
        <v>90.86</v>
      </c>
      <c r="AI198" s="35">
        <f>Data!D193</f>
        <v>89.94</v>
      </c>
      <c r="AJ198" s="35">
        <f>Data!E193</f>
        <v>90.6</v>
      </c>
      <c r="AK198" s="35">
        <f>Data!F193</f>
        <v>2244789</v>
      </c>
      <c r="AL198" s="35">
        <f t="shared" ref="AL198:AL261" si="34">AJ198</f>
        <v>90.6</v>
      </c>
      <c r="AM198" s="35">
        <f t="shared" si="33"/>
        <v>-0.60706401766005669</v>
      </c>
      <c r="AN198" s="35">
        <f t="shared" si="32"/>
        <v>25.681745589451836</v>
      </c>
      <c r="AO198" s="35" t="str">
        <f t="shared" si="26"/>
        <v>no</v>
      </c>
      <c r="AP198" s="35" t="str">
        <f t="shared" si="27"/>
        <v>FITS BITCH</v>
      </c>
      <c r="AQ198" s="35" t="str">
        <f t="shared" si="27"/>
        <v>FITS BITCH</v>
      </c>
      <c r="AR198" s="35" t="str">
        <f t="shared" si="28"/>
        <v>no</v>
      </c>
      <c r="AS198" s="35" t="str">
        <f t="shared" si="29"/>
        <v>FITS BITCH</v>
      </c>
      <c r="AT198" s="20" t="str">
        <f t="shared" si="30"/>
        <v/>
      </c>
      <c r="AU198" s="20" t="str">
        <f t="shared" si="31"/>
        <v/>
      </c>
      <c r="AV198" s="20"/>
      <c r="AW198" s="20"/>
      <c r="AX198" s="20"/>
      <c r="CL198" s="106">
        <v>42852</v>
      </c>
      <c r="CM198" s="107">
        <f t="shared" si="25"/>
        <v>102.39866682036291</v>
      </c>
    </row>
    <row r="199" spans="1:91" ht="15" customHeight="1">
      <c r="A199" s="148"/>
      <c r="B199" s="148"/>
      <c r="C199" s="148"/>
      <c r="D199" s="148"/>
      <c r="E199" s="148"/>
      <c r="F199" s="148"/>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26">
        <f>Data!A194</f>
        <v>42678</v>
      </c>
      <c r="AF199" s="35">
        <f>Data!B194</f>
        <v>88.03</v>
      </c>
      <c r="AG199" s="35">
        <f>Data!F194</f>
        <v>2093152</v>
      </c>
      <c r="AH199" s="35">
        <f>Data!C194</f>
        <v>89.75</v>
      </c>
      <c r="AI199" s="35">
        <f>Data!D194</f>
        <v>88.03</v>
      </c>
      <c r="AJ199" s="35">
        <f>Data!E194</f>
        <v>89.08</v>
      </c>
      <c r="AK199" s="35">
        <f>Data!F194</f>
        <v>2093152</v>
      </c>
      <c r="AL199" s="35">
        <f t="shared" si="34"/>
        <v>89.08</v>
      </c>
      <c r="AM199" s="35">
        <f t="shared" si="33"/>
        <v>-1.7063313875168344</v>
      </c>
      <c r="AN199" s="35">
        <f t="shared" si="32"/>
        <v>-7.2444332757487269</v>
      </c>
      <c r="AO199" s="35" t="str">
        <f t="shared" si="26"/>
        <v>no</v>
      </c>
      <c r="AP199" s="35" t="str">
        <f t="shared" si="27"/>
        <v>no</v>
      </c>
      <c r="AQ199" s="35" t="str">
        <f t="shared" si="27"/>
        <v>no</v>
      </c>
      <c r="AR199" s="35" t="str">
        <f t="shared" si="28"/>
        <v>FITS BITCH</v>
      </c>
      <c r="AS199" s="35" t="str">
        <f t="shared" si="29"/>
        <v>no</v>
      </c>
      <c r="AT199" s="20" t="str">
        <f t="shared" si="30"/>
        <v/>
      </c>
      <c r="AU199" s="20" t="str">
        <f t="shared" si="31"/>
        <v/>
      </c>
      <c r="AV199" s="20"/>
      <c r="AW199" s="20"/>
      <c r="AX199" s="20"/>
      <c r="CL199" s="106">
        <v>42851</v>
      </c>
      <c r="CM199" s="107">
        <f t="shared" si="25"/>
        <v>102.34537963193998</v>
      </c>
    </row>
    <row r="200" spans="1:91" ht="15" customHeight="1">
      <c r="A200" s="148"/>
      <c r="B200" s="148"/>
      <c r="C200" s="148"/>
      <c r="D200" s="148"/>
      <c r="E200" s="148"/>
      <c r="F200" s="148"/>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26">
        <f>Data!A195</f>
        <v>42677</v>
      </c>
      <c r="AF200" s="35">
        <f>Data!B195</f>
        <v>89.97</v>
      </c>
      <c r="AG200" s="35">
        <f>Data!F195</f>
        <v>2514517</v>
      </c>
      <c r="AH200" s="35">
        <f>Data!C195</f>
        <v>90</v>
      </c>
      <c r="AI200" s="35">
        <f>Data!D195</f>
        <v>88.91</v>
      </c>
      <c r="AJ200" s="35">
        <f>Data!E195</f>
        <v>89.33</v>
      </c>
      <c r="AK200" s="35">
        <f>Data!F195</f>
        <v>2514517</v>
      </c>
      <c r="AL200" s="35">
        <f t="shared" si="34"/>
        <v>89.33</v>
      </c>
      <c r="AM200" s="35">
        <f t="shared" si="33"/>
        <v>0.27986118885033023</v>
      </c>
      <c r="AN200" s="35">
        <f t="shared" si="32"/>
        <v>16.757293746671824</v>
      </c>
      <c r="AO200" s="35" t="str">
        <f t="shared" si="26"/>
        <v>no</v>
      </c>
      <c r="AP200" s="35" t="str">
        <f t="shared" si="27"/>
        <v>no</v>
      </c>
      <c r="AQ200" s="35" t="str">
        <f t="shared" si="27"/>
        <v>FITS BITCH</v>
      </c>
      <c r="AR200" s="35" t="str">
        <f t="shared" si="28"/>
        <v>FITS BITCH</v>
      </c>
      <c r="AS200" s="35" t="str">
        <f t="shared" si="29"/>
        <v>no</v>
      </c>
      <c r="AT200" s="20" t="str">
        <f t="shared" si="30"/>
        <v/>
      </c>
      <c r="AU200" s="20" t="str">
        <f t="shared" si="31"/>
        <v/>
      </c>
      <c r="AV200" s="20"/>
      <c r="AW200" s="20"/>
      <c r="AX200" s="20"/>
      <c r="CL200" s="106">
        <v>42850</v>
      </c>
      <c r="CM200" s="107">
        <f t="shared" ref="CM200:CM263" si="35">$BA$68*CL200+$BA$70</f>
        <v>102.29209244351705</v>
      </c>
    </row>
    <row r="201" spans="1:91" ht="15" customHeight="1">
      <c r="F201" s="148"/>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26">
        <f>Data!A196</f>
        <v>42676</v>
      </c>
      <c r="AF201" s="35">
        <f>Data!B196</f>
        <v>88.1</v>
      </c>
      <c r="AG201" s="35">
        <f>Data!F196</f>
        <v>5357148</v>
      </c>
      <c r="AH201" s="35">
        <f>Data!C196</f>
        <v>90.89</v>
      </c>
      <c r="AI201" s="35">
        <f>Data!D196</f>
        <v>88.1</v>
      </c>
      <c r="AJ201" s="35">
        <f>Data!E196</f>
        <v>89.98</v>
      </c>
      <c r="AK201" s="35">
        <f>Data!F196</f>
        <v>5357148</v>
      </c>
      <c r="AL201" s="35">
        <f t="shared" si="34"/>
        <v>89.98</v>
      </c>
      <c r="AM201" s="35">
        <f t="shared" si="33"/>
        <v>0.72238275172261135</v>
      </c>
      <c r="AN201" s="35">
        <f t="shared" si="32"/>
        <v>53.062394393434722</v>
      </c>
      <c r="AO201" s="35" t="str">
        <f t="shared" ref="AO201:AO264" si="36">IF(AN201&lt;-8,"FITS BITCH",IF(AN201&gt;-8,"no"))</f>
        <v>no</v>
      </c>
      <c r="AP201" s="35" t="str">
        <f t="shared" ref="AP201:AQ264" si="37">IF(AH202&lt;AH201,"FITS BITCH",IF(AH202&gt;AH201,"no"))</f>
        <v>FITS BITCH</v>
      </c>
      <c r="AQ201" s="35" t="str">
        <f t="shared" si="37"/>
        <v>FITS BITCH</v>
      </c>
      <c r="AR201" s="35" t="str">
        <f t="shared" ref="AR201:AR264" si="38">IF(AJ201&lt;AH202,"FITS BITCH",IF(AJ201&gt;AH202,"no"))</f>
        <v>no</v>
      </c>
      <c r="AS201" s="35" t="str">
        <f t="shared" ref="AS201:AS264" si="39">IF(AJ201&gt;AJ202,"FITS BITCH",IF(AJ201&lt;AJ202,"no"))</f>
        <v>FITS BITCH</v>
      </c>
      <c r="AT201" s="20" t="str">
        <f t="shared" ref="AT201:AT264" si="40">IF(AND($AO201="FITS BITCH",$AP201="FITS BITCH",$AR201="FITS BITCH"),"BULLISH","")</f>
        <v/>
      </c>
      <c r="AU201" s="20" t="str">
        <f t="shared" ref="AU201:AU264" si="41">IF(AND($AO201="FITS BITCH",$AQ201="FITS BITCH",$AS201="FITS BITCH"),"BEARISH","")</f>
        <v/>
      </c>
      <c r="AV201" s="20"/>
      <c r="AW201" s="20"/>
      <c r="AX201" s="20"/>
      <c r="CL201" s="106">
        <v>42849</v>
      </c>
      <c r="CM201" s="107">
        <f t="shared" si="35"/>
        <v>102.23880525509458</v>
      </c>
    </row>
    <row r="202" spans="1:91" ht="15" customHeight="1">
      <c r="F202" s="148"/>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26">
        <f>Data!A197</f>
        <v>42675</v>
      </c>
      <c r="AF202" s="35">
        <f>Data!B197</f>
        <v>87.3</v>
      </c>
      <c r="AG202" s="35">
        <f>Data!F197</f>
        <v>3065622</v>
      </c>
      <c r="AH202" s="35">
        <f>Data!C197</f>
        <v>87.5</v>
      </c>
      <c r="AI202" s="35">
        <f>Data!D197</f>
        <v>86.53</v>
      </c>
      <c r="AJ202" s="35">
        <f>Data!E197</f>
        <v>86.92</v>
      </c>
      <c r="AK202" s="35">
        <f>Data!F197</f>
        <v>3065622</v>
      </c>
      <c r="AL202" s="35">
        <f t="shared" si="34"/>
        <v>86.92</v>
      </c>
      <c r="AM202" s="35">
        <f t="shared" si="33"/>
        <v>-3.520478601012428</v>
      </c>
      <c r="AN202" s="35">
        <f t="shared" ref="AN202:AN265" si="42">(AK202-AK201)/AK202*100</f>
        <v>-74.749137369186414</v>
      </c>
      <c r="AO202" s="35" t="str">
        <f t="shared" si="36"/>
        <v>FITS BITCH</v>
      </c>
      <c r="AP202" s="35" t="str">
        <f t="shared" si="37"/>
        <v>no</v>
      </c>
      <c r="AQ202" s="35" t="str">
        <f t="shared" si="37"/>
        <v>no</v>
      </c>
      <c r="AR202" s="35" t="str">
        <f t="shared" si="38"/>
        <v>FITS BITCH</v>
      </c>
      <c r="AS202" s="35" t="str">
        <f t="shared" si="39"/>
        <v>no</v>
      </c>
      <c r="AT202" s="20" t="str">
        <f t="shared" si="40"/>
        <v/>
      </c>
      <c r="AU202" s="20" t="str">
        <f t="shared" si="41"/>
        <v/>
      </c>
      <c r="AV202" s="20"/>
      <c r="AW202" s="20"/>
      <c r="AX202" s="20"/>
      <c r="CL202" s="106">
        <v>42846</v>
      </c>
      <c r="CM202" s="107">
        <f t="shared" si="35"/>
        <v>102.07894368982625</v>
      </c>
    </row>
    <row r="203" spans="1:91" ht="15" customHeight="1">
      <c r="F203" s="148"/>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26">
        <f>Data!A198</f>
        <v>42674</v>
      </c>
      <c r="AF203" s="35">
        <f>Data!B198</f>
        <v>87.57</v>
      </c>
      <c r="AG203" s="35">
        <f>Data!F198</f>
        <v>2488570</v>
      </c>
      <c r="AH203" s="35">
        <f>Data!C198</f>
        <v>87.71</v>
      </c>
      <c r="AI203" s="35">
        <f>Data!D198</f>
        <v>86.98</v>
      </c>
      <c r="AJ203" s="35">
        <f>Data!E198</f>
        <v>87.06</v>
      </c>
      <c r="AK203" s="35">
        <f>Data!F198</f>
        <v>2488570</v>
      </c>
      <c r="AL203" s="35">
        <f t="shared" si="34"/>
        <v>87.06</v>
      </c>
      <c r="AM203" s="35">
        <f t="shared" si="33"/>
        <v>0.16080863772111254</v>
      </c>
      <c r="AN203" s="35">
        <f t="shared" si="42"/>
        <v>-23.18809597479677</v>
      </c>
      <c r="AO203" s="35" t="str">
        <f t="shared" si="36"/>
        <v>FITS BITCH</v>
      </c>
      <c r="AP203" s="35" t="str">
        <f t="shared" si="37"/>
        <v>FITS BITCH</v>
      </c>
      <c r="AQ203" s="35" t="str">
        <f t="shared" si="37"/>
        <v>FITS BITCH</v>
      </c>
      <c r="AR203" s="35" t="str">
        <f t="shared" si="38"/>
        <v>FITS BITCH</v>
      </c>
      <c r="AS203" s="35" t="str">
        <f t="shared" si="39"/>
        <v>no</v>
      </c>
      <c r="AT203" s="20" t="str">
        <f t="shared" si="40"/>
        <v>BULLISH</v>
      </c>
      <c r="AU203" s="20" t="str">
        <f t="shared" si="41"/>
        <v/>
      </c>
      <c r="AV203" s="20"/>
      <c r="AW203" s="20"/>
      <c r="AX203" s="20"/>
      <c r="CL203" s="106">
        <v>42845</v>
      </c>
      <c r="CM203" s="107">
        <f t="shared" si="35"/>
        <v>102.02565650140332</v>
      </c>
    </row>
    <row r="204" spans="1:91" ht="15" customHeight="1">
      <c r="F204" s="148"/>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26">
        <f>Data!A199</f>
        <v>42671</v>
      </c>
      <c r="AF204" s="35">
        <f>Data!B199</f>
        <v>86.74</v>
      </c>
      <c r="AG204" s="35">
        <f>Data!F199</f>
        <v>2129318</v>
      </c>
      <c r="AH204" s="35">
        <f>Data!C199</f>
        <v>87.65</v>
      </c>
      <c r="AI204" s="35">
        <f>Data!D199</f>
        <v>86.6</v>
      </c>
      <c r="AJ204" s="35">
        <f>Data!E199</f>
        <v>87.16</v>
      </c>
      <c r="AK204" s="35">
        <f>Data!F199</f>
        <v>2129318</v>
      </c>
      <c r="AL204" s="35">
        <f t="shared" si="34"/>
        <v>87.16</v>
      </c>
      <c r="AM204" s="35">
        <f t="shared" si="33"/>
        <v>0.11473152822394943</v>
      </c>
      <c r="AN204" s="35">
        <f t="shared" si="42"/>
        <v>-16.8716931900261</v>
      </c>
      <c r="AO204" s="35" t="str">
        <f t="shared" si="36"/>
        <v>FITS BITCH</v>
      </c>
      <c r="AP204" s="35" t="str">
        <f t="shared" si="37"/>
        <v>FITS BITCH</v>
      </c>
      <c r="AQ204" s="35" t="str">
        <f t="shared" si="37"/>
        <v>no</v>
      </c>
      <c r="AR204" s="35" t="str">
        <f t="shared" si="38"/>
        <v>FITS BITCH</v>
      </c>
      <c r="AS204" s="35" t="str">
        <f t="shared" si="39"/>
        <v>FITS BITCH</v>
      </c>
      <c r="AT204" s="20" t="str">
        <f t="shared" si="40"/>
        <v>BULLISH</v>
      </c>
      <c r="AU204" s="20" t="str">
        <f t="shared" si="41"/>
        <v/>
      </c>
      <c r="AV204" s="20"/>
      <c r="AW204" s="20"/>
      <c r="AX204" s="20"/>
      <c r="CL204" s="106">
        <v>42844</v>
      </c>
      <c r="CM204" s="107">
        <f t="shared" si="35"/>
        <v>101.97236931298039</v>
      </c>
    </row>
    <row r="205" spans="1:91" ht="15" customHeight="1">
      <c r="F205" s="148"/>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26">
        <f>Data!A200</f>
        <v>42670</v>
      </c>
      <c r="AF205" s="35">
        <f>Data!B200</f>
        <v>87.36</v>
      </c>
      <c r="AG205" s="35">
        <f>Data!F200</f>
        <v>1773701</v>
      </c>
      <c r="AH205" s="35">
        <f>Data!C200</f>
        <v>87.43</v>
      </c>
      <c r="AI205" s="35">
        <f>Data!D200</f>
        <v>86.63</v>
      </c>
      <c r="AJ205" s="35">
        <f>Data!E200</f>
        <v>86.66</v>
      </c>
      <c r="AK205" s="35">
        <f>Data!F200</f>
        <v>1773701</v>
      </c>
      <c r="AL205" s="35">
        <f t="shared" si="34"/>
        <v>86.66</v>
      </c>
      <c r="AM205" s="35">
        <f t="shared" si="33"/>
        <v>-0.57696745903531044</v>
      </c>
      <c r="AN205" s="35">
        <f t="shared" si="42"/>
        <v>-20.04943335996315</v>
      </c>
      <c r="AO205" s="35" t="str">
        <f t="shared" si="36"/>
        <v>FITS BITCH</v>
      </c>
      <c r="AP205" s="35" t="str">
        <f t="shared" si="37"/>
        <v>no</v>
      </c>
      <c r="AQ205" s="35" t="str">
        <f t="shared" si="37"/>
        <v>no</v>
      </c>
      <c r="AR205" s="35" t="str">
        <f t="shared" si="38"/>
        <v>FITS BITCH</v>
      </c>
      <c r="AS205" s="35" t="str">
        <f t="shared" si="39"/>
        <v>no</v>
      </c>
      <c r="AT205" s="20" t="str">
        <f t="shared" si="40"/>
        <v/>
      </c>
      <c r="AU205" s="20" t="str">
        <f t="shared" si="41"/>
        <v/>
      </c>
      <c r="AV205" s="20"/>
      <c r="AW205" s="20"/>
      <c r="AX205" s="20"/>
      <c r="CL205" s="106">
        <v>42843</v>
      </c>
      <c r="CM205" s="107">
        <f t="shared" si="35"/>
        <v>101.91908212455792</v>
      </c>
    </row>
    <row r="206" spans="1:91" ht="15" customHeight="1">
      <c r="F206" s="148"/>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26">
        <f>Data!A201</f>
        <v>42669</v>
      </c>
      <c r="AF206" s="35">
        <f>Data!B201</f>
        <v>87.26</v>
      </c>
      <c r="AG206" s="35">
        <f>Data!F201</f>
        <v>1331494</v>
      </c>
      <c r="AH206" s="35">
        <f>Data!C201</f>
        <v>87.74</v>
      </c>
      <c r="AI206" s="35">
        <f>Data!D201</f>
        <v>87.02</v>
      </c>
      <c r="AJ206" s="35">
        <f>Data!E201</f>
        <v>87.19</v>
      </c>
      <c r="AK206" s="35">
        <f>Data!F201</f>
        <v>1331494</v>
      </c>
      <c r="AL206" s="35">
        <f t="shared" si="34"/>
        <v>87.19</v>
      </c>
      <c r="AM206" s="35">
        <f t="shared" si="33"/>
        <v>0.60786787475628068</v>
      </c>
      <c r="AN206" s="35">
        <f t="shared" si="42"/>
        <v>-33.211340043590134</v>
      </c>
      <c r="AO206" s="35" t="str">
        <f t="shared" si="36"/>
        <v>FITS BITCH</v>
      </c>
      <c r="AP206" s="35" t="str">
        <f t="shared" si="37"/>
        <v>no</v>
      </c>
      <c r="AQ206" s="35" t="str">
        <f t="shared" si="37"/>
        <v>no</v>
      </c>
      <c r="AR206" s="35" t="str">
        <f t="shared" si="38"/>
        <v>FITS BITCH</v>
      </c>
      <c r="AS206" s="35" t="str">
        <f t="shared" si="39"/>
        <v>no</v>
      </c>
      <c r="AT206" s="20" t="str">
        <f t="shared" si="40"/>
        <v/>
      </c>
      <c r="AU206" s="20" t="str">
        <f t="shared" si="41"/>
        <v/>
      </c>
      <c r="AV206" s="20"/>
      <c r="AW206" s="20"/>
      <c r="AX206" s="20"/>
      <c r="CL206" s="106">
        <v>42842</v>
      </c>
      <c r="CM206" s="107">
        <f t="shared" si="35"/>
        <v>101.86579493613499</v>
      </c>
    </row>
    <row r="207" spans="1:91" ht="15" customHeight="1">
      <c r="F207" s="148"/>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26">
        <f>Data!A202</f>
        <v>42668</v>
      </c>
      <c r="AF207" s="35">
        <f>Data!B202</f>
        <v>87.55</v>
      </c>
      <c r="AG207" s="35">
        <f>Data!F202</f>
        <v>1299210</v>
      </c>
      <c r="AH207" s="35">
        <f>Data!C202</f>
        <v>87.75</v>
      </c>
      <c r="AI207" s="35">
        <f>Data!D202</f>
        <v>87.2</v>
      </c>
      <c r="AJ207" s="35">
        <f>Data!E202</f>
        <v>87.5</v>
      </c>
      <c r="AK207" s="35">
        <f>Data!F202</f>
        <v>1299210</v>
      </c>
      <c r="AL207" s="35">
        <f t="shared" si="34"/>
        <v>87.5</v>
      </c>
      <c r="AM207" s="35">
        <f t="shared" si="33"/>
        <v>0.35428571428571687</v>
      </c>
      <c r="AN207" s="35">
        <f t="shared" si="42"/>
        <v>-2.4848946667590308</v>
      </c>
      <c r="AO207" s="35" t="str">
        <f t="shared" si="36"/>
        <v>no</v>
      </c>
      <c r="AP207" s="35" t="str">
        <f t="shared" si="37"/>
        <v>no</v>
      </c>
      <c r="AQ207" s="35" t="str">
        <f t="shared" si="37"/>
        <v>FITS BITCH</v>
      </c>
      <c r="AR207" s="35" t="str">
        <f t="shared" si="38"/>
        <v>FITS BITCH</v>
      </c>
      <c r="AS207" s="35" t="str">
        <f t="shared" si="39"/>
        <v>no</v>
      </c>
      <c r="AT207" s="20" t="str">
        <f t="shared" si="40"/>
        <v/>
      </c>
      <c r="AU207" s="20" t="str">
        <f t="shared" si="41"/>
        <v/>
      </c>
      <c r="AV207" s="20"/>
      <c r="AW207" s="20"/>
      <c r="AX207" s="20"/>
      <c r="CL207" s="106">
        <v>42839</v>
      </c>
      <c r="CM207" s="107">
        <f t="shared" si="35"/>
        <v>101.70593337086666</v>
      </c>
    </row>
    <row r="208" spans="1:91" ht="15" customHeight="1">
      <c r="F208" s="148"/>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26">
        <f>Data!A203</f>
        <v>42667</v>
      </c>
      <c r="AF208" s="35">
        <f>Data!B203</f>
        <v>87.34</v>
      </c>
      <c r="AG208" s="35">
        <f>Data!F203</f>
        <v>1025500</v>
      </c>
      <c r="AH208" s="35">
        <f>Data!C203</f>
        <v>87.81</v>
      </c>
      <c r="AI208" s="35">
        <f>Data!D203</f>
        <v>87.19</v>
      </c>
      <c r="AJ208" s="35">
        <f>Data!E203</f>
        <v>87.67</v>
      </c>
      <c r="AK208" s="35">
        <f>Data!F203</f>
        <v>1025500</v>
      </c>
      <c r="AL208" s="35">
        <f t="shared" si="34"/>
        <v>87.67</v>
      </c>
      <c r="AM208" s="35">
        <f t="shared" si="33"/>
        <v>0.19390897684498884</v>
      </c>
      <c r="AN208" s="35">
        <f t="shared" si="42"/>
        <v>-26.69039492930278</v>
      </c>
      <c r="AO208" s="35" t="str">
        <f t="shared" si="36"/>
        <v>FITS BITCH</v>
      </c>
      <c r="AP208" s="35" t="str">
        <f t="shared" si="37"/>
        <v>FITS BITCH</v>
      </c>
      <c r="AQ208" s="35" t="str">
        <f t="shared" si="37"/>
        <v>FITS BITCH</v>
      </c>
      <c r="AR208" s="35" t="str">
        <f t="shared" si="38"/>
        <v>no</v>
      </c>
      <c r="AS208" s="35" t="str">
        <f t="shared" si="39"/>
        <v>FITS BITCH</v>
      </c>
      <c r="AT208" s="20" t="str">
        <f t="shared" si="40"/>
        <v/>
      </c>
      <c r="AU208" s="20" t="str">
        <f t="shared" si="41"/>
        <v>BEARISH</v>
      </c>
      <c r="AV208" s="20"/>
      <c r="AW208" s="20"/>
      <c r="AX208" s="20"/>
      <c r="CL208" s="106">
        <v>42838</v>
      </c>
      <c r="CM208" s="107">
        <f t="shared" si="35"/>
        <v>101.65264618244373</v>
      </c>
    </row>
    <row r="209" spans="31:91" ht="15" customHeight="1">
      <c r="AE209" s="26">
        <f>Data!A204</f>
        <v>42664</v>
      </c>
      <c r="AF209" s="35">
        <f>Data!B204</f>
        <v>86.49</v>
      </c>
      <c r="AG209" s="35">
        <f>Data!F204</f>
        <v>1277715</v>
      </c>
      <c r="AH209" s="35">
        <f>Data!C204</f>
        <v>86.82</v>
      </c>
      <c r="AI209" s="35">
        <f>Data!D204</f>
        <v>85.48</v>
      </c>
      <c r="AJ209" s="35">
        <f>Data!E204</f>
        <v>86.72</v>
      </c>
      <c r="AK209" s="35">
        <f>Data!F204</f>
        <v>1277715</v>
      </c>
      <c r="AL209" s="35">
        <f t="shared" si="34"/>
        <v>86.72</v>
      </c>
      <c r="AM209" s="35">
        <f t="shared" si="33"/>
        <v>-1.0954797047970513</v>
      </c>
      <c r="AN209" s="35">
        <f t="shared" si="42"/>
        <v>19.739535029329701</v>
      </c>
      <c r="AO209" s="35" t="str">
        <f t="shared" si="36"/>
        <v>no</v>
      </c>
      <c r="AP209" s="35" t="str">
        <f t="shared" si="37"/>
        <v>no</v>
      </c>
      <c r="AQ209" s="35" t="str">
        <f t="shared" si="37"/>
        <v>no</v>
      </c>
      <c r="AR209" s="35" t="str">
        <f t="shared" si="38"/>
        <v>FITS BITCH</v>
      </c>
      <c r="AS209" s="35" t="str">
        <f t="shared" si="39"/>
        <v>no</v>
      </c>
      <c r="AT209" s="20" t="str">
        <f t="shared" si="40"/>
        <v/>
      </c>
      <c r="AU209" s="20" t="str">
        <f t="shared" si="41"/>
        <v/>
      </c>
      <c r="AV209" s="20"/>
      <c r="AW209" s="20"/>
      <c r="AX209" s="20"/>
      <c r="CL209" s="106">
        <v>42837</v>
      </c>
      <c r="CM209" s="107">
        <f t="shared" si="35"/>
        <v>101.59935899402126</v>
      </c>
    </row>
    <row r="210" spans="31:91" ht="15" customHeight="1">
      <c r="AE210" s="26">
        <f>Data!A205</f>
        <v>42663</v>
      </c>
      <c r="AF210" s="35">
        <f>Data!B205</f>
        <v>87.2</v>
      </c>
      <c r="AG210" s="35">
        <f>Data!F205</f>
        <v>1420374</v>
      </c>
      <c r="AH210" s="35">
        <f>Data!C205</f>
        <v>87.56</v>
      </c>
      <c r="AI210" s="35">
        <f>Data!D205</f>
        <v>86.49</v>
      </c>
      <c r="AJ210" s="35">
        <f>Data!E205</f>
        <v>86.84</v>
      </c>
      <c r="AK210" s="35">
        <f>Data!F205</f>
        <v>1420374</v>
      </c>
      <c r="AL210" s="35">
        <f t="shared" si="34"/>
        <v>86.84</v>
      </c>
      <c r="AM210" s="35">
        <f t="shared" si="33"/>
        <v>0.13818516812529311</v>
      </c>
      <c r="AN210" s="35">
        <f t="shared" si="42"/>
        <v>10.043763121544044</v>
      </c>
      <c r="AO210" s="35" t="str">
        <f t="shared" si="36"/>
        <v>no</v>
      </c>
      <c r="AP210" s="35" t="str">
        <f t="shared" si="37"/>
        <v>no</v>
      </c>
      <c r="AQ210" s="35" t="str">
        <f t="shared" si="37"/>
        <v>no</v>
      </c>
      <c r="AR210" s="35" t="str">
        <f t="shared" si="38"/>
        <v>FITS BITCH</v>
      </c>
      <c r="AS210" s="35" t="str">
        <f t="shared" si="39"/>
        <v>no</v>
      </c>
      <c r="AT210" s="20" t="str">
        <f t="shared" si="40"/>
        <v/>
      </c>
      <c r="AU210" s="20" t="str">
        <f t="shared" si="41"/>
        <v/>
      </c>
      <c r="AV210" s="20"/>
      <c r="AW210" s="20"/>
      <c r="AX210" s="20"/>
      <c r="CL210" s="106">
        <v>42836</v>
      </c>
      <c r="CM210" s="107">
        <f t="shared" si="35"/>
        <v>101.54607180559833</v>
      </c>
    </row>
    <row r="211" spans="31:91" ht="15" customHeight="1">
      <c r="AE211" s="26">
        <f>Data!A206</f>
        <v>42662</v>
      </c>
      <c r="AF211" s="35">
        <f>Data!B206</f>
        <v>87.58</v>
      </c>
      <c r="AG211" s="35">
        <f>Data!F206</f>
        <v>906356</v>
      </c>
      <c r="AH211" s="35">
        <f>Data!C206</f>
        <v>87.73</v>
      </c>
      <c r="AI211" s="35">
        <f>Data!D206</f>
        <v>87.34</v>
      </c>
      <c r="AJ211" s="35">
        <f>Data!E206</f>
        <v>87.43</v>
      </c>
      <c r="AK211" s="35">
        <f>Data!F206</f>
        <v>906356</v>
      </c>
      <c r="AL211" s="35">
        <f t="shared" si="34"/>
        <v>87.43</v>
      </c>
      <c r="AM211" s="35">
        <f t="shared" si="33"/>
        <v>0.67482557474551452</v>
      </c>
      <c r="AN211" s="35">
        <f t="shared" si="42"/>
        <v>-56.712594168295908</v>
      </c>
      <c r="AO211" s="35" t="str">
        <f t="shared" si="36"/>
        <v>FITS BITCH</v>
      </c>
      <c r="AP211" s="35" t="str">
        <f t="shared" si="37"/>
        <v>no</v>
      </c>
      <c r="AQ211" s="35" t="str">
        <f t="shared" si="37"/>
        <v>FITS BITCH</v>
      </c>
      <c r="AR211" s="35" t="str">
        <f t="shared" si="38"/>
        <v>FITS BITCH</v>
      </c>
      <c r="AS211" s="35" t="str">
        <f t="shared" si="39"/>
        <v>FITS BITCH</v>
      </c>
      <c r="AT211" s="20" t="str">
        <f t="shared" si="40"/>
        <v/>
      </c>
      <c r="AU211" s="20" t="str">
        <f t="shared" si="41"/>
        <v>BEARISH</v>
      </c>
      <c r="AV211" s="20"/>
      <c r="AW211" s="20"/>
      <c r="AX211" s="20"/>
      <c r="CL211" s="106">
        <v>42835</v>
      </c>
      <c r="CM211" s="107">
        <f t="shared" si="35"/>
        <v>101.49278461717586</v>
      </c>
    </row>
    <row r="212" spans="31:91" ht="15" customHeight="1">
      <c r="AE212" s="26">
        <f>Data!A207</f>
        <v>42661</v>
      </c>
      <c r="AF212" s="35">
        <f>Data!B207</f>
        <v>88.12</v>
      </c>
      <c r="AG212" s="35">
        <f>Data!F207</f>
        <v>1109553</v>
      </c>
      <c r="AH212" s="35">
        <f>Data!C207</f>
        <v>88.37</v>
      </c>
      <c r="AI212" s="35">
        <f>Data!D207</f>
        <v>87.32</v>
      </c>
      <c r="AJ212" s="35">
        <f>Data!E207</f>
        <v>87.38</v>
      </c>
      <c r="AK212" s="35">
        <f>Data!F207</f>
        <v>1109553</v>
      </c>
      <c r="AL212" s="35">
        <f t="shared" si="34"/>
        <v>87.38</v>
      </c>
      <c r="AM212" s="35">
        <f t="shared" si="33"/>
        <v>-5.7221332112624597E-2</v>
      </c>
      <c r="AN212" s="35">
        <f t="shared" si="42"/>
        <v>18.313410896099601</v>
      </c>
      <c r="AO212" s="35" t="str">
        <f t="shared" si="36"/>
        <v>no</v>
      </c>
      <c r="AP212" s="35" t="str">
        <f t="shared" si="37"/>
        <v>FITS BITCH</v>
      </c>
      <c r="AQ212" s="35" t="str">
        <f t="shared" si="37"/>
        <v>FITS BITCH</v>
      </c>
      <c r="AR212" s="35" t="str">
        <f t="shared" si="38"/>
        <v>FITS BITCH</v>
      </c>
      <c r="AS212" s="35" t="str">
        <f t="shared" si="39"/>
        <v>FITS BITCH</v>
      </c>
      <c r="AT212" s="20" t="str">
        <f t="shared" si="40"/>
        <v/>
      </c>
      <c r="AU212" s="20" t="str">
        <f t="shared" si="41"/>
        <v/>
      </c>
      <c r="AV212" s="20"/>
      <c r="AW212" s="20"/>
      <c r="AX212" s="20"/>
      <c r="CL212" s="106">
        <v>42832</v>
      </c>
      <c r="CM212" s="107">
        <f t="shared" si="35"/>
        <v>101.33292305190753</v>
      </c>
    </row>
    <row r="213" spans="31:91" ht="15" customHeight="1">
      <c r="AE213" s="26">
        <f>Data!A208</f>
        <v>42660</v>
      </c>
      <c r="AF213" s="35">
        <f>Data!B208</f>
        <v>87.58</v>
      </c>
      <c r="AG213" s="35">
        <f>Data!F208</f>
        <v>1235269</v>
      </c>
      <c r="AH213" s="35">
        <f>Data!C208</f>
        <v>87.7</v>
      </c>
      <c r="AI213" s="35">
        <f>Data!D208</f>
        <v>86.98</v>
      </c>
      <c r="AJ213" s="35">
        <f>Data!E208</f>
        <v>87.24</v>
      </c>
      <c r="AK213" s="35">
        <f>Data!F208</f>
        <v>1235269</v>
      </c>
      <c r="AL213" s="35">
        <f t="shared" si="34"/>
        <v>87.24</v>
      </c>
      <c r="AM213" s="35">
        <f t="shared" si="33"/>
        <v>-0.16047684548372373</v>
      </c>
      <c r="AN213" s="35">
        <f t="shared" si="42"/>
        <v>10.177216460544221</v>
      </c>
      <c r="AO213" s="35" t="str">
        <f t="shared" si="36"/>
        <v>no</v>
      </c>
      <c r="AP213" s="35" t="str">
        <f t="shared" si="37"/>
        <v>no</v>
      </c>
      <c r="AQ213" s="35" t="str">
        <f t="shared" si="37"/>
        <v>FITS BITCH</v>
      </c>
      <c r="AR213" s="35" t="str">
        <f t="shared" si="38"/>
        <v>FITS BITCH</v>
      </c>
      <c r="AS213" s="35" t="str">
        <f t="shared" si="39"/>
        <v>no</v>
      </c>
      <c r="AT213" s="20" t="str">
        <f t="shared" si="40"/>
        <v/>
      </c>
      <c r="AU213" s="20" t="str">
        <f t="shared" si="41"/>
        <v/>
      </c>
      <c r="AV213" s="20"/>
      <c r="AW213" s="20"/>
      <c r="AX213" s="20"/>
      <c r="CL213" s="106">
        <v>42831</v>
      </c>
      <c r="CM213" s="107">
        <f t="shared" si="35"/>
        <v>101.2796358634846</v>
      </c>
    </row>
    <row r="214" spans="31:91" ht="15" customHeight="1">
      <c r="AE214" s="26">
        <f>Data!A209</f>
        <v>42657</v>
      </c>
      <c r="AF214" s="35">
        <f>Data!B209</f>
        <v>87.32</v>
      </c>
      <c r="AG214" s="35">
        <f>Data!F209</f>
        <v>1381436</v>
      </c>
      <c r="AH214" s="35">
        <f>Data!C209</f>
        <v>88.05</v>
      </c>
      <c r="AI214" s="35">
        <f>Data!D209</f>
        <v>86.91</v>
      </c>
      <c r="AJ214" s="35">
        <f>Data!E209</f>
        <v>87.56</v>
      </c>
      <c r="AK214" s="35">
        <f>Data!F209</f>
        <v>1381436</v>
      </c>
      <c r="AL214" s="35">
        <f t="shared" si="34"/>
        <v>87.56</v>
      </c>
      <c r="AM214" s="35">
        <f t="shared" si="33"/>
        <v>0.36546368204660501</v>
      </c>
      <c r="AN214" s="35">
        <f t="shared" si="42"/>
        <v>10.580801426920971</v>
      </c>
      <c r="AO214" s="35" t="str">
        <f t="shared" si="36"/>
        <v>no</v>
      </c>
      <c r="AP214" s="35" t="str">
        <f t="shared" si="37"/>
        <v>FITS BITCH</v>
      </c>
      <c r="AQ214" s="35" t="str">
        <f t="shared" si="37"/>
        <v>FITS BITCH</v>
      </c>
      <c r="AR214" s="35" t="str">
        <f t="shared" si="38"/>
        <v>no</v>
      </c>
      <c r="AS214" s="35" t="str">
        <f t="shared" si="39"/>
        <v>FITS BITCH</v>
      </c>
      <c r="AT214" s="20" t="str">
        <f t="shared" si="40"/>
        <v/>
      </c>
      <c r="AU214" s="20" t="str">
        <f t="shared" si="41"/>
        <v/>
      </c>
      <c r="AV214" s="20"/>
      <c r="AW214" s="20"/>
      <c r="AX214" s="20"/>
      <c r="CL214" s="106">
        <v>42830</v>
      </c>
      <c r="CM214" s="107">
        <f t="shared" si="35"/>
        <v>101.22634867506167</v>
      </c>
    </row>
    <row r="215" spans="31:91" ht="15" customHeight="1">
      <c r="AE215" s="26">
        <f>Data!A210</f>
        <v>42656</v>
      </c>
      <c r="AF215" s="35">
        <f>Data!B210</f>
        <v>86.43</v>
      </c>
      <c r="AG215" s="35">
        <f>Data!F210</f>
        <v>1367227</v>
      </c>
      <c r="AH215" s="35">
        <f>Data!C210</f>
        <v>87.19</v>
      </c>
      <c r="AI215" s="35">
        <f>Data!D210</f>
        <v>85.95</v>
      </c>
      <c r="AJ215" s="35">
        <f>Data!E210</f>
        <v>86.89</v>
      </c>
      <c r="AK215" s="35">
        <f>Data!F210</f>
        <v>1367227</v>
      </c>
      <c r="AL215" s="35">
        <f t="shared" si="34"/>
        <v>86.89</v>
      </c>
      <c r="AM215" s="35">
        <f t="shared" si="33"/>
        <v>-0.77108988376107923</v>
      </c>
      <c r="AN215" s="35">
        <f t="shared" si="42"/>
        <v>-1.0392568315283417</v>
      </c>
      <c r="AO215" s="35" t="str">
        <f t="shared" si="36"/>
        <v>no</v>
      </c>
      <c r="AP215" s="35" t="str">
        <f t="shared" si="37"/>
        <v>FITS BITCH</v>
      </c>
      <c r="AQ215" s="35" t="str">
        <f t="shared" si="37"/>
        <v>no</v>
      </c>
      <c r="AR215" s="35" t="str">
        <f t="shared" si="38"/>
        <v>FITS BITCH</v>
      </c>
      <c r="AS215" s="35" t="str">
        <f t="shared" si="39"/>
        <v>FITS BITCH</v>
      </c>
      <c r="AT215" s="20" t="str">
        <f t="shared" si="40"/>
        <v/>
      </c>
      <c r="AU215" s="20" t="str">
        <f t="shared" si="41"/>
        <v/>
      </c>
      <c r="AV215" s="20"/>
      <c r="AW215" s="20"/>
      <c r="AX215" s="20"/>
      <c r="CL215" s="106">
        <v>42829</v>
      </c>
      <c r="CM215" s="107">
        <f t="shared" si="35"/>
        <v>101.1730614866392</v>
      </c>
    </row>
    <row r="216" spans="31:91" ht="15" customHeight="1">
      <c r="AE216" s="26">
        <f>Data!A211</f>
        <v>42655</v>
      </c>
      <c r="AF216" s="35">
        <f>Data!B211</f>
        <v>86.28</v>
      </c>
      <c r="AG216" s="35">
        <f>Data!F211</f>
        <v>1138975</v>
      </c>
      <c r="AH216" s="35">
        <f>Data!C211</f>
        <v>87.13</v>
      </c>
      <c r="AI216" s="35">
        <f>Data!D211</f>
        <v>86.07</v>
      </c>
      <c r="AJ216" s="35">
        <f>Data!E211</f>
        <v>86.87</v>
      </c>
      <c r="AK216" s="35">
        <f>Data!F211</f>
        <v>1138975</v>
      </c>
      <c r="AL216" s="35">
        <f t="shared" si="34"/>
        <v>86.87</v>
      </c>
      <c r="AM216" s="35">
        <f t="shared" si="33"/>
        <v>-2.3022907793249704E-2</v>
      </c>
      <c r="AN216" s="35">
        <f t="shared" si="42"/>
        <v>-20.0401237955179</v>
      </c>
      <c r="AO216" s="35" t="str">
        <f t="shared" si="36"/>
        <v>FITS BITCH</v>
      </c>
      <c r="AP216" s="35" t="str">
        <f t="shared" si="37"/>
        <v>no</v>
      </c>
      <c r="AQ216" s="35" t="str">
        <f t="shared" si="37"/>
        <v>FITS BITCH</v>
      </c>
      <c r="AR216" s="35" t="str">
        <f t="shared" si="38"/>
        <v>FITS BITCH</v>
      </c>
      <c r="AS216" s="35" t="str">
        <f t="shared" si="39"/>
        <v>FITS BITCH</v>
      </c>
      <c r="AT216" s="20" t="str">
        <f t="shared" si="40"/>
        <v/>
      </c>
      <c r="AU216" s="20" t="str">
        <f t="shared" si="41"/>
        <v>BEARISH</v>
      </c>
      <c r="AV216" s="20"/>
      <c r="AW216" s="20"/>
      <c r="AX216" s="20"/>
      <c r="CL216" s="106">
        <v>42828</v>
      </c>
      <c r="CM216" s="107">
        <f t="shared" si="35"/>
        <v>101.11977429821627</v>
      </c>
    </row>
    <row r="217" spans="31:91" ht="15" customHeight="1">
      <c r="AE217" s="26">
        <f>Data!A212</f>
        <v>42654</v>
      </c>
      <c r="AF217" s="35">
        <f>Data!B212</f>
        <v>87.67</v>
      </c>
      <c r="AG217" s="35">
        <f>Data!F212</f>
        <v>1963464</v>
      </c>
      <c r="AH217" s="35">
        <f>Data!C212</f>
        <v>87.67</v>
      </c>
      <c r="AI217" s="35">
        <f>Data!D212</f>
        <v>85.72</v>
      </c>
      <c r="AJ217" s="35">
        <f>Data!E212</f>
        <v>86.09</v>
      </c>
      <c r="AK217" s="35">
        <f>Data!F212</f>
        <v>1963464</v>
      </c>
      <c r="AL217" s="35">
        <f t="shared" si="34"/>
        <v>86.09</v>
      </c>
      <c r="AM217" s="35">
        <f t="shared" si="33"/>
        <v>-0.90602857474735876</v>
      </c>
      <c r="AN217" s="35">
        <f t="shared" si="42"/>
        <v>41.991551665831409</v>
      </c>
      <c r="AO217" s="35" t="str">
        <f t="shared" si="36"/>
        <v>no</v>
      </c>
      <c r="AP217" s="35" t="str">
        <f t="shared" si="37"/>
        <v>no</v>
      </c>
      <c r="AQ217" s="35" t="str">
        <f t="shared" si="37"/>
        <v>no</v>
      </c>
      <c r="AR217" s="35" t="str">
        <f t="shared" si="38"/>
        <v>FITS BITCH</v>
      </c>
      <c r="AS217" s="35" t="str">
        <f t="shared" si="39"/>
        <v>no</v>
      </c>
      <c r="AT217" s="20" t="str">
        <f t="shared" si="40"/>
        <v/>
      </c>
      <c r="AU217" s="20" t="str">
        <f t="shared" si="41"/>
        <v/>
      </c>
      <c r="AV217" s="20"/>
      <c r="AW217" s="20"/>
      <c r="AX217" s="20"/>
      <c r="CL217" s="106">
        <v>42825</v>
      </c>
      <c r="CM217" s="107">
        <f t="shared" si="35"/>
        <v>100.95991273294794</v>
      </c>
    </row>
    <row r="218" spans="31:91" ht="15" customHeight="1">
      <c r="AE218" s="26">
        <f>Data!A213</f>
        <v>42653</v>
      </c>
      <c r="AF218" s="35">
        <f>Data!B213</f>
        <v>87.74</v>
      </c>
      <c r="AG218" s="35">
        <f>Data!F213</f>
        <v>1021300</v>
      </c>
      <c r="AH218" s="35">
        <f>Data!C213</f>
        <v>88.23</v>
      </c>
      <c r="AI218" s="35">
        <f>Data!D213</f>
        <v>87.63</v>
      </c>
      <c r="AJ218" s="35">
        <f>Data!E213</f>
        <v>87.77</v>
      </c>
      <c r="AK218" s="35">
        <f>Data!F213</f>
        <v>1021300</v>
      </c>
      <c r="AL218" s="35">
        <f t="shared" si="34"/>
        <v>87.77</v>
      </c>
      <c r="AM218" s="35">
        <f t="shared" si="33"/>
        <v>1.914093653868056</v>
      </c>
      <c r="AN218" s="35">
        <f t="shared" si="42"/>
        <v>-92.251444237736209</v>
      </c>
      <c r="AO218" s="35" t="str">
        <f t="shared" si="36"/>
        <v>FITS BITCH</v>
      </c>
      <c r="AP218" s="35" t="str">
        <f t="shared" si="37"/>
        <v>FITS BITCH</v>
      </c>
      <c r="AQ218" s="35" t="str">
        <f t="shared" si="37"/>
        <v>FITS BITCH</v>
      </c>
      <c r="AR218" s="35" t="str">
        <f t="shared" si="38"/>
        <v>FITS BITCH</v>
      </c>
      <c r="AS218" s="35" t="str">
        <f t="shared" si="39"/>
        <v>FITS BITCH</v>
      </c>
      <c r="AT218" s="20" t="str">
        <f t="shared" si="40"/>
        <v>BULLISH</v>
      </c>
      <c r="AU218" s="20" t="str">
        <f t="shared" si="41"/>
        <v>BEARISH</v>
      </c>
      <c r="AV218" s="20"/>
      <c r="AW218" s="20"/>
      <c r="AX218" s="20"/>
      <c r="CL218" s="106">
        <v>42824</v>
      </c>
      <c r="CM218" s="107">
        <f t="shared" si="35"/>
        <v>100.90662554452501</v>
      </c>
    </row>
    <row r="219" spans="31:91" ht="15" customHeight="1">
      <c r="AE219" s="26">
        <f>Data!A214</f>
        <v>42650</v>
      </c>
      <c r="AF219" s="35">
        <f>Data!B214</f>
        <v>87.79</v>
      </c>
      <c r="AG219" s="35">
        <f>Data!F214</f>
        <v>1580128</v>
      </c>
      <c r="AH219" s="35">
        <f>Data!C214</f>
        <v>87.79</v>
      </c>
      <c r="AI219" s="35">
        <f>Data!D214</f>
        <v>86.86</v>
      </c>
      <c r="AJ219" s="35">
        <f>Data!E214</f>
        <v>87.37</v>
      </c>
      <c r="AK219" s="35">
        <f>Data!F214</f>
        <v>1580128</v>
      </c>
      <c r="AL219" s="35">
        <f t="shared" si="34"/>
        <v>87.37</v>
      </c>
      <c r="AM219" s="35">
        <f t="shared" si="33"/>
        <v>-0.45782305139062779</v>
      </c>
      <c r="AN219" s="35">
        <f t="shared" si="42"/>
        <v>35.36599566617388</v>
      </c>
      <c r="AO219" s="35" t="str">
        <f t="shared" si="36"/>
        <v>no</v>
      </c>
      <c r="AP219" s="35" t="str">
        <f t="shared" si="37"/>
        <v>FITS BITCH</v>
      </c>
      <c r="AQ219" s="35" t="str">
        <f t="shared" si="37"/>
        <v>FITS BITCH</v>
      </c>
      <c r="AR219" s="35" t="str">
        <f t="shared" si="38"/>
        <v>FITS BITCH</v>
      </c>
      <c r="AS219" s="35" t="str">
        <f t="shared" si="39"/>
        <v>no</v>
      </c>
      <c r="AT219" s="20" t="str">
        <f t="shared" si="40"/>
        <v/>
      </c>
      <c r="AU219" s="20" t="str">
        <f t="shared" si="41"/>
        <v/>
      </c>
      <c r="AV219" s="20"/>
      <c r="AW219" s="20"/>
      <c r="AX219" s="20"/>
      <c r="CL219" s="106">
        <v>42823</v>
      </c>
      <c r="CM219" s="107">
        <f t="shared" si="35"/>
        <v>100.85333835610254</v>
      </c>
    </row>
    <row r="220" spans="31:91" ht="15" customHeight="1">
      <c r="AE220" s="26">
        <f>Data!A215</f>
        <v>42649</v>
      </c>
      <c r="AF220" s="35">
        <f>Data!B215</f>
        <v>87.25</v>
      </c>
      <c r="AG220" s="35">
        <f>Data!F215</f>
        <v>1341061</v>
      </c>
      <c r="AH220" s="35">
        <f>Data!C215</f>
        <v>87.7</v>
      </c>
      <c r="AI220" s="35">
        <f>Data!D215</f>
        <v>86.78</v>
      </c>
      <c r="AJ220" s="35">
        <f>Data!E215</f>
        <v>87.56</v>
      </c>
      <c r="AK220" s="35">
        <f>Data!F215</f>
        <v>1341061</v>
      </c>
      <c r="AL220" s="35">
        <f t="shared" si="34"/>
        <v>87.56</v>
      </c>
      <c r="AM220" s="35">
        <f t="shared" si="33"/>
        <v>0.21699406121516415</v>
      </c>
      <c r="AN220" s="35">
        <f t="shared" si="42"/>
        <v>-17.826705869457093</v>
      </c>
      <c r="AO220" s="35" t="str">
        <f t="shared" si="36"/>
        <v>FITS BITCH</v>
      </c>
      <c r="AP220" s="35" t="str">
        <f t="shared" si="37"/>
        <v>no</v>
      </c>
      <c r="AQ220" s="35" t="str">
        <f t="shared" si="37"/>
        <v>no</v>
      </c>
      <c r="AR220" s="35" t="str">
        <f t="shared" si="38"/>
        <v>FITS BITCH</v>
      </c>
      <c r="AS220" s="35" t="str">
        <f t="shared" si="39"/>
        <v>no</v>
      </c>
      <c r="AT220" s="20" t="str">
        <f t="shared" si="40"/>
        <v/>
      </c>
      <c r="AU220" s="20" t="str">
        <f t="shared" si="41"/>
        <v/>
      </c>
      <c r="AV220" s="20"/>
      <c r="AW220" s="20"/>
      <c r="AX220" s="20"/>
      <c r="CL220" s="106">
        <v>42822</v>
      </c>
      <c r="CM220" s="107">
        <f t="shared" si="35"/>
        <v>100.80005116767961</v>
      </c>
    </row>
    <row r="221" spans="31:91" ht="15" customHeight="1">
      <c r="AE221" s="26">
        <f>Data!A216</f>
        <v>42648</v>
      </c>
      <c r="AF221" s="35">
        <f>Data!B216</f>
        <v>87.64</v>
      </c>
      <c r="AG221" s="35">
        <f>Data!F216</f>
        <v>1315461</v>
      </c>
      <c r="AH221" s="35">
        <f>Data!C216</f>
        <v>87.78</v>
      </c>
      <c r="AI221" s="35">
        <f>Data!D216</f>
        <v>87.08</v>
      </c>
      <c r="AJ221" s="35">
        <f>Data!E216</f>
        <v>87.58</v>
      </c>
      <c r="AK221" s="35">
        <f>Data!F216</f>
        <v>1315461</v>
      </c>
      <c r="AL221" s="35">
        <f t="shared" si="34"/>
        <v>87.58</v>
      </c>
      <c r="AM221" s="35">
        <f t="shared" si="33"/>
        <v>2.2836263987207148E-2</v>
      </c>
      <c r="AN221" s="35">
        <f t="shared" si="42"/>
        <v>-1.9460858208643204</v>
      </c>
      <c r="AO221" s="35" t="str">
        <f t="shared" si="36"/>
        <v>no</v>
      </c>
      <c r="AP221" s="35" t="str">
        <f t="shared" si="37"/>
        <v>no</v>
      </c>
      <c r="AQ221" s="35" t="str">
        <f t="shared" si="37"/>
        <v>FITS BITCH</v>
      </c>
      <c r="AR221" s="35" t="str">
        <f t="shared" si="38"/>
        <v>FITS BITCH</v>
      </c>
      <c r="AS221" s="35" t="str">
        <f t="shared" si="39"/>
        <v>FITS BITCH</v>
      </c>
      <c r="AT221" s="20" t="str">
        <f t="shared" si="40"/>
        <v/>
      </c>
      <c r="AU221" s="20" t="str">
        <f t="shared" si="41"/>
        <v/>
      </c>
      <c r="AV221" s="20"/>
      <c r="AW221" s="20"/>
      <c r="AX221" s="20"/>
      <c r="CL221" s="106">
        <v>42821</v>
      </c>
      <c r="CM221" s="107">
        <f t="shared" si="35"/>
        <v>100.74676397925668</v>
      </c>
    </row>
    <row r="222" spans="31:91" ht="15" customHeight="1">
      <c r="AE222" s="26">
        <f>Data!A217</f>
        <v>42647</v>
      </c>
      <c r="AF222" s="35">
        <f>Data!B217</f>
        <v>87.82</v>
      </c>
      <c r="AG222" s="35">
        <f>Data!F217</f>
        <v>1529772</v>
      </c>
      <c r="AH222" s="35">
        <f>Data!C217</f>
        <v>87.99</v>
      </c>
      <c r="AI222" s="35">
        <f>Data!D217</f>
        <v>86.95</v>
      </c>
      <c r="AJ222" s="35">
        <f>Data!E217</f>
        <v>87.17</v>
      </c>
      <c r="AK222" s="35">
        <f>Data!F217</f>
        <v>1529772</v>
      </c>
      <c r="AL222" s="35">
        <f t="shared" si="34"/>
        <v>87.17</v>
      </c>
      <c r="AM222" s="35">
        <f t="shared" si="33"/>
        <v>-0.47034530228289156</v>
      </c>
      <c r="AN222" s="35">
        <f t="shared" si="42"/>
        <v>14.009342568696512</v>
      </c>
      <c r="AO222" s="35" t="str">
        <f t="shared" si="36"/>
        <v>no</v>
      </c>
      <c r="AP222" s="35" t="str">
        <f t="shared" si="37"/>
        <v>no</v>
      </c>
      <c r="AQ222" s="35" t="str">
        <f t="shared" si="37"/>
        <v>no</v>
      </c>
      <c r="AR222" s="35" t="str">
        <f t="shared" si="38"/>
        <v>FITS BITCH</v>
      </c>
      <c r="AS222" s="35" t="str">
        <f t="shared" si="39"/>
        <v>no</v>
      </c>
      <c r="AT222" s="20" t="str">
        <f t="shared" si="40"/>
        <v/>
      </c>
      <c r="AU222" s="20" t="str">
        <f t="shared" si="41"/>
        <v/>
      </c>
      <c r="AV222" s="20"/>
      <c r="AW222" s="20"/>
      <c r="AX222" s="20"/>
      <c r="CL222" s="106">
        <v>42818</v>
      </c>
      <c r="CM222" s="107">
        <f t="shared" si="35"/>
        <v>100.58690241398835</v>
      </c>
    </row>
    <row r="223" spans="31:91" ht="15" customHeight="1">
      <c r="AE223" s="26">
        <f>Data!A218</f>
        <v>42646</v>
      </c>
      <c r="AF223" s="35">
        <f>Data!B218</f>
        <v>88.16</v>
      </c>
      <c r="AG223" s="35">
        <f>Data!F218</f>
        <v>1364044</v>
      </c>
      <c r="AH223" s="35">
        <f>Data!C218</f>
        <v>88.16</v>
      </c>
      <c r="AI223" s="35">
        <f>Data!D218</f>
        <v>87.55</v>
      </c>
      <c r="AJ223" s="35">
        <f>Data!E218</f>
        <v>87.63</v>
      </c>
      <c r="AK223" s="35">
        <f>Data!F218</f>
        <v>1364044</v>
      </c>
      <c r="AL223" s="35">
        <f t="shared" si="34"/>
        <v>87.63</v>
      </c>
      <c r="AM223" s="35">
        <f t="shared" si="33"/>
        <v>0.52493438320209262</v>
      </c>
      <c r="AN223" s="35">
        <f t="shared" si="42"/>
        <v>-12.149754699995015</v>
      </c>
      <c r="AO223" s="35" t="str">
        <f t="shared" si="36"/>
        <v>FITS BITCH</v>
      </c>
      <c r="AP223" s="35" t="str">
        <f t="shared" si="37"/>
        <v>no</v>
      </c>
      <c r="AQ223" s="35" t="str">
        <f t="shared" si="37"/>
        <v>FITS BITCH</v>
      </c>
      <c r="AR223" s="35" t="str">
        <f t="shared" si="38"/>
        <v>FITS BITCH</v>
      </c>
      <c r="AS223" s="35" t="str">
        <f t="shared" si="39"/>
        <v>no</v>
      </c>
      <c r="AT223" s="20" t="str">
        <f t="shared" si="40"/>
        <v/>
      </c>
      <c r="AU223" s="20" t="str">
        <f t="shared" si="41"/>
        <v/>
      </c>
      <c r="AV223" s="20"/>
      <c r="AW223" s="20"/>
      <c r="AX223" s="20"/>
      <c r="CL223" s="106">
        <v>42817</v>
      </c>
      <c r="CM223" s="107">
        <f t="shared" si="35"/>
        <v>100.53361522556588</v>
      </c>
    </row>
    <row r="224" spans="31:91" ht="15" customHeight="1">
      <c r="AE224" s="26">
        <f>Data!A219</f>
        <v>42643</v>
      </c>
      <c r="AF224" s="35">
        <f>Data!B219</f>
        <v>87.39</v>
      </c>
      <c r="AG224" s="35">
        <f>Data!F219</f>
        <v>2689838</v>
      </c>
      <c r="AH224" s="35">
        <f>Data!C219</f>
        <v>88.49</v>
      </c>
      <c r="AI224" s="35">
        <f>Data!D219</f>
        <v>87.17</v>
      </c>
      <c r="AJ224" s="35">
        <f>Data!E219</f>
        <v>88.2</v>
      </c>
      <c r="AK224" s="35">
        <f>Data!F219</f>
        <v>2689838</v>
      </c>
      <c r="AL224" s="35">
        <f t="shared" si="34"/>
        <v>88.2</v>
      </c>
      <c r="AM224" s="35">
        <f t="shared" si="33"/>
        <v>0.64625850340136892</v>
      </c>
      <c r="AN224" s="35">
        <f t="shared" si="42"/>
        <v>49.288990638097907</v>
      </c>
      <c r="AO224" s="35" t="str">
        <f t="shared" si="36"/>
        <v>no</v>
      </c>
      <c r="AP224" s="35" t="str">
        <f t="shared" si="37"/>
        <v>FITS BITCH</v>
      </c>
      <c r="AQ224" s="35" t="str">
        <f t="shared" si="37"/>
        <v>no</v>
      </c>
      <c r="AR224" s="35" t="str">
        <f t="shared" si="38"/>
        <v>no</v>
      </c>
      <c r="AS224" s="35" t="str">
        <f t="shared" si="39"/>
        <v>FITS BITCH</v>
      </c>
      <c r="AT224" s="20" t="str">
        <f t="shared" si="40"/>
        <v/>
      </c>
      <c r="AU224" s="20" t="str">
        <f t="shared" si="41"/>
        <v/>
      </c>
      <c r="AV224" s="20"/>
      <c r="AW224" s="20"/>
      <c r="AX224" s="20"/>
      <c r="CL224" s="106">
        <v>42816</v>
      </c>
      <c r="CM224" s="107">
        <f t="shared" si="35"/>
        <v>100.48032803714295</v>
      </c>
    </row>
    <row r="225" spans="31:91" ht="15" customHeight="1">
      <c r="AE225" s="26">
        <f>Data!A220</f>
        <v>42642</v>
      </c>
      <c r="AF225" s="35">
        <f>Data!B220</f>
        <v>87.41</v>
      </c>
      <c r="AG225" s="35">
        <f>Data!F220</f>
        <v>1629029</v>
      </c>
      <c r="AH225" s="35">
        <f>Data!C220</f>
        <v>88.17</v>
      </c>
      <c r="AI225" s="35">
        <f>Data!D220</f>
        <v>87.2</v>
      </c>
      <c r="AJ225" s="35">
        <f>Data!E220</f>
        <v>87.21</v>
      </c>
      <c r="AK225" s="35">
        <f>Data!F220</f>
        <v>1629029</v>
      </c>
      <c r="AL225" s="35">
        <f t="shared" si="34"/>
        <v>87.21</v>
      </c>
      <c r="AM225" s="35">
        <f t="shared" si="33"/>
        <v>-1.1351909184726627</v>
      </c>
      <c r="AN225" s="35">
        <f t="shared" si="42"/>
        <v>-65.119098555028799</v>
      </c>
      <c r="AO225" s="35" t="str">
        <f t="shared" si="36"/>
        <v>FITS BITCH</v>
      </c>
      <c r="AP225" s="35" t="str">
        <f t="shared" si="37"/>
        <v>no</v>
      </c>
      <c r="AQ225" s="35" t="str">
        <f t="shared" si="37"/>
        <v>FITS BITCH</v>
      </c>
      <c r="AR225" s="35" t="str">
        <f t="shared" si="38"/>
        <v>FITS BITCH</v>
      </c>
      <c r="AS225" s="35" t="str">
        <f t="shared" si="39"/>
        <v>no</v>
      </c>
      <c r="AT225" s="20" t="str">
        <f t="shared" si="40"/>
        <v/>
      </c>
      <c r="AU225" s="20" t="str">
        <f t="shared" si="41"/>
        <v/>
      </c>
      <c r="AV225" s="20"/>
      <c r="AW225" s="20"/>
      <c r="AX225" s="20"/>
      <c r="CL225" s="106">
        <v>42815</v>
      </c>
      <c r="CM225" s="107">
        <f t="shared" si="35"/>
        <v>100.42704084872003</v>
      </c>
    </row>
    <row r="226" spans="31:91" ht="15" customHeight="1">
      <c r="AE226" s="26">
        <f>Data!A221</f>
        <v>42641</v>
      </c>
      <c r="AF226" s="35">
        <f>Data!B221</f>
        <v>89.09</v>
      </c>
      <c r="AG226" s="35">
        <f>Data!F221</f>
        <v>2095348</v>
      </c>
      <c r="AH226" s="35">
        <f>Data!C221</f>
        <v>89.09</v>
      </c>
      <c r="AI226" s="35">
        <f>Data!D221</f>
        <v>87.11</v>
      </c>
      <c r="AJ226" s="35">
        <f>Data!E221</f>
        <v>87.45</v>
      </c>
      <c r="AK226" s="35">
        <f>Data!F221</f>
        <v>2095348</v>
      </c>
      <c r="AL226" s="35">
        <f t="shared" si="34"/>
        <v>87.45</v>
      </c>
      <c r="AM226" s="35">
        <f t="shared" si="33"/>
        <v>0.27444253859349238</v>
      </c>
      <c r="AN226" s="35">
        <f t="shared" si="42"/>
        <v>22.254966716745859</v>
      </c>
      <c r="AO226" s="35" t="str">
        <f t="shared" si="36"/>
        <v>no</v>
      </c>
      <c r="AP226" s="35" t="str">
        <f t="shared" si="37"/>
        <v>FITS BITCH</v>
      </c>
      <c r="AQ226" s="35" t="str">
        <f t="shared" si="37"/>
        <v>no</v>
      </c>
      <c r="AR226" s="35" t="str">
        <f t="shared" si="38"/>
        <v>FITS BITCH</v>
      </c>
      <c r="AS226" s="35" t="str">
        <f t="shared" si="39"/>
        <v>no</v>
      </c>
      <c r="AT226" s="20" t="str">
        <f t="shared" si="40"/>
        <v/>
      </c>
      <c r="AU226" s="20" t="str">
        <f t="shared" si="41"/>
        <v/>
      </c>
      <c r="AV226" s="20"/>
      <c r="AW226" s="20"/>
      <c r="AX226" s="20"/>
      <c r="CL226" s="106">
        <v>42814</v>
      </c>
      <c r="CM226" s="107">
        <f t="shared" si="35"/>
        <v>100.37375366029755</v>
      </c>
    </row>
    <row r="227" spans="31:91" ht="15" customHeight="1">
      <c r="AE227" s="26">
        <f>Data!A222</f>
        <v>42640</v>
      </c>
      <c r="AF227" s="35">
        <f>Data!B222</f>
        <v>88.28</v>
      </c>
      <c r="AG227" s="35">
        <f>Data!F222</f>
        <v>1269438</v>
      </c>
      <c r="AH227" s="35">
        <f>Data!C222</f>
        <v>89.07</v>
      </c>
      <c r="AI227" s="35">
        <f>Data!D222</f>
        <v>88.1</v>
      </c>
      <c r="AJ227" s="35">
        <f>Data!E222</f>
        <v>88.95</v>
      </c>
      <c r="AK227" s="35">
        <f>Data!F222</f>
        <v>1269438</v>
      </c>
      <c r="AL227" s="35">
        <f t="shared" si="34"/>
        <v>88.95</v>
      </c>
      <c r="AM227" s="35">
        <f t="shared" si="33"/>
        <v>1.6863406408094435</v>
      </c>
      <c r="AN227" s="35">
        <f t="shared" si="42"/>
        <v>-65.061074270661507</v>
      </c>
      <c r="AO227" s="35" t="str">
        <f t="shared" si="36"/>
        <v>FITS BITCH</v>
      </c>
      <c r="AP227" s="35" t="str">
        <f t="shared" si="37"/>
        <v>FITS BITCH</v>
      </c>
      <c r="AQ227" s="35" t="str">
        <f t="shared" si="37"/>
        <v>FITS BITCH</v>
      </c>
      <c r="AR227" s="35" t="str">
        <f t="shared" si="38"/>
        <v>no</v>
      </c>
      <c r="AS227" s="35" t="str">
        <f t="shared" si="39"/>
        <v>FITS BITCH</v>
      </c>
      <c r="AT227" s="20" t="str">
        <f t="shared" si="40"/>
        <v/>
      </c>
      <c r="AU227" s="20" t="str">
        <f t="shared" si="41"/>
        <v>BEARISH</v>
      </c>
      <c r="AV227" s="20"/>
      <c r="AW227" s="20"/>
      <c r="AX227" s="20"/>
      <c r="CL227" s="106">
        <v>42811</v>
      </c>
      <c r="CM227" s="107">
        <f t="shared" si="35"/>
        <v>100.21389209502922</v>
      </c>
    </row>
    <row r="228" spans="31:91" ht="15" customHeight="1">
      <c r="AE228" s="26">
        <f>Data!A223</f>
        <v>42639</v>
      </c>
      <c r="AF228" s="35">
        <f>Data!B223</f>
        <v>87.91</v>
      </c>
      <c r="AG228" s="35">
        <f>Data!F223</f>
        <v>1102582</v>
      </c>
      <c r="AH228" s="35">
        <f>Data!C223</f>
        <v>88.45</v>
      </c>
      <c r="AI228" s="35">
        <f>Data!D223</f>
        <v>87.86</v>
      </c>
      <c r="AJ228" s="35">
        <f>Data!E223</f>
        <v>88.19</v>
      </c>
      <c r="AK228" s="35">
        <f>Data!F223</f>
        <v>1102582</v>
      </c>
      <c r="AL228" s="35">
        <f t="shared" si="34"/>
        <v>88.19</v>
      </c>
      <c r="AM228" s="35">
        <f t="shared" si="33"/>
        <v>-0.86177571153192556</v>
      </c>
      <c r="AN228" s="35">
        <f t="shared" si="42"/>
        <v>-15.133205512152385</v>
      </c>
      <c r="AO228" s="35" t="str">
        <f t="shared" si="36"/>
        <v>FITS BITCH</v>
      </c>
      <c r="AP228" s="35" t="str">
        <f t="shared" si="37"/>
        <v>no</v>
      </c>
      <c r="AQ228" s="35" t="str">
        <f t="shared" si="37"/>
        <v>no</v>
      </c>
      <c r="AR228" s="35" t="str">
        <f t="shared" si="38"/>
        <v>FITS BITCH</v>
      </c>
      <c r="AS228" s="35" t="str">
        <f t="shared" si="39"/>
        <v>no</v>
      </c>
      <c r="AT228" s="20" t="str">
        <f t="shared" si="40"/>
        <v/>
      </c>
      <c r="AU228" s="20" t="str">
        <f t="shared" si="41"/>
        <v/>
      </c>
      <c r="AV228" s="20"/>
      <c r="AW228" s="20"/>
      <c r="AX228" s="20"/>
      <c r="CL228" s="106">
        <v>42810</v>
      </c>
      <c r="CM228" s="107">
        <f t="shared" si="35"/>
        <v>100.1606049066063</v>
      </c>
    </row>
    <row r="229" spans="31:91" ht="15" customHeight="1">
      <c r="AE229" s="26">
        <f>Data!A224</f>
        <v>42636</v>
      </c>
      <c r="AF229" s="35">
        <f>Data!B224</f>
        <v>88.65</v>
      </c>
      <c r="AG229" s="35">
        <f>Data!F224</f>
        <v>1431964</v>
      </c>
      <c r="AH229" s="35">
        <f>Data!C224</f>
        <v>89.24</v>
      </c>
      <c r="AI229" s="35">
        <f>Data!D224</f>
        <v>88.45</v>
      </c>
      <c r="AJ229" s="35">
        <f>Data!E224</f>
        <v>88.47</v>
      </c>
      <c r="AK229" s="35">
        <f>Data!F224</f>
        <v>1431964</v>
      </c>
      <c r="AL229" s="35">
        <f t="shared" si="34"/>
        <v>88.47</v>
      </c>
      <c r="AM229" s="35">
        <f t="shared" si="33"/>
        <v>0.31649146603368505</v>
      </c>
      <c r="AN229" s="35">
        <f t="shared" si="42"/>
        <v>23.002114578299455</v>
      </c>
      <c r="AO229" s="35" t="str">
        <f t="shared" si="36"/>
        <v>no</v>
      </c>
      <c r="AP229" s="35" t="str">
        <f t="shared" si="37"/>
        <v>no</v>
      </c>
      <c r="AQ229" s="35" t="str">
        <f t="shared" si="37"/>
        <v>no</v>
      </c>
      <c r="AR229" s="35" t="str">
        <f t="shared" si="38"/>
        <v>FITS BITCH</v>
      </c>
      <c r="AS229" s="35" t="str">
        <f t="shared" si="39"/>
        <v>no</v>
      </c>
      <c r="AT229" s="20" t="str">
        <f t="shared" si="40"/>
        <v/>
      </c>
      <c r="AU229" s="20" t="str">
        <f t="shared" si="41"/>
        <v/>
      </c>
      <c r="AV229" s="20"/>
      <c r="AW229" s="20"/>
      <c r="AX229" s="20"/>
      <c r="CL229" s="106">
        <v>42809</v>
      </c>
      <c r="CM229" s="107">
        <f t="shared" si="35"/>
        <v>100.10731771818382</v>
      </c>
    </row>
    <row r="230" spans="31:91" ht="15" customHeight="1">
      <c r="AE230" s="26">
        <f>Data!A225</f>
        <v>42635</v>
      </c>
      <c r="AF230" s="35">
        <f>Data!B225</f>
        <v>89.53</v>
      </c>
      <c r="AG230" s="35">
        <f>Data!F225</f>
        <v>1622524</v>
      </c>
      <c r="AH230" s="35">
        <f>Data!C225</f>
        <v>89.81</v>
      </c>
      <c r="AI230" s="35">
        <f>Data!D225</f>
        <v>89.17</v>
      </c>
      <c r="AJ230" s="35">
        <f>Data!E225</f>
        <v>89.46</v>
      </c>
      <c r="AK230" s="35">
        <f>Data!F225</f>
        <v>1622524</v>
      </c>
      <c r="AL230" s="35">
        <f t="shared" si="34"/>
        <v>89.46</v>
      </c>
      <c r="AM230" s="35">
        <f t="shared" si="33"/>
        <v>1.1066398390341996</v>
      </c>
      <c r="AN230" s="35">
        <f t="shared" si="42"/>
        <v>11.744664485702524</v>
      </c>
      <c r="AO230" s="35" t="str">
        <f t="shared" si="36"/>
        <v>no</v>
      </c>
      <c r="AP230" s="35" t="str">
        <f t="shared" si="37"/>
        <v>FITS BITCH</v>
      </c>
      <c r="AQ230" s="35" t="str">
        <f t="shared" si="37"/>
        <v>FITS BITCH</v>
      </c>
      <c r="AR230" s="35" t="str">
        <f t="shared" si="38"/>
        <v>no</v>
      </c>
      <c r="AS230" s="35" t="str">
        <f t="shared" si="39"/>
        <v>FITS BITCH</v>
      </c>
      <c r="AT230" s="20" t="str">
        <f t="shared" si="40"/>
        <v/>
      </c>
      <c r="AU230" s="20" t="str">
        <f t="shared" si="41"/>
        <v/>
      </c>
      <c r="AV230" s="20"/>
      <c r="AW230" s="20"/>
      <c r="AX230" s="20"/>
      <c r="CL230" s="106">
        <v>42808</v>
      </c>
      <c r="CM230" s="107">
        <f t="shared" si="35"/>
        <v>100.05403052976089</v>
      </c>
    </row>
    <row r="231" spans="31:91" ht="15" customHeight="1">
      <c r="AE231" s="26">
        <f>Data!A226</f>
        <v>42634</v>
      </c>
      <c r="AF231" s="35">
        <f>Data!B226</f>
        <v>87.82</v>
      </c>
      <c r="AG231" s="35">
        <f>Data!F226</f>
        <v>1796977</v>
      </c>
      <c r="AH231" s="35">
        <f>Data!C226</f>
        <v>88.97</v>
      </c>
      <c r="AI231" s="35">
        <f>Data!D226</f>
        <v>87.71</v>
      </c>
      <c r="AJ231" s="35">
        <f>Data!E226</f>
        <v>88.88</v>
      </c>
      <c r="AK231" s="35">
        <f>Data!F226</f>
        <v>1796977</v>
      </c>
      <c r="AL231" s="35">
        <f t="shared" si="34"/>
        <v>88.88</v>
      </c>
      <c r="AM231" s="35">
        <f t="shared" si="33"/>
        <v>-0.65256525652565067</v>
      </c>
      <c r="AN231" s="35">
        <f t="shared" si="42"/>
        <v>9.7081376111102156</v>
      </c>
      <c r="AO231" s="35" t="str">
        <f t="shared" si="36"/>
        <v>no</v>
      </c>
      <c r="AP231" s="35" t="str">
        <f t="shared" si="37"/>
        <v>FITS BITCH</v>
      </c>
      <c r="AQ231" s="35" t="str">
        <f t="shared" si="37"/>
        <v>FITS BITCH</v>
      </c>
      <c r="AR231" s="35" t="str">
        <f t="shared" si="38"/>
        <v>no</v>
      </c>
      <c r="AS231" s="35" t="str">
        <f t="shared" si="39"/>
        <v>FITS BITCH</v>
      </c>
      <c r="AT231" s="20" t="str">
        <f t="shared" si="40"/>
        <v/>
      </c>
      <c r="AU231" s="20" t="str">
        <f t="shared" si="41"/>
        <v/>
      </c>
      <c r="AV231" s="20"/>
      <c r="AW231" s="20"/>
      <c r="AX231" s="20"/>
      <c r="CL231" s="106">
        <v>42807</v>
      </c>
      <c r="CM231" s="107">
        <f t="shared" si="35"/>
        <v>100.00074334133797</v>
      </c>
    </row>
    <row r="232" spans="31:91" ht="15" customHeight="1">
      <c r="AE232" s="26">
        <f>Data!A227</f>
        <v>42633</v>
      </c>
      <c r="AF232" s="35">
        <f>Data!B227</f>
        <v>87.12</v>
      </c>
      <c r="AG232" s="35">
        <f>Data!F227</f>
        <v>1738728</v>
      </c>
      <c r="AH232" s="35">
        <f>Data!C227</f>
        <v>88.09</v>
      </c>
      <c r="AI232" s="35">
        <f>Data!D227</f>
        <v>86.93</v>
      </c>
      <c r="AJ232" s="35">
        <f>Data!E227</f>
        <v>87.79</v>
      </c>
      <c r="AK232" s="35">
        <f>Data!F227</f>
        <v>1738728</v>
      </c>
      <c r="AL232" s="35">
        <f t="shared" si="34"/>
        <v>87.79</v>
      </c>
      <c r="AM232" s="35">
        <f t="shared" si="33"/>
        <v>-1.2415992709875716</v>
      </c>
      <c r="AN232" s="35">
        <f t="shared" si="42"/>
        <v>-3.3500927114534305</v>
      </c>
      <c r="AO232" s="35" t="str">
        <f t="shared" si="36"/>
        <v>no</v>
      </c>
      <c r="AP232" s="35" t="str">
        <f t="shared" si="37"/>
        <v>FITS BITCH</v>
      </c>
      <c r="AQ232" s="35" t="str">
        <f t="shared" si="37"/>
        <v>FITS BITCH</v>
      </c>
      <c r="AR232" s="35" t="str">
        <f t="shared" si="38"/>
        <v>no</v>
      </c>
      <c r="AS232" s="35" t="str">
        <f t="shared" si="39"/>
        <v>FITS BITCH</v>
      </c>
      <c r="AT232" s="20" t="str">
        <f t="shared" si="40"/>
        <v/>
      </c>
      <c r="AU232" s="20" t="str">
        <f t="shared" si="41"/>
        <v/>
      </c>
      <c r="AV232" s="20"/>
      <c r="AW232" s="20"/>
      <c r="AX232" s="20"/>
      <c r="CL232" s="106">
        <v>42804</v>
      </c>
      <c r="CM232" s="107">
        <f t="shared" si="35"/>
        <v>99.840881776069637</v>
      </c>
    </row>
    <row r="233" spans="31:91" ht="15" customHeight="1">
      <c r="AE233" s="26">
        <f>Data!A228</f>
        <v>42632</v>
      </c>
      <c r="AF233" s="35">
        <f>Data!B228</f>
        <v>87.09</v>
      </c>
      <c r="AG233" s="35">
        <f>Data!F228</f>
        <v>1690886</v>
      </c>
      <c r="AH233" s="35">
        <f>Data!C228</f>
        <v>87.4</v>
      </c>
      <c r="AI233" s="35">
        <f>Data!D228</f>
        <v>86.45</v>
      </c>
      <c r="AJ233" s="35">
        <f>Data!E228</f>
        <v>86.56</v>
      </c>
      <c r="AK233" s="35">
        <f>Data!F228</f>
        <v>1690886</v>
      </c>
      <c r="AL233" s="35">
        <f t="shared" si="34"/>
        <v>86.56</v>
      </c>
      <c r="AM233" s="35">
        <f t="shared" si="33"/>
        <v>-1.4209796672828143</v>
      </c>
      <c r="AN233" s="35">
        <f t="shared" si="42"/>
        <v>-2.8294042294986181</v>
      </c>
      <c r="AO233" s="35" t="str">
        <f t="shared" si="36"/>
        <v>no</v>
      </c>
      <c r="AP233" s="35" t="str">
        <f t="shared" si="37"/>
        <v>FITS BITCH</v>
      </c>
      <c r="AQ233" s="35" t="str">
        <f t="shared" si="37"/>
        <v>FITS BITCH</v>
      </c>
      <c r="AR233" s="35" t="str">
        <f t="shared" si="38"/>
        <v>FITS BITCH</v>
      </c>
      <c r="AS233" s="35" t="str">
        <f t="shared" si="39"/>
        <v>no</v>
      </c>
      <c r="AT233" s="20" t="str">
        <f t="shared" si="40"/>
        <v/>
      </c>
      <c r="AU233" s="20" t="str">
        <f t="shared" si="41"/>
        <v/>
      </c>
      <c r="AV233" s="20"/>
      <c r="AW233" s="20"/>
      <c r="AX233" s="20"/>
      <c r="CL233" s="106">
        <v>42803</v>
      </c>
      <c r="CM233" s="107">
        <f t="shared" si="35"/>
        <v>99.787594587647163</v>
      </c>
    </row>
    <row r="234" spans="31:91" ht="15" customHeight="1">
      <c r="AE234" s="26">
        <f>Data!A229</f>
        <v>42629</v>
      </c>
      <c r="AF234" s="35">
        <f>Data!B229</f>
        <v>87.15</v>
      </c>
      <c r="AG234" s="35">
        <f>Data!F229</f>
        <v>2632442</v>
      </c>
      <c r="AH234" s="35">
        <f>Data!C229</f>
        <v>87.18</v>
      </c>
      <c r="AI234" s="35">
        <f>Data!D229</f>
        <v>86.21</v>
      </c>
      <c r="AJ234" s="35">
        <f>Data!E229</f>
        <v>86.75</v>
      </c>
      <c r="AK234" s="35">
        <f>Data!F229</f>
        <v>2632442</v>
      </c>
      <c r="AL234" s="35">
        <f t="shared" si="34"/>
        <v>86.75</v>
      </c>
      <c r="AM234" s="35">
        <f t="shared" si="33"/>
        <v>0.2190201729106602</v>
      </c>
      <c r="AN234" s="35">
        <f t="shared" si="42"/>
        <v>35.767397724242358</v>
      </c>
      <c r="AO234" s="35" t="str">
        <f t="shared" si="36"/>
        <v>no</v>
      </c>
      <c r="AP234" s="35" t="str">
        <f t="shared" si="37"/>
        <v>no</v>
      </c>
      <c r="AQ234" s="35" t="str">
        <f t="shared" si="37"/>
        <v>no</v>
      </c>
      <c r="AR234" s="35" t="str">
        <f t="shared" si="38"/>
        <v>FITS BITCH</v>
      </c>
      <c r="AS234" s="35" t="str">
        <f t="shared" si="39"/>
        <v>no</v>
      </c>
      <c r="AT234" s="20" t="str">
        <f t="shared" si="40"/>
        <v/>
      </c>
      <c r="AU234" s="20" t="str">
        <f t="shared" si="41"/>
        <v/>
      </c>
      <c r="AV234" s="20"/>
      <c r="AW234" s="20"/>
      <c r="AX234" s="20"/>
      <c r="CL234" s="106">
        <v>42802</v>
      </c>
      <c r="CM234" s="107">
        <f t="shared" si="35"/>
        <v>99.734307399224235</v>
      </c>
    </row>
    <row r="235" spans="31:91" ht="15" customHeight="1">
      <c r="AE235" s="26">
        <f>Data!A230</f>
        <v>42628</v>
      </c>
      <c r="AF235" s="35">
        <f>Data!B230</f>
        <v>86.48</v>
      </c>
      <c r="AG235" s="35">
        <f>Data!F230</f>
        <v>1452086</v>
      </c>
      <c r="AH235" s="35">
        <f>Data!C230</f>
        <v>87.79</v>
      </c>
      <c r="AI235" s="35">
        <f>Data!D230</f>
        <v>86.23</v>
      </c>
      <c r="AJ235" s="35">
        <f>Data!E230</f>
        <v>87.48</v>
      </c>
      <c r="AK235" s="35">
        <f>Data!F230</f>
        <v>1452086</v>
      </c>
      <c r="AL235" s="35">
        <f t="shared" si="34"/>
        <v>87.48</v>
      </c>
      <c r="AM235" s="35">
        <f t="shared" si="33"/>
        <v>0.83447645176040686</v>
      </c>
      <c r="AN235" s="35">
        <f t="shared" si="42"/>
        <v>-81.286921022584053</v>
      </c>
      <c r="AO235" s="35" t="str">
        <f t="shared" si="36"/>
        <v>FITS BITCH</v>
      </c>
      <c r="AP235" s="35" t="str">
        <f t="shared" si="37"/>
        <v>FITS BITCH</v>
      </c>
      <c r="AQ235" s="35" t="str">
        <f t="shared" si="37"/>
        <v>no</v>
      </c>
      <c r="AR235" s="35" t="str">
        <f t="shared" si="38"/>
        <v>no</v>
      </c>
      <c r="AS235" s="35" t="str">
        <f t="shared" si="39"/>
        <v>FITS BITCH</v>
      </c>
      <c r="AT235" s="20" t="str">
        <f t="shared" si="40"/>
        <v/>
      </c>
      <c r="AU235" s="20" t="str">
        <f t="shared" si="41"/>
        <v/>
      </c>
      <c r="AV235" s="20"/>
      <c r="AW235" s="20"/>
      <c r="AX235" s="20"/>
      <c r="CL235" s="106">
        <v>42801</v>
      </c>
      <c r="CM235" s="107">
        <f t="shared" si="35"/>
        <v>99.681020210801307</v>
      </c>
    </row>
    <row r="236" spans="31:91" ht="15" customHeight="1">
      <c r="AE236" s="26">
        <f>Data!A231</f>
        <v>42627</v>
      </c>
      <c r="AF236" s="35">
        <f>Data!B231</f>
        <v>86.86</v>
      </c>
      <c r="AG236" s="35">
        <f>Data!F231</f>
        <v>1173229</v>
      </c>
      <c r="AH236" s="35">
        <f>Data!C231</f>
        <v>87.24</v>
      </c>
      <c r="AI236" s="35">
        <f>Data!D231</f>
        <v>86.45</v>
      </c>
      <c r="AJ236" s="35">
        <f>Data!E231</f>
        <v>86.69</v>
      </c>
      <c r="AK236" s="35">
        <f>Data!F231</f>
        <v>1173229</v>
      </c>
      <c r="AL236" s="35">
        <f t="shared" si="34"/>
        <v>86.69</v>
      </c>
      <c r="AM236" s="35">
        <f t="shared" si="33"/>
        <v>-0.91129311339255537</v>
      </c>
      <c r="AN236" s="35">
        <f t="shared" si="42"/>
        <v>-23.768335082068376</v>
      </c>
      <c r="AO236" s="35" t="str">
        <f t="shared" si="36"/>
        <v>FITS BITCH</v>
      </c>
      <c r="AP236" s="35" t="str">
        <f t="shared" si="37"/>
        <v>no</v>
      </c>
      <c r="AQ236" s="35" t="str">
        <f t="shared" si="37"/>
        <v>FITS BITCH</v>
      </c>
      <c r="AR236" s="35" t="str">
        <f t="shared" si="38"/>
        <v>FITS BITCH</v>
      </c>
      <c r="AS236" s="35" t="b">
        <f t="shared" si="39"/>
        <v>0</v>
      </c>
      <c r="AT236" s="20" t="str">
        <f t="shared" si="40"/>
        <v/>
      </c>
      <c r="AU236" s="20" t="str">
        <f t="shared" si="41"/>
        <v/>
      </c>
      <c r="AV236" s="20"/>
      <c r="AW236" s="20"/>
      <c r="AX236" s="20"/>
      <c r="CL236" s="106">
        <v>42800</v>
      </c>
      <c r="CM236" s="107">
        <f t="shared" si="35"/>
        <v>99.627733022378834</v>
      </c>
    </row>
    <row r="237" spans="31:91" ht="15" customHeight="1">
      <c r="AE237" s="26">
        <f>Data!A232</f>
        <v>42626</v>
      </c>
      <c r="AF237" s="35">
        <f>Data!B232</f>
        <v>87.32</v>
      </c>
      <c r="AG237" s="35">
        <f>Data!F232</f>
        <v>1939880</v>
      </c>
      <c r="AH237" s="35">
        <f>Data!C232</f>
        <v>87.79</v>
      </c>
      <c r="AI237" s="35">
        <f>Data!D232</f>
        <v>86.36</v>
      </c>
      <c r="AJ237" s="35">
        <f>Data!E232</f>
        <v>86.69</v>
      </c>
      <c r="AK237" s="35">
        <f>Data!F232</f>
        <v>1939880</v>
      </c>
      <c r="AL237" s="35">
        <f t="shared" si="34"/>
        <v>86.69</v>
      </c>
      <c r="AM237" s="35">
        <f t="shared" si="33"/>
        <v>0</v>
      </c>
      <c r="AN237" s="35">
        <f t="shared" si="42"/>
        <v>39.520537352825947</v>
      </c>
      <c r="AO237" s="35" t="str">
        <f t="shared" si="36"/>
        <v>no</v>
      </c>
      <c r="AP237" s="35" t="str">
        <f t="shared" si="37"/>
        <v>no</v>
      </c>
      <c r="AQ237" s="35" t="str">
        <f t="shared" si="37"/>
        <v>FITS BITCH</v>
      </c>
      <c r="AR237" s="35" t="str">
        <f t="shared" si="38"/>
        <v>FITS BITCH</v>
      </c>
      <c r="AS237" s="35" t="str">
        <f t="shared" si="39"/>
        <v>no</v>
      </c>
      <c r="AT237" s="20" t="str">
        <f t="shared" si="40"/>
        <v/>
      </c>
      <c r="AU237" s="20" t="str">
        <f t="shared" si="41"/>
        <v/>
      </c>
      <c r="AV237" s="20"/>
      <c r="AW237" s="20"/>
      <c r="AX237" s="20"/>
      <c r="CL237" s="106">
        <v>42797</v>
      </c>
      <c r="CM237" s="107">
        <f t="shared" si="35"/>
        <v>99.467871457110505</v>
      </c>
    </row>
    <row r="238" spans="31:91" ht="15" customHeight="1">
      <c r="AE238" s="26">
        <f>Data!A233</f>
        <v>42625</v>
      </c>
      <c r="AF238" s="35">
        <f>Data!B233</f>
        <v>86.46</v>
      </c>
      <c r="AG238" s="35">
        <f>Data!F233</f>
        <v>1893661</v>
      </c>
      <c r="AH238" s="35">
        <f>Data!C233</f>
        <v>88.24</v>
      </c>
      <c r="AI238" s="35">
        <f>Data!D233</f>
        <v>86.33</v>
      </c>
      <c r="AJ238" s="35">
        <f>Data!E233</f>
        <v>88.14</v>
      </c>
      <c r="AK238" s="35">
        <f>Data!F233</f>
        <v>1893661</v>
      </c>
      <c r="AL238" s="35">
        <f t="shared" si="34"/>
        <v>88.14</v>
      </c>
      <c r="AM238" s="35">
        <f t="shared" ref="AM238:AM301" si="43">(AL238-AL237)/AL238*100</f>
        <v>1.6451100521897015</v>
      </c>
      <c r="AN238" s="35">
        <f t="shared" si="42"/>
        <v>-2.4407219666033151</v>
      </c>
      <c r="AO238" s="35" t="str">
        <f t="shared" si="36"/>
        <v>no</v>
      </c>
      <c r="AP238" s="35" t="str">
        <f t="shared" si="37"/>
        <v>no</v>
      </c>
      <c r="AQ238" s="35" t="str">
        <f t="shared" si="37"/>
        <v>no</v>
      </c>
      <c r="AR238" s="35" t="str">
        <f t="shared" si="38"/>
        <v>FITS BITCH</v>
      </c>
      <c r="AS238" s="35" t="str">
        <f t="shared" si="39"/>
        <v>FITS BITCH</v>
      </c>
      <c r="AT238" s="20" t="str">
        <f t="shared" si="40"/>
        <v/>
      </c>
      <c r="AU238" s="20" t="str">
        <f t="shared" si="41"/>
        <v/>
      </c>
      <c r="AV238" s="20"/>
      <c r="AW238" s="20"/>
      <c r="AX238" s="20"/>
      <c r="CL238" s="106">
        <v>42796</v>
      </c>
      <c r="CM238" s="107">
        <f t="shared" si="35"/>
        <v>99.414584268687577</v>
      </c>
    </row>
    <row r="239" spans="31:91" ht="15" customHeight="1">
      <c r="AE239" s="26">
        <f>Data!A234</f>
        <v>42622</v>
      </c>
      <c r="AF239" s="35">
        <f>Data!B234</f>
        <v>88.57</v>
      </c>
      <c r="AG239" s="35">
        <f>Data!F234</f>
        <v>2013806</v>
      </c>
      <c r="AH239" s="35">
        <f>Data!C234</f>
        <v>88.99</v>
      </c>
      <c r="AI239" s="35">
        <f>Data!D234</f>
        <v>86.55</v>
      </c>
      <c r="AJ239" s="35">
        <f>Data!E234</f>
        <v>86.57</v>
      </c>
      <c r="AK239" s="35">
        <f>Data!F234</f>
        <v>2013806</v>
      </c>
      <c r="AL239" s="35">
        <f t="shared" si="34"/>
        <v>86.57</v>
      </c>
      <c r="AM239" s="35">
        <f t="shared" si="43"/>
        <v>-1.8135612798891156</v>
      </c>
      <c r="AN239" s="35">
        <f t="shared" si="42"/>
        <v>5.9660662447127475</v>
      </c>
      <c r="AO239" s="35" t="str">
        <f t="shared" si="36"/>
        <v>no</v>
      </c>
      <c r="AP239" s="35" t="str">
        <f t="shared" si="37"/>
        <v>no</v>
      </c>
      <c r="AQ239" s="35" t="str">
        <f t="shared" si="37"/>
        <v>no</v>
      </c>
      <c r="AR239" s="35" t="str">
        <f t="shared" si="38"/>
        <v>FITS BITCH</v>
      </c>
      <c r="AS239" s="35" t="str">
        <f t="shared" si="39"/>
        <v>no</v>
      </c>
      <c r="AT239" s="20" t="str">
        <f t="shared" si="40"/>
        <v/>
      </c>
      <c r="AU239" s="20" t="str">
        <f t="shared" si="41"/>
        <v/>
      </c>
      <c r="AV239" s="20"/>
      <c r="AW239" s="20"/>
      <c r="AX239" s="20"/>
      <c r="CL239" s="106">
        <v>42795</v>
      </c>
      <c r="CM239" s="107">
        <f t="shared" si="35"/>
        <v>99.361297080264649</v>
      </c>
    </row>
    <row r="240" spans="31:91" ht="15" customHeight="1">
      <c r="AE240" s="26">
        <f>Data!A235</f>
        <v>42621</v>
      </c>
      <c r="AF240" s="35">
        <f>Data!B235</f>
        <v>89.71</v>
      </c>
      <c r="AG240" s="35">
        <f>Data!F235</f>
        <v>1241788</v>
      </c>
      <c r="AH240" s="35">
        <f>Data!C235</f>
        <v>90.07</v>
      </c>
      <c r="AI240" s="35">
        <f>Data!D235</f>
        <v>89.33</v>
      </c>
      <c r="AJ240" s="35">
        <f>Data!E235</f>
        <v>89.47</v>
      </c>
      <c r="AK240" s="35">
        <f>Data!F235</f>
        <v>1241788</v>
      </c>
      <c r="AL240" s="35">
        <f t="shared" si="34"/>
        <v>89.47</v>
      </c>
      <c r="AM240" s="35">
        <f t="shared" si="43"/>
        <v>3.2413099362915005</v>
      </c>
      <c r="AN240" s="35">
        <f t="shared" si="42"/>
        <v>-62.169871185741854</v>
      </c>
      <c r="AO240" s="35" t="str">
        <f t="shared" si="36"/>
        <v>FITS BITCH</v>
      </c>
      <c r="AP240" s="35" t="str">
        <f t="shared" si="37"/>
        <v>FITS BITCH</v>
      </c>
      <c r="AQ240" s="35" t="str">
        <f t="shared" si="37"/>
        <v>FITS BITCH</v>
      </c>
      <c r="AR240" s="35" t="str">
        <f t="shared" si="38"/>
        <v>FITS BITCH</v>
      </c>
      <c r="AS240" s="35" t="str">
        <f t="shared" si="39"/>
        <v>no</v>
      </c>
      <c r="AT240" s="20" t="str">
        <f t="shared" si="40"/>
        <v>BULLISH</v>
      </c>
      <c r="AU240" s="20" t="str">
        <f t="shared" si="41"/>
        <v/>
      </c>
      <c r="AV240" s="20"/>
      <c r="AW240" s="20"/>
      <c r="AX240" s="20"/>
      <c r="CL240" s="106">
        <v>42794</v>
      </c>
      <c r="CM240" s="107">
        <f t="shared" si="35"/>
        <v>99.308009891842175</v>
      </c>
    </row>
    <row r="241" spans="31:91" ht="15" customHeight="1">
      <c r="AE241" s="26">
        <f>Data!A236</f>
        <v>42620</v>
      </c>
      <c r="AF241" s="35">
        <f>Data!B236</f>
        <v>89.2</v>
      </c>
      <c r="AG241" s="35">
        <f>Data!F236</f>
        <v>1228772</v>
      </c>
      <c r="AH241" s="35">
        <f>Data!C236</f>
        <v>89.99</v>
      </c>
      <c r="AI241" s="35">
        <f>Data!D236</f>
        <v>89.15</v>
      </c>
      <c r="AJ241" s="35">
        <f>Data!E236</f>
        <v>89.96</v>
      </c>
      <c r="AK241" s="35">
        <f>Data!F236</f>
        <v>1228772</v>
      </c>
      <c r="AL241" s="35">
        <f t="shared" si="34"/>
        <v>89.96</v>
      </c>
      <c r="AM241" s="35">
        <f t="shared" si="43"/>
        <v>0.54468652734548118</v>
      </c>
      <c r="AN241" s="35">
        <f t="shared" si="42"/>
        <v>-1.0592689286539732</v>
      </c>
      <c r="AO241" s="35" t="str">
        <f t="shared" si="36"/>
        <v>no</v>
      </c>
      <c r="AP241" s="35" t="str">
        <f t="shared" si="37"/>
        <v>no</v>
      </c>
      <c r="AQ241" s="35" t="str">
        <f t="shared" si="37"/>
        <v>no</v>
      </c>
      <c r="AR241" s="35" t="str">
        <f t="shared" si="38"/>
        <v>FITS BITCH</v>
      </c>
      <c r="AS241" s="35" t="str">
        <f t="shared" si="39"/>
        <v>FITS BITCH</v>
      </c>
      <c r="AT241" s="20" t="str">
        <f t="shared" si="40"/>
        <v/>
      </c>
      <c r="AU241" s="20" t="str">
        <f t="shared" si="41"/>
        <v/>
      </c>
      <c r="AV241" s="20"/>
      <c r="AW241" s="20"/>
      <c r="AX241" s="20"/>
      <c r="CL241" s="106">
        <v>42793</v>
      </c>
      <c r="CM241" s="107">
        <f t="shared" si="35"/>
        <v>99.254722703419247</v>
      </c>
    </row>
    <row r="242" spans="31:91" ht="15" customHeight="1">
      <c r="AE242" s="26">
        <f>Data!A237</f>
        <v>42619</v>
      </c>
      <c r="AF242" s="35">
        <f>Data!B237</f>
        <v>89.72</v>
      </c>
      <c r="AG242" s="35">
        <f>Data!F237</f>
        <v>1728777</v>
      </c>
      <c r="AH242" s="35">
        <f>Data!C237</f>
        <v>90.14</v>
      </c>
      <c r="AI242" s="35">
        <f>Data!D237</f>
        <v>89.44</v>
      </c>
      <c r="AJ242" s="35">
        <f>Data!E237</f>
        <v>89.86</v>
      </c>
      <c r="AK242" s="35">
        <f>Data!F237</f>
        <v>1728777</v>
      </c>
      <c r="AL242" s="35">
        <f t="shared" si="34"/>
        <v>89.86</v>
      </c>
      <c r="AM242" s="35">
        <f t="shared" si="43"/>
        <v>-0.1112842198976122</v>
      </c>
      <c r="AN242" s="35">
        <f t="shared" si="42"/>
        <v>28.92246946830042</v>
      </c>
      <c r="AO242" s="35" t="str">
        <f t="shared" si="36"/>
        <v>no</v>
      </c>
      <c r="AP242" s="35" t="str">
        <f t="shared" si="37"/>
        <v>no</v>
      </c>
      <c r="AQ242" s="35" t="str">
        <f t="shared" si="37"/>
        <v>no</v>
      </c>
      <c r="AR242" s="35" t="str">
        <f t="shared" si="38"/>
        <v>FITS BITCH</v>
      </c>
      <c r="AS242" s="35" t="str">
        <f t="shared" si="39"/>
        <v>no</v>
      </c>
      <c r="AT242" s="20" t="str">
        <f t="shared" si="40"/>
        <v/>
      </c>
      <c r="AU242" s="20" t="str">
        <f t="shared" si="41"/>
        <v/>
      </c>
      <c r="AV242" s="20"/>
      <c r="AW242" s="20"/>
      <c r="AX242" s="20"/>
      <c r="CL242" s="106">
        <v>42790</v>
      </c>
      <c r="CM242" s="107">
        <f t="shared" si="35"/>
        <v>99.094861138150918</v>
      </c>
    </row>
    <row r="243" spans="31:91" ht="15" customHeight="1">
      <c r="AE243" s="26">
        <f>Data!A238</f>
        <v>42615</v>
      </c>
      <c r="AF243" s="35">
        <f>Data!B238</f>
        <v>90.88</v>
      </c>
      <c r="AG243" s="35">
        <f>Data!F238</f>
        <v>1737076</v>
      </c>
      <c r="AH243" s="35">
        <f>Data!C238</f>
        <v>90.99</v>
      </c>
      <c r="AI243" s="35">
        <f>Data!D238</f>
        <v>90.06</v>
      </c>
      <c r="AJ243" s="35">
        <f>Data!E238</f>
        <v>90.39</v>
      </c>
      <c r="AK243" s="35">
        <f>Data!F238</f>
        <v>1737076</v>
      </c>
      <c r="AL243" s="35">
        <f t="shared" si="34"/>
        <v>90.39</v>
      </c>
      <c r="AM243" s="35">
        <f t="shared" si="43"/>
        <v>0.58634804735037183</v>
      </c>
      <c r="AN243" s="35">
        <f t="shared" si="42"/>
        <v>0.47775687419548712</v>
      </c>
      <c r="AO243" s="35" t="str">
        <f t="shared" si="36"/>
        <v>no</v>
      </c>
      <c r="AP243" s="35" t="str">
        <f t="shared" si="37"/>
        <v>FITS BITCH</v>
      </c>
      <c r="AQ243" s="35" t="str">
        <f t="shared" si="37"/>
        <v>FITS BITCH</v>
      </c>
      <c r="AR243" s="35" t="str">
        <f t="shared" si="38"/>
        <v>FITS BITCH</v>
      </c>
      <c r="AS243" s="35" t="str">
        <f t="shared" si="39"/>
        <v>no</v>
      </c>
      <c r="AT243" s="20" t="str">
        <f t="shared" si="40"/>
        <v/>
      </c>
      <c r="AU243" s="20" t="str">
        <f t="shared" si="41"/>
        <v/>
      </c>
      <c r="AV243" s="20"/>
      <c r="AW243" s="20"/>
      <c r="AX243" s="20"/>
      <c r="CL243" s="106">
        <v>42789</v>
      </c>
      <c r="CM243" s="107">
        <f t="shared" si="35"/>
        <v>99.041573949728445</v>
      </c>
    </row>
    <row r="244" spans="31:91" ht="15" customHeight="1">
      <c r="AE244" s="26">
        <f>Data!A239</f>
        <v>42614</v>
      </c>
      <c r="AF244" s="35">
        <f>Data!B239</f>
        <v>90.02</v>
      </c>
      <c r="AG244" s="35">
        <f>Data!F239</f>
        <v>1775623</v>
      </c>
      <c r="AH244" s="35">
        <f>Data!C239</f>
        <v>90.63</v>
      </c>
      <c r="AI244" s="35">
        <f>Data!D239</f>
        <v>89.66</v>
      </c>
      <c r="AJ244" s="35">
        <f>Data!E239</f>
        <v>90.63</v>
      </c>
      <c r="AK244" s="35">
        <f>Data!F239</f>
        <v>1775623</v>
      </c>
      <c r="AL244" s="35">
        <f t="shared" si="34"/>
        <v>90.63</v>
      </c>
      <c r="AM244" s="35">
        <f t="shared" si="43"/>
        <v>0.26481297583581032</v>
      </c>
      <c r="AN244" s="35">
        <f t="shared" si="42"/>
        <v>2.1709000165012506</v>
      </c>
      <c r="AO244" s="35" t="str">
        <f t="shared" si="36"/>
        <v>no</v>
      </c>
      <c r="AP244" s="35" t="str">
        <f t="shared" si="37"/>
        <v>FITS BITCH</v>
      </c>
      <c r="AQ244" s="35" t="str">
        <f t="shared" si="37"/>
        <v>FITS BITCH</v>
      </c>
      <c r="AR244" s="35" t="str">
        <f t="shared" si="38"/>
        <v>no</v>
      </c>
      <c r="AS244" s="35" t="str">
        <f t="shared" si="39"/>
        <v>FITS BITCH</v>
      </c>
      <c r="AT244" s="20" t="str">
        <f t="shared" si="40"/>
        <v/>
      </c>
      <c r="AU244" s="20" t="str">
        <f t="shared" si="41"/>
        <v/>
      </c>
      <c r="AV244" s="20"/>
      <c r="AW244" s="20"/>
      <c r="AX244" s="20"/>
      <c r="CL244" s="106">
        <v>42788</v>
      </c>
      <c r="CM244" s="107">
        <f t="shared" si="35"/>
        <v>98.988286761305517</v>
      </c>
    </row>
    <row r="245" spans="31:91" ht="15" customHeight="1">
      <c r="AE245" s="26">
        <f>Data!A240</f>
        <v>42613</v>
      </c>
      <c r="AF245" s="35">
        <f>Data!B240</f>
        <v>89.68</v>
      </c>
      <c r="AG245" s="35">
        <f>Data!F240</f>
        <v>1300693</v>
      </c>
      <c r="AH245" s="35">
        <f>Data!C240</f>
        <v>90.02</v>
      </c>
      <c r="AI245" s="35">
        <f>Data!D240</f>
        <v>89.41</v>
      </c>
      <c r="AJ245" s="35">
        <f>Data!E240</f>
        <v>89.81</v>
      </c>
      <c r="AK245" s="35">
        <f>Data!F240</f>
        <v>1300693</v>
      </c>
      <c r="AL245" s="35">
        <f t="shared" si="34"/>
        <v>89.81</v>
      </c>
      <c r="AM245" s="35">
        <f t="shared" si="43"/>
        <v>-0.9130386371228072</v>
      </c>
      <c r="AN245" s="35">
        <f t="shared" si="42"/>
        <v>-36.513612358950191</v>
      </c>
      <c r="AO245" s="35" t="str">
        <f t="shared" si="36"/>
        <v>FITS BITCH</v>
      </c>
      <c r="AP245" s="35" t="str">
        <f t="shared" si="37"/>
        <v>no</v>
      </c>
      <c r="AQ245" s="35" t="str">
        <f t="shared" si="37"/>
        <v>no</v>
      </c>
      <c r="AR245" s="35" t="str">
        <f t="shared" si="38"/>
        <v>FITS BITCH</v>
      </c>
      <c r="AS245" s="35" t="str">
        <f t="shared" si="39"/>
        <v>FITS BITCH</v>
      </c>
      <c r="AT245" s="20" t="str">
        <f t="shared" si="40"/>
        <v/>
      </c>
      <c r="AU245" s="20" t="str">
        <f t="shared" si="41"/>
        <v/>
      </c>
      <c r="AV245" s="20"/>
      <c r="AW245" s="20"/>
      <c r="AX245" s="20"/>
      <c r="CL245" s="106">
        <v>42787</v>
      </c>
      <c r="CM245" s="107">
        <f t="shared" si="35"/>
        <v>98.934999572882589</v>
      </c>
    </row>
    <row r="246" spans="31:91" ht="15" customHeight="1">
      <c r="AE246" s="26">
        <f>Data!A241</f>
        <v>42612</v>
      </c>
      <c r="AF246" s="35">
        <f>Data!B241</f>
        <v>89.81</v>
      </c>
      <c r="AG246" s="35">
        <f>Data!F241</f>
        <v>1322414</v>
      </c>
      <c r="AH246" s="35">
        <f>Data!C241</f>
        <v>90.06</v>
      </c>
      <c r="AI246" s="35">
        <f>Data!D241</f>
        <v>89.5</v>
      </c>
      <c r="AJ246" s="35">
        <f>Data!E241</f>
        <v>89.79</v>
      </c>
      <c r="AK246" s="35">
        <f>Data!F241</f>
        <v>1322414</v>
      </c>
      <c r="AL246" s="35">
        <f t="shared" si="34"/>
        <v>89.79</v>
      </c>
      <c r="AM246" s="35">
        <f t="shared" si="43"/>
        <v>-2.2274195344688739E-2</v>
      </c>
      <c r="AN246" s="35">
        <f t="shared" si="42"/>
        <v>1.6425264705304088</v>
      </c>
      <c r="AO246" s="35" t="str">
        <f t="shared" si="36"/>
        <v>no</v>
      </c>
      <c r="AP246" s="35" t="str">
        <f t="shared" si="37"/>
        <v>no</v>
      </c>
      <c r="AQ246" s="35" t="str">
        <f t="shared" si="37"/>
        <v>FITS BITCH</v>
      </c>
      <c r="AR246" s="35" t="str">
        <f t="shared" si="38"/>
        <v>FITS BITCH</v>
      </c>
      <c r="AS246" s="35" t="str">
        <f t="shared" si="39"/>
        <v>FITS BITCH</v>
      </c>
      <c r="AT246" s="20" t="str">
        <f t="shared" si="40"/>
        <v/>
      </c>
      <c r="AU246" s="20" t="str">
        <f t="shared" si="41"/>
        <v/>
      </c>
      <c r="AV246" s="20"/>
      <c r="AW246" s="20"/>
      <c r="AX246" s="20"/>
      <c r="CL246" s="106">
        <v>42786</v>
      </c>
      <c r="CM246" s="107">
        <f t="shared" si="35"/>
        <v>98.881712384460116</v>
      </c>
    </row>
    <row r="247" spans="31:91" ht="15" customHeight="1">
      <c r="AE247" s="26">
        <f>Data!A242</f>
        <v>42611</v>
      </c>
      <c r="AF247" s="35">
        <f>Data!B242</f>
        <v>89.84</v>
      </c>
      <c r="AG247" s="35">
        <f>Data!F242</f>
        <v>1108761</v>
      </c>
      <c r="AH247" s="35">
        <f>Data!C242</f>
        <v>90.3</v>
      </c>
      <c r="AI247" s="35">
        <f>Data!D242</f>
        <v>89.49</v>
      </c>
      <c r="AJ247" s="35">
        <f>Data!E242</f>
        <v>89.59</v>
      </c>
      <c r="AK247" s="35">
        <f>Data!F242</f>
        <v>1108761</v>
      </c>
      <c r="AL247" s="35">
        <f t="shared" si="34"/>
        <v>89.59</v>
      </c>
      <c r="AM247" s="35">
        <f t="shared" si="43"/>
        <v>-0.22323920080366427</v>
      </c>
      <c r="AN247" s="35">
        <f t="shared" si="42"/>
        <v>-19.269526976508011</v>
      </c>
      <c r="AO247" s="35" t="str">
        <f t="shared" si="36"/>
        <v>FITS BITCH</v>
      </c>
      <c r="AP247" s="35" t="str">
        <f t="shared" si="37"/>
        <v>no</v>
      </c>
      <c r="AQ247" s="35" t="str">
        <f t="shared" si="37"/>
        <v>FITS BITCH</v>
      </c>
      <c r="AR247" s="35" t="str">
        <f t="shared" si="38"/>
        <v>FITS BITCH</v>
      </c>
      <c r="AS247" s="35" t="str">
        <f t="shared" si="39"/>
        <v>no</v>
      </c>
      <c r="AT247" s="20" t="str">
        <f t="shared" si="40"/>
        <v/>
      </c>
      <c r="AU247" s="20" t="str">
        <f t="shared" si="41"/>
        <v/>
      </c>
      <c r="AV247" s="20"/>
      <c r="AW247" s="20"/>
      <c r="AX247" s="20"/>
      <c r="CL247" s="106">
        <v>42783</v>
      </c>
      <c r="CM247" s="107">
        <f t="shared" si="35"/>
        <v>98.721850819191786</v>
      </c>
    </row>
    <row r="248" spans="31:91" ht="15" customHeight="1">
      <c r="AE248" s="26">
        <f>Data!A243</f>
        <v>42608</v>
      </c>
      <c r="AF248" s="35">
        <f>Data!B243</f>
        <v>89.96</v>
      </c>
      <c r="AG248" s="35">
        <f>Data!F243</f>
        <v>1365827</v>
      </c>
      <c r="AH248" s="35">
        <f>Data!C243</f>
        <v>90.6</v>
      </c>
      <c r="AI248" s="35">
        <f>Data!D243</f>
        <v>89.32</v>
      </c>
      <c r="AJ248" s="35">
        <f>Data!E243</f>
        <v>89.79</v>
      </c>
      <c r="AK248" s="35">
        <f>Data!F243</f>
        <v>1365827</v>
      </c>
      <c r="AL248" s="35">
        <f t="shared" si="34"/>
        <v>89.79</v>
      </c>
      <c r="AM248" s="35">
        <f t="shared" si="43"/>
        <v>0.2227419534469349</v>
      </c>
      <c r="AN248" s="35">
        <f t="shared" si="42"/>
        <v>18.821270922305679</v>
      </c>
      <c r="AO248" s="35" t="str">
        <f t="shared" si="36"/>
        <v>no</v>
      </c>
      <c r="AP248" s="35" t="str">
        <f t="shared" si="37"/>
        <v>FITS BITCH</v>
      </c>
      <c r="AQ248" s="35" t="str">
        <f t="shared" si="37"/>
        <v>FITS BITCH</v>
      </c>
      <c r="AR248" s="35" t="str">
        <f t="shared" si="38"/>
        <v>FITS BITCH</v>
      </c>
      <c r="AS248" s="35" t="str">
        <f t="shared" si="39"/>
        <v>FITS BITCH</v>
      </c>
      <c r="AT248" s="20" t="str">
        <f t="shared" si="40"/>
        <v/>
      </c>
      <c r="AU248" s="20" t="str">
        <f t="shared" si="41"/>
        <v/>
      </c>
      <c r="AV248" s="20"/>
      <c r="AW248" s="20"/>
      <c r="AX248" s="20"/>
      <c r="CL248" s="106">
        <v>42782</v>
      </c>
      <c r="CM248" s="107">
        <f t="shared" si="35"/>
        <v>98.668563630768858</v>
      </c>
    </row>
    <row r="249" spans="31:91" ht="15" customHeight="1">
      <c r="AE249" s="26">
        <f>Data!A244</f>
        <v>42607</v>
      </c>
      <c r="AF249" s="35">
        <f>Data!B244</f>
        <v>89.72</v>
      </c>
      <c r="AG249" s="35">
        <f>Data!F244</f>
        <v>1049001</v>
      </c>
      <c r="AH249" s="35">
        <f>Data!C244</f>
        <v>89.98</v>
      </c>
      <c r="AI249" s="35">
        <f>Data!D244</f>
        <v>89.3</v>
      </c>
      <c r="AJ249" s="35">
        <f>Data!E244</f>
        <v>89.77</v>
      </c>
      <c r="AK249" s="35">
        <f>Data!F244</f>
        <v>1049001</v>
      </c>
      <c r="AL249" s="35">
        <f t="shared" si="34"/>
        <v>89.77</v>
      </c>
      <c r="AM249" s="35">
        <f t="shared" si="43"/>
        <v>-2.227915784784475E-2</v>
      </c>
      <c r="AN249" s="35">
        <f t="shared" si="42"/>
        <v>-30.202640416930009</v>
      </c>
      <c r="AO249" s="35" t="str">
        <f t="shared" si="36"/>
        <v>FITS BITCH</v>
      </c>
      <c r="AP249" s="35" t="str">
        <f t="shared" si="37"/>
        <v>FITS BITCH</v>
      </c>
      <c r="AQ249" s="35" t="str">
        <f t="shared" si="37"/>
        <v>no</v>
      </c>
      <c r="AR249" s="35" t="str">
        <f t="shared" si="38"/>
        <v>FITS BITCH</v>
      </c>
      <c r="AS249" s="35" t="str">
        <f t="shared" si="39"/>
        <v>FITS BITCH</v>
      </c>
      <c r="AT249" s="20" t="str">
        <f t="shared" si="40"/>
        <v>BULLISH</v>
      </c>
      <c r="AU249" s="20" t="str">
        <f t="shared" si="41"/>
        <v/>
      </c>
      <c r="AV249" s="20"/>
      <c r="AW249" s="20"/>
      <c r="AX249" s="20"/>
      <c r="CL249" s="106">
        <v>42781</v>
      </c>
      <c r="CM249" s="107">
        <f t="shared" si="35"/>
        <v>98.61527644234593</v>
      </c>
    </row>
    <row r="250" spans="31:91" ht="15" customHeight="1">
      <c r="AE250" s="26">
        <f>Data!A245</f>
        <v>42606</v>
      </c>
      <c r="AF250" s="35">
        <f>Data!B245</f>
        <v>89.81</v>
      </c>
      <c r="AG250" s="35">
        <f>Data!F245</f>
        <v>1121715</v>
      </c>
      <c r="AH250" s="35">
        <f>Data!C245</f>
        <v>89.91</v>
      </c>
      <c r="AI250" s="35">
        <f>Data!D245</f>
        <v>89.54</v>
      </c>
      <c r="AJ250" s="35">
        <f>Data!E245</f>
        <v>89.68</v>
      </c>
      <c r="AK250" s="35">
        <f>Data!F245</f>
        <v>1121715</v>
      </c>
      <c r="AL250" s="35">
        <f t="shared" si="34"/>
        <v>89.68</v>
      </c>
      <c r="AM250" s="35">
        <f t="shared" si="43"/>
        <v>-0.1003568242640379</v>
      </c>
      <c r="AN250" s="35">
        <f t="shared" si="42"/>
        <v>6.4823952608282855</v>
      </c>
      <c r="AO250" s="35" t="str">
        <f t="shared" si="36"/>
        <v>no</v>
      </c>
      <c r="AP250" s="35" t="str">
        <f t="shared" si="37"/>
        <v>no</v>
      </c>
      <c r="AQ250" s="35" t="str">
        <f t="shared" si="37"/>
        <v>no</v>
      </c>
      <c r="AR250" s="35" t="str">
        <f t="shared" si="38"/>
        <v>FITS BITCH</v>
      </c>
      <c r="AS250" s="35" t="str">
        <f t="shared" si="39"/>
        <v>no</v>
      </c>
      <c r="AT250" s="20" t="str">
        <f t="shared" si="40"/>
        <v/>
      </c>
      <c r="AU250" s="20" t="str">
        <f t="shared" si="41"/>
        <v/>
      </c>
      <c r="AV250" s="20"/>
      <c r="AW250" s="20"/>
      <c r="AX250" s="20"/>
      <c r="CL250" s="106">
        <v>42780</v>
      </c>
      <c r="CM250" s="107">
        <f t="shared" si="35"/>
        <v>98.561989253923457</v>
      </c>
    </row>
    <row r="251" spans="31:91" ht="15" customHeight="1">
      <c r="AE251" s="26">
        <f>Data!A246</f>
        <v>42605</v>
      </c>
      <c r="AF251" s="35">
        <f>Data!B246</f>
        <v>90.08</v>
      </c>
      <c r="AG251" s="35">
        <f>Data!F246</f>
        <v>1181866</v>
      </c>
      <c r="AH251" s="35">
        <f>Data!C246</f>
        <v>90.19</v>
      </c>
      <c r="AI251" s="35">
        <f>Data!D246</f>
        <v>89.78</v>
      </c>
      <c r="AJ251" s="35">
        <f>Data!E246</f>
        <v>89.98</v>
      </c>
      <c r="AK251" s="35">
        <f>Data!F246</f>
        <v>1181866</v>
      </c>
      <c r="AL251" s="35">
        <f t="shared" si="34"/>
        <v>89.98</v>
      </c>
      <c r="AM251" s="35">
        <f t="shared" si="43"/>
        <v>0.33340742387196837</v>
      </c>
      <c r="AN251" s="35">
        <f t="shared" si="42"/>
        <v>5.0894940712398871</v>
      </c>
      <c r="AO251" s="35" t="str">
        <f t="shared" si="36"/>
        <v>no</v>
      </c>
      <c r="AP251" s="35" t="str">
        <f t="shared" si="37"/>
        <v>FITS BITCH</v>
      </c>
      <c r="AQ251" s="35" t="str">
        <f t="shared" si="37"/>
        <v>FITS BITCH</v>
      </c>
      <c r="AR251" s="35" t="str">
        <f t="shared" si="38"/>
        <v>FITS BITCH</v>
      </c>
      <c r="AS251" s="35" t="str">
        <f t="shared" si="39"/>
        <v>FITS BITCH</v>
      </c>
      <c r="AT251" s="20" t="str">
        <f t="shared" si="40"/>
        <v/>
      </c>
      <c r="AU251" s="20" t="str">
        <f t="shared" si="41"/>
        <v/>
      </c>
      <c r="AV251" s="20"/>
      <c r="AW251" s="20"/>
      <c r="AX251" s="20"/>
      <c r="CL251" s="106">
        <v>42779</v>
      </c>
      <c r="CM251" s="107">
        <f t="shared" si="35"/>
        <v>98.508702065500529</v>
      </c>
    </row>
    <row r="252" spans="31:91" ht="15" customHeight="1">
      <c r="AE252" s="26">
        <f>Data!A247</f>
        <v>42604</v>
      </c>
      <c r="AF252" s="35">
        <f>Data!B247</f>
        <v>89.82</v>
      </c>
      <c r="AG252" s="35">
        <f>Data!F247</f>
        <v>1110448</v>
      </c>
      <c r="AH252" s="35">
        <f>Data!C247</f>
        <v>90.02</v>
      </c>
      <c r="AI252" s="35">
        <f>Data!D247</f>
        <v>89.54</v>
      </c>
      <c r="AJ252" s="35">
        <f>Data!E247</f>
        <v>89.91</v>
      </c>
      <c r="AK252" s="35">
        <f>Data!F247</f>
        <v>1110448</v>
      </c>
      <c r="AL252" s="35">
        <f t="shared" si="34"/>
        <v>89.91</v>
      </c>
      <c r="AM252" s="35">
        <f t="shared" si="43"/>
        <v>-7.7855633411197195E-2</v>
      </c>
      <c r="AN252" s="35">
        <f t="shared" si="42"/>
        <v>-6.431458294310044</v>
      </c>
      <c r="AO252" s="35" t="str">
        <f t="shared" si="36"/>
        <v>no</v>
      </c>
      <c r="AP252" s="35" t="str">
        <f t="shared" si="37"/>
        <v>FITS BITCH</v>
      </c>
      <c r="AQ252" s="35" t="str">
        <f t="shared" si="37"/>
        <v>FITS BITCH</v>
      </c>
      <c r="AR252" s="35" t="str">
        <f t="shared" si="38"/>
        <v>FITS BITCH</v>
      </c>
      <c r="AS252" s="35" t="str">
        <f t="shared" si="39"/>
        <v>FITS BITCH</v>
      </c>
      <c r="AT252" s="20" t="str">
        <f t="shared" si="40"/>
        <v/>
      </c>
      <c r="AU252" s="20" t="str">
        <f t="shared" si="41"/>
        <v/>
      </c>
      <c r="AV252" s="20"/>
      <c r="AW252" s="20"/>
      <c r="AX252" s="20"/>
      <c r="CL252" s="106">
        <v>42776</v>
      </c>
      <c r="CM252" s="107">
        <f t="shared" si="35"/>
        <v>98.3488405002322</v>
      </c>
    </row>
    <row r="253" spans="31:91" ht="15" customHeight="1">
      <c r="AE253" s="26">
        <f>Data!A248</f>
        <v>42601</v>
      </c>
      <c r="AF253" s="35">
        <f>Data!B248</f>
        <v>89.52</v>
      </c>
      <c r="AG253" s="35">
        <f>Data!F248</f>
        <v>1436610</v>
      </c>
      <c r="AH253" s="35">
        <f>Data!C248</f>
        <v>89.97</v>
      </c>
      <c r="AI253" s="35">
        <f>Data!D248</f>
        <v>89.1</v>
      </c>
      <c r="AJ253" s="35">
        <f>Data!E248</f>
        <v>89.85</v>
      </c>
      <c r="AK253" s="35">
        <f>Data!F248</f>
        <v>1436610</v>
      </c>
      <c r="AL253" s="35">
        <f t="shared" si="34"/>
        <v>89.85</v>
      </c>
      <c r="AM253" s="35">
        <f t="shared" si="43"/>
        <v>-6.6777963272122737E-2</v>
      </c>
      <c r="AN253" s="35">
        <f t="shared" si="42"/>
        <v>22.703586916421298</v>
      </c>
      <c r="AO253" s="35" t="str">
        <f t="shared" si="36"/>
        <v>no</v>
      </c>
      <c r="AP253" s="35" t="str">
        <f t="shared" si="37"/>
        <v>FITS BITCH</v>
      </c>
      <c r="AQ253" s="35" t="str">
        <f t="shared" si="37"/>
        <v>no</v>
      </c>
      <c r="AR253" s="35" t="str">
        <f t="shared" si="38"/>
        <v>FITS BITCH</v>
      </c>
      <c r="AS253" s="35" t="str">
        <f t="shared" si="39"/>
        <v>FITS BITCH</v>
      </c>
      <c r="AT253" s="20" t="str">
        <f t="shared" si="40"/>
        <v/>
      </c>
      <c r="AU253" s="20" t="str">
        <f t="shared" si="41"/>
        <v/>
      </c>
      <c r="AV253" s="20"/>
      <c r="AW253" s="20"/>
      <c r="AX253" s="20"/>
      <c r="CL253" s="106">
        <v>42775</v>
      </c>
      <c r="CM253" s="107">
        <f t="shared" si="35"/>
        <v>98.295553311809272</v>
      </c>
    </row>
    <row r="254" spans="31:91" ht="15" customHeight="1">
      <c r="AE254" s="26">
        <f>Data!A249</f>
        <v>42600</v>
      </c>
      <c r="AF254" s="35">
        <f>Data!B249</f>
        <v>89.57</v>
      </c>
      <c r="AG254" s="35">
        <f>Data!F249</f>
        <v>1025356</v>
      </c>
      <c r="AH254" s="35">
        <f>Data!C249</f>
        <v>89.9</v>
      </c>
      <c r="AI254" s="35">
        <f>Data!D249</f>
        <v>89.39</v>
      </c>
      <c r="AJ254" s="35">
        <f>Data!E249</f>
        <v>89.83</v>
      </c>
      <c r="AK254" s="35">
        <f>Data!F249</f>
        <v>1025356</v>
      </c>
      <c r="AL254" s="35">
        <f t="shared" si="34"/>
        <v>89.83</v>
      </c>
      <c r="AM254" s="35">
        <f t="shared" si="43"/>
        <v>-2.2264276967601047E-2</v>
      </c>
      <c r="AN254" s="35">
        <f t="shared" si="42"/>
        <v>-40.108411127452321</v>
      </c>
      <c r="AO254" s="35" t="str">
        <f t="shared" si="36"/>
        <v>FITS BITCH</v>
      </c>
      <c r="AP254" s="35" t="str">
        <f t="shared" si="37"/>
        <v>FITS BITCH</v>
      </c>
      <c r="AQ254" s="35" t="str">
        <f t="shared" si="37"/>
        <v>FITS BITCH</v>
      </c>
      <c r="AR254" s="35" t="str">
        <f t="shared" si="38"/>
        <v>FITS BITCH</v>
      </c>
      <c r="AS254" s="35" t="str">
        <f t="shared" si="39"/>
        <v>FITS BITCH</v>
      </c>
      <c r="AT254" s="20" t="str">
        <f t="shared" si="40"/>
        <v>BULLISH</v>
      </c>
      <c r="AU254" s="20" t="str">
        <f t="shared" si="41"/>
        <v>BEARISH</v>
      </c>
      <c r="AV254" s="20"/>
      <c r="AW254" s="20"/>
      <c r="AX254" s="20"/>
      <c r="CL254" s="106">
        <v>42774</v>
      </c>
      <c r="CM254" s="107">
        <f t="shared" si="35"/>
        <v>98.242266123386798</v>
      </c>
    </row>
    <row r="255" spans="31:91" ht="15" customHeight="1">
      <c r="AE255" s="26">
        <f>Data!A250</f>
        <v>42599</v>
      </c>
      <c r="AF255" s="35">
        <f>Data!B250</f>
        <v>89.8</v>
      </c>
      <c r="AG255" s="35">
        <f>Data!F250</f>
        <v>1773478</v>
      </c>
      <c r="AH255" s="35">
        <f>Data!C250</f>
        <v>89.86</v>
      </c>
      <c r="AI255" s="35">
        <f>Data!D250</f>
        <v>88.79</v>
      </c>
      <c r="AJ255" s="35">
        <f>Data!E250</f>
        <v>89.33</v>
      </c>
      <c r="AK255" s="35">
        <f>Data!F250</f>
        <v>1773478</v>
      </c>
      <c r="AL255" s="35">
        <f t="shared" si="34"/>
        <v>89.33</v>
      </c>
      <c r="AM255" s="35">
        <f t="shared" si="43"/>
        <v>-0.55972237770066047</v>
      </c>
      <c r="AN255" s="35">
        <f t="shared" si="42"/>
        <v>42.183889509765557</v>
      </c>
      <c r="AO255" s="35" t="str">
        <f t="shared" si="36"/>
        <v>no</v>
      </c>
      <c r="AP255" s="35" t="str">
        <f t="shared" si="37"/>
        <v>no</v>
      </c>
      <c r="AQ255" s="35" t="str">
        <f t="shared" si="37"/>
        <v>no</v>
      </c>
      <c r="AR255" s="35" t="str">
        <f t="shared" si="38"/>
        <v>FITS BITCH</v>
      </c>
      <c r="AS255" s="35" t="str">
        <f t="shared" si="39"/>
        <v>no</v>
      </c>
      <c r="AT255" s="20" t="str">
        <f t="shared" si="40"/>
        <v/>
      </c>
      <c r="AU255" s="20" t="str">
        <f t="shared" si="41"/>
        <v/>
      </c>
      <c r="AV255" s="20"/>
      <c r="AW255" s="20"/>
      <c r="AX255" s="20"/>
      <c r="CL255" s="106">
        <v>42773</v>
      </c>
      <c r="CM255" s="107">
        <f t="shared" si="35"/>
        <v>98.18897893496387</v>
      </c>
    </row>
    <row r="256" spans="31:91" ht="15" customHeight="1">
      <c r="AE256" s="26">
        <f>Data!A251</f>
        <v>42598</v>
      </c>
      <c r="AF256" s="35">
        <f>Data!B251</f>
        <v>90.04</v>
      </c>
      <c r="AG256" s="35">
        <f>Data!F251</f>
        <v>939936</v>
      </c>
      <c r="AH256" s="35">
        <f>Data!C251</f>
        <v>90.25</v>
      </c>
      <c r="AI256" s="35">
        <f>Data!D251</f>
        <v>89.55</v>
      </c>
      <c r="AJ256" s="35">
        <f>Data!E251</f>
        <v>89.56</v>
      </c>
      <c r="AK256" s="35">
        <f>Data!F251</f>
        <v>939936</v>
      </c>
      <c r="AL256" s="35">
        <f t="shared" si="34"/>
        <v>89.56</v>
      </c>
      <c r="AM256" s="35">
        <f t="shared" si="43"/>
        <v>0.25681107637338541</v>
      </c>
      <c r="AN256" s="35">
        <f t="shared" si="42"/>
        <v>-88.680718687229771</v>
      </c>
      <c r="AO256" s="35" t="str">
        <f t="shared" si="36"/>
        <v>FITS BITCH</v>
      </c>
      <c r="AP256" s="35" t="str">
        <f t="shared" si="37"/>
        <v>no</v>
      </c>
      <c r="AQ256" s="35" t="str">
        <f t="shared" si="37"/>
        <v>no</v>
      </c>
      <c r="AR256" s="35" t="str">
        <f t="shared" si="38"/>
        <v>FITS BITCH</v>
      </c>
      <c r="AS256" s="35" t="str">
        <f t="shared" si="39"/>
        <v>no</v>
      </c>
      <c r="AT256" s="20" t="str">
        <f t="shared" si="40"/>
        <v/>
      </c>
      <c r="AU256" s="20" t="str">
        <f t="shared" si="41"/>
        <v/>
      </c>
      <c r="AV256" s="20"/>
      <c r="AW256" s="20"/>
      <c r="AX256" s="20"/>
      <c r="CL256" s="106">
        <v>42772</v>
      </c>
      <c r="CM256" s="107">
        <f t="shared" si="35"/>
        <v>98.135691746540942</v>
      </c>
    </row>
    <row r="257" spans="31:91" ht="15" customHeight="1">
      <c r="AE257" s="26">
        <f>Data!A252</f>
        <v>42597</v>
      </c>
      <c r="AF257" s="35">
        <f>Data!B252</f>
        <v>90.48</v>
      </c>
      <c r="AG257" s="35">
        <f>Data!F252</f>
        <v>919296</v>
      </c>
      <c r="AH257" s="35">
        <f>Data!C252</f>
        <v>90.66</v>
      </c>
      <c r="AI257" s="35">
        <f>Data!D252</f>
        <v>90.16</v>
      </c>
      <c r="AJ257" s="35">
        <f>Data!E252</f>
        <v>90.35</v>
      </c>
      <c r="AK257" s="35">
        <f>Data!F252</f>
        <v>919296</v>
      </c>
      <c r="AL257" s="35">
        <f t="shared" si="34"/>
        <v>90.35</v>
      </c>
      <c r="AM257" s="35">
        <f t="shared" si="43"/>
        <v>0.87437742114000239</v>
      </c>
      <c r="AN257" s="35">
        <f t="shared" si="42"/>
        <v>-2.2451963241436923</v>
      </c>
      <c r="AO257" s="35" t="str">
        <f t="shared" si="36"/>
        <v>no</v>
      </c>
      <c r="AP257" s="35" t="str">
        <f t="shared" si="37"/>
        <v>FITS BITCH</v>
      </c>
      <c r="AQ257" s="35" t="str">
        <f t="shared" si="37"/>
        <v>FITS BITCH</v>
      </c>
      <c r="AR257" s="35" t="str">
        <f t="shared" si="38"/>
        <v>FITS BITCH</v>
      </c>
      <c r="AS257" s="35" t="str">
        <f t="shared" si="39"/>
        <v>FITS BITCH</v>
      </c>
      <c r="AT257" s="20" t="str">
        <f t="shared" si="40"/>
        <v/>
      </c>
      <c r="AU257" s="20" t="str">
        <f t="shared" si="41"/>
        <v/>
      </c>
      <c r="AV257" s="20"/>
      <c r="AW257" s="20"/>
      <c r="AX257" s="20"/>
      <c r="CL257" s="106">
        <v>42769</v>
      </c>
      <c r="CM257" s="107">
        <f t="shared" si="35"/>
        <v>97.975830181273068</v>
      </c>
    </row>
    <row r="258" spans="31:91" ht="15" customHeight="1">
      <c r="AE258" s="26">
        <f>Data!A253</f>
        <v>42594</v>
      </c>
      <c r="AF258" s="35">
        <f>Data!B253</f>
        <v>90.03</v>
      </c>
      <c r="AG258" s="35">
        <f>Data!F253</f>
        <v>929675</v>
      </c>
      <c r="AH258" s="35">
        <f>Data!C253</f>
        <v>90.4</v>
      </c>
      <c r="AI258" s="35">
        <f>Data!D253</f>
        <v>90.01</v>
      </c>
      <c r="AJ258" s="35">
        <f>Data!E253</f>
        <v>90.13</v>
      </c>
      <c r="AK258" s="35">
        <f>Data!F253</f>
        <v>929675</v>
      </c>
      <c r="AL258" s="35">
        <f t="shared" si="34"/>
        <v>90.13</v>
      </c>
      <c r="AM258" s="35">
        <f t="shared" si="43"/>
        <v>-0.24409186730278359</v>
      </c>
      <c r="AN258" s="35">
        <f t="shared" si="42"/>
        <v>1.1164116492322584</v>
      </c>
      <c r="AO258" s="35" t="str">
        <f t="shared" si="36"/>
        <v>no</v>
      </c>
      <c r="AP258" s="35" t="str">
        <f t="shared" si="37"/>
        <v>no</v>
      </c>
      <c r="AQ258" s="35" t="b">
        <f t="shared" si="37"/>
        <v>0</v>
      </c>
      <c r="AR258" s="35" t="str">
        <f t="shared" si="38"/>
        <v>FITS BITCH</v>
      </c>
      <c r="AS258" s="35" t="str">
        <f t="shared" si="39"/>
        <v>no</v>
      </c>
      <c r="AT258" s="20" t="str">
        <f t="shared" si="40"/>
        <v/>
      </c>
      <c r="AU258" s="20" t="str">
        <f t="shared" si="41"/>
        <v/>
      </c>
      <c r="AV258" s="20"/>
      <c r="AW258" s="20"/>
      <c r="AX258" s="20"/>
      <c r="CL258" s="106">
        <v>42768</v>
      </c>
      <c r="CM258" s="107">
        <f t="shared" si="35"/>
        <v>97.92254299285014</v>
      </c>
    </row>
    <row r="259" spans="31:91" ht="15" customHeight="1">
      <c r="AE259" s="26">
        <f>Data!A254</f>
        <v>42593</v>
      </c>
      <c r="AF259" s="35">
        <f>Data!B254</f>
        <v>90.09</v>
      </c>
      <c r="AG259" s="35">
        <f>Data!F254</f>
        <v>1375864</v>
      </c>
      <c r="AH259" s="35">
        <f>Data!C254</f>
        <v>90.65</v>
      </c>
      <c r="AI259" s="35">
        <f>Data!D254</f>
        <v>90.01</v>
      </c>
      <c r="AJ259" s="35">
        <f>Data!E254</f>
        <v>90.4</v>
      </c>
      <c r="AK259" s="35">
        <f>Data!F254</f>
        <v>1375864</v>
      </c>
      <c r="AL259" s="35">
        <f t="shared" si="34"/>
        <v>90.4</v>
      </c>
      <c r="AM259" s="35">
        <f t="shared" si="43"/>
        <v>0.2986725663716927</v>
      </c>
      <c r="AN259" s="35">
        <f t="shared" si="42"/>
        <v>32.429731426943356</v>
      </c>
      <c r="AO259" s="35" t="str">
        <f t="shared" si="36"/>
        <v>no</v>
      </c>
      <c r="AP259" s="35" t="str">
        <f t="shared" si="37"/>
        <v>FITS BITCH</v>
      </c>
      <c r="AQ259" s="35" t="str">
        <f t="shared" si="37"/>
        <v>FITS BITCH</v>
      </c>
      <c r="AR259" s="35" t="str">
        <f t="shared" si="38"/>
        <v>no</v>
      </c>
      <c r="AS259" s="35" t="str">
        <f t="shared" si="39"/>
        <v>FITS BITCH</v>
      </c>
      <c r="AT259" s="20" t="str">
        <f t="shared" si="40"/>
        <v/>
      </c>
      <c r="AU259" s="20" t="str">
        <f t="shared" si="41"/>
        <v/>
      </c>
      <c r="AV259" s="20"/>
      <c r="AW259" s="20"/>
      <c r="AX259" s="20"/>
      <c r="CL259" s="106">
        <v>42767</v>
      </c>
      <c r="CM259" s="107">
        <f t="shared" si="35"/>
        <v>97.869255804427212</v>
      </c>
    </row>
    <row r="260" spans="31:91" ht="15" customHeight="1">
      <c r="AE260" s="26">
        <f>Data!A255</f>
        <v>42592</v>
      </c>
      <c r="AF260" s="35">
        <f>Data!B255</f>
        <v>89.93</v>
      </c>
      <c r="AG260" s="35">
        <f>Data!F255</f>
        <v>1102025</v>
      </c>
      <c r="AH260" s="35">
        <f>Data!C255</f>
        <v>90.12</v>
      </c>
      <c r="AI260" s="35">
        <f>Data!D255</f>
        <v>89.51</v>
      </c>
      <c r="AJ260" s="35">
        <f>Data!E255</f>
        <v>90.04</v>
      </c>
      <c r="AK260" s="35">
        <f>Data!F255</f>
        <v>1102025</v>
      </c>
      <c r="AL260" s="35">
        <f t="shared" si="34"/>
        <v>90.04</v>
      </c>
      <c r="AM260" s="35">
        <f t="shared" si="43"/>
        <v>-0.39982230119946627</v>
      </c>
      <c r="AN260" s="35">
        <f t="shared" si="42"/>
        <v>-24.84871032871305</v>
      </c>
      <c r="AO260" s="35" t="str">
        <f t="shared" si="36"/>
        <v>FITS BITCH</v>
      </c>
      <c r="AP260" s="35" t="str">
        <f t="shared" si="37"/>
        <v>no</v>
      </c>
      <c r="AQ260" s="35" t="str">
        <f t="shared" si="37"/>
        <v>FITS BITCH</v>
      </c>
      <c r="AR260" s="35" t="str">
        <f t="shared" si="38"/>
        <v>FITS BITCH</v>
      </c>
      <c r="AS260" s="35" t="str">
        <f t="shared" si="39"/>
        <v>FITS BITCH</v>
      </c>
      <c r="AT260" s="20" t="str">
        <f t="shared" si="40"/>
        <v/>
      </c>
      <c r="AU260" s="20" t="str">
        <f t="shared" si="41"/>
        <v>BEARISH</v>
      </c>
      <c r="AV260" s="20"/>
      <c r="AW260" s="20"/>
      <c r="AX260" s="20"/>
      <c r="CL260" s="106">
        <v>42766</v>
      </c>
      <c r="CM260" s="107">
        <f t="shared" si="35"/>
        <v>97.815968616004739</v>
      </c>
    </row>
    <row r="261" spans="31:91" ht="15" customHeight="1">
      <c r="AE261" s="26">
        <f>Data!A256</f>
        <v>42591</v>
      </c>
      <c r="AF261" s="35">
        <f>Data!B256</f>
        <v>89.44</v>
      </c>
      <c r="AG261" s="35">
        <f>Data!F256</f>
        <v>1332599</v>
      </c>
      <c r="AH261" s="35">
        <f>Data!C256</f>
        <v>90.34</v>
      </c>
      <c r="AI261" s="35">
        <f>Data!D256</f>
        <v>89.44</v>
      </c>
      <c r="AJ261" s="35">
        <f>Data!E256</f>
        <v>89.97</v>
      </c>
      <c r="AK261" s="35">
        <f>Data!F256</f>
        <v>1332599</v>
      </c>
      <c r="AL261" s="35">
        <f t="shared" si="34"/>
        <v>89.97</v>
      </c>
      <c r="AM261" s="35">
        <f t="shared" si="43"/>
        <v>-7.7803712348568851E-2</v>
      </c>
      <c r="AN261" s="35">
        <f t="shared" si="42"/>
        <v>17.302579395602127</v>
      </c>
      <c r="AO261" s="35" t="str">
        <f t="shared" si="36"/>
        <v>no</v>
      </c>
      <c r="AP261" s="35" t="str">
        <f t="shared" si="37"/>
        <v>FITS BITCH</v>
      </c>
      <c r="AQ261" s="35" t="str">
        <f t="shared" si="37"/>
        <v>FITS BITCH</v>
      </c>
      <c r="AR261" s="35" t="str">
        <f t="shared" si="38"/>
        <v>no</v>
      </c>
      <c r="AS261" s="35" t="str">
        <f t="shared" si="39"/>
        <v>FITS BITCH</v>
      </c>
      <c r="AT261" s="20" t="str">
        <f t="shared" si="40"/>
        <v/>
      </c>
      <c r="AU261" s="20" t="str">
        <f t="shared" si="41"/>
        <v/>
      </c>
      <c r="AV261" s="20"/>
      <c r="AW261" s="20"/>
      <c r="AX261" s="20"/>
      <c r="CL261" s="106">
        <v>42765</v>
      </c>
      <c r="CM261" s="107">
        <f t="shared" si="35"/>
        <v>97.762681427581811</v>
      </c>
    </row>
    <row r="262" spans="31:91" ht="15" customHeight="1">
      <c r="AE262" s="26">
        <f>Data!A257</f>
        <v>42590</v>
      </c>
      <c r="AF262" s="35">
        <f>Data!B257</f>
        <v>89.59</v>
      </c>
      <c r="AG262" s="35">
        <f>Data!F257</f>
        <v>1831005</v>
      </c>
      <c r="AH262" s="35">
        <f>Data!C257</f>
        <v>89.88</v>
      </c>
      <c r="AI262" s="35">
        <f>Data!D257</f>
        <v>89.18</v>
      </c>
      <c r="AJ262" s="35">
        <f>Data!E257</f>
        <v>89.44</v>
      </c>
      <c r="AK262" s="35">
        <f>Data!F257</f>
        <v>1831005</v>
      </c>
      <c r="AL262" s="35">
        <f t="shared" ref="AL262:AL325" si="44">AJ262</f>
        <v>89.44</v>
      </c>
      <c r="AM262" s="35">
        <f t="shared" si="43"/>
        <v>-0.59257602862254155</v>
      </c>
      <c r="AN262" s="35">
        <f t="shared" si="42"/>
        <v>27.220351664796112</v>
      </c>
      <c r="AO262" s="35" t="str">
        <f t="shared" si="36"/>
        <v>no</v>
      </c>
      <c r="AP262" s="35" t="str">
        <f t="shared" si="37"/>
        <v>FITS BITCH</v>
      </c>
      <c r="AQ262" s="35" t="str">
        <f t="shared" si="37"/>
        <v>FITS BITCH</v>
      </c>
      <c r="AR262" s="35" t="str">
        <f t="shared" si="38"/>
        <v>FITS BITCH</v>
      </c>
      <c r="AS262" s="35" t="str">
        <f t="shared" si="39"/>
        <v>no</v>
      </c>
      <c r="AT262" s="20" t="str">
        <f t="shared" si="40"/>
        <v/>
      </c>
      <c r="AU262" s="20" t="str">
        <f t="shared" si="41"/>
        <v/>
      </c>
      <c r="AV262" s="20"/>
      <c r="AW262" s="20"/>
      <c r="AX262" s="20"/>
      <c r="CL262" s="106">
        <v>42762</v>
      </c>
      <c r="CM262" s="107">
        <f t="shared" si="35"/>
        <v>97.602819862313481</v>
      </c>
    </row>
    <row r="263" spans="31:91" ht="15" customHeight="1">
      <c r="AE263" s="26">
        <f>Data!A258</f>
        <v>42587</v>
      </c>
      <c r="AF263" s="35">
        <f>Data!B258</f>
        <v>89</v>
      </c>
      <c r="AG263" s="35">
        <f>Data!F258</f>
        <v>1959276</v>
      </c>
      <c r="AH263" s="35">
        <f>Data!C258</f>
        <v>89.72</v>
      </c>
      <c r="AI263" s="35">
        <f>Data!D258</f>
        <v>88.54</v>
      </c>
      <c r="AJ263" s="35">
        <f>Data!E258</f>
        <v>89.67</v>
      </c>
      <c r="AK263" s="35">
        <f>Data!F258</f>
        <v>1959276</v>
      </c>
      <c r="AL263" s="35">
        <f t="shared" si="44"/>
        <v>89.67</v>
      </c>
      <c r="AM263" s="35">
        <f t="shared" si="43"/>
        <v>0.25649604103937101</v>
      </c>
      <c r="AN263" s="35">
        <f t="shared" si="42"/>
        <v>6.5468571043589563</v>
      </c>
      <c r="AO263" s="35" t="str">
        <f t="shared" si="36"/>
        <v>no</v>
      </c>
      <c r="AP263" s="35" t="str">
        <f t="shared" si="37"/>
        <v>FITS BITCH</v>
      </c>
      <c r="AQ263" s="35" t="str">
        <f t="shared" si="37"/>
        <v>FITS BITCH</v>
      </c>
      <c r="AR263" s="35" t="str">
        <f t="shared" si="38"/>
        <v>no</v>
      </c>
      <c r="AS263" s="35" t="str">
        <f t="shared" si="39"/>
        <v>FITS BITCH</v>
      </c>
      <c r="AT263" s="20" t="str">
        <f t="shared" si="40"/>
        <v/>
      </c>
      <c r="AU263" s="20" t="str">
        <f t="shared" si="41"/>
        <v/>
      </c>
      <c r="AV263" s="20"/>
      <c r="AW263" s="20"/>
      <c r="AX263" s="20"/>
      <c r="CL263" s="106">
        <v>42761</v>
      </c>
      <c r="CM263" s="107">
        <f t="shared" si="35"/>
        <v>97.549532673890553</v>
      </c>
    </row>
    <row r="264" spans="31:91" ht="15" customHeight="1">
      <c r="AE264" s="26">
        <f>Data!A259</f>
        <v>42586</v>
      </c>
      <c r="AF264" s="35">
        <f>Data!B259</f>
        <v>88.11</v>
      </c>
      <c r="AG264" s="35">
        <f>Data!F259</f>
        <v>1484048</v>
      </c>
      <c r="AH264" s="35">
        <f>Data!C259</f>
        <v>88.66</v>
      </c>
      <c r="AI264" s="35">
        <f>Data!D259</f>
        <v>88.02</v>
      </c>
      <c r="AJ264" s="35">
        <f>Data!E259</f>
        <v>88.41</v>
      </c>
      <c r="AK264" s="35">
        <f>Data!F259</f>
        <v>1484048</v>
      </c>
      <c r="AL264" s="35">
        <f t="shared" si="44"/>
        <v>88.41</v>
      </c>
      <c r="AM264" s="35">
        <f t="shared" si="43"/>
        <v>-1.4251781472684144</v>
      </c>
      <c r="AN264" s="35">
        <f t="shared" si="42"/>
        <v>-32.022414369346542</v>
      </c>
      <c r="AO264" s="35" t="str">
        <f t="shared" si="36"/>
        <v>FITS BITCH</v>
      </c>
      <c r="AP264" s="35" t="str">
        <f t="shared" si="37"/>
        <v>FITS BITCH</v>
      </c>
      <c r="AQ264" s="35" t="str">
        <f t="shared" si="37"/>
        <v>FITS BITCH</v>
      </c>
      <c r="AR264" s="35" t="str">
        <f t="shared" si="38"/>
        <v>no</v>
      </c>
      <c r="AS264" s="35" t="str">
        <f t="shared" si="39"/>
        <v>FITS BITCH</v>
      </c>
      <c r="AT264" s="20" t="str">
        <f t="shared" si="40"/>
        <v/>
      </c>
      <c r="AU264" s="20" t="str">
        <f t="shared" si="41"/>
        <v>BEARISH</v>
      </c>
      <c r="AV264" s="20"/>
      <c r="AW264" s="20"/>
      <c r="AX264" s="20"/>
      <c r="CL264" s="106">
        <v>42760</v>
      </c>
      <c r="CM264" s="107">
        <f t="shared" ref="CM264:CM327" si="45">$BA$68*CL264+$BA$70</f>
        <v>97.49624548546808</v>
      </c>
    </row>
    <row r="265" spans="31:91" ht="15" customHeight="1">
      <c r="AE265" s="26">
        <f>Data!A260</f>
        <v>42585</v>
      </c>
      <c r="AF265" s="35">
        <f>Data!B260</f>
        <v>88.24</v>
      </c>
      <c r="AG265" s="35">
        <f>Data!F260</f>
        <v>2249647</v>
      </c>
      <c r="AH265" s="35">
        <f>Data!C260</f>
        <v>88.3</v>
      </c>
      <c r="AI265" s="35">
        <f>Data!D260</f>
        <v>87.55</v>
      </c>
      <c r="AJ265" s="35">
        <f>Data!E260</f>
        <v>88.19</v>
      </c>
      <c r="AK265" s="35">
        <f>Data!F260</f>
        <v>2249647</v>
      </c>
      <c r="AL265" s="35">
        <f t="shared" si="44"/>
        <v>88.19</v>
      </c>
      <c r="AM265" s="35">
        <f t="shared" si="43"/>
        <v>-0.24946139018029129</v>
      </c>
      <c r="AN265" s="35">
        <f t="shared" si="42"/>
        <v>34.031961458842211</v>
      </c>
      <c r="AO265" s="35" t="str">
        <f t="shared" ref="AO265:AO328" si="46">IF(AN265&lt;-8,"FITS BITCH",IF(AN265&gt;-8,"no"))</f>
        <v>no</v>
      </c>
      <c r="AP265" s="35" t="str">
        <f t="shared" ref="AP265:AQ328" si="47">IF(AH266&lt;AH265,"FITS BITCH",IF(AH266&gt;AH265,"no"))</f>
        <v>no</v>
      </c>
      <c r="AQ265" s="35" t="str">
        <f t="shared" si="47"/>
        <v>no</v>
      </c>
      <c r="AR265" s="35" t="str">
        <f t="shared" ref="AR265:AR328" si="48">IF(AJ265&lt;AH266,"FITS BITCH",IF(AJ265&gt;AH266,"no"))</f>
        <v>FITS BITCH</v>
      </c>
      <c r="AS265" s="35" t="str">
        <f t="shared" ref="AS265:AS328" si="49">IF(AJ265&gt;AJ266,"FITS BITCH",IF(AJ265&lt;AJ266,"no"))</f>
        <v>FITS BITCH</v>
      </c>
      <c r="AT265" s="20" t="str">
        <f t="shared" ref="AT265:AT328" si="50">IF(AND($AO265="FITS BITCH",$AP265="FITS BITCH",$AR265="FITS BITCH"),"BULLISH","")</f>
        <v/>
      </c>
      <c r="AU265" s="20" t="str">
        <f t="shared" ref="AU265:AU328" si="51">IF(AND($AO265="FITS BITCH",$AQ265="FITS BITCH",$AS265="FITS BITCH"),"BEARISH","")</f>
        <v/>
      </c>
      <c r="AV265" s="20"/>
      <c r="AW265" s="20"/>
      <c r="AX265" s="20"/>
      <c r="CL265" s="106">
        <v>42759</v>
      </c>
      <c r="CM265" s="107">
        <f t="shared" si="45"/>
        <v>97.442958297045152</v>
      </c>
    </row>
    <row r="266" spans="31:91" ht="15" customHeight="1">
      <c r="AE266" s="26">
        <f>Data!A261</f>
        <v>42584</v>
      </c>
      <c r="AF266" s="35">
        <f>Data!B261</f>
        <v>88.7</v>
      </c>
      <c r="AG266" s="35">
        <f>Data!F261</f>
        <v>2384471</v>
      </c>
      <c r="AH266" s="35">
        <f>Data!C261</f>
        <v>88.94</v>
      </c>
      <c r="AI266" s="35">
        <f>Data!D261</f>
        <v>87.86</v>
      </c>
      <c r="AJ266" s="35">
        <f>Data!E261</f>
        <v>87.97</v>
      </c>
      <c r="AK266" s="35">
        <f>Data!F261</f>
        <v>2384471</v>
      </c>
      <c r="AL266" s="35">
        <f t="shared" si="44"/>
        <v>87.97</v>
      </c>
      <c r="AM266" s="35">
        <f t="shared" si="43"/>
        <v>-0.25008525633738643</v>
      </c>
      <c r="AN266" s="35">
        <f t="shared" ref="AN266:AN329" si="52">(AK266-AK265)/AK266*100</f>
        <v>5.6542520332602075</v>
      </c>
      <c r="AO266" s="35" t="str">
        <f t="shared" si="46"/>
        <v>no</v>
      </c>
      <c r="AP266" s="35" t="str">
        <f t="shared" si="47"/>
        <v>no</v>
      </c>
      <c r="AQ266" s="35" t="str">
        <f t="shared" si="47"/>
        <v>FITS BITCH</v>
      </c>
      <c r="AR266" s="35" t="str">
        <f t="shared" si="48"/>
        <v>FITS BITCH</v>
      </c>
      <c r="AS266" s="35" t="str">
        <f t="shared" si="49"/>
        <v>no</v>
      </c>
      <c r="AT266" s="20" t="str">
        <f t="shared" si="50"/>
        <v/>
      </c>
      <c r="AU266" s="20" t="str">
        <f t="shared" si="51"/>
        <v/>
      </c>
      <c r="AV266" s="20"/>
      <c r="AW266" s="20"/>
      <c r="AX266" s="20"/>
      <c r="CL266" s="106">
        <v>42758</v>
      </c>
      <c r="CM266" s="107">
        <f t="shared" si="45"/>
        <v>97.389671108622224</v>
      </c>
    </row>
    <row r="267" spans="31:91" ht="15" customHeight="1">
      <c r="AE267" s="26">
        <f>Data!A262</f>
        <v>42583</v>
      </c>
      <c r="AF267" s="35">
        <f>Data!B262</f>
        <v>88.06</v>
      </c>
      <c r="AG267" s="35">
        <f>Data!F262</f>
        <v>3353733</v>
      </c>
      <c r="AH267" s="35">
        <f>Data!C262</f>
        <v>89.71</v>
      </c>
      <c r="AI267" s="35">
        <f>Data!D262</f>
        <v>87.85</v>
      </c>
      <c r="AJ267" s="35">
        <f>Data!E262</f>
        <v>88.67</v>
      </c>
      <c r="AK267" s="35">
        <f>Data!F262</f>
        <v>3353733</v>
      </c>
      <c r="AL267" s="35">
        <f t="shared" si="44"/>
        <v>88.67</v>
      </c>
      <c r="AM267" s="35">
        <f t="shared" si="43"/>
        <v>0.78944400586444441</v>
      </c>
      <c r="AN267" s="35">
        <f t="shared" si="52"/>
        <v>28.900988838407827</v>
      </c>
      <c r="AO267" s="35" t="str">
        <f t="shared" si="46"/>
        <v>no</v>
      </c>
      <c r="AP267" s="35" t="str">
        <f t="shared" si="47"/>
        <v>no</v>
      </c>
      <c r="AQ267" s="35" t="str">
        <f t="shared" si="47"/>
        <v>no</v>
      </c>
      <c r="AR267" s="35" t="str">
        <f t="shared" si="48"/>
        <v>FITS BITCH</v>
      </c>
      <c r="AS267" s="35" t="str">
        <f t="shared" si="49"/>
        <v>no</v>
      </c>
      <c r="AT267" s="20" t="str">
        <f t="shared" si="50"/>
        <v/>
      </c>
      <c r="AU267" s="20" t="str">
        <f t="shared" si="51"/>
        <v/>
      </c>
      <c r="AV267" s="20"/>
      <c r="AW267" s="20"/>
      <c r="AX267" s="20"/>
      <c r="CL267" s="106">
        <v>42755</v>
      </c>
      <c r="CM267" s="107">
        <f t="shared" si="45"/>
        <v>97.229809543353895</v>
      </c>
    </row>
    <row r="268" spans="31:91" ht="15" customHeight="1">
      <c r="AE268" s="26">
        <f>Data!A263</f>
        <v>42580</v>
      </c>
      <c r="AF268" s="35">
        <f>Data!B263</f>
        <v>91.38</v>
      </c>
      <c r="AG268" s="35">
        <f>Data!F263</f>
        <v>3899670</v>
      </c>
      <c r="AH268" s="35">
        <f>Data!C263</f>
        <v>91.38</v>
      </c>
      <c r="AI268" s="35">
        <f>Data!D263</f>
        <v>88.92</v>
      </c>
      <c r="AJ268" s="35">
        <f>Data!E263</f>
        <v>88.95</v>
      </c>
      <c r="AK268" s="35">
        <f>Data!F263</f>
        <v>3899670</v>
      </c>
      <c r="AL268" s="35">
        <f t="shared" si="44"/>
        <v>88.95</v>
      </c>
      <c r="AM268" s="35">
        <f t="shared" si="43"/>
        <v>0.31478358628443071</v>
      </c>
      <c r="AN268" s="35">
        <f t="shared" si="52"/>
        <v>13.999569194316441</v>
      </c>
      <c r="AO268" s="35" t="str">
        <f t="shared" si="46"/>
        <v>no</v>
      </c>
      <c r="AP268" s="35" t="str">
        <f t="shared" si="47"/>
        <v>no</v>
      </c>
      <c r="AQ268" s="35" t="str">
        <f t="shared" si="47"/>
        <v>no</v>
      </c>
      <c r="AR268" s="35" t="str">
        <f t="shared" si="48"/>
        <v>FITS BITCH</v>
      </c>
      <c r="AS268" s="35" t="str">
        <f t="shared" si="49"/>
        <v>no</v>
      </c>
      <c r="AT268" s="20" t="str">
        <f t="shared" si="50"/>
        <v/>
      </c>
      <c r="AU268" s="20" t="str">
        <f t="shared" si="51"/>
        <v/>
      </c>
      <c r="AV268" s="20"/>
      <c r="AW268" s="20"/>
      <c r="AX268" s="20"/>
      <c r="CL268" s="106">
        <v>42754</v>
      </c>
      <c r="CM268" s="107">
        <f t="shared" si="45"/>
        <v>97.176522354931421</v>
      </c>
    </row>
    <row r="269" spans="31:91" ht="15" customHeight="1">
      <c r="AE269" s="26">
        <f>Data!A264</f>
        <v>42579</v>
      </c>
      <c r="AF269" s="35">
        <f>Data!B264</f>
        <v>93</v>
      </c>
      <c r="AG269" s="35">
        <f>Data!F264</f>
        <v>3609572</v>
      </c>
      <c r="AH269" s="35">
        <f>Data!C264</f>
        <v>93</v>
      </c>
      <c r="AI269" s="35">
        <f>Data!D264</f>
        <v>91.37</v>
      </c>
      <c r="AJ269" s="35">
        <f>Data!E264</f>
        <v>91.73</v>
      </c>
      <c r="AK269" s="35">
        <f>Data!F264</f>
        <v>3609572</v>
      </c>
      <c r="AL269" s="35">
        <f t="shared" si="44"/>
        <v>91.73</v>
      </c>
      <c r="AM269" s="35">
        <f t="shared" si="43"/>
        <v>3.0306333805734229</v>
      </c>
      <c r="AN269" s="35">
        <f t="shared" si="52"/>
        <v>-8.0369085309837285</v>
      </c>
      <c r="AO269" s="35" t="str">
        <f t="shared" si="46"/>
        <v>FITS BITCH</v>
      </c>
      <c r="AP269" s="35" t="str">
        <f t="shared" si="47"/>
        <v>no</v>
      </c>
      <c r="AQ269" s="35" t="str">
        <f t="shared" si="47"/>
        <v>no</v>
      </c>
      <c r="AR269" s="35" t="str">
        <f t="shared" si="48"/>
        <v>FITS BITCH</v>
      </c>
      <c r="AS269" s="35" t="str">
        <f t="shared" si="49"/>
        <v>no</v>
      </c>
      <c r="AT269" s="20" t="str">
        <f t="shared" si="50"/>
        <v/>
      </c>
      <c r="AU269" s="20" t="str">
        <f t="shared" si="51"/>
        <v/>
      </c>
      <c r="AV269" s="20"/>
      <c r="AW269" s="20"/>
      <c r="AX269" s="20"/>
      <c r="CL269" s="106">
        <v>42753</v>
      </c>
      <c r="CM269" s="107">
        <f t="shared" si="45"/>
        <v>97.123235166508493</v>
      </c>
    </row>
    <row r="270" spans="31:91" ht="15" customHeight="1">
      <c r="AE270" s="26">
        <f>Data!A265</f>
        <v>42578</v>
      </c>
      <c r="AF270" s="35">
        <f>Data!B265</f>
        <v>95.66</v>
      </c>
      <c r="AG270" s="35">
        <f>Data!F265</f>
        <v>2050448</v>
      </c>
      <c r="AH270" s="35">
        <f>Data!C265</f>
        <v>95.73</v>
      </c>
      <c r="AI270" s="35">
        <f>Data!D265</f>
        <v>94.75</v>
      </c>
      <c r="AJ270" s="35">
        <f>Data!E265</f>
        <v>94.93</v>
      </c>
      <c r="AK270" s="35">
        <f>Data!F265</f>
        <v>2050448</v>
      </c>
      <c r="AL270" s="35">
        <f t="shared" si="44"/>
        <v>94.93</v>
      </c>
      <c r="AM270" s="35">
        <f t="shared" si="43"/>
        <v>3.3709048772779973</v>
      </c>
      <c r="AN270" s="35">
        <f t="shared" si="52"/>
        <v>-76.038212137054927</v>
      </c>
      <c r="AO270" s="35" t="str">
        <f t="shared" si="46"/>
        <v>FITS BITCH</v>
      </c>
      <c r="AP270" s="35" t="str">
        <f t="shared" si="47"/>
        <v>no</v>
      </c>
      <c r="AQ270" s="35" t="str">
        <f t="shared" si="47"/>
        <v>no</v>
      </c>
      <c r="AR270" s="35" t="str">
        <f t="shared" si="48"/>
        <v>FITS BITCH</v>
      </c>
      <c r="AS270" s="35" t="str">
        <f t="shared" si="49"/>
        <v>no</v>
      </c>
      <c r="AT270" s="20" t="str">
        <f t="shared" si="50"/>
        <v/>
      </c>
      <c r="AU270" s="20" t="str">
        <f t="shared" si="51"/>
        <v/>
      </c>
      <c r="AV270" s="20"/>
      <c r="AW270" s="20"/>
      <c r="AX270" s="20"/>
      <c r="CL270" s="106">
        <v>42752</v>
      </c>
      <c r="CM270" s="107">
        <f t="shared" si="45"/>
        <v>97.069947978085565</v>
      </c>
    </row>
    <row r="271" spans="31:91" ht="15" customHeight="1">
      <c r="AE271" s="26">
        <f>Data!A266</f>
        <v>42577</v>
      </c>
      <c r="AF271" s="35">
        <f>Data!B266</f>
        <v>95.56</v>
      </c>
      <c r="AG271" s="35">
        <f>Data!F266</f>
        <v>1412448</v>
      </c>
      <c r="AH271" s="35">
        <f>Data!C266</f>
        <v>96</v>
      </c>
      <c r="AI271" s="35">
        <f>Data!D266</f>
        <v>95.08</v>
      </c>
      <c r="AJ271" s="35">
        <f>Data!E266</f>
        <v>95.72</v>
      </c>
      <c r="AK271" s="35">
        <f>Data!F266</f>
        <v>1412448</v>
      </c>
      <c r="AL271" s="35">
        <f t="shared" si="44"/>
        <v>95.72</v>
      </c>
      <c r="AM271" s="35">
        <f t="shared" si="43"/>
        <v>0.82532386126200585</v>
      </c>
      <c r="AN271" s="35">
        <f t="shared" si="52"/>
        <v>-45.169804481297717</v>
      </c>
      <c r="AO271" s="35" t="str">
        <f t="shared" si="46"/>
        <v>FITS BITCH</v>
      </c>
      <c r="AP271" s="35" t="str">
        <f t="shared" si="47"/>
        <v>FITS BITCH</v>
      </c>
      <c r="AQ271" s="35" t="str">
        <f t="shared" si="47"/>
        <v>FITS BITCH</v>
      </c>
      <c r="AR271" s="35" t="str">
        <f t="shared" si="48"/>
        <v>no</v>
      </c>
      <c r="AS271" s="35" t="str">
        <f t="shared" si="49"/>
        <v>FITS BITCH</v>
      </c>
      <c r="AT271" s="20" t="str">
        <f t="shared" si="50"/>
        <v/>
      </c>
      <c r="AU271" s="20" t="str">
        <f t="shared" si="51"/>
        <v>BEARISH</v>
      </c>
      <c r="AV271" s="20"/>
      <c r="AW271" s="20"/>
      <c r="AX271" s="20"/>
      <c r="CL271" s="106">
        <v>42751</v>
      </c>
      <c r="CM271" s="107">
        <f t="shared" si="45"/>
        <v>97.016660789663092</v>
      </c>
    </row>
    <row r="272" spans="31:91" ht="15" customHeight="1">
      <c r="AE272" s="26">
        <f>Data!A267</f>
        <v>42576</v>
      </c>
      <c r="AF272" s="35">
        <f>Data!B267</f>
        <v>95.16</v>
      </c>
      <c r="AG272" s="35">
        <f>Data!F267</f>
        <v>1247870</v>
      </c>
      <c r="AH272" s="35">
        <f>Data!C267</f>
        <v>95.36</v>
      </c>
      <c r="AI272" s="35">
        <f>Data!D267</f>
        <v>94.87</v>
      </c>
      <c r="AJ272" s="35">
        <f>Data!E267</f>
        <v>95.29</v>
      </c>
      <c r="AK272" s="35">
        <f>Data!F267</f>
        <v>1247870</v>
      </c>
      <c r="AL272" s="35">
        <f t="shared" si="44"/>
        <v>95.29</v>
      </c>
      <c r="AM272" s="35">
        <f t="shared" si="43"/>
        <v>-0.45125406653373135</v>
      </c>
      <c r="AN272" s="35">
        <f t="shared" si="52"/>
        <v>-13.188713567919736</v>
      </c>
      <c r="AO272" s="35" t="str">
        <f t="shared" si="46"/>
        <v>FITS BITCH</v>
      </c>
      <c r="AP272" s="35" t="str">
        <f t="shared" si="47"/>
        <v>no</v>
      </c>
      <c r="AQ272" s="35" t="str">
        <f t="shared" si="47"/>
        <v>FITS BITCH</v>
      </c>
      <c r="AR272" s="35" t="str">
        <f t="shared" si="48"/>
        <v>FITS BITCH</v>
      </c>
      <c r="AS272" s="35" t="str">
        <f t="shared" si="49"/>
        <v>no</v>
      </c>
      <c r="AT272" s="20" t="str">
        <f t="shared" si="50"/>
        <v/>
      </c>
      <c r="AU272" s="20" t="str">
        <f t="shared" si="51"/>
        <v/>
      </c>
      <c r="AV272" s="20"/>
      <c r="AW272" s="20"/>
      <c r="AX272" s="20"/>
      <c r="CL272" s="106">
        <v>42748</v>
      </c>
      <c r="CM272" s="107">
        <f t="shared" si="45"/>
        <v>96.856799224394763</v>
      </c>
    </row>
    <row r="273" spans="31:91" ht="15" customHeight="1">
      <c r="AE273" s="26">
        <f>Data!A268</f>
        <v>42573</v>
      </c>
      <c r="AF273" s="35">
        <f>Data!B268</f>
        <v>95.51</v>
      </c>
      <c r="AG273" s="35">
        <f>Data!F268</f>
        <v>1221373</v>
      </c>
      <c r="AH273" s="35">
        <f>Data!C268</f>
        <v>95.69</v>
      </c>
      <c r="AI273" s="35">
        <f>Data!D268</f>
        <v>94.75</v>
      </c>
      <c r="AJ273" s="35">
        <f>Data!E268</f>
        <v>95.44</v>
      </c>
      <c r="AK273" s="35">
        <f>Data!F268</f>
        <v>1221373</v>
      </c>
      <c r="AL273" s="35">
        <f t="shared" si="44"/>
        <v>95.44</v>
      </c>
      <c r="AM273" s="35">
        <f t="shared" si="43"/>
        <v>0.15716680637048563</v>
      </c>
      <c r="AN273" s="35">
        <f t="shared" si="52"/>
        <v>-2.1694437325861959</v>
      </c>
      <c r="AO273" s="35" t="str">
        <f t="shared" si="46"/>
        <v>no</v>
      </c>
      <c r="AP273" s="35" t="str">
        <f t="shared" si="47"/>
        <v>FITS BITCH</v>
      </c>
      <c r="AQ273" s="35" t="str">
        <f t="shared" si="47"/>
        <v>FITS BITCH</v>
      </c>
      <c r="AR273" s="35" t="str">
        <f t="shared" si="48"/>
        <v>no</v>
      </c>
      <c r="AS273" s="35" t="str">
        <f t="shared" si="49"/>
        <v>FITS BITCH</v>
      </c>
      <c r="AT273" s="20" t="str">
        <f t="shared" si="50"/>
        <v/>
      </c>
      <c r="AU273" s="20" t="str">
        <f t="shared" si="51"/>
        <v/>
      </c>
      <c r="AV273" s="20"/>
      <c r="AW273" s="20"/>
      <c r="AX273" s="20"/>
      <c r="CL273" s="106">
        <v>42747</v>
      </c>
      <c r="CM273" s="107">
        <f t="shared" si="45"/>
        <v>96.803512035971835</v>
      </c>
    </row>
    <row r="274" spans="31:91" ht="15" customHeight="1">
      <c r="AE274" s="26">
        <f>Data!A269</f>
        <v>42572</v>
      </c>
      <c r="AF274" s="35">
        <f>Data!B269</f>
        <v>95.1</v>
      </c>
      <c r="AG274" s="35">
        <f>Data!F269</f>
        <v>1262395</v>
      </c>
      <c r="AH274" s="35">
        <f>Data!C269</f>
        <v>95.42</v>
      </c>
      <c r="AI274" s="35">
        <f>Data!D269</f>
        <v>94.38</v>
      </c>
      <c r="AJ274" s="35">
        <f>Data!E269</f>
        <v>94.88</v>
      </c>
      <c r="AK274" s="35">
        <f>Data!F269</f>
        <v>1262395</v>
      </c>
      <c r="AL274" s="35">
        <f t="shared" si="44"/>
        <v>94.88</v>
      </c>
      <c r="AM274" s="35">
        <f t="shared" si="43"/>
        <v>-0.59021922428330764</v>
      </c>
      <c r="AN274" s="35">
        <f t="shared" si="52"/>
        <v>3.2495375853041244</v>
      </c>
      <c r="AO274" s="35" t="str">
        <f t="shared" si="46"/>
        <v>no</v>
      </c>
      <c r="AP274" s="35" t="str">
        <f t="shared" si="47"/>
        <v>no</v>
      </c>
      <c r="AQ274" s="35" t="str">
        <f t="shared" si="47"/>
        <v>no</v>
      </c>
      <c r="AR274" s="35" t="str">
        <f t="shared" si="48"/>
        <v>FITS BITCH</v>
      </c>
      <c r="AS274" s="35" t="str">
        <f t="shared" si="49"/>
        <v>no</v>
      </c>
      <c r="AT274" s="20" t="str">
        <f t="shared" si="50"/>
        <v/>
      </c>
      <c r="AU274" s="20" t="str">
        <f t="shared" si="51"/>
        <v/>
      </c>
      <c r="AV274" s="20"/>
      <c r="AW274" s="20"/>
      <c r="AX274" s="20"/>
      <c r="CL274" s="106">
        <v>42746</v>
      </c>
      <c r="CM274" s="107">
        <f t="shared" si="45"/>
        <v>96.750224847549362</v>
      </c>
    </row>
    <row r="275" spans="31:91" ht="15" customHeight="1">
      <c r="AE275" s="26">
        <f>Data!A270</f>
        <v>42571</v>
      </c>
      <c r="AF275" s="35">
        <f>Data!B270</f>
        <v>95.56</v>
      </c>
      <c r="AG275" s="35">
        <f>Data!F270</f>
        <v>1090135</v>
      </c>
      <c r="AH275" s="35">
        <f>Data!C270</f>
        <v>95.64</v>
      </c>
      <c r="AI275" s="35">
        <f>Data!D270</f>
        <v>95.04</v>
      </c>
      <c r="AJ275" s="35">
        <f>Data!E270</f>
        <v>95.39</v>
      </c>
      <c r="AK275" s="35">
        <f>Data!F270</f>
        <v>1090135</v>
      </c>
      <c r="AL275" s="35">
        <f t="shared" si="44"/>
        <v>95.39</v>
      </c>
      <c r="AM275" s="35">
        <f t="shared" si="43"/>
        <v>0.53464723765594413</v>
      </c>
      <c r="AN275" s="35">
        <f t="shared" si="52"/>
        <v>-15.801712631921735</v>
      </c>
      <c r="AO275" s="35" t="str">
        <f t="shared" si="46"/>
        <v>FITS BITCH</v>
      </c>
      <c r="AP275" s="35" t="str">
        <f t="shared" si="47"/>
        <v>FITS BITCH</v>
      </c>
      <c r="AQ275" s="35" t="str">
        <f t="shared" si="47"/>
        <v>FITS BITCH</v>
      </c>
      <c r="AR275" s="35" t="str">
        <f t="shared" si="48"/>
        <v>no</v>
      </c>
      <c r="AS275" s="35" t="str">
        <f t="shared" si="49"/>
        <v>FITS BITCH</v>
      </c>
      <c r="AT275" s="20" t="str">
        <f t="shared" si="50"/>
        <v/>
      </c>
      <c r="AU275" s="20" t="str">
        <f t="shared" si="51"/>
        <v>BEARISH</v>
      </c>
      <c r="AV275" s="20"/>
      <c r="AW275" s="20"/>
      <c r="AX275" s="20"/>
      <c r="CL275" s="106">
        <v>42745</v>
      </c>
      <c r="CM275" s="107">
        <f t="shared" si="45"/>
        <v>96.696937659126434</v>
      </c>
    </row>
    <row r="276" spans="31:91" ht="15" customHeight="1">
      <c r="AE276" s="26">
        <f>Data!A271</f>
        <v>42570</v>
      </c>
      <c r="AF276" s="35">
        <f>Data!B271</f>
        <v>94.85</v>
      </c>
      <c r="AG276" s="35">
        <f>Data!F271</f>
        <v>925542</v>
      </c>
      <c r="AH276" s="35">
        <f>Data!C271</f>
        <v>95.05</v>
      </c>
      <c r="AI276" s="35">
        <f>Data!D271</f>
        <v>94.66</v>
      </c>
      <c r="AJ276" s="35">
        <f>Data!E271</f>
        <v>95.02</v>
      </c>
      <c r="AK276" s="35">
        <f>Data!F271</f>
        <v>925542</v>
      </c>
      <c r="AL276" s="35">
        <f t="shared" si="44"/>
        <v>95.02</v>
      </c>
      <c r="AM276" s="35">
        <f t="shared" si="43"/>
        <v>-0.38939170700905551</v>
      </c>
      <c r="AN276" s="35">
        <f t="shared" si="52"/>
        <v>-17.783417716321896</v>
      </c>
      <c r="AO276" s="35" t="str">
        <f t="shared" si="46"/>
        <v>FITS BITCH</v>
      </c>
      <c r="AP276" s="35" t="str">
        <f t="shared" si="47"/>
        <v>no</v>
      </c>
      <c r="AQ276" s="35" t="str">
        <f t="shared" si="47"/>
        <v>no</v>
      </c>
      <c r="AR276" s="35" t="str">
        <f t="shared" si="48"/>
        <v>FITS BITCH</v>
      </c>
      <c r="AS276" s="35" t="str">
        <f t="shared" si="49"/>
        <v>FITS BITCH</v>
      </c>
      <c r="AT276" s="20" t="str">
        <f t="shared" si="50"/>
        <v/>
      </c>
      <c r="AU276" s="20" t="str">
        <f t="shared" si="51"/>
        <v/>
      </c>
      <c r="AV276" s="20"/>
      <c r="AW276" s="20"/>
      <c r="AX276" s="20"/>
      <c r="CL276" s="106">
        <v>42744</v>
      </c>
      <c r="CM276" s="107">
        <f t="shared" si="45"/>
        <v>96.643650470703506</v>
      </c>
    </row>
    <row r="277" spans="31:91" ht="15" customHeight="1">
      <c r="AE277" s="26">
        <f>Data!A272</f>
        <v>42569</v>
      </c>
      <c r="AF277" s="35">
        <f>Data!B272</f>
        <v>95.29</v>
      </c>
      <c r="AG277" s="35">
        <f>Data!F272</f>
        <v>879741</v>
      </c>
      <c r="AH277" s="35">
        <f>Data!C272</f>
        <v>95.38</v>
      </c>
      <c r="AI277" s="35">
        <f>Data!D272</f>
        <v>94.81</v>
      </c>
      <c r="AJ277" s="35">
        <f>Data!E272</f>
        <v>94.93</v>
      </c>
      <c r="AK277" s="35">
        <f>Data!F272</f>
        <v>879741</v>
      </c>
      <c r="AL277" s="35">
        <f t="shared" si="44"/>
        <v>94.93</v>
      </c>
      <c r="AM277" s="35">
        <f t="shared" si="43"/>
        <v>-9.4806699673432207E-2</v>
      </c>
      <c r="AN277" s="35">
        <f t="shared" si="52"/>
        <v>-5.2061913676866256</v>
      </c>
      <c r="AO277" s="35" t="str">
        <f t="shared" si="46"/>
        <v>no</v>
      </c>
      <c r="AP277" s="35" t="str">
        <f t="shared" si="47"/>
        <v>no</v>
      </c>
      <c r="AQ277" s="35" t="str">
        <f t="shared" si="47"/>
        <v>no</v>
      </c>
      <c r="AR277" s="35" t="str">
        <f t="shared" si="48"/>
        <v>FITS BITCH</v>
      </c>
      <c r="AS277" s="35" t="str">
        <f t="shared" si="49"/>
        <v>no</v>
      </c>
      <c r="AT277" s="20" t="str">
        <f t="shared" si="50"/>
        <v/>
      </c>
      <c r="AU277" s="20" t="str">
        <f t="shared" si="51"/>
        <v/>
      </c>
      <c r="AV277" s="20"/>
      <c r="AW277" s="20"/>
      <c r="AX277" s="20"/>
      <c r="CL277" s="106">
        <v>42741</v>
      </c>
      <c r="CM277" s="107">
        <f t="shared" si="45"/>
        <v>96.483788905435176</v>
      </c>
    </row>
    <row r="278" spans="31:91" ht="15" customHeight="1">
      <c r="AE278" s="26">
        <f>Data!A273</f>
        <v>42566</v>
      </c>
      <c r="AF278" s="35">
        <f>Data!B273</f>
        <v>95.7</v>
      </c>
      <c r="AG278" s="35">
        <f>Data!F273</f>
        <v>1356035</v>
      </c>
      <c r="AH278" s="35">
        <f>Data!C273</f>
        <v>95.77</v>
      </c>
      <c r="AI278" s="35">
        <f>Data!D273</f>
        <v>94.93</v>
      </c>
      <c r="AJ278" s="35">
        <f>Data!E273</f>
        <v>95.06</v>
      </c>
      <c r="AK278" s="35">
        <f>Data!F273</f>
        <v>1356035</v>
      </c>
      <c r="AL278" s="35">
        <f t="shared" si="44"/>
        <v>95.06</v>
      </c>
      <c r="AM278" s="35">
        <f t="shared" si="43"/>
        <v>0.1367557332211187</v>
      </c>
      <c r="AN278" s="35">
        <f t="shared" si="52"/>
        <v>35.124019660259506</v>
      </c>
      <c r="AO278" s="35" t="str">
        <f t="shared" si="46"/>
        <v>no</v>
      </c>
      <c r="AP278" s="35" t="str">
        <f t="shared" si="47"/>
        <v>no</v>
      </c>
      <c r="AQ278" s="35" t="str">
        <f t="shared" si="47"/>
        <v>no</v>
      </c>
      <c r="AR278" s="35" t="str">
        <f t="shared" si="48"/>
        <v>FITS BITCH</v>
      </c>
      <c r="AS278" s="35" t="str">
        <f t="shared" si="49"/>
        <v>no</v>
      </c>
      <c r="AT278" s="20" t="str">
        <f t="shared" si="50"/>
        <v/>
      </c>
      <c r="AU278" s="20" t="str">
        <f t="shared" si="51"/>
        <v/>
      </c>
      <c r="AV278" s="20"/>
      <c r="AW278" s="20"/>
      <c r="AX278" s="20"/>
      <c r="CL278" s="106">
        <v>42740</v>
      </c>
      <c r="CM278" s="107">
        <f t="shared" si="45"/>
        <v>96.430501717012703</v>
      </c>
    </row>
    <row r="279" spans="31:91" ht="15" customHeight="1">
      <c r="AE279" s="26">
        <f>Data!A274</f>
        <v>42565</v>
      </c>
      <c r="AF279" s="35">
        <f>Data!B274</f>
        <v>95.75</v>
      </c>
      <c r="AG279" s="35">
        <f>Data!F274</f>
        <v>1330874</v>
      </c>
      <c r="AH279" s="35">
        <f>Data!C274</f>
        <v>95.78</v>
      </c>
      <c r="AI279" s="35">
        <f>Data!D274</f>
        <v>95.01</v>
      </c>
      <c r="AJ279" s="35">
        <f>Data!E274</f>
        <v>95.21</v>
      </c>
      <c r="AK279" s="35">
        <f>Data!F274</f>
        <v>1330874</v>
      </c>
      <c r="AL279" s="35">
        <f t="shared" si="44"/>
        <v>95.21</v>
      </c>
      <c r="AM279" s="35">
        <f t="shared" si="43"/>
        <v>0.15754647621047316</v>
      </c>
      <c r="AN279" s="35">
        <f t="shared" si="52"/>
        <v>-1.8905621418706806</v>
      </c>
      <c r="AO279" s="35" t="str">
        <f t="shared" si="46"/>
        <v>no</v>
      </c>
      <c r="AP279" s="35" t="str">
        <f t="shared" si="47"/>
        <v>FITS BITCH</v>
      </c>
      <c r="AQ279" s="35" t="str">
        <f t="shared" si="47"/>
        <v>FITS BITCH</v>
      </c>
      <c r="AR279" s="35" t="str">
        <f t="shared" si="48"/>
        <v>FITS BITCH</v>
      </c>
      <c r="AS279" s="35" t="str">
        <f t="shared" si="49"/>
        <v>FITS BITCH</v>
      </c>
      <c r="AT279" s="20" t="str">
        <f t="shared" si="50"/>
        <v/>
      </c>
      <c r="AU279" s="20" t="str">
        <f t="shared" si="51"/>
        <v/>
      </c>
      <c r="AV279" s="20"/>
      <c r="AW279" s="20"/>
      <c r="AX279" s="20"/>
      <c r="CL279" s="106">
        <v>42739</v>
      </c>
      <c r="CM279" s="107">
        <f t="shared" si="45"/>
        <v>96.377214528589775</v>
      </c>
    </row>
    <row r="280" spans="31:91" ht="15" customHeight="1">
      <c r="AE280" s="26">
        <f>Data!A275</f>
        <v>42564</v>
      </c>
      <c r="AF280" s="35">
        <f>Data!B275</f>
        <v>95.29</v>
      </c>
      <c r="AG280" s="35">
        <f>Data!F275</f>
        <v>1365475</v>
      </c>
      <c r="AH280" s="35">
        <f>Data!C275</f>
        <v>95.39</v>
      </c>
      <c r="AI280" s="35">
        <f>Data!D275</f>
        <v>94.67</v>
      </c>
      <c r="AJ280" s="35">
        <f>Data!E275</f>
        <v>95.14</v>
      </c>
      <c r="AK280" s="35">
        <f>Data!F275</f>
        <v>1365475</v>
      </c>
      <c r="AL280" s="35">
        <f t="shared" si="44"/>
        <v>95.14</v>
      </c>
      <c r="AM280" s="35">
        <f t="shared" si="43"/>
        <v>-7.3575783056541083E-2</v>
      </c>
      <c r="AN280" s="35">
        <f t="shared" si="52"/>
        <v>2.5339900034786429</v>
      </c>
      <c r="AO280" s="35" t="str">
        <f t="shared" si="46"/>
        <v>no</v>
      </c>
      <c r="AP280" s="35" t="str">
        <f t="shared" si="47"/>
        <v>no</v>
      </c>
      <c r="AQ280" s="35" t="str">
        <f t="shared" si="47"/>
        <v>no</v>
      </c>
      <c r="AR280" s="35" t="str">
        <f t="shared" si="48"/>
        <v>FITS BITCH</v>
      </c>
      <c r="AS280" s="35" t="str">
        <f t="shared" si="49"/>
        <v>FITS BITCH</v>
      </c>
      <c r="AT280" s="20" t="str">
        <f t="shared" si="50"/>
        <v/>
      </c>
      <c r="AU280" s="20" t="str">
        <f t="shared" si="51"/>
        <v/>
      </c>
      <c r="AV280" s="20"/>
      <c r="AW280" s="20"/>
      <c r="AX280" s="20"/>
      <c r="CL280" s="106">
        <v>42738</v>
      </c>
      <c r="CM280" s="107">
        <f t="shared" si="45"/>
        <v>96.323927340166847</v>
      </c>
    </row>
    <row r="281" spans="31:91" ht="15" customHeight="1">
      <c r="AE281" s="26">
        <f>Data!A276</f>
        <v>42563</v>
      </c>
      <c r="AF281" s="35">
        <f>Data!B276</f>
        <v>95.58</v>
      </c>
      <c r="AG281" s="35">
        <f>Data!F276</f>
        <v>2265507</v>
      </c>
      <c r="AH281" s="35">
        <f>Data!C276</f>
        <v>95.73</v>
      </c>
      <c r="AI281" s="35">
        <f>Data!D276</f>
        <v>94.75</v>
      </c>
      <c r="AJ281" s="35">
        <f>Data!E276</f>
        <v>94.81</v>
      </c>
      <c r="AK281" s="35">
        <f>Data!F276</f>
        <v>2265507</v>
      </c>
      <c r="AL281" s="35">
        <f t="shared" si="44"/>
        <v>94.81</v>
      </c>
      <c r="AM281" s="35">
        <f t="shared" si="43"/>
        <v>-0.34806455015293564</v>
      </c>
      <c r="AN281" s="35">
        <f t="shared" si="52"/>
        <v>39.72761946884296</v>
      </c>
      <c r="AO281" s="35" t="str">
        <f t="shared" si="46"/>
        <v>no</v>
      </c>
      <c r="AP281" s="35" t="str">
        <f t="shared" si="47"/>
        <v>FITS BITCH</v>
      </c>
      <c r="AQ281" s="35" t="str">
        <f t="shared" si="47"/>
        <v>no</v>
      </c>
      <c r="AR281" s="35" t="str">
        <f t="shared" si="48"/>
        <v>FITS BITCH</v>
      </c>
      <c r="AS281" s="35" t="str">
        <f t="shared" si="49"/>
        <v>no</v>
      </c>
      <c r="AT281" s="20" t="str">
        <f t="shared" si="50"/>
        <v/>
      </c>
      <c r="AU281" s="20" t="str">
        <f t="shared" si="51"/>
        <v/>
      </c>
      <c r="AV281" s="20"/>
      <c r="AW281" s="20"/>
      <c r="AX281" s="20"/>
      <c r="CL281" s="106">
        <v>42737</v>
      </c>
      <c r="CM281" s="107">
        <f t="shared" si="45"/>
        <v>96.270640151744374</v>
      </c>
    </row>
    <row r="282" spans="31:91" ht="15" customHeight="1">
      <c r="AE282" s="26">
        <f>Data!A277</f>
        <v>42562</v>
      </c>
      <c r="AF282" s="35">
        <f>Data!B277</f>
        <v>95</v>
      </c>
      <c r="AG282" s="35">
        <f>Data!F277</f>
        <v>1822542</v>
      </c>
      <c r="AH282" s="35">
        <f>Data!C277</f>
        <v>95.64</v>
      </c>
      <c r="AI282" s="35">
        <f>Data!D277</f>
        <v>94.84</v>
      </c>
      <c r="AJ282" s="35">
        <f>Data!E277</f>
        <v>95.14</v>
      </c>
      <c r="AK282" s="35">
        <f>Data!F277</f>
        <v>1822542</v>
      </c>
      <c r="AL282" s="35">
        <f t="shared" si="44"/>
        <v>95.14</v>
      </c>
      <c r="AM282" s="35">
        <f t="shared" si="43"/>
        <v>0.3468572629808685</v>
      </c>
      <c r="AN282" s="35">
        <f t="shared" si="52"/>
        <v>-24.304789683859138</v>
      </c>
      <c r="AO282" s="35" t="str">
        <f t="shared" si="46"/>
        <v>FITS BITCH</v>
      </c>
      <c r="AP282" s="35" t="str">
        <f t="shared" si="47"/>
        <v>FITS BITCH</v>
      </c>
      <c r="AQ282" s="35" t="str">
        <f t="shared" si="47"/>
        <v>FITS BITCH</v>
      </c>
      <c r="AR282" s="35" t="str">
        <f t="shared" si="48"/>
        <v>no</v>
      </c>
      <c r="AS282" s="35" t="str">
        <f t="shared" si="49"/>
        <v>FITS BITCH</v>
      </c>
      <c r="AT282" s="20" t="str">
        <f t="shared" si="50"/>
        <v/>
      </c>
      <c r="AU282" s="20" t="str">
        <f t="shared" si="51"/>
        <v>BEARISH</v>
      </c>
      <c r="AV282" s="20"/>
      <c r="AW282" s="20"/>
      <c r="AX282" s="20"/>
      <c r="CL282" s="106">
        <v>42734</v>
      </c>
      <c r="CM282" s="107">
        <f t="shared" si="45"/>
        <v>96.110778586476044</v>
      </c>
    </row>
    <row r="283" spans="31:91" ht="15" customHeight="1">
      <c r="AE283" s="26">
        <f>Data!A278</f>
        <v>42559</v>
      </c>
      <c r="AF283" s="35">
        <f>Data!B278</f>
        <v>94.12</v>
      </c>
      <c r="AG283" s="35">
        <f>Data!F278</f>
        <v>2148166</v>
      </c>
      <c r="AH283" s="35">
        <f>Data!C278</f>
        <v>94.59</v>
      </c>
      <c r="AI283" s="35">
        <f>Data!D278</f>
        <v>93.64</v>
      </c>
      <c r="AJ283" s="35">
        <f>Data!E278</f>
        <v>94.47</v>
      </c>
      <c r="AK283" s="35">
        <f>Data!F278</f>
        <v>2148166</v>
      </c>
      <c r="AL283" s="35">
        <f t="shared" si="44"/>
        <v>94.47</v>
      </c>
      <c r="AM283" s="35">
        <f t="shared" si="43"/>
        <v>-0.70921985815603017</v>
      </c>
      <c r="AN283" s="35">
        <f t="shared" si="52"/>
        <v>15.158232650549353</v>
      </c>
      <c r="AO283" s="35" t="str">
        <f t="shared" si="46"/>
        <v>no</v>
      </c>
      <c r="AP283" s="35" t="str">
        <f t="shared" si="47"/>
        <v>FITS BITCH</v>
      </c>
      <c r="AQ283" s="35" t="str">
        <f t="shared" si="47"/>
        <v>FITS BITCH</v>
      </c>
      <c r="AR283" s="35" t="str">
        <f t="shared" si="48"/>
        <v>no</v>
      </c>
      <c r="AS283" s="35" t="str">
        <f t="shared" si="49"/>
        <v>FITS BITCH</v>
      </c>
      <c r="AT283" s="20" t="str">
        <f t="shared" si="50"/>
        <v/>
      </c>
      <c r="AU283" s="20" t="str">
        <f t="shared" si="51"/>
        <v/>
      </c>
      <c r="AV283" s="20"/>
      <c r="AW283" s="20"/>
      <c r="AX283" s="20"/>
      <c r="CL283" s="106">
        <v>42733</v>
      </c>
      <c r="CM283" s="107">
        <f t="shared" si="45"/>
        <v>96.057491398053116</v>
      </c>
    </row>
    <row r="284" spans="31:91" ht="15" customHeight="1">
      <c r="AE284" s="26">
        <f>Data!A279</f>
        <v>42558</v>
      </c>
      <c r="AF284" s="35">
        <f>Data!B279</f>
        <v>93.17</v>
      </c>
      <c r="AG284" s="35">
        <f>Data!F279</f>
        <v>1734868</v>
      </c>
      <c r="AH284" s="35">
        <f>Data!C279</f>
        <v>93.68</v>
      </c>
      <c r="AI284" s="35">
        <f>Data!D279</f>
        <v>92.87</v>
      </c>
      <c r="AJ284" s="35">
        <f>Data!E279</f>
        <v>93.5</v>
      </c>
      <c r="AK284" s="35">
        <f>Data!F279</f>
        <v>1734868</v>
      </c>
      <c r="AL284" s="35">
        <f t="shared" si="44"/>
        <v>93.5</v>
      </c>
      <c r="AM284" s="35">
        <f t="shared" si="43"/>
        <v>-1.0374331550802127</v>
      </c>
      <c r="AN284" s="35">
        <f t="shared" si="52"/>
        <v>-23.823022846694965</v>
      </c>
      <c r="AO284" s="35" t="str">
        <f t="shared" si="46"/>
        <v>FITS BITCH</v>
      </c>
      <c r="AP284" s="35" t="str">
        <f t="shared" si="47"/>
        <v>FITS BITCH</v>
      </c>
      <c r="AQ284" s="35" t="str">
        <f t="shared" si="47"/>
        <v>FITS BITCH</v>
      </c>
      <c r="AR284" s="35" t="str">
        <f t="shared" si="48"/>
        <v>FITS BITCH</v>
      </c>
      <c r="AS284" s="35" t="str">
        <f t="shared" si="49"/>
        <v>FITS BITCH</v>
      </c>
      <c r="AT284" s="20" t="str">
        <f t="shared" si="50"/>
        <v>BULLISH</v>
      </c>
      <c r="AU284" s="20" t="str">
        <f t="shared" si="51"/>
        <v>BEARISH</v>
      </c>
      <c r="AV284" s="20"/>
      <c r="AW284" s="20"/>
      <c r="AX284" s="20"/>
      <c r="CL284" s="106">
        <v>42732</v>
      </c>
      <c r="CM284" s="107">
        <f t="shared" si="45"/>
        <v>96.004204209630188</v>
      </c>
    </row>
    <row r="285" spans="31:91" ht="15" customHeight="1">
      <c r="AE285" s="26">
        <f>Data!A280</f>
        <v>42557</v>
      </c>
      <c r="AF285" s="35">
        <f>Data!B280</f>
        <v>93.43</v>
      </c>
      <c r="AG285" s="35">
        <f>Data!F280</f>
        <v>2299435</v>
      </c>
      <c r="AH285" s="35">
        <f>Data!C280</f>
        <v>93.62</v>
      </c>
      <c r="AI285" s="35">
        <f>Data!D280</f>
        <v>92.68</v>
      </c>
      <c r="AJ285" s="35">
        <f>Data!E280</f>
        <v>93.42</v>
      </c>
      <c r="AK285" s="35">
        <f>Data!F280</f>
        <v>2299435</v>
      </c>
      <c r="AL285" s="35">
        <f t="shared" si="44"/>
        <v>93.42</v>
      </c>
      <c r="AM285" s="35">
        <f t="shared" si="43"/>
        <v>-8.5634767715690743E-2</v>
      </c>
      <c r="AN285" s="35">
        <f t="shared" si="52"/>
        <v>24.552422660349173</v>
      </c>
      <c r="AO285" s="35" t="str">
        <f t="shared" si="46"/>
        <v>no</v>
      </c>
      <c r="AP285" s="35" t="str">
        <f t="shared" si="47"/>
        <v>no</v>
      </c>
      <c r="AQ285" s="35" t="str">
        <f t="shared" si="47"/>
        <v>FITS BITCH</v>
      </c>
      <c r="AR285" s="35" t="str">
        <f t="shared" si="48"/>
        <v>FITS BITCH</v>
      </c>
      <c r="AS285" s="35" t="str">
        <f t="shared" si="49"/>
        <v>FITS BITCH</v>
      </c>
      <c r="AT285" s="20" t="str">
        <f t="shared" si="50"/>
        <v/>
      </c>
      <c r="AU285" s="20" t="str">
        <f t="shared" si="51"/>
        <v/>
      </c>
      <c r="AV285" s="20"/>
      <c r="AW285" s="20"/>
      <c r="AX285" s="20"/>
      <c r="CL285" s="106">
        <v>42731</v>
      </c>
      <c r="CM285" s="107">
        <f t="shared" si="45"/>
        <v>95.950917021207715</v>
      </c>
    </row>
    <row r="286" spans="31:91" ht="15" customHeight="1">
      <c r="AE286" s="26">
        <f>Data!A281</f>
        <v>42556</v>
      </c>
      <c r="AF286" s="35">
        <f>Data!B281</f>
        <v>92.53</v>
      </c>
      <c r="AG286" s="35">
        <f>Data!F281</f>
        <v>2940489</v>
      </c>
      <c r="AH286" s="35">
        <f>Data!C281</f>
        <v>93.65</v>
      </c>
      <c r="AI286" s="35">
        <f>Data!D281</f>
        <v>92.33</v>
      </c>
      <c r="AJ286" s="35">
        <f>Data!E281</f>
        <v>93.31</v>
      </c>
      <c r="AK286" s="35">
        <f>Data!F281</f>
        <v>2940489</v>
      </c>
      <c r="AL286" s="35">
        <f t="shared" si="44"/>
        <v>93.31</v>
      </c>
      <c r="AM286" s="35">
        <f t="shared" si="43"/>
        <v>-0.11788661451076993</v>
      </c>
      <c r="AN286" s="35">
        <f t="shared" si="52"/>
        <v>21.800931749787196</v>
      </c>
      <c r="AO286" s="35" t="str">
        <f t="shared" si="46"/>
        <v>no</v>
      </c>
      <c r="AP286" s="35" t="str">
        <f t="shared" si="47"/>
        <v>FITS BITCH</v>
      </c>
      <c r="AQ286" s="35" t="str">
        <f t="shared" si="47"/>
        <v>FITS BITCH</v>
      </c>
      <c r="AR286" s="35" t="str">
        <f t="shared" si="48"/>
        <v>no</v>
      </c>
      <c r="AS286" s="35" t="str">
        <f t="shared" si="49"/>
        <v>FITS BITCH</v>
      </c>
      <c r="AT286" s="20" t="str">
        <f t="shared" si="50"/>
        <v/>
      </c>
      <c r="AU286" s="20" t="str">
        <f t="shared" si="51"/>
        <v/>
      </c>
      <c r="AV286" s="20"/>
      <c r="AW286" s="20"/>
      <c r="AX286" s="20"/>
      <c r="CL286" s="106">
        <v>42730</v>
      </c>
      <c r="CM286" s="107">
        <f t="shared" si="45"/>
        <v>95.897629832784787</v>
      </c>
    </row>
    <row r="287" spans="31:91" ht="15" customHeight="1">
      <c r="AE287" s="26">
        <f>Data!A282</f>
        <v>42552</v>
      </c>
      <c r="AF287" s="35">
        <f>Data!B282</f>
        <v>92</v>
      </c>
      <c r="AG287" s="35">
        <f>Data!F282</f>
        <v>2456786</v>
      </c>
      <c r="AH287" s="35">
        <f>Data!C282</f>
        <v>92.97</v>
      </c>
      <c r="AI287" s="35">
        <f>Data!D282</f>
        <v>91.79</v>
      </c>
      <c r="AJ287" s="35">
        <f>Data!E282</f>
        <v>92.75</v>
      </c>
      <c r="AK287" s="35">
        <f>Data!F282</f>
        <v>2456786</v>
      </c>
      <c r="AL287" s="35">
        <f t="shared" si="44"/>
        <v>92.75</v>
      </c>
      <c r="AM287" s="35">
        <f t="shared" si="43"/>
        <v>-0.60377358490566291</v>
      </c>
      <c r="AN287" s="35">
        <f t="shared" si="52"/>
        <v>-19.688446612769692</v>
      </c>
      <c r="AO287" s="35" t="str">
        <f t="shared" si="46"/>
        <v>FITS BITCH</v>
      </c>
      <c r="AP287" s="35" t="str">
        <f t="shared" si="47"/>
        <v>FITS BITCH</v>
      </c>
      <c r="AQ287" s="35" t="str">
        <f t="shared" si="47"/>
        <v>FITS BITCH</v>
      </c>
      <c r="AR287" s="35" t="str">
        <f t="shared" si="48"/>
        <v>no</v>
      </c>
      <c r="AS287" s="35" t="str">
        <f t="shared" si="49"/>
        <v>FITS BITCH</v>
      </c>
      <c r="AT287" s="20" t="str">
        <f t="shared" si="50"/>
        <v/>
      </c>
      <c r="AU287" s="20" t="str">
        <f t="shared" si="51"/>
        <v>BEARISH</v>
      </c>
      <c r="AV287" s="20"/>
      <c r="AW287" s="20"/>
      <c r="AX287" s="20"/>
      <c r="CL287" s="106">
        <v>42727</v>
      </c>
      <c r="CM287" s="107">
        <f t="shared" si="45"/>
        <v>95.737768267516458</v>
      </c>
    </row>
    <row r="288" spans="31:91" ht="15" customHeight="1">
      <c r="AE288" s="26">
        <f>Data!A283</f>
        <v>42551</v>
      </c>
      <c r="AF288" s="35">
        <f>Data!B283</f>
        <v>89.37</v>
      </c>
      <c r="AG288" s="35">
        <f>Data!F283</f>
        <v>2944786</v>
      </c>
      <c r="AH288" s="35">
        <f>Data!C283</f>
        <v>91.87</v>
      </c>
      <c r="AI288" s="35">
        <f>Data!D283</f>
        <v>88.73</v>
      </c>
      <c r="AJ288" s="35">
        <f>Data!E283</f>
        <v>91.87</v>
      </c>
      <c r="AK288" s="35">
        <f>Data!F283</f>
        <v>2944786</v>
      </c>
      <c r="AL288" s="35">
        <f t="shared" si="44"/>
        <v>91.87</v>
      </c>
      <c r="AM288" s="35">
        <f t="shared" si="43"/>
        <v>-0.95787525851746524</v>
      </c>
      <c r="AN288" s="35">
        <f t="shared" si="52"/>
        <v>16.571662592799612</v>
      </c>
      <c r="AO288" s="35" t="str">
        <f t="shared" si="46"/>
        <v>no</v>
      </c>
      <c r="AP288" s="35" t="str">
        <f t="shared" si="47"/>
        <v>FITS BITCH</v>
      </c>
      <c r="AQ288" s="35" t="str">
        <f t="shared" si="47"/>
        <v>FITS BITCH</v>
      </c>
      <c r="AR288" s="35" t="str">
        <f t="shared" si="48"/>
        <v>no</v>
      </c>
      <c r="AS288" s="35" t="str">
        <f t="shared" si="49"/>
        <v>FITS BITCH</v>
      </c>
      <c r="AT288" s="20" t="str">
        <f t="shared" si="50"/>
        <v/>
      </c>
      <c r="AU288" s="20" t="str">
        <f t="shared" si="51"/>
        <v/>
      </c>
      <c r="AV288" s="20"/>
      <c r="AW288" s="20"/>
      <c r="AX288" s="20"/>
      <c r="CL288" s="106">
        <v>42726</v>
      </c>
      <c r="CM288" s="107">
        <f t="shared" si="45"/>
        <v>95.68448107909353</v>
      </c>
    </row>
    <row r="289" spans="31:91" ht="15" customHeight="1">
      <c r="AE289" s="26">
        <f>Data!A284</f>
        <v>42550</v>
      </c>
      <c r="AF289" s="35">
        <f>Data!B284</f>
        <v>88.47</v>
      </c>
      <c r="AG289" s="35">
        <f>Data!F284</f>
        <v>2274421</v>
      </c>
      <c r="AH289" s="35">
        <f>Data!C284</f>
        <v>89.34</v>
      </c>
      <c r="AI289" s="35">
        <f>Data!D284</f>
        <v>88.28</v>
      </c>
      <c r="AJ289" s="35">
        <f>Data!E284</f>
        <v>89.13</v>
      </c>
      <c r="AK289" s="35">
        <f>Data!F284</f>
        <v>2274421</v>
      </c>
      <c r="AL289" s="35">
        <f t="shared" si="44"/>
        <v>89.13</v>
      </c>
      <c r="AM289" s="35">
        <f t="shared" si="43"/>
        <v>-3.0741613373723879</v>
      </c>
      <c r="AN289" s="35">
        <f t="shared" si="52"/>
        <v>-29.474094725646658</v>
      </c>
      <c r="AO289" s="35" t="str">
        <f t="shared" si="46"/>
        <v>FITS BITCH</v>
      </c>
      <c r="AP289" s="35" t="str">
        <f t="shared" si="47"/>
        <v>FITS BITCH</v>
      </c>
      <c r="AQ289" s="35" t="str">
        <f t="shared" si="47"/>
        <v>FITS BITCH</v>
      </c>
      <c r="AR289" s="35" t="str">
        <f t="shared" si="48"/>
        <v>no</v>
      </c>
      <c r="AS289" s="35" t="str">
        <f t="shared" si="49"/>
        <v>FITS BITCH</v>
      </c>
      <c r="AT289" s="20" t="str">
        <f t="shared" si="50"/>
        <v/>
      </c>
      <c r="AU289" s="20" t="str">
        <f t="shared" si="51"/>
        <v>BEARISH</v>
      </c>
      <c r="AV289" s="20"/>
      <c r="AW289" s="20"/>
      <c r="AX289" s="20"/>
      <c r="CL289" s="106">
        <v>42725</v>
      </c>
      <c r="CM289" s="107">
        <f t="shared" si="45"/>
        <v>95.631193890671057</v>
      </c>
    </row>
    <row r="290" spans="31:91">
      <c r="AE290" s="26">
        <f>Data!A285</f>
        <v>42549</v>
      </c>
      <c r="AF290" s="35">
        <f>Data!B285</f>
        <v>86.31</v>
      </c>
      <c r="AG290" s="35">
        <f>Data!F285</f>
        <v>2531140</v>
      </c>
      <c r="AH290" s="35">
        <f>Data!C285</f>
        <v>87.94</v>
      </c>
      <c r="AI290" s="35">
        <f>Data!D285</f>
        <v>85.95</v>
      </c>
      <c r="AJ290" s="35">
        <f>Data!E285</f>
        <v>87.92</v>
      </c>
      <c r="AK290" s="35">
        <f>Data!F285</f>
        <v>2531140</v>
      </c>
      <c r="AL290" s="35">
        <f t="shared" si="44"/>
        <v>87.92</v>
      </c>
      <c r="AM290" s="35">
        <f t="shared" si="43"/>
        <v>-1.3762511373976269</v>
      </c>
      <c r="AN290" s="35">
        <f t="shared" si="52"/>
        <v>10.142425942460708</v>
      </c>
      <c r="AO290" s="35" t="str">
        <f t="shared" si="46"/>
        <v>no</v>
      </c>
      <c r="AP290" s="35" t="str">
        <f t="shared" si="47"/>
        <v>FITS BITCH</v>
      </c>
      <c r="AQ290" s="35" t="str">
        <f t="shared" si="47"/>
        <v>FITS BITCH</v>
      </c>
      <c r="AR290" s="35" t="str">
        <f t="shared" si="48"/>
        <v>no</v>
      </c>
      <c r="AS290" s="35" t="str">
        <f t="shared" si="49"/>
        <v>FITS BITCH</v>
      </c>
      <c r="AT290" s="20" t="str">
        <f t="shared" si="50"/>
        <v/>
      </c>
      <c r="AU290" s="20" t="str">
        <f t="shared" si="51"/>
        <v/>
      </c>
      <c r="AV290" s="20"/>
      <c r="AW290" s="20"/>
      <c r="AX290" s="20"/>
      <c r="CL290" s="106">
        <v>42724</v>
      </c>
      <c r="CM290" s="107">
        <f t="shared" si="45"/>
        <v>95.577906702248129</v>
      </c>
    </row>
    <row r="291" spans="31:91">
      <c r="AE291" s="26">
        <f>Data!A286</f>
        <v>42548</v>
      </c>
      <c r="AF291" s="35">
        <f>Data!B286</f>
        <v>85.94</v>
      </c>
      <c r="AG291" s="35">
        <f>Data!F286</f>
        <v>2609431</v>
      </c>
      <c r="AH291" s="35">
        <f>Data!C286</f>
        <v>86.4</v>
      </c>
      <c r="AI291" s="35">
        <f>Data!D286</f>
        <v>85.23</v>
      </c>
      <c r="AJ291" s="35">
        <f>Data!E286</f>
        <v>85.66</v>
      </c>
      <c r="AK291" s="35">
        <f>Data!F286</f>
        <v>2609431</v>
      </c>
      <c r="AL291" s="35">
        <f t="shared" si="44"/>
        <v>85.66</v>
      </c>
      <c r="AM291" s="35">
        <f t="shared" si="43"/>
        <v>-2.6383376138220935</v>
      </c>
      <c r="AN291" s="35">
        <f t="shared" si="52"/>
        <v>3.0003092628239645</v>
      </c>
      <c r="AO291" s="35" t="str">
        <f t="shared" si="46"/>
        <v>no</v>
      </c>
      <c r="AP291" s="35" t="str">
        <f t="shared" si="47"/>
        <v>no</v>
      </c>
      <c r="AQ291" s="35" t="str">
        <f t="shared" si="47"/>
        <v>no</v>
      </c>
      <c r="AR291" s="35" t="str">
        <f t="shared" si="48"/>
        <v>FITS BITCH</v>
      </c>
      <c r="AS291" s="35" t="str">
        <f t="shared" si="49"/>
        <v>no</v>
      </c>
      <c r="AT291" s="20" t="str">
        <f t="shared" si="50"/>
        <v/>
      </c>
      <c r="AU291" s="20" t="str">
        <f t="shared" si="51"/>
        <v/>
      </c>
      <c r="AV291" s="20"/>
      <c r="AW291" s="20"/>
      <c r="AX291" s="20"/>
      <c r="CL291" s="106">
        <v>42723</v>
      </c>
      <c r="CM291" s="107">
        <f t="shared" si="45"/>
        <v>95.524619513825655</v>
      </c>
    </row>
    <row r="292" spans="31:91">
      <c r="AE292" s="26">
        <f>Data!A287</f>
        <v>42545</v>
      </c>
      <c r="AF292" s="35">
        <f>Data!B287</f>
        <v>86.23</v>
      </c>
      <c r="AG292" s="35">
        <f>Data!F287</f>
        <v>4044490</v>
      </c>
      <c r="AH292" s="35">
        <f>Data!C287</f>
        <v>88.48</v>
      </c>
      <c r="AI292" s="35">
        <f>Data!D287</f>
        <v>86.04</v>
      </c>
      <c r="AJ292" s="35">
        <f>Data!E287</f>
        <v>86.72</v>
      </c>
      <c r="AK292" s="35">
        <f>Data!F287</f>
        <v>4044490</v>
      </c>
      <c r="AL292" s="35">
        <f t="shared" si="44"/>
        <v>86.72</v>
      </c>
      <c r="AM292" s="35">
        <f t="shared" si="43"/>
        <v>1.2223247232472352</v>
      </c>
      <c r="AN292" s="35">
        <f t="shared" si="52"/>
        <v>35.481828364021176</v>
      </c>
      <c r="AO292" s="35" t="str">
        <f t="shared" si="46"/>
        <v>no</v>
      </c>
      <c r="AP292" s="35" t="str">
        <f t="shared" si="47"/>
        <v>no</v>
      </c>
      <c r="AQ292" s="35" t="str">
        <f t="shared" si="47"/>
        <v>no</v>
      </c>
      <c r="AR292" s="35" t="str">
        <f t="shared" si="48"/>
        <v>FITS BITCH</v>
      </c>
      <c r="AS292" s="35" t="str">
        <f t="shared" si="49"/>
        <v>no</v>
      </c>
      <c r="AT292" s="20" t="str">
        <f t="shared" si="50"/>
        <v/>
      </c>
      <c r="AU292" s="20" t="str">
        <f t="shared" si="51"/>
        <v/>
      </c>
      <c r="AV292" s="20"/>
      <c r="AW292" s="20"/>
      <c r="AX292" s="20"/>
      <c r="CL292" s="106">
        <v>42720</v>
      </c>
      <c r="CM292" s="107">
        <f t="shared" si="45"/>
        <v>95.364757948557326</v>
      </c>
    </row>
    <row r="293" spans="31:91">
      <c r="AE293" s="26">
        <f>Data!A288</f>
        <v>42544</v>
      </c>
      <c r="AF293" s="35">
        <f>Data!B288</f>
        <v>89.74</v>
      </c>
      <c r="AG293" s="35">
        <f>Data!F288</f>
        <v>1364084</v>
      </c>
      <c r="AH293" s="35">
        <f>Data!C288</f>
        <v>89.94</v>
      </c>
      <c r="AI293" s="35">
        <f>Data!D288</f>
        <v>89.12</v>
      </c>
      <c r="AJ293" s="35">
        <f>Data!E288</f>
        <v>89.94</v>
      </c>
      <c r="AK293" s="35">
        <f>Data!F288</f>
        <v>1364084</v>
      </c>
      <c r="AL293" s="35">
        <f t="shared" si="44"/>
        <v>89.94</v>
      </c>
      <c r="AM293" s="35">
        <f t="shared" si="43"/>
        <v>3.580164554147208</v>
      </c>
      <c r="AN293" s="35">
        <f t="shared" si="52"/>
        <v>-196.49860272534536</v>
      </c>
      <c r="AO293" s="35" t="str">
        <f t="shared" si="46"/>
        <v>FITS BITCH</v>
      </c>
      <c r="AP293" s="35" t="str">
        <f t="shared" si="47"/>
        <v>FITS BITCH</v>
      </c>
      <c r="AQ293" s="35" t="str">
        <f t="shared" si="47"/>
        <v>FITS BITCH</v>
      </c>
      <c r="AR293" s="35" t="str">
        <f t="shared" si="48"/>
        <v>no</v>
      </c>
      <c r="AS293" s="35" t="str">
        <f t="shared" si="49"/>
        <v>FITS BITCH</v>
      </c>
      <c r="AT293" s="20" t="str">
        <f t="shared" si="50"/>
        <v/>
      </c>
      <c r="AU293" s="20" t="str">
        <f t="shared" si="51"/>
        <v>BEARISH</v>
      </c>
      <c r="AV293" s="20"/>
      <c r="AW293" s="20"/>
      <c r="AX293" s="20"/>
      <c r="CL293" s="106">
        <v>42719</v>
      </c>
      <c r="CM293" s="107">
        <f t="shared" si="45"/>
        <v>95.311470760134398</v>
      </c>
    </row>
    <row r="294" spans="31:91">
      <c r="AE294" s="26">
        <f>Data!A289</f>
        <v>42543</v>
      </c>
      <c r="AF294" s="35">
        <f>Data!B289</f>
        <v>89.66</v>
      </c>
      <c r="AG294" s="35">
        <f>Data!F289</f>
        <v>1504403</v>
      </c>
      <c r="AH294" s="35">
        <f>Data!C289</f>
        <v>89.76</v>
      </c>
      <c r="AI294" s="35">
        <f>Data!D289</f>
        <v>88.74</v>
      </c>
      <c r="AJ294" s="35">
        <f>Data!E289</f>
        <v>88.82</v>
      </c>
      <c r="AK294" s="35">
        <f>Data!F289</f>
        <v>1504403</v>
      </c>
      <c r="AL294" s="35">
        <f t="shared" si="44"/>
        <v>88.82</v>
      </c>
      <c r="AM294" s="35">
        <f t="shared" si="43"/>
        <v>-1.2609772573744704</v>
      </c>
      <c r="AN294" s="35">
        <f t="shared" si="52"/>
        <v>9.3272214958358894</v>
      </c>
      <c r="AO294" s="35" t="str">
        <f t="shared" si="46"/>
        <v>no</v>
      </c>
      <c r="AP294" s="35" t="str">
        <f t="shared" si="47"/>
        <v>FITS BITCH</v>
      </c>
      <c r="AQ294" s="35" t="str">
        <f t="shared" si="47"/>
        <v>no</v>
      </c>
      <c r="AR294" s="35" t="str">
        <f t="shared" si="48"/>
        <v>FITS BITCH</v>
      </c>
      <c r="AS294" s="35" t="str">
        <f t="shared" si="49"/>
        <v>no</v>
      </c>
      <c r="AT294" s="20" t="str">
        <f t="shared" si="50"/>
        <v/>
      </c>
      <c r="AU294" s="20" t="str">
        <f t="shared" si="51"/>
        <v/>
      </c>
      <c r="AV294" s="20"/>
      <c r="AW294" s="20"/>
      <c r="AX294" s="20"/>
      <c r="CL294" s="106">
        <v>42718</v>
      </c>
      <c r="CM294" s="107">
        <f t="shared" si="45"/>
        <v>95.25818357171147</v>
      </c>
    </row>
    <row r="295" spans="31:91">
      <c r="AE295" s="26">
        <f>Data!A290</f>
        <v>42542</v>
      </c>
      <c r="AF295" s="35">
        <f>Data!B290</f>
        <v>89.3</v>
      </c>
      <c r="AG295" s="35">
        <f>Data!F290</f>
        <v>1725600</v>
      </c>
      <c r="AH295" s="35">
        <f>Data!C290</f>
        <v>89.52</v>
      </c>
      <c r="AI295" s="35">
        <f>Data!D290</f>
        <v>88.92</v>
      </c>
      <c r="AJ295" s="35">
        <f>Data!E290</f>
        <v>89.34</v>
      </c>
      <c r="AK295" s="35">
        <f>Data!F290</f>
        <v>1725600</v>
      </c>
      <c r="AL295" s="35">
        <f t="shared" si="44"/>
        <v>89.34</v>
      </c>
      <c r="AM295" s="35">
        <f t="shared" si="43"/>
        <v>0.58204611596150679</v>
      </c>
      <c r="AN295" s="35">
        <f t="shared" si="52"/>
        <v>12.818555864626797</v>
      </c>
      <c r="AO295" s="35" t="str">
        <f t="shared" si="46"/>
        <v>no</v>
      </c>
      <c r="AP295" s="35" t="str">
        <f t="shared" si="47"/>
        <v>FITS BITCH</v>
      </c>
      <c r="AQ295" s="35" t="str">
        <f t="shared" si="47"/>
        <v>FITS BITCH</v>
      </c>
      <c r="AR295" s="35" t="str">
        <f t="shared" si="48"/>
        <v>FITS BITCH</v>
      </c>
      <c r="AS295" s="35" t="str">
        <f t="shared" si="49"/>
        <v>FITS BITCH</v>
      </c>
      <c r="AT295" s="20" t="str">
        <f t="shared" si="50"/>
        <v/>
      </c>
      <c r="AU295" s="20" t="str">
        <f t="shared" si="51"/>
        <v/>
      </c>
      <c r="AV295" s="20"/>
      <c r="AW295" s="20"/>
      <c r="AX295" s="20"/>
      <c r="CL295" s="106">
        <v>42717</v>
      </c>
      <c r="CM295" s="107">
        <f t="shared" si="45"/>
        <v>95.204896383288997</v>
      </c>
    </row>
    <row r="296" spans="31:91">
      <c r="AE296" s="26">
        <f>Data!A291</f>
        <v>42541</v>
      </c>
      <c r="AF296" s="35">
        <f>Data!B291</f>
        <v>88.67</v>
      </c>
      <c r="AG296" s="35">
        <f>Data!F291</f>
        <v>2061740</v>
      </c>
      <c r="AH296" s="35">
        <f>Data!C291</f>
        <v>89.46</v>
      </c>
      <c r="AI296" s="35">
        <f>Data!D291</f>
        <v>88.56</v>
      </c>
      <c r="AJ296" s="35">
        <f>Data!E291</f>
        <v>89.04</v>
      </c>
      <c r="AK296" s="35">
        <f>Data!F291</f>
        <v>2061740</v>
      </c>
      <c r="AL296" s="35">
        <f t="shared" si="44"/>
        <v>89.04</v>
      </c>
      <c r="AM296" s="35">
        <f t="shared" si="43"/>
        <v>-0.33692722371967332</v>
      </c>
      <c r="AN296" s="35">
        <f t="shared" si="52"/>
        <v>16.303704637830183</v>
      </c>
      <c r="AO296" s="35" t="str">
        <f t="shared" si="46"/>
        <v>no</v>
      </c>
      <c r="AP296" s="35" t="str">
        <f t="shared" si="47"/>
        <v>FITS BITCH</v>
      </c>
      <c r="AQ296" s="35" t="str">
        <f t="shared" si="47"/>
        <v>FITS BITCH</v>
      </c>
      <c r="AR296" s="35" t="str">
        <f t="shared" si="48"/>
        <v>no</v>
      </c>
      <c r="AS296" s="35" t="str">
        <f t="shared" si="49"/>
        <v>FITS BITCH</v>
      </c>
      <c r="AT296" s="20" t="str">
        <f t="shared" si="50"/>
        <v/>
      </c>
      <c r="AU296" s="20" t="str">
        <f t="shared" si="51"/>
        <v/>
      </c>
      <c r="AV296" s="20"/>
      <c r="AW296" s="20"/>
      <c r="AX296" s="20"/>
      <c r="CL296" s="106">
        <v>42716</v>
      </c>
      <c r="CM296" s="107">
        <f t="shared" si="45"/>
        <v>95.151609194866069</v>
      </c>
    </row>
    <row r="297" spans="31:91">
      <c r="AE297" s="26">
        <f>Data!A292</f>
        <v>42538</v>
      </c>
      <c r="AF297" s="35">
        <f>Data!B292</f>
        <v>88.09</v>
      </c>
      <c r="AG297" s="35">
        <f>Data!F292</f>
        <v>2708741</v>
      </c>
      <c r="AH297" s="35">
        <f>Data!C292</f>
        <v>88.15</v>
      </c>
      <c r="AI297" s="35">
        <f>Data!D292</f>
        <v>86.93</v>
      </c>
      <c r="AJ297" s="35">
        <f>Data!E292</f>
        <v>87.61</v>
      </c>
      <c r="AK297" s="35">
        <f>Data!F292</f>
        <v>2708741</v>
      </c>
      <c r="AL297" s="35">
        <f t="shared" si="44"/>
        <v>87.61</v>
      </c>
      <c r="AM297" s="35">
        <f t="shared" si="43"/>
        <v>-1.6322337632690409</v>
      </c>
      <c r="AN297" s="35">
        <f t="shared" si="52"/>
        <v>23.885672347411582</v>
      </c>
      <c r="AO297" s="35" t="str">
        <f t="shared" si="46"/>
        <v>no</v>
      </c>
      <c r="AP297" s="35" t="str">
        <f t="shared" si="47"/>
        <v>no</v>
      </c>
      <c r="AQ297" s="35" t="str">
        <f t="shared" si="47"/>
        <v>FITS BITCH</v>
      </c>
      <c r="AR297" s="35" t="str">
        <f t="shared" si="48"/>
        <v>FITS BITCH</v>
      </c>
      <c r="AS297" s="35" t="str">
        <f t="shared" si="49"/>
        <v>no</v>
      </c>
      <c r="AT297" s="20" t="str">
        <f t="shared" si="50"/>
        <v/>
      </c>
      <c r="AU297" s="20" t="str">
        <f t="shared" si="51"/>
        <v/>
      </c>
      <c r="AV297" s="20"/>
      <c r="AW297" s="20"/>
      <c r="AX297" s="20"/>
      <c r="CL297" s="106">
        <v>42713</v>
      </c>
      <c r="CM297" s="107">
        <f t="shared" si="45"/>
        <v>94.991747629597739</v>
      </c>
    </row>
    <row r="298" spans="31:91">
      <c r="AE298" s="26">
        <f>Data!A293</f>
        <v>42537</v>
      </c>
      <c r="AF298" s="35">
        <f>Data!B293</f>
        <v>87.21</v>
      </c>
      <c r="AG298" s="35">
        <f>Data!F293</f>
        <v>1469419</v>
      </c>
      <c r="AH298" s="35">
        <f>Data!C293</f>
        <v>88.18</v>
      </c>
      <c r="AI298" s="35">
        <f>Data!D293</f>
        <v>86.92</v>
      </c>
      <c r="AJ298" s="35">
        <f>Data!E293</f>
        <v>88.03</v>
      </c>
      <c r="AK298" s="35">
        <f>Data!F293</f>
        <v>1469419</v>
      </c>
      <c r="AL298" s="35">
        <f t="shared" si="44"/>
        <v>88.03</v>
      </c>
      <c r="AM298" s="35">
        <f t="shared" si="43"/>
        <v>0.47711007611041889</v>
      </c>
      <c r="AN298" s="35">
        <f t="shared" si="52"/>
        <v>-84.34095380555172</v>
      </c>
      <c r="AO298" s="35" t="str">
        <f t="shared" si="46"/>
        <v>FITS BITCH</v>
      </c>
      <c r="AP298" s="35" t="str">
        <f t="shared" si="47"/>
        <v>FITS BITCH</v>
      </c>
      <c r="AQ298" s="35" t="str">
        <f t="shared" si="47"/>
        <v>no</v>
      </c>
      <c r="AR298" s="35" t="str">
        <f t="shared" si="48"/>
        <v>no</v>
      </c>
      <c r="AS298" s="35" t="str">
        <f t="shared" si="49"/>
        <v>FITS BITCH</v>
      </c>
      <c r="AT298" s="20" t="str">
        <f t="shared" si="50"/>
        <v/>
      </c>
      <c r="AU298" s="20" t="str">
        <f t="shared" si="51"/>
        <v/>
      </c>
      <c r="AV298" s="20"/>
      <c r="AW298" s="20"/>
      <c r="AX298" s="20"/>
      <c r="CL298" s="106">
        <v>42712</v>
      </c>
      <c r="CM298" s="107">
        <f t="shared" si="45"/>
        <v>94.938460441174811</v>
      </c>
    </row>
    <row r="299" spans="31:91">
      <c r="AE299" s="26">
        <f>Data!A294</f>
        <v>42536</v>
      </c>
      <c r="AF299" s="35">
        <f>Data!B294</f>
        <v>87.53</v>
      </c>
      <c r="AG299" s="35">
        <f>Data!F294</f>
        <v>2080455</v>
      </c>
      <c r="AH299" s="35">
        <f>Data!C294</f>
        <v>88.01</v>
      </c>
      <c r="AI299" s="35">
        <f>Data!D294</f>
        <v>87.23</v>
      </c>
      <c r="AJ299" s="35">
        <f>Data!E294</f>
        <v>87.61</v>
      </c>
      <c r="AK299" s="35">
        <f>Data!F294</f>
        <v>2080455</v>
      </c>
      <c r="AL299" s="35">
        <f t="shared" si="44"/>
        <v>87.61</v>
      </c>
      <c r="AM299" s="35">
        <f t="shared" si="43"/>
        <v>-0.4793973290720257</v>
      </c>
      <c r="AN299" s="35">
        <f t="shared" si="52"/>
        <v>29.370306014790032</v>
      </c>
      <c r="AO299" s="35" t="str">
        <f t="shared" si="46"/>
        <v>no</v>
      </c>
      <c r="AP299" s="35" t="str">
        <f t="shared" si="47"/>
        <v>FITS BITCH</v>
      </c>
      <c r="AQ299" s="35" t="str">
        <f t="shared" si="47"/>
        <v>FITS BITCH</v>
      </c>
      <c r="AR299" s="35" t="str">
        <f t="shared" si="48"/>
        <v>no</v>
      </c>
      <c r="AS299" s="35" t="str">
        <f t="shared" si="49"/>
        <v>FITS BITCH</v>
      </c>
      <c r="AT299" s="20" t="str">
        <f t="shared" si="50"/>
        <v/>
      </c>
      <c r="AU299" s="20" t="str">
        <f t="shared" si="51"/>
        <v/>
      </c>
      <c r="AV299" s="20"/>
      <c r="AW299" s="20"/>
      <c r="AX299" s="20"/>
      <c r="CL299" s="106">
        <v>42711</v>
      </c>
      <c r="CM299" s="107">
        <f t="shared" si="45"/>
        <v>94.885173252752338</v>
      </c>
    </row>
    <row r="300" spans="31:91">
      <c r="AE300" s="26">
        <f>Data!A295</f>
        <v>42535</v>
      </c>
      <c r="AF300" s="35">
        <f>Data!B295</f>
        <v>86.97</v>
      </c>
      <c r="AG300" s="35">
        <f>Data!F295</f>
        <v>2348466</v>
      </c>
      <c r="AH300" s="35">
        <f>Data!C295</f>
        <v>87.58</v>
      </c>
      <c r="AI300" s="35">
        <f>Data!D295</f>
        <v>86.97</v>
      </c>
      <c r="AJ300" s="35">
        <f>Data!E295</f>
        <v>87.49</v>
      </c>
      <c r="AK300" s="35">
        <f>Data!F295</f>
        <v>2348466</v>
      </c>
      <c r="AL300" s="35">
        <f t="shared" si="44"/>
        <v>87.49</v>
      </c>
      <c r="AM300" s="35">
        <f t="shared" si="43"/>
        <v>-0.13715853240370848</v>
      </c>
      <c r="AN300" s="35">
        <f t="shared" si="52"/>
        <v>11.412172882213326</v>
      </c>
      <c r="AO300" s="35" t="str">
        <f t="shared" si="46"/>
        <v>no</v>
      </c>
      <c r="AP300" s="35" t="str">
        <f t="shared" si="47"/>
        <v>no</v>
      </c>
      <c r="AQ300" s="35" t="str">
        <f t="shared" si="47"/>
        <v>FITS BITCH</v>
      </c>
      <c r="AR300" s="35" t="str">
        <f t="shared" si="48"/>
        <v>FITS BITCH</v>
      </c>
      <c r="AS300" s="35" t="str">
        <f t="shared" si="49"/>
        <v>FITS BITCH</v>
      </c>
      <c r="AT300" s="20" t="str">
        <f t="shared" si="50"/>
        <v/>
      </c>
      <c r="AU300" s="20" t="str">
        <f t="shared" si="51"/>
        <v/>
      </c>
      <c r="AV300" s="20"/>
      <c r="AW300" s="20"/>
      <c r="AX300" s="20"/>
      <c r="CL300" s="106">
        <v>42710</v>
      </c>
      <c r="CM300" s="107">
        <f t="shared" si="45"/>
        <v>94.83188606432941</v>
      </c>
    </row>
    <row r="301" spans="31:91">
      <c r="AE301" s="26">
        <f>Data!A296</f>
        <v>42534</v>
      </c>
      <c r="AF301" s="35">
        <f>Data!B296</f>
        <v>87.02</v>
      </c>
      <c r="AG301" s="35">
        <f>Data!F296</f>
        <v>3191446</v>
      </c>
      <c r="AH301" s="35">
        <f>Data!C296</f>
        <v>87.67</v>
      </c>
      <c r="AI301" s="35">
        <f>Data!D296</f>
        <v>86.91</v>
      </c>
      <c r="AJ301" s="35">
        <f>Data!E296</f>
        <v>87.16</v>
      </c>
      <c r="AK301" s="35">
        <f>Data!F296</f>
        <v>3191446</v>
      </c>
      <c r="AL301" s="35">
        <f t="shared" si="44"/>
        <v>87.16</v>
      </c>
      <c r="AM301" s="35">
        <f t="shared" si="43"/>
        <v>-0.37861404313905267</v>
      </c>
      <c r="AN301" s="35">
        <f t="shared" si="52"/>
        <v>26.413732207908264</v>
      </c>
      <c r="AO301" s="35" t="str">
        <f t="shared" si="46"/>
        <v>no</v>
      </c>
      <c r="AP301" s="35" t="str">
        <f t="shared" si="47"/>
        <v>FITS BITCH</v>
      </c>
      <c r="AQ301" s="35" t="str">
        <f t="shared" si="47"/>
        <v>FITS BITCH</v>
      </c>
      <c r="AR301" s="35" t="str">
        <f t="shared" si="48"/>
        <v>FITS BITCH</v>
      </c>
      <c r="AS301" s="35" t="str">
        <f t="shared" si="49"/>
        <v>FITS BITCH</v>
      </c>
      <c r="AT301" s="20" t="str">
        <f t="shared" si="50"/>
        <v/>
      </c>
      <c r="AU301" s="20" t="str">
        <f t="shared" si="51"/>
        <v/>
      </c>
      <c r="AV301" s="20"/>
      <c r="AW301" s="20"/>
      <c r="AX301" s="20"/>
      <c r="CL301" s="106">
        <v>42709</v>
      </c>
      <c r="CM301" s="107">
        <f t="shared" si="45"/>
        <v>94.778598875906482</v>
      </c>
    </row>
    <row r="302" spans="31:91">
      <c r="AE302" s="26">
        <f>Data!A297</f>
        <v>42531</v>
      </c>
      <c r="AF302" s="35">
        <f>Data!B297</f>
        <v>86.55</v>
      </c>
      <c r="AG302" s="35">
        <f>Data!F297</f>
        <v>1635720</v>
      </c>
      <c r="AH302" s="35">
        <f>Data!C297</f>
        <v>87.31</v>
      </c>
      <c r="AI302" s="35">
        <f>Data!D297</f>
        <v>86.52</v>
      </c>
      <c r="AJ302" s="35">
        <f>Data!E297</f>
        <v>87.09</v>
      </c>
      <c r="AK302" s="35">
        <f>Data!F297</f>
        <v>1635720</v>
      </c>
      <c r="AL302" s="35">
        <f t="shared" si="44"/>
        <v>87.09</v>
      </c>
      <c r="AM302" s="35">
        <f t="shared" ref="AM302:AM365" si="53">(AL302-AL301)/AL302*100</f>
        <v>-8.037662188539807E-2</v>
      </c>
      <c r="AN302" s="35">
        <f t="shared" si="52"/>
        <v>-95.109554202430729</v>
      </c>
      <c r="AO302" s="35" t="str">
        <f t="shared" si="46"/>
        <v>FITS BITCH</v>
      </c>
      <c r="AP302" s="35" t="str">
        <f t="shared" si="47"/>
        <v>no</v>
      </c>
      <c r="AQ302" s="35" t="str">
        <f t="shared" si="47"/>
        <v>no</v>
      </c>
      <c r="AR302" s="35" t="str">
        <f t="shared" si="48"/>
        <v>FITS BITCH</v>
      </c>
      <c r="AS302" s="35" t="str">
        <f t="shared" si="49"/>
        <v>no</v>
      </c>
      <c r="AT302" s="20" t="str">
        <f t="shared" si="50"/>
        <v/>
      </c>
      <c r="AU302" s="20" t="str">
        <f t="shared" si="51"/>
        <v/>
      </c>
      <c r="AV302" s="20"/>
      <c r="AW302" s="20"/>
      <c r="AX302" s="20"/>
      <c r="CL302" s="106">
        <v>42706</v>
      </c>
      <c r="CM302" s="107">
        <f t="shared" si="45"/>
        <v>94.618737310638153</v>
      </c>
    </row>
    <row r="303" spans="31:91">
      <c r="AE303" s="26">
        <f>Data!A298</f>
        <v>42530</v>
      </c>
      <c r="AF303" s="35">
        <f>Data!B298</f>
        <v>87.03</v>
      </c>
      <c r="AG303" s="35">
        <f>Data!F298</f>
        <v>1517709</v>
      </c>
      <c r="AH303" s="35">
        <f>Data!C298</f>
        <v>87.66</v>
      </c>
      <c r="AI303" s="35">
        <f>Data!D298</f>
        <v>86.88</v>
      </c>
      <c r="AJ303" s="35">
        <f>Data!E298</f>
        <v>87.63</v>
      </c>
      <c r="AK303" s="35">
        <f>Data!F298</f>
        <v>1517709</v>
      </c>
      <c r="AL303" s="35">
        <f t="shared" si="44"/>
        <v>87.63</v>
      </c>
      <c r="AM303" s="35">
        <f t="shared" si="53"/>
        <v>0.6162273194111515</v>
      </c>
      <c r="AN303" s="35">
        <f t="shared" si="52"/>
        <v>-7.7756012516233346</v>
      </c>
      <c r="AO303" s="35" t="str">
        <f t="shared" si="46"/>
        <v>no</v>
      </c>
      <c r="AP303" s="35" t="str">
        <f t="shared" si="47"/>
        <v>FITS BITCH</v>
      </c>
      <c r="AQ303" s="35" t="str">
        <f t="shared" si="47"/>
        <v>FITS BITCH</v>
      </c>
      <c r="AR303" s="35" t="str">
        <f t="shared" si="48"/>
        <v>no</v>
      </c>
      <c r="AS303" s="35" t="str">
        <f t="shared" si="49"/>
        <v>FITS BITCH</v>
      </c>
      <c r="AT303" s="20" t="str">
        <f t="shared" si="50"/>
        <v/>
      </c>
      <c r="AU303" s="20" t="str">
        <f t="shared" si="51"/>
        <v/>
      </c>
      <c r="AV303" s="20"/>
      <c r="AW303" s="20"/>
      <c r="AX303" s="20"/>
      <c r="CL303" s="106">
        <v>42705</v>
      </c>
      <c r="CM303" s="107">
        <f t="shared" si="45"/>
        <v>94.56545012221568</v>
      </c>
    </row>
    <row r="304" spans="31:91">
      <c r="AE304" s="26">
        <f>Data!A299</f>
        <v>42529</v>
      </c>
      <c r="AF304" s="35">
        <f>Data!B299</f>
        <v>86.6</v>
      </c>
      <c r="AG304" s="35">
        <f>Data!F299</f>
        <v>1797346</v>
      </c>
      <c r="AH304" s="35">
        <f>Data!C299</f>
        <v>87.23</v>
      </c>
      <c r="AI304" s="35">
        <f>Data!D299</f>
        <v>86.31</v>
      </c>
      <c r="AJ304" s="35">
        <f>Data!E299</f>
        <v>87.22</v>
      </c>
      <c r="AK304" s="35">
        <f>Data!F299</f>
        <v>1797346</v>
      </c>
      <c r="AL304" s="35">
        <f t="shared" si="44"/>
        <v>87.22</v>
      </c>
      <c r="AM304" s="35">
        <f t="shared" si="53"/>
        <v>-0.47007567071772138</v>
      </c>
      <c r="AN304" s="35">
        <f t="shared" si="52"/>
        <v>15.558328780323876</v>
      </c>
      <c r="AO304" s="35" t="str">
        <f t="shared" si="46"/>
        <v>no</v>
      </c>
      <c r="AP304" s="35" t="str">
        <f t="shared" si="47"/>
        <v>no</v>
      </c>
      <c r="AQ304" s="35" t="str">
        <f t="shared" si="47"/>
        <v>no</v>
      </c>
      <c r="AR304" s="35" t="str">
        <f t="shared" si="48"/>
        <v>FITS BITCH</v>
      </c>
      <c r="AS304" s="35" t="str">
        <f t="shared" si="49"/>
        <v>FITS BITCH</v>
      </c>
      <c r="AT304" s="20" t="str">
        <f t="shared" si="50"/>
        <v/>
      </c>
      <c r="AU304" s="20" t="str">
        <f t="shared" si="51"/>
        <v/>
      </c>
      <c r="AV304" s="20"/>
      <c r="AW304" s="20"/>
      <c r="AX304" s="20"/>
      <c r="CL304" s="106">
        <v>42704</v>
      </c>
      <c r="CM304" s="107">
        <f t="shared" si="45"/>
        <v>94.512162933792752</v>
      </c>
    </row>
    <row r="305" spans="31:91">
      <c r="AE305" s="26">
        <f>Data!A300</f>
        <v>42528</v>
      </c>
      <c r="AF305" s="35">
        <f>Data!B300</f>
        <v>87.7</v>
      </c>
      <c r="AG305" s="35">
        <f>Data!F300</f>
        <v>2480957</v>
      </c>
      <c r="AH305" s="35">
        <f>Data!C300</f>
        <v>87.97</v>
      </c>
      <c r="AI305" s="35">
        <f>Data!D300</f>
        <v>86.79</v>
      </c>
      <c r="AJ305" s="35">
        <f>Data!E300</f>
        <v>86.87</v>
      </c>
      <c r="AK305" s="35">
        <f>Data!F300</f>
        <v>2480957</v>
      </c>
      <c r="AL305" s="35">
        <f t="shared" si="44"/>
        <v>86.87</v>
      </c>
      <c r="AM305" s="35">
        <f t="shared" si="53"/>
        <v>-0.40290088638194349</v>
      </c>
      <c r="AN305" s="35">
        <f t="shared" si="52"/>
        <v>27.5543268182399</v>
      </c>
      <c r="AO305" s="35" t="str">
        <f t="shared" si="46"/>
        <v>no</v>
      </c>
      <c r="AP305" s="35" t="str">
        <f t="shared" si="47"/>
        <v>no</v>
      </c>
      <c r="AQ305" s="35" t="str">
        <f t="shared" si="47"/>
        <v>no</v>
      </c>
      <c r="AR305" s="35" t="str">
        <f t="shared" si="48"/>
        <v>FITS BITCH</v>
      </c>
      <c r="AS305" s="35" t="str">
        <f t="shared" si="49"/>
        <v>no</v>
      </c>
      <c r="AT305" s="20" t="str">
        <f t="shared" si="50"/>
        <v/>
      </c>
      <c r="AU305" s="20" t="str">
        <f t="shared" si="51"/>
        <v/>
      </c>
      <c r="AV305" s="20"/>
      <c r="AW305" s="20"/>
      <c r="AX305" s="20"/>
      <c r="CL305" s="106">
        <v>42703</v>
      </c>
      <c r="CM305" s="107">
        <f t="shared" si="45"/>
        <v>94.458875745370278</v>
      </c>
    </row>
    <row r="306" spans="31:91">
      <c r="AE306" s="26">
        <f>Data!A301</f>
        <v>42527</v>
      </c>
      <c r="AF306" s="35">
        <f>Data!B301</f>
        <v>87.52</v>
      </c>
      <c r="AG306" s="35">
        <f>Data!F301</f>
        <v>1392932</v>
      </c>
      <c r="AH306" s="35">
        <f>Data!C301</f>
        <v>88</v>
      </c>
      <c r="AI306" s="35">
        <f>Data!D301</f>
        <v>87.36</v>
      </c>
      <c r="AJ306" s="35">
        <f>Data!E301</f>
        <v>87.69</v>
      </c>
      <c r="AK306" s="35">
        <f>Data!F301</f>
        <v>1392932</v>
      </c>
      <c r="AL306" s="35">
        <f t="shared" si="44"/>
        <v>87.69</v>
      </c>
      <c r="AM306" s="35">
        <f t="shared" si="53"/>
        <v>0.93511232751738316</v>
      </c>
      <c r="AN306" s="35">
        <f t="shared" si="52"/>
        <v>-78.110417450385228</v>
      </c>
      <c r="AO306" s="35" t="str">
        <f t="shared" si="46"/>
        <v>FITS BITCH</v>
      </c>
      <c r="AP306" s="35" t="str">
        <f t="shared" si="47"/>
        <v>FITS BITCH</v>
      </c>
      <c r="AQ306" s="35" t="str">
        <f t="shared" si="47"/>
        <v>FITS BITCH</v>
      </c>
      <c r="AR306" s="35" t="str">
        <f t="shared" si="48"/>
        <v>no</v>
      </c>
      <c r="AS306" s="35" t="str">
        <f t="shared" si="49"/>
        <v>FITS BITCH</v>
      </c>
      <c r="AT306" s="20" t="str">
        <f t="shared" si="50"/>
        <v/>
      </c>
      <c r="AU306" s="20" t="str">
        <f t="shared" si="51"/>
        <v>BEARISH</v>
      </c>
      <c r="AV306" s="20"/>
      <c r="AW306" s="20"/>
      <c r="AX306" s="20"/>
      <c r="CL306" s="106">
        <v>42702</v>
      </c>
      <c r="CM306" s="107">
        <f t="shared" si="45"/>
        <v>94.40558855694735</v>
      </c>
    </row>
    <row r="307" spans="31:91">
      <c r="AE307" s="26">
        <f>Data!A302</f>
        <v>42524</v>
      </c>
      <c r="AF307" s="35">
        <f>Data!B302</f>
        <v>87.65</v>
      </c>
      <c r="AG307" s="35">
        <f>Data!F302</f>
        <v>1399914</v>
      </c>
      <c r="AH307" s="35">
        <f>Data!C302</f>
        <v>87.65</v>
      </c>
      <c r="AI307" s="35">
        <f>Data!D302</f>
        <v>86.72</v>
      </c>
      <c r="AJ307" s="35">
        <f>Data!E302</f>
        <v>87.33</v>
      </c>
      <c r="AK307" s="35">
        <f>Data!F302</f>
        <v>1399914</v>
      </c>
      <c r="AL307" s="35">
        <f t="shared" si="44"/>
        <v>87.33</v>
      </c>
      <c r="AM307" s="35">
        <f t="shared" si="53"/>
        <v>-0.41222947440741947</v>
      </c>
      <c r="AN307" s="35">
        <f t="shared" si="52"/>
        <v>0.49874492290240685</v>
      </c>
      <c r="AO307" s="35" t="str">
        <f t="shared" si="46"/>
        <v>no</v>
      </c>
      <c r="AP307" s="35" t="str">
        <f t="shared" si="47"/>
        <v>no</v>
      </c>
      <c r="AQ307" s="35" t="str">
        <f t="shared" si="47"/>
        <v>no</v>
      </c>
      <c r="AR307" s="35" t="str">
        <f t="shared" si="48"/>
        <v>FITS BITCH</v>
      </c>
      <c r="AS307" s="35" t="str">
        <f t="shared" si="49"/>
        <v>no</v>
      </c>
      <c r="AT307" s="20" t="str">
        <f t="shared" si="50"/>
        <v/>
      </c>
      <c r="AU307" s="20" t="str">
        <f t="shared" si="51"/>
        <v/>
      </c>
      <c r="AV307" s="20"/>
      <c r="AW307" s="20"/>
      <c r="AX307" s="20"/>
      <c r="CL307" s="106">
        <v>42699</v>
      </c>
      <c r="CM307" s="107">
        <f t="shared" si="45"/>
        <v>94.245726991679021</v>
      </c>
    </row>
    <row r="308" spans="31:91">
      <c r="AE308" s="26">
        <f>Data!A303</f>
        <v>42523</v>
      </c>
      <c r="AF308" s="35">
        <f>Data!B303</f>
        <v>88.04</v>
      </c>
      <c r="AG308" s="35">
        <f>Data!F303</f>
        <v>1092520</v>
      </c>
      <c r="AH308" s="35">
        <f>Data!C303</f>
        <v>88.12</v>
      </c>
      <c r="AI308" s="35">
        <f>Data!D303</f>
        <v>87.51</v>
      </c>
      <c r="AJ308" s="35">
        <f>Data!E303</f>
        <v>88.09</v>
      </c>
      <c r="AK308" s="35">
        <f>Data!F303</f>
        <v>1092520</v>
      </c>
      <c r="AL308" s="35">
        <f t="shared" si="44"/>
        <v>88.09</v>
      </c>
      <c r="AM308" s="35">
        <f t="shared" si="53"/>
        <v>0.86275400158928939</v>
      </c>
      <c r="AN308" s="35">
        <f t="shared" si="52"/>
        <v>-28.136235492256432</v>
      </c>
      <c r="AO308" s="35" t="str">
        <f t="shared" si="46"/>
        <v>FITS BITCH</v>
      </c>
      <c r="AP308" s="35" t="str">
        <f t="shared" si="47"/>
        <v>no</v>
      </c>
      <c r="AQ308" s="35" t="str">
        <f t="shared" si="47"/>
        <v>FITS BITCH</v>
      </c>
      <c r="AR308" s="35" t="str">
        <f t="shared" si="48"/>
        <v>FITS BITCH</v>
      </c>
      <c r="AS308" s="35" t="str">
        <f t="shared" si="49"/>
        <v>no</v>
      </c>
      <c r="AT308" s="20" t="str">
        <f t="shared" si="50"/>
        <v/>
      </c>
      <c r="AU308" s="20" t="str">
        <f t="shared" si="51"/>
        <v/>
      </c>
      <c r="AV308" s="20"/>
      <c r="AW308" s="20"/>
      <c r="AX308" s="20"/>
      <c r="CL308" s="106">
        <v>42698</v>
      </c>
      <c r="CM308" s="107">
        <f t="shared" si="45"/>
        <v>94.192439803256093</v>
      </c>
    </row>
    <row r="309" spans="31:91">
      <c r="AE309" s="26">
        <f>Data!A304</f>
        <v>42522</v>
      </c>
      <c r="AF309" s="35">
        <f>Data!B304</f>
        <v>87.6</v>
      </c>
      <c r="AG309" s="35">
        <f>Data!F304</f>
        <v>1685793</v>
      </c>
      <c r="AH309" s="35">
        <f>Data!C304</f>
        <v>88.18</v>
      </c>
      <c r="AI309" s="35">
        <f>Data!D304</f>
        <v>87.45</v>
      </c>
      <c r="AJ309" s="35">
        <f>Data!E304</f>
        <v>88.12</v>
      </c>
      <c r="AK309" s="35">
        <f>Data!F304</f>
        <v>1685793</v>
      </c>
      <c r="AL309" s="35">
        <f t="shared" si="44"/>
        <v>88.12</v>
      </c>
      <c r="AM309" s="35">
        <f t="shared" si="53"/>
        <v>3.4044484793464752E-2</v>
      </c>
      <c r="AN309" s="35">
        <f t="shared" si="52"/>
        <v>35.192517705317321</v>
      </c>
      <c r="AO309" s="35" t="str">
        <f t="shared" si="46"/>
        <v>no</v>
      </c>
      <c r="AP309" s="35" t="str">
        <f t="shared" si="47"/>
        <v>no</v>
      </c>
      <c r="AQ309" s="35" t="str">
        <f t="shared" si="47"/>
        <v>FITS BITCH</v>
      </c>
      <c r="AR309" s="35" t="str">
        <f t="shared" si="48"/>
        <v>FITS BITCH</v>
      </c>
      <c r="AS309" s="35" t="str">
        <f t="shared" si="49"/>
        <v>FITS BITCH</v>
      </c>
      <c r="AT309" s="20" t="str">
        <f t="shared" si="50"/>
        <v/>
      </c>
      <c r="AU309" s="20" t="str">
        <f t="shared" si="51"/>
        <v/>
      </c>
      <c r="AV309" s="20"/>
      <c r="AW309" s="20"/>
      <c r="AX309" s="20"/>
      <c r="CL309" s="106">
        <v>42697</v>
      </c>
      <c r="CM309" s="107">
        <f t="shared" si="45"/>
        <v>94.13915261483362</v>
      </c>
    </row>
    <row r="310" spans="31:91">
      <c r="AE310" s="26">
        <f>Data!A305</f>
        <v>42521</v>
      </c>
      <c r="AF310" s="35">
        <f>Data!B305</f>
        <v>88.37</v>
      </c>
      <c r="AG310" s="35">
        <f>Data!F305</f>
        <v>2035480</v>
      </c>
      <c r="AH310" s="35">
        <f>Data!C305</f>
        <v>88.37</v>
      </c>
      <c r="AI310" s="35">
        <f>Data!D305</f>
        <v>87.33</v>
      </c>
      <c r="AJ310" s="35">
        <f>Data!E305</f>
        <v>87.84</v>
      </c>
      <c r="AK310" s="35">
        <f>Data!F305</f>
        <v>2035480</v>
      </c>
      <c r="AL310" s="35">
        <f t="shared" si="44"/>
        <v>87.84</v>
      </c>
      <c r="AM310" s="35">
        <f t="shared" si="53"/>
        <v>-0.31876138433515611</v>
      </c>
      <c r="AN310" s="35">
        <f t="shared" si="52"/>
        <v>17.179584176705248</v>
      </c>
      <c r="AO310" s="35" t="str">
        <f t="shared" si="46"/>
        <v>no</v>
      </c>
      <c r="AP310" s="35" t="str">
        <f t="shared" si="47"/>
        <v>FITS BITCH</v>
      </c>
      <c r="AQ310" s="35" t="str">
        <f t="shared" si="47"/>
        <v>no</v>
      </c>
      <c r="AR310" s="35" t="str">
        <f t="shared" si="48"/>
        <v>FITS BITCH</v>
      </c>
      <c r="AS310" s="35" t="str">
        <f t="shared" si="49"/>
        <v>no</v>
      </c>
      <c r="AT310" s="20" t="str">
        <f t="shared" si="50"/>
        <v/>
      </c>
      <c r="AU310" s="20" t="str">
        <f t="shared" si="51"/>
        <v/>
      </c>
      <c r="AV310" s="20"/>
      <c r="AW310" s="20"/>
      <c r="AX310" s="20"/>
      <c r="CL310" s="106">
        <v>42696</v>
      </c>
      <c r="CM310" s="107">
        <f t="shared" si="45"/>
        <v>94.085865426410692</v>
      </c>
    </row>
    <row r="311" spans="31:91">
      <c r="AE311" s="26">
        <f>Data!A306</f>
        <v>42517</v>
      </c>
      <c r="AF311" s="35">
        <f>Data!B306</f>
        <v>87.74</v>
      </c>
      <c r="AG311" s="35">
        <f>Data!F306</f>
        <v>1077983</v>
      </c>
      <c r="AH311" s="35">
        <f>Data!C306</f>
        <v>88.08</v>
      </c>
      <c r="AI311" s="35">
        <f>Data!D306</f>
        <v>87.53</v>
      </c>
      <c r="AJ311" s="35">
        <f>Data!E306</f>
        <v>88.04</v>
      </c>
      <c r="AK311" s="35">
        <f>Data!F306</f>
        <v>1077983</v>
      </c>
      <c r="AL311" s="35">
        <f t="shared" si="44"/>
        <v>88.04</v>
      </c>
      <c r="AM311" s="35">
        <f t="shared" si="53"/>
        <v>0.2271694684234471</v>
      </c>
      <c r="AN311" s="35">
        <f t="shared" si="52"/>
        <v>-88.823014834185699</v>
      </c>
      <c r="AO311" s="35" t="str">
        <f t="shared" si="46"/>
        <v>FITS BITCH</v>
      </c>
      <c r="AP311" s="35" t="str">
        <f t="shared" si="47"/>
        <v>FITS BITCH</v>
      </c>
      <c r="AQ311" s="35" t="str">
        <f t="shared" si="47"/>
        <v>FITS BITCH</v>
      </c>
      <c r="AR311" s="35" t="str">
        <f t="shared" si="48"/>
        <v>no</v>
      </c>
      <c r="AS311" s="35" t="str">
        <f t="shared" si="49"/>
        <v>FITS BITCH</v>
      </c>
      <c r="AT311" s="20" t="str">
        <f t="shared" si="50"/>
        <v/>
      </c>
      <c r="AU311" s="20" t="str">
        <f t="shared" si="51"/>
        <v>BEARISH</v>
      </c>
      <c r="AV311" s="20"/>
      <c r="AW311" s="20"/>
      <c r="AX311" s="20"/>
      <c r="CL311" s="106">
        <v>42695</v>
      </c>
      <c r="CM311" s="107">
        <f t="shared" si="45"/>
        <v>94.032578237987764</v>
      </c>
    </row>
    <row r="312" spans="31:91">
      <c r="AE312" s="26">
        <f>Data!A307</f>
        <v>42516</v>
      </c>
      <c r="AF312" s="35">
        <f>Data!B307</f>
        <v>87.39</v>
      </c>
      <c r="AG312" s="35">
        <f>Data!F307</f>
        <v>1040622</v>
      </c>
      <c r="AH312" s="35">
        <f>Data!C307</f>
        <v>87.93</v>
      </c>
      <c r="AI312" s="35">
        <f>Data!D307</f>
        <v>87.09</v>
      </c>
      <c r="AJ312" s="35">
        <f>Data!E307</f>
        <v>87.7</v>
      </c>
      <c r="AK312" s="35">
        <f>Data!F307</f>
        <v>1040622</v>
      </c>
      <c r="AL312" s="35">
        <f t="shared" si="44"/>
        <v>87.7</v>
      </c>
      <c r="AM312" s="35">
        <f t="shared" si="53"/>
        <v>-0.38768529076397196</v>
      </c>
      <c r="AN312" s="35">
        <f t="shared" si="52"/>
        <v>-3.5902565965355335</v>
      </c>
      <c r="AO312" s="35" t="str">
        <f t="shared" si="46"/>
        <v>no</v>
      </c>
      <c r="AP312" s="35" t="str">
        <f t="shared" si="47"/>
        <v>no</v>
      </c>
      <c r="AQ312" s="35" t="str">
        <f t="shared" si="47"/>
        <v>no</v>
      </c>
      <c r="AR312" s="35" t="str">
        <f t="shared" si="48"/>
        <v>FITS BITCH</v>
      </c>
      <c r="AS312" s="35" t="str">
        <f t="shared" si="49"/>
        <v>FITS BITCH</v>
      </c>
      <c r="AT312" s="20" t="str">
        <f t="shared" si="50"/>
        <v/>
      </c>
      <c r="AU312" s="20" t="str">
        <f t="shared" si="51"/>
        <v/>
      </c>
      <c r="AV312" s="20"/>
      <c r="AW312" s="20"/>
      <c r="AX312" s="20"/>
      <c r="CL312" s="106">
        <v>42692</v>
      </c>
      <c r="CM312" s="107">
        <f t="shared" si="45"/>
        <v>93.872716672719434</v>
      </c>
    </row>
    <row r="313" spans="31:91">
      <c r="AE313" s="26">
        <f>Data!A308</f>
        <v>42515</v>
      </c>
      <c r="AF313" s="35">
        <f>Data!B308</f>
        <v>87.67</v>
      </c>
      <c r="AG313" s="35">
        <f>Data!F308</f>
        <v>1405051</v>
      </c>
      <c r="AH313" s="35">
        <f>Data!C308</f>
        <v>88.01</v>
      </c>
      <c r="AI313" s="35">
        <f>Data!D308</f>
        <v>87.43</v>
      </c>
      <c r="AJ313" s="35">
        <f>Data!E308</f>
        <v>87.52</v>
      </c>
      <c r="AK313" s="35">
        <f>Data!F308</f>
        <v>1405051</v>
      </c>
      <c r="AL313" s="35">
        <f t="shared" si="44"/>
        <v>87.52</v>
      </c>
      <c r="AM313" s="35">
        <f t="shared" si="53"/>
        <v>-0.20566727605119609</v>
      </c>
      <c r="AN313" s="35">
        <f t="shared" si="52"/>
        <v>25.937065629646185</v>
      </c>
      <c r="AO313" s="35" t="str">
        <f t="shared" si="46"/>
        <v>no</v>
      </c>
      <c r="AP313" s="35" t="str">
        <f t="shared" si="47"/>
        <v>FITS BITCH</v>
      </c>
      <c r="AQ313" s="35" t="str">
        <f t="shared" si="47"/>
        <v>FITS BITCH</v>
      </c>
      <c r="AR313" s="35" t="str">
        <f t="shared" si="48"/>
        <v>no</v>
      </c>
      <c r="AS313" s="35" t="str">
        <f t="shared" si="49"/>
        <v>FITS BITCH</v>
      </c>
      <c r="AT313" s="20" t="str">
        <f t="shared" si="50"/>
        <v/>
      </c>
      <c r="AU313" s="20" t="str">
        <f t="shared" si="51"/>
        <v/>
      </c>
      <c r="AV313" s="20"/>
      <c r="AW313" s="20"/>
      <c r="AX313" s="20"/>
      <c r="CL313" s="106">
        <v>42691</v>
      </c>
      <c r="CM313" s="107">
        <f t="shared" si="45"/>
        <v>93.819429484296961</v>
      </c>
    </row>
    <row r="314" spans="31:91">
      <c r="AE314" s="26">
        <f>Data!A309</f>
        <v>42514</v>
      </c>
      <c r="AF314" s="35">
        <f>Data!B309</f>
        <v>85.99</v>
      </c>
      <c r="AG314" s="35">
        <f>Data!F309</f>
        <v>2163254</v>
      </c>
      <c r="AH314" s="35">
        <f>Data!C309</f>
        <v>87.49</v>
      </c>
      <c r="AI314" s="35">
        <f>Data!D309</f>
        <v>85.86</v>
      </c>
      <c r="AJ314" s="35">
        <f>Data!E309</f>
        <v>87.46</v>
      </c>
      <c r="AK314" s="35">
        <f>Data!F309</f>
        <v>2163254</v>
      </c>
      <c r="AL314" s="35">
        <f t="shared" si="44"/>
        <v>87.46</v>
      </c>
      <c r="AM314" s="35">
        <f t="shared" si="53"/>
        <v>-6.8602789846789705E-2</v>
      </c>
      <c r="AN314" s="35">
        <f t="shared" si="52"/>
        <v>35.049189785388123</v>
      </c>
      <c r="AO314" s="35" t="str">
        <f t="shared" si="46"/>
        <v>no</v>
      </c>
      <c r="AP314" s="35" t="str">
        <f t="shared" si="47"/>
        <v>FITS BITCH</v>
      </c>
      <c r="AQ314" s="35" t="str">
        <f t="shared" si="47"/>
        <v>FITS BITCH</v>
      </c>
      <c r="AR314" s="35" t="str">
        <f t="shared" si="48"/>
        <v>no</v>
      </c>
      <c r="AS314" s="35" t="str">
        <f t="shared" si="49"/>
        <v>FITS BITCH</v>
      </c>
      <c r="AT314" s="20" t="str">
        <f t="shared" si="50"/>
        <v/>
      </c>
      <c r="AU314" s="20" t="str">
        <f t="shared" si="51"/>
        <v/>
      </c>
      <c r="AV314" s="20"/>
      <c r="AW314" s="20"/>
      <c r="AX314" s="20"/>
      <c r="CL314" s="106">
        <v>42690</v>
      </c>
      <c r="CM314" s="107">
        <f t="shared" si="45"/>
        <v>93.766142295874033</v>
      </c>
    </row>
    <row r="315" spans="31:91">
      <c r="AE315" s="26">
        <f>Data!A310</f>
        <v>42513</v>
      </c>
      <c r="AF315" s="35">
        <f>Data!B310</f>
        <v>85.49</v>
      </c>
      <c r="AG315" s="35">
        <f>Data!F310</f>
        <v>1070097</v>
      </c>
      <c r="AH315" s="35">
        <f>Data!C310</f>
        <v>85.7</v>
      </c>
      <c r="AI315" s="35">
        <f>Data!D310</f>
        <v>85.2</v>
      </c>
      <c r="AJ315" s="35">
        <f>Data!E310</f>
        <v>85.25</v>
      </c>
      <c r="AK315" s="35">
        <f>Data!F310</f>
        <v>1070097</v>
      </c>
      <c r="AL315" s="35">
        <f t="shared" si="44"/>
        <v>85.25</v>
      </c>
      <c r="AM315" s="35">
        <f t="shared" si="53"/>
        <v>-2.5923753665689078</v>
      </c>
      <c r="AN315" s="35">
        <f t="shared" si="52"/>
        <v>-102.15494483210401</v>
      </c>
      <c r="AO315" s="35" t="str">
        <f t="shared" si="46"/>
        <v>FITS BITCH</v>
      </c>
      <c r="AP315" s="35" t="str">
        <f t="shared" si="47"/>
        <v>no</v>
      </c>
      <c r="AQ315" s="35" t="str">
        <f t="shared" si="47"/>
        <v>no</v>
      </c>
      <c r="AR315" s="35" t="str">
        <f t="shared" si="48"/>
        <v>FITS BITCH</v>
      </c>
      <c r="AS315" s="35" t="str">
        <f t="shared" si="49"/>
        <v>no</v>
      </c>
      <c r="AT315" s="20" t="str">
        <f t="shared" si="50"/>
        <v/>
      </c>
      <c r="AU315" s="20" t="str">
        <f t="shared" si="51"/>
        <v/>
      </c>
      <c r="AV315" s="20"/>
      <c r="AW315" s="20"/>
      <c r="AX315" s="20"/>
      <c r="CL315" s="106">
        <v>42689</v>
      </c>
      <c r="CM315" s="107">
        <f t="shared" si="45"/>
        <v>93.712855107451105</v>
      </c>
    </row>
    <row r="316" spans="31:91">
      <c r="AE316" s="26">
        <f>Data!A311</f>
        <v>42510</v>
      </c>
      <c r="AF316" s="35">
        <f>Data!B311</f>
        <v>85.46</v>
      </c>
      <c r="AG316" s="35">
        <f>Data!F311</f>
        <v>1381976</v>
      </c>
      <c r="AH316" s="35">
        <f>Data!C311</f>
        <v>86.08</v>
      </c>
      <c r="AI316" s="35">
        <f>Data!D311</f>
        <v>85.29</v>
      </c>
      <c r="AJ316" s="35">
        <f>Data!E311</f>
        <v>85.47</v>
      </c>
      <c r="AK316" s="35">
        <f>Data!F311</f>
        <v>1381976</v>
      </c>
      <c r="AL316" s="35">
        <f t="shared" si="44"/>
        <v>85.47</v>
      </c>
      <c r="AM316" s="35">
        <f t="shared" si="53"/>
        <v>0.25740025740025607</v>
      </c>
      <c r="AN316" s="35">
        <f t="shared" si="52"/>
        <v>22.567613330477517</v>
      </c>
      <c r="AO316" s="35" t="str">
        <f t="shared" si="46"/>
        <v>no</v>
      </c>
      <c r="AP316" s="35" t="str">
        <f t="shared" si="47"/>
        <v>FITS BITCH</v>
      </c>
      <c r="AQ316" s="35" t="str">
        <f t="shared" si="47"/>
        <v>FITS BITCH</v>
      </c>
      <c r="AR316" s="35" t="str">
        <f t="shared" si="48"/>
        <v>no</v>
      </c>
      <c r="AS316" s="35" t="str">
        <f t="shared" si="49"/>
        <v>FITS BITCH</v>
      </c>
      <c r="AT316" s="20" t="str">
        <f t="shared" si="50"/>
        <v/>
      </c>
      <c r="AU316" s="20" t="str">
        <f t="shared" si="51"/>
        <v/>
      </c>
      <c r="AV316" s="20"/>
      <c r="AW316" s="20"/>
      <c r="AX316" s="20"/>
      <c r="CL316" s="106">
        <v>42688</v>
      </c>
      <c r="CM316" s="107">
        <f t="shared" si="45"/>
        <v>93.659567919028632</v>
      </c>
    </row>
    <row r="317" spans="31:91">
      <c r="AE317" s="26">
        <f>Data!A312</f>
        <v>42509</v>
      </c>
      <c r="AF317" s="35">
        <f>Data!B312</f>
        <v>84.76</v>
      </c>
      <c r="AG317" s="35">
        <f>Data!F312</f>
        <v>1490470</v>
      </c>
      <c r="AH317" s="35">
        <f>Data!C312</f>
        <v>85.26</v>
      </c>
      <c r="AI317" s="35">
        <f>Data!D312</f>
        <v>84.36</v>
      </c>
      <c r="AJ317" s="35">
        <f>Data!E312</f>
        <v>85.14</v>
      </c>
      <c r="AK317" s="35">
        <f>Data!F312</f>
        <v>1490470</v>
      </c>
      <c r="AL317" s="35">
        <f t="shared" si="44"/>
        <v>85.14</v>
      </c>
      <c r="AM317" s="35">
        <f t="shared" si="53"/>
        <v>-0.38759689922480423</v>
      </c>
      <c r="AN317" s="35">
        <f t="shared" si="52"/>
        <v>7.2791803927620151</v>
      </c>
      <c r="AO317" s="35" t="str">
        <f t="shared" si="46"/>
        <v>no</v>
      </c>
      <c r="AP317" s="35" t="str">
        <f t="shared" si="47"/>
        <v>no</v>
      </c>
      <c r="AQ317" s="35" t="str">
        <f t="shared" si="47"/>
        <v>no</v>
      </c>
      <c r="AR317" s="35" t="str">
        <f t="shared" si="48"/>
        <v>FITS BITCH</v>
      </c>
      <c r="AS317" s="35" t="str">
        <f t="shared" si="49"/>
        <v>no</v>
      </c>
      <c r="AT317" s="20" t="str">
        <f t="shared" si="50"/>
        <v/>
      </c>
      <c r="AU317" s="20" t="str">
        <f t="shared" si="51"/>
        <v/>
      </c>
      <c r="AV317" s="20"/>
      <c r="AW317" s="20"/>
      <c r="AX317" s="20"/>
      <c r="CL317" s="106">
        <v>42685</v>
      </c>
      <c r="CM317" s="107">
        <f t="shared" si="45"/>
        <v>93.499706353760303</v>
      </c>
    </row>
    <row r="318" spans="31:91">
      <c r="AE318" s="26">
        <f>Data!A313</f>
        <v>42508</v>
      </c>
      <c r="AF318" s="35">
        <f>Data!B313</f>
        <v>85.28</v>
      </c>
      <c r="AG318" s="35">
        <f>Data!F313</f>
        <v>1269323</v>
      </c>
      <c r="AH318" s="35">
        <f>Data!C313</f>
        <v>86.01</v>
      </c>
      <c r="AI318" s="35">
        <f>Data!D313</f>
        <v>84.91</v>
      </c>
      <c r="AJ318" s="35">
        <f>Data!E313</f>
        <v>85.6</v>
      </c>
      <c r="AK318" s="35">
        <f>Data!F313</f>
        <v>1269323</v>
      </c>
      <c r="AL318" s="35">
        <f t="shared" si="44"/>
        <v>85.6</v>
      </c>
      <c r="AM318" s="35">
        <f t="shared" si="53"/>
        <v>0.53738317757008625</v>
      </c>
      <c r="AN318" s="35">
        <f t="shared" si="52"/>
        <v>-17.42243699988104</v>
      </c>
      <c r="AO318" s="35" t="str">
        <f t="shared" si="46"/>
        <v>FITS BITCH</v>
      </c>
      <c r="AP318" s="35" t="str">
        <f t="shared" si="47"/>
        <v>no</v>
      </c>
      <c r="AQ318" s="35" t="str">
        <f t="shared" si="47"/>
        <v>no</v>
      </c>
      <c r="AR318" s="35" t="str">
        <f t="shared" si="48"/>
        <v>FITS BITCH</v>
      </c>
      <c r="AS318" s="35" t="str">
        <f t="shared" si="49"/>
        <v>FITS BITCH</v>
      </c>
      <c r="AT318" s="20" t="str">
        <f t="shared" si="50"/>
        <v/>
      </c>
      <c r="AU318" s="20" t="str">
        <f t="shared" si="51"/>
        <v/>
      </c>
      <c r="AV318" s="20"/>
      <c r="AW318" s="20"/>
      <c r="AX318" s="20"/>
      <c r="CL318" s="106">
        <v>42684</v>
      </c>
      <c r="CM318" s="107">
        <f t="shared" si="45"/>
        <v>93.446419165337375</v>
      </c>
    </row>
    <row r="319" spans="31:91">
      <c r="AE319" s="26">
        <f>Data!A314</f>
        <v>42507</v>
      </c>
      <c r="AF319" s="35">
        <f>Data!B314</f>
        <v>86.33</v>
      </c>
      <c r="AG319" s="35">
        <f>Data!F314</f>
        <v>1508453</v>
      </c>
      <c r="AH319" s="35">
        <f>Data!C314</f>
        <v>86.85</v>
      </c>
      <c r="AI319" s="35">
        <f>Data!D314</f>
        <v>85.09</v>
      </c>
      <c r="AJ319" s="35">
        <f>Data!E314</f>
        <v>85.35</v>
      </c>
      <c r="AK319" s="35">
        <f>Data!F314</f>
        <v>1508453</v>
      </c>
      <c r="AL319" s="35">
        <f t="shared" si="44"/>
        <v>85.35</v>
      </c>
      <c r="AM319" s="35">
        <f t="shared" si="53"/>
        <v>-0.29291154071470415</v>
      </c>
      <c r="AN319" s="35">
        <f t="shared" si="52"/>
        <v>15.852664948791908</v>
      </c>
      <c r="AO319" s="35" t="str">
        <f t="shared" si="46"/>
        <v>no</v>
      </c>
      <c r="AP319" s="35" t="str">
        <f t="shared" si="47"/>
        <v>no</v>
      </c>
      <c r="AQ319" s="35" t="str">
        <f t="shared" si="47"/>
        <v>no</v>
      </c>
      <c r="AR319" s="35" t="str">
        <f t="shared" si="48"/>
        <v>FITS BITCH</v>
      </c>
      <c r="AS319" s="35" t="str">
        <f t="shared" si="49"/>
        <v>no</v>
      </c>
      <c r="AT319" s="20" t="str">
        <f t="shared" si="50"/>
        <v/>
      </c>
      <c r="AU319" s="20" t="str">
        <f t="shared" si="51"/>
        <v/>
      </c>
      <c r="AV319" s="20"/>
      <c r="AW319" s="20"/>
      <c r="AX319" s="20"/>
      <c r="CL319" s="106">
        <v>42683</v>
      </c>
      <c r="CM319" s="107">
        <f t="shared" si="45"/>
        <v>93.393131976914447</v>
      </c>
    </row>
    <row r="320" spans="31:91">
      <c r="AE320" s="26">
        <f>Data!A315</f>
        <v>42506</v>
      </c>
      <c r="AF320" s="35">
        <f>Data!B315</f>
        <v>86.03</v>
      </c>
      <c r="AG320" s="35">
        <f>Data!F315</f>
        <v>1731591</v>
      </c>
      <c r="AH320" s="35">
        <f>Data!C315</f>
        <v>87</v>
      </c>
      <c r="AI320" s="35">
        <f>Data!D315</f>
        <v>85.9</v>
      </c>
      <c r="AJ320" s="35">
        <f>Data!E315</f>
        <v>86.7</v>
      </c>
      <c r="AK320" s="35">
        <f>Data!F315</f>
        <v>1731591</v>
      </c>
      <c r="AL320" s="35">
        <f t="shared" si="44"/>
        <v>86.7</v>
      </c>
      <c r="AM320" s="35">
        <f t="shared" si="53"/>
        <v>1.5570934256055462</v>
      </c>
      <c r="AN320" s="35">
        <f t="shared" si="52"/>
        <v>12.886299362840301</v>
      </c>
      <c r="AO320" s="35" t="str">
        <f t="shared" si="46"/>
        <v>no</v>
      </c>
      <c r="AP320" s="35" t="str">
        <f t="shared" si="47"/>
        <v>FITS BITCH</v>
      </c>
      <c r="AQ320" s="35" t="str">
        <f t="shared" si="47"/>
        <v>FITS BITCH</v>
      </c>
      <c r="AR320" s="35" t="str">
        <f t="shared" si="48"/>
        <v>FITS BITCH</v>
      </c>
      <c r="AS320" s="35" t="str">
        <f t="shared" si="49"/>
        <v>FITS BITCH</v>
      </c>
      <c r="AT320" s="20" t="str">
        <f t="shared" si="50"/>
        <v/>
      </c>
      <c r="AU320" s="20" t="str">
        <f t="shared" si="51"/>
        <v/>
      </c>
      <c r="AV320" s="20"/>
      <c r="AW320" s="20"/>
      <c r="AX320" s="20"/>
      <c r="CL320" s="106">
        <v>42682</v>
      </c>
      <c r="CM320" s="107">
        <f t="shared" si="45"/>
        <v>93.339844788491973</v>
      </c>
    </row>
    <row r="321" spans="31:91">
      <c r="AE321" s="26">
        <f>Data!A316</f>
        <v>42503</v>
      </c>
      <c r="AF321" s="35">
        <f>Data!B316</f>
        <v>86.42</v>
      </c>
      <c r="AG321" s="35">
        <f>Data!F316</f>
        <v>1798784</v>
      </c>
      <c r="AH321" s="35">
        <f>Data!C316</f>
        <v>86.87</v>
      </c>
      <c r="AI321" s="35">
        <f>Data!D316</f>
        <v>85.74</v>
      </c>
      <c r="AJ321" s="35">
        <f>Data!E316</f>
        <v>85.76</v>
      </c>
      <c r="AK321" s="35">
        <f>Data!F316</f>
        <v>1798784</v>
      </c>
      <c r="AL321" s="35">
        <f t="shared" si="44"/>
        <v>85.76</v>
      </c>
      <c r="AM321" s="35">
        <f t="shared" si="53"/>
        <v>-1.0960820895522361</v>
      </c>
      <c r="AN321" s="35">
        <f t="shared" si="52"/>
        <v>3.7354679605778123</v>
      </c>
      <c r="AO321" s="35" t="str">
        <f t="shared" si="46"/>
        <v>no</v>
      </c>
      <c r="AP321" s="35" t="str">
        <f t="shared" si="47"/>
        <v>no</v>
      </c>
      <c r="AQ321" s="35" t="str">
        <f t="shared" si="47"/>
        <v>no</v>
      </c>
      <c r="AR321" s="35" t="str">
        <f t="shared" si="48"/>
        <v>FITS BITCH</v>
      </c>
      <c r="AS321" s="35" t="str">
        <f t="shared" si="49"/>
        <v>no</v>
      </c>
      <c r="AT321" s="20" t="str">
        <f t="shared" si="50"/>
        <v/>
      </c>
      <c r="AU321" s="20" t="str">
        <f t="shared" si="51"/>
        <v/>
      </c>
      <c r="AV321" s="20"/>
      <c r="AW321" s="20"/>
      <c r="AX321" s="20"/>
      <c r="CL321" s="106">
        <v>42681</v>
      </c>
      <c r="CM321" s="107">
        <f t="shared" si="45"/>
        <v>93.286557600069045</v>
      </c>
    </row>
    <row r="322" spans="31:91">
      <c r="AE322" s="26">
        <f>Data!A317</f>
        <v>42502</v>
      </c>
      <c r="AF322" s="35">
        <f>Data!B317</f>
        <v>87.31</v>
      </c>
      <c r="AG322" s="35">
        <f>Data!F317</f>
        <v>1692605</v>
      </c>
      <c r="AH322" s="35">
        <f>Data!C317</f>
        <v>87.31</v>
      </c>
      <c r="AI322" s="35">
        <f>Data!D317</f>
        <v>86.11</v>
      </c>
      <c r="AJ322" s="35">
        <f>Data!E317</f>
        <v>86.54</v>
      </c>
      <c r="AK322" s="35">
        <f>Data!F317</f>
        <v>1692605</v>
      </c>
      <c r="AL322" s="35">
        <f t="shared" si="44"/>
        <v>86.54</v>
      </c>
      <c r="AM322" s="35">
        <f t="shared" si="53"/>
        <v>0.90131730991449177</v>
      </c>
      <c r="AN322" s="35">
        <f t="shared" si="52"/>
        <v>-6.2731115647182891</v>
      </c>
      <c r="AO322" s="35" t="str">
        <f t="shared" si="46"/>
        <v>no</v>
      </c>
      <c r="AP322" s="35" t="str">
        <f t="shared" si="47"/>
        <v>no</v>
      </c>
      <c r="AQ322" s="35" t="str">
        <f t="shared" si="47"/>
        <v>no</v>
      </c>
      <c r="AR322" s="35" t="str">
        <f t="shared" si="48"/>
        <v>FITS BITCH</v>
      </c>
      <c r="AS322" s="35" t="str">
        <f t="shared" si="49"/>
        <v>no</v>
      </c>
      <c r="AT322" s="20" t="str">
        <f t="shared" si="50"/>
        <v/>
      </c>
      <c r="AU322" s="20" t="str">
        <f t="shared" si="51"/>
        <v/>
      </c>
      <c r="AV322" s="20"/>
      <c r="AW322" s="20"/>
      <c r="AX322" s="20"/>
      <c r="CL322" s="106">
        <v>42678</v>
      </c>
      <c r="CM322" s="107">
        <f t="shared" si="45"/>
        <v>93.126696034800716</v>
      </c>
    </row>
    <row r="323" spans="31:91">
      <c r="AE323" s="26">
        <f>Data!A318</f>
        <v>42501</v>
      </c>
      <c r="AF323" s="35">
        <f>Data!B318</f>
        <v>88.19</v>
      </c>
      <c r="AG323" s="35">
        <f>Data!F318</f>
        <v>1948426</v>
      </c>
      <c r="AH323" s="35">
        <f>Data!C318</f>
        <v>88.49</v>
      </c>
      <c r="AI323" s="35">
        <f>Data!D318</f>
        <v>86.66</v>
      </c>
      <c r="AJ323" s="35">
        <f>Data!E318</f>
        <v>86.67</v>
      </c>
      <c r="AK323" s="35">
        <f>Data!F318</f>
        <v>1948426</v>
      </c>
      <c r="AL323" s="35">
        <f t="shared" si="44"/>
        <v>86.67</v>
      </c>
      <c r="AM323" s="35">
        <f t="shared" si="53"/>
        <v>0.14999423099111048</v>
      </c>
      <c r="AN323" s="35">
        <f t="shared" si="52"/>
        <v>13.129623603873075</v>
      </c>
      <c r="AO323" s="35" t="str">
        <f t="shared" si="46"/>
        <v>no</v>
      </c>
      <c r="AP323" s="35" t="str">
        <f t="shared" si="47"/>
        <v>no</v>
      </c>
      <c r="AQ323" s="35" t="str">
        <f t="shared" si="47"/>
        <v>no</v>
      </c>
      <c r="AR323" s="35" t="str">
        <f t="shared" si="48"/>
        <v>FITS BITCH</v>
      </c>
      <c r="AS323" s="35" t="str">
        <f t="shared" si="49"/>
        <v>no</v>
      </c>
      <c r="AT323" s="20" t="str">
        <f t="shared" si="50"/>
        <v/>
      </c>
      <c r="AU323" s="20" t="str">
        <f t="shared" si="51"/>
        <v/>
      </c>
      <c r="AV323" s="20"/>
      <c r="AW323" s="20"/>
      <c r="AX323" s="20"/>
      <c r="CL323" s="106">
        <v>42677</v>
      </c>
      <c r="CM323" s="107">
        <f t="shared" si="45"/>
        <v>93.073408846378243</v>
      </c>
    </row>
    <row r="324" spans="31:91">
      <c r="AE324" s="26">
        <f>Data!A319</f>
        <v>42500</v>
      </c>
      <c r="AF324" s="35">
        <f>Data!B319</f>
        <v>87.43</v>
      </c>
      <c r="AG324" s="35">
        <f>Data!F319</f>
        <v>4131779</v>
      </c>
      <c r="AH324" s="35">
        <f>Data!C319</f>
        <v>88.53</v>
      </c>
      <c r="AI324" s="35">
        <f>Data!D319</f>
        <v>87.16</v>
      </c>
      <c r="AJ324" s="35">
        <f>Data!E319</f>
        <v>88.5</v>
      </c>
      <c r="AK324" s="35">
        <f>Data!F319</f>
        <v>4131779</v>
      </c>
      <c r="AL324" s="35">
        <f t="shared" si="44"/>
        <v>88.5</v>
      </c>
      <c r="AM324" s="35">
        <f t="shared" si="53"/>
        <v>2.0677966101694896</v>
      </c>
      <c r="AN324" s="35">
        <f t="shared" si="52"/>
        <v>52.842927949437758</v>
      </c>
      <c r="AO324" s="35" t="str">
        <f t="shared" si="46"/>
        <v>no</v>
      </c>
      <c r="AP324" s="35" t="str">
        <f t="shared" si="47"/>
        <v>FITS BITCH</v>
      </c>
      <c r="AQ324" s="35" t="str">
        <f t="shared" si="47"/>
        <v>FITS BITCH</v>
      </c>
      <c r="AR324" s="35" t="str">
        <f t="shared" si="48"/>
        <v>no</v>
      </c>
      <c r="AS324" s="35" t="str">
        <f t="shared" si="49"/>
        <v>FITS BITCH</v>
      </c>
      <c r="AT324" s="20" t="str">
        <f t="shared" si="50"/>
        <v/>
      </c>
      <c r="AU324" s="20" t="str">
        <f t="shared" si="51"/>
        <v/>
      </c>
      <c r="AV324" s="20"/>
      <c r="AW324" s="20"/>
      <c r="AX324" s="20"/>
      <c r="CL324" s="106">
        <v>42676</v>
      </c>
      <c r="CM324" s="107">
        <f t="shared" si="45"/>
        <v>93.020121657955315</v>
      </c>
    </row>
    <row r="325" spans="31:91">
      <c r="AE325" s="26">
        <f>Data!A320</f>
        <v>42499</v>
      </c>
      <c r="AF325" s="35">
        <f>Data!B320</f>
        <v>87.15</v>
      </c>
      <c r="AG325" s="35">
        <f>Data!F320</f>
        <v>3340876</v>
      </c>
      <c r="AH325" s="35">
        <f>Data!C320</f>
        <v>87.68</v>
      </c>
      <c r="AI325" s="35">
        <f>Data!D320</f>
        <v>86.77</v>
      </c>
      <c r="AJ325" s="35">
        <f>Data!E320</f>
        <v>87.16</v>
      </c>
      <c r="AK325" s="35">
        <f>Data!F320</f>
        <v>3340876</v>
      </c>
      <c r="AL325" s="35">
        <f t="shared" si="44"/>
        <v>87.16</v>
      </c>
      <c r="AM325" s="35">
        <f t="shared" si="53"/>
        <v>-1.5374024782010136</v>
      </c>
      <c r="AN325" s="35">
        <f t="shared" si="52"/>
        <v>-23.673521555424383</v>
      </c>
      <c r="AO325" s="35" t="str">
        <f t="shared" si="46"/>
        <v>FITS BITCH</v>
      </c>
      <c r="AP325" s="35" t="str">
        <f t="shared" si="47"/>
        <v>FITS BITCH</v>
      </c>
      <c r="AQ325" s="35" t="str">
        <f t="shared" si="47"/>
        <v>FITS BITCH</v>
      </c>
      <c r="AR325" s="35" t="str">
        <f t="shared" si="48"/>
        <v>no</v>
      </c>
      <c r="AS325" s="35" t="str">
        <f t="shared" si="49"/>
        <v>FITS BITCH</v>
      </c>
      <c r="AT325" s="20" t="str">
        <f t="shared" si="50"/>
        <v/>
      </c>
      <c r="AU325" s="20" t="str">
        <f t="shared" si="51"/>
        <v>BEARISH</v>
      </c>
      <c r="AV325" s="20"/>
      <c r="AW325" s="20"/>
      <c r="AX325" s="20"/>
      <c r="CL325" s="106">
        <v>42675</v>
      </c>
      <c r="CM325" s="107">
        <f t="shared" si="45"/>
        <v>92.966834469532387</v>
      </c>
    </row>
    <row r="326" spans="31:91">
      <c r="AE326" s="26">
        <f>Data!A321</f>
        <v>42496</v>
      </c>
      <c r="AF326" s="35">
        <f>Data!B321</f>
        <v>86.14</v>
      </c>
      <c r="AG326" s="35">
        <f>Data!F321</f>
        <v>4489337</v>
      </c>
      <c r="AH326" s="35">
        <f>Data!C321</f>
        <v>87.12</v>
      </c>
      <c r="AI326" s="35">
        <f>Data!D321</f>
        <v>86.09</v>
      </c>
      <c r="AJ326" s="35">
        <f>Data!E321</f>
        <v>86.85</v>
      </c>
      <c r="AK326" s="35">
        <f>Data!F321</f>
        <v>4489337</v>
      </c>
      <c r="AL326" s="35">
        <f t="shared" ref="AL326:AL389" si="54">AJ326</f>
        <v>86.85</v>
      </c>
      <c r="AM326" s="35">
        <f t="shared" si="53"/>
        <v>-0.3569372481289606</v>
      </c>
      <c r="AN326" s="35">
        <f t="shared" si="52"/>
        <v>25.581973462896634</v>
      </c>
      <c r="AO326" s="35" t="str">
        <f t="shared" si="46"/>
        <v>no</v>
      </c>
      <c r="AP326" s="35" t="str">
        <f t="shared" si="47"/>
        <v>no</v>
      </c>
      <c r="AQ326" s="35" t="str">
        <f t="shared" si="47"/>
        <v>no</v>
      </c>
      <c r="AR326" s="35" t="str">
        <f t="shared" si="48"/>
        <v>FITS BITCH</v>
      </c>
      <c r="AS326" s="35" t="str">
        <f t="shared" si="49"/>
        <v>FITS BITCH</v>
      </c>
      <c r="AT326" s="20" t="str">
        <f t="shared" si="50"/>
        <v/>
      </c>
      <c r="AU326" s="20" t="str">
        <f t="shared" si="51"/>
        <v/>
      </c>
      <c r="AV326" s="20"/>
      <c r="AW326" s="20"/>
      <c r="AX326" s="20"/>
      <c r="CL326" s="106">
        <v>42674</v>
      </c>
      <c r="CM326" s="107">
        <f t="shared" si="45"/>
        <v>92.913547281109913</v>
      </c>
    </row>
    <row r="327" spans="31:91">
      <c r="AE327" s="26">
        <f>Data!A322</f>
        <v>42495</v>
      </c>
      <c r="AF327" s="35">
        <f>Data!B322</f>
        <v>86.67</v>
      </c>
      <c r="AG327" s="35">
        <f>Data!F322</f>
        <v>5092706</v>
      </c>
      <c r="AH327" s="35">
        <f>Data!C322</f>
        <v>87.91</v>
      </c>
      <c r="AI327" s="35">
        <f>Data!D322</f>
        <v>86.28</v>
      </c>
      <c r="AJ327" s="35">
        <f>Data!E322</f>
        <v>86.45</v>
      </c>
      <c r="AK327" s="35">
        <f>Data!F322</f>
        <v>5092706</v>
      </c>
      <c r="AL327" s="35">
        <f t="shared" si="54"/>
        <v>86.45</v>
      </c>
      <c r="AM327" s="35">
        <f t="shared" si="53"/>
        <v>-0.46269519953729488</v>
      </c>
      <c r="AN327" s="35">
        <f t="shared" si="52"/>
        <v>11.847709253194667</v>
      </c>
      <c r="AO327" s="35" t="str">
        <f t="shared" si="46"/>
        <v>no</v>
      </c>
      <c r="AP327" s="35" t="str">
        <f t="shared" si="47"/>
        <v>no</v>
      </c>
      <c r="AQ327" s="35" t="str">
        <f t="shared" si="47"/>
        <v>no</v>
      </c>
      <c r="AR327" s="35" t="str">
        <f t="shared" si="48"/>
        <v>FITS BITCH</v>
      </c>
      <c r="AS327" s="35" t="str">
        <f t="shared" si="49"/>
        <v>no</v>
      </c>
      <c r="AT327" s="20" t="str">
        <f t="shared" si="50"/>
        <v/>
      </c>
      <c r="AU327" s="20" t="str">
        <f t="shared" si="51"/>
        <v/>
      </c>
      <c r="AV327" s="20"/>
      <c r="AW327" s="20"/>
      <c r="AX327" s="20"/>
      <c r="CL327" s="106">
        <v>42671</v>
      </c>
      <c r="CM327" s="107">
        <f t="shared" si="45"/>
        <v>92.753685715841584</v>
      </c>
    </row>
    <row r="328" spans="31:91">
      <c r="AE328" s="26">
        <f>Data!A323</f>
        <v>42494</v>
      </c>
      <c r="AF328" s="35">
        <f>Data!B323</f>
        <v>88.32</v>
      </c>
      <c r="AG328" s="35">
        <f>Data!F323</f>
        <v>1183587</v>
      </c>
      <c r="AH328" s="35">
        <f>Data!C323</f>
        <v>88.74</v>
      </c>
      <c r="AI328" s="35">
        <f>Data!D323</f>
        <v>87.87</v>
      </c>
      <c r="AJ328" s="35">
        <f>Data!E323</f>
        <v>88.39</v>
      </c>
      <c r="AK328" s="35">
        <f>Data!F323</f>
        <v>1183587</v>
      </c>
      <c r="AL328" s="35">
        <f t="shared" si="54"/>
        <v>88.39</v>
      </c>
      <c r="AM328" s="35">
        <f t="shared" si="53"/>
        <v>2.1948184183731163</v>
      </c>
      <c r="AN328" s="35">
        <f t="shared" si="52"/>
        <v>-330.27728422160772</v>
      </c>
      <c r="AO328" s="35" t="str">
        <f t="shared" si="46"/>
        <v>FITS BITCH</v>
      </c>
      <c r="AP328" s="35" t="str">
        <f t="shared" si="47"/>
        <v>no</v>
      </c>
      <c r="AQ328" s="35" t="str">
        <f t="shared" si="47"/>
        <v>FITS BITCH</v>
      </c>
      <c r="AR328" s="35" t="str">
        <f t="shared" si="48"/>
        <v>FITS BITCH</v>
      </c>
      <c r="AS328" s="35" t="str">
        <f t="shared" si="49"/>
        <v>no</v>
      </c>
      <c r="AT328" s="20" t="str">
        <f t="shared" si="50"/>
        <v/>
      </c>
      <c r="AU328" s="20" t="str">
        <f t="shared" si="51"/>
        <v/>
      </c>
      <c r="AV328" s="20"/>
      <c r="AW328" s="20"/>
      <c r="AX328" s="20"/>
      <c r="CL328" s="106">
        <v>42670</v>
      </c>
      <c r="CM328" s="107">
        <f t="shared" ref="CM328:CM391" si="55">$BA$68*CL328+$BA$70</f>
        <v>92.700398527418656</v>
      </c>
    </row>
    <row r="329" spans="31:91">
      <c r="AE329" s="26">
        <f>Data!A324</f>
        <v>42493</v>
      </c>
      <c r="AF329" s="35">
        <f>Data!B324</f>
        <v>89.19</v>
      </c>
      <c r="AG329" s="35">
        <f>Data!F324</f>
        <v>3248017</v>
      </c>
      <c r="AH329" s="35">
        <f>Data!C324</f>
        <v>89.49</v>
      </c>
      <c r="AI329" s="35">
        <f>Data!D324</f>
        <v>87.85</v>
      </c>
      <c r="AJ329" s="35">
        <f>Data!E324</f>
        <v>88.81</v>
      </c>
      <c r="AK329" s="35">
        <f>Data!F324</f>
        <v>3248017</v>
      </c>
      <c r="AL329" s="35">
        <f t="shared" si="54"/>
        <v>88.81</v>
      </c>
      <c r="AM329" s="35">
        <f t="shared" si="53"/>
        <v>0.47291971624817219</v>
      </c>
      <c r="AN329" s="35">
        <f t="shared" si="52"/>
        <v>63.559704274946839</v>
      </c>
      <c r="AO329" s="35" t="str">
        <f t="shared" ref="AO329:AO392" si="56">IF(AN329&lt;-8,"FITS BITCH",IF(AN329&gt;-8,"no"))</f>
        <v>no</v>
      </c>
      <c r="AP329" s="35" t="str">
        <f t="shared" ref="AP329:AQ392" si="57">IF(AH330&lt;AH329,"FITS BITCH",IF(AH330&gt;AH329,"no"))</f>
        <v>no</v>
      </c>
      <c r="AQ329" s="35" t="str">
        <f t="shared" si="57"/>
        <v>no</v>
      </c>
      <c r="AR329" s="35" t="str">
        <f t="shared" ref="AR329:AR392" si="58">IF(AJ329&lt;AH330,"FITS BITCH",IF(AJ329&gt;AH330,"no"))</f>
        <v>FITS BITCH</v>
      </c>
      <c r="AS329" s="35" t="str">
        <f t="shared" ref="AS329:AS392" si="59">IF(AJ329&gt;AJ330,"FITS BITCH",IF(AJ329&lt;AJ330,"no"))</f>
        <v>no</v>
      </c>
      <c r="AT329" s="20" t="str">
        <f t="shared" ref="AT329:AT392" si="60">IF(AND($AO329="FITS BITCH",$AP329="FITS BITCH",$AR329="FITS BITCH"),"BULLISH","")</f>
        <v/>
      </c>
      <c r="AU329" s="20" t="str">
        <f t="shared" ref="AU329:AU392" si="61">IF(AND($AO329="FITS BITCH",$AQ329="FITS BITCH",$AS329="FITS BITCH"),"BEARISH","")</f>
        <v/>
      </c>
      <c r="AV329" s="20"/>
      <c r="AW329" s="20"/>
      <c r="AX329" s="20"/>
      <c r="CL329" s="106">
        <v>42669</v>
      </c>
      <c r="CM329" s="107">
        <f t="shared" si="55"/>
        <v>92.647111338995728</v>
      </c>
    </row>
    <row r="330" spans="31:91">
      <c r="AE330" s="26">
        <f>Data!A325</f>
        <v>42492</v>
      </c>
      <c r="AF330" s="35">
        <f>Data!B325</f>
        <v>88.24</v>
      </c>
      <c r="AG330" s="35">
        <f>Data!F325</f>
        <v>2227357</v>
      </c>
      <c r="AH330" s="35">
        <f>Data!C325</f>
        <v>89.6</v>
      </c>
      <c r="AI330" s="35">
        <f>Data!D325</f>
        <v>88.21</v>
      </c>
      <c r="AJ330" s="35">
        <f>Data!E325</f>
        <v>89.43</v>
      </c>
      <c r="AK330" s="35">
        <f>Data!F325</f>
        <v>2227357</v>
      </c>
      <c r="AL330" s="35">
        <f t="shared" si="54"/>
        <v>89.43</v>
      </c>
      <c r="AM330" s="35">
        <f t="shared" si="53"/>
        <v>0.69327966006933295</v>
      </c>
      <c r="AN330" s="35">
        <f t="shared" ref="AN330:AN393" si="62">(AK330-AK329)/AK330*100</f>
        <v>-45.823817196794224</v>
      </c>
      <c r="AO330" s="35" t="str">
        <f t="shared" si="56"/>
        <v>FITS BITCH</v>
      </c>
      <c r="AP330" s="35" t="str">
        <f t="shared" si="57"/>
        <v>FITS BITCH</v>
      </c>
      <c r="AQ330" s="35" t="str">
        <f t="shared" si="57"/>
        <v>FITS BITCH</v>
      </c>
      <c r="AR330" s="35" t="str">
        <f t="shared" si="58"/>
        <v>no</v>
      </c>
      <c r="AS330" s="35" t="str">
        <f t="shared" si="59"/>
        <v>FITS BITCH</v>
      </c>
      <c r="AT330" s="20" t="str">
        <f t="shared" si="60"/>
        <v/>
      </c>
      <c r="AU330" s="20" t="str">
        <f t="shared" si="61"/>
        <v>BEARISH</v>
      </c>
      <c r="AV330" s="20"/>
      <c r="AW330" s="20"/>
      <c r="AX330" s="20"/>
      <c r="CL330" s="106">
        <v>42668</v>
      </c>
      <c r="CM330" s="107">
        <f t="shared" si="55"/>
        <v>92.593824150573255</v>
      </c>
    </row>
    <row r="331" spans="31:91">
      <c r="AE331" s="26">
        <f>Data!A326</f>
        <v>42489</v>
      </c>
      <c r="AF331" s="35">
        <f>Data!B326</f>
        <v>88.4</v>
      </c>
      <c r="AG331" s="35">
        <f>Data!F326</f>
        <v>2290479</v>
      </c>
      <c r="AH331" s="35">
        <f>Data!C326</f>
        <v>88.89</v>
      </c>
      <c r="AI331" s="35">
        <f>Data!D326</f>
        <v>87.77</v>
      </c>
      <c r="AJ331" s="35">
        <f>Data!E326</f>
        <v>88.44</v>
      </c>
      <c r="AK331" s="35">
        <f>Data!F326</f>
        <v>2290479</v>
      </c>
      <c r="AL331" s="35">
        <f t="shared" si="54"/>
        <v>88.44</v>
      </c>
      <c r="AM331" s="35">
        <f t="shared" si="53"/>
        <v>-1.1194029850746372</v>
      </c>
      <c r="AN331" s="35">
        <f t="shared" si="62"/>
        <v>2.7558427734984692</v>
      </c>
      <c r="AO331" s="35" t="str">
        <f t="shared" si="56"/>
        <v>no</v>
      </c>
      <c r="AP331" s="35" t="str">
        <f t="shared" si="57"/>
        <v>no</v>
      </c>
      <c r="AQ331" s="35" t="str">
        <f t="shared" si="57"/>
        <v>FITS BITCH</v>
      </c>
      <c r="AR331" s="35" t="str">
        <f t="shared" si="58"/>
        <v>FITS BITCH</v>
      </c>
      <c r="AS331" s="35" t="str">
        <f t="shared" si="59"/>
        <v>no</v>
      </c>
      <c r="AT331" s="20" t="str">
        <f t="shared" si="60"/>
        <v/>
      </c>
      <c r="AU331" s="20" t="str">
        <f t="shared" si="61"/>
        <v/>
      </c>
      <c r="AV331" s="20"/>
      <c r="AW331" s="20"/>
      <c r="AX331" s="20"/>
      <c r="CL331" s="106">
        <v>42667</v>
      </c>
      <c r="CM331" s="107">
        <f t="shared" si="55"/>
        <v>92.540536962150327</v>
      </c>
    </row>
    <row r="332" spans="31:91">
      <c r="AE332" s="26">
        <f>Data!A327</f>
        <v>42488</v>
      </c>
      <c r="AF332" s="35">
        <f>Data!B327</f>
        <v>87.84</v>
      </c>
      <c r="AG332" s="35">
        <f>Data!F327</f>
        <v>2953665</v>
      </c>
      <c r="AH332" s="35">
        <f>Data!C327</f>
        <v>90.89</v>
      </c>
      <c r="AI332" s="35">
        <f>Data!D327</f>
        <v>87.4</v>
      </c>
      <c r="AJ332" s="35">
        <f>Data!E327</f>
        <v>89.1</v>
      </c>
      <c r="AK332" s="35">
        <f>Data!F327</f>
        <v>2953665</v>
      </c>
      <c r="AL332" s="35">
        <f t="shared" si="54"/>
        <v>89.1</v>
      </c>
      <c r="AM332" s="35">
        <f t="shared" si="53"/>
        <v>0.74074074074073692</v>
      </c>
      <c r="AN332" s="35">
        <f t="shared" si="62"/>
        <v>22.452986374555</v>
      </c>
      <c r="AO332" s="35" t="str">
        <f t="shared" si="56"/>
        <v>no</v>
      </c>
      <c r="AP332" s="35" t="str">
        <f t="shared" si="57"/>
        <v>FITS BITCH</v>
      </c>
      <c r="AQ332" s="35" t="str">
        <f t="shared" si="57"/>
        <v>no</v>
      </c>
      <c r="AR332" s="35" t="str">
        <f t="shared" si="58"/>
        <v>FITS BITCH</v>
      </c>
      <c r="AS332" s="35" t="str">
        <f t="shared" si="59"/>
        <v>no</v>
      </c>
      <c r="AT332" s="20" t="str">
        <f t="shared" si="60"/>
        <v/>
      </c>
      <c r="AU332" s="20" t="str">
        <f t="shared" si="61"/>
        <v/>
      </c>
      <c r="AV332" s="20"/>
      <c r="AW332" s="20"/>
      <c r="AX332" s="20"/>
      <c r="CL332" s="106">
        <v>42664</v>
      </c>
      <c r="CM332" s="107">
        <f t="shared" si="55"/>
        <v>92.380675396881998</v>
      </c>
    </row>
    <row r="333" spans="31:91">
      <c r="AE333" s="26">
        <f>Data!A328</f>
        <v>42487</v>
      </c>
      <c r="AF333" s="35">
        <f>Data!B328</f>
        <v>89.73</v>
      </c>
      <c r="AG333" s="35">
        <f>Data!F328</f>
        <v>2406460</v>
      </c>
      <c r="AH333" s="35">
        <f>Data!C328</f>
        <v>90.45</v>
      </c>
      <c r="AI333" s="35">
        <f>Data!D328</f>
        <v>89.61</v>
      </c>
      <c r="AJ333" s="35">
        <f>Data!E328</f>
        <v>90.12</v>
      </c>
      <c r="AK333" s="35">
        <f>Data!F328</f>
        <v>2406460</v>
      </c>
      <c r="AL333" s="35">
        <f t="shared" si="54"/>
        <v>90.12</v>
      </c>
      <c r="AM333" s="35">
        <f t="shared" si="53"/>
        <v>1.1318242343542058</v>
      </c>
      <c r="AN333" s="35">
        <f t="shared" si="62"/>
        <v>-22.739002518221788</v>
      </c>
      <c r="AO333" s="35" t="str">
        <f t="shared" si="56"/>
        <v>FITS BITCH</v>
      </c>
      <c r="AP333" s="35" t="str">
        <f t="shared" si="57"/>
        <v>FITS BITCH</v>
      </c>
      <c r="AQ333" s="35" t="str">
        <f t="shared" si="57"/>
        <v>FITS BITCH</v>
      </c>
      <c r="AR333" s="35" t="str">
        <f t="shared" si="58"/>
        <v>FITS BITCH</v>
      </c>
      <c r="AS333" s="35" t="str">
        <f t="shared" si="59"/>
        <v>FITS BITCH</v>
      </c>
      <c r="AT333" s="20" t="str">
        <f t="shared" si="60"/>
        <v>BULLISH</v>
      </c>
      <c r="AU333" s="20" t="str">
        <f t="shared" si="61"/>
        <v>BEARISH</v>
      </c>
      <c r="AV333" s="20"/>
      <c r="AW333" s="20"/>
      <c r="AX333" s="20"/>
      <c r="CL333" s="106">
        <v>42663</v>
      </c>
      <c r="CM333" s="107">
        <f t="shared" si="55"/>
        <v>92.32738820845907</v>
      </c>
    </row>
    <row r="334" spans="31:91">
      <c r="AE334" s="26">
        <f>Data!A329</f>
        <v>42486</v>
      </c>
      <c r="AF334" s="35">
        <f>Data!B329</f>
        <v>89.82</v>
      </c>
      <c r="AG334" s="35">
        <f>Data!F329</f>
        <v>1629896</v>
      </c>
      <c r="AH334" s="35">
        <f>Data!C329</f>
        <v>90.33</v>
      </c>
      <c r="AI334" s="35">
        <f>Data!D329</f>
        <v>89.32</v>
      </c>
      <c r="AJ334" s="35">
        <f>Data!E329</f>
        <v>89.79</v>
      </c>
      <c r="AK334" s="35">
        <f>Data!F329</f>
        <v>1629896</v>
      </c>
      <c r="AL334" s="35">
        <f t="shared" si="54"/>
        <v>89.79</v>
      </c>
      <c r="AM334" s="35">
        <f t="shared" si="53"/>
        <v>-0.36752422318743544</v>
      </c>
      <c r="AN334" s="35">
        <f t="shared" si="62"/>
        <v>-47.645003116763277</v>
      </c>
      <c r="AO334" s="35" t="str">
        <f t="shared" si="56"/>
        <v>FITS BITCH</v>
      </c>
      <c r="AP334" s="35" t="str">
        <f t="shared" si="57"/>
        <v>FITS BITCH</v>
      </c>
      <c r="AQ334" s="35" t="str">
        <f t="shared" si="57"/>
        <v>FITS BITCH</v>
      </c>
      <c r="AR334" s="35" t="str">
        <f t="shared" si="58"/>
        <v>no</v>
      </c>
      <c r="AS334" s="35" t="str">
        <f t="shared" si="59"/>
        <v>FITS BITCH</v>
      </c>
      <c r="AT334" s="20" t="str">
        <f t="shared" si="60"/>
        <v/>
      </c>
      <c r="AU334" s="20" t="str">
        <f t="shared" si="61"/>
        <v>BEARISH</v>
      </c>
      <c r="AV334" s="20"/>
      <c r="AW334" s="20"/>
      <c r="AX334" s="20"/>
      <c r="CL334" s="106">
        <v>42662</v>
      </c>
      <c r="CM334" s="107">
        <f t="shared" si="55"/>
        <v>92.274101020036596</v>
      </c>
    </row>
    <row r="335" spans="31:91">
      <c r="AE335" s="26">
        <f>Data!A330</f>
        <v>42485</v>
      </c>
      <c r="AF335" s="35">
        <f>Data!B330</f>
        <v>89.54</v>
      </c>
      <c r="AG335" s="35">
        <f>Data!F330</f>
        <v>1143191</v>
      </c>
      <c r="AH335" s="35">
        <f>Data!C330</f>
        <v>89.63</v>
      </c>
      <c r="AI335" s="35">
        <f>Data!D330</f>
        <v>89</v>
      </c>
      <c r="AJ335" s="35">
        <f>Data!E330</f>
        <v>89.58</v>
      </c>
      <c r="AK335" s="35">
        <f>Data!F330</f>
        <v>1143191</v>
      </c>
      <c r="AL335" s="35">
        <f t="shared" si="54"/>
        <v>89.58</v>
      </c>
      <c r="AM335" s="35">
        <f t="shared" si="53"/>
        <v>-0.23442732752847506</v>
      </c>
      <c r="AN335" s="35">
        <f t="shared" si="62"/>
        <v>-42.574250497073542</v>
      </c>
      <c r="AO335" s="35" t="str">
        <f t="shared" si="56"/>
        <v>FITS BITCH</v>
      </c>
      <c r="AP335" s="35" t="str">
        <f t="shared" si="57"/>
        <v>no</v>
      </c>
      <c r="AQ335" s="35" t="str">
        <f t="shared" si="57"/>
        <v>FITS BITCH</v>
      </c>
      <c r="AR335" s="35" t="str">
        <f t="shared" si="58"/>
        <v>FITS BITCH</v>
      </c>
      <c r="AS335" s="35" t="str">
        <f t="shared" si="59"/>
        <v>no</v>
      </c>
      <c r="AT335" s="20" t="str">
        <f t="shared" si="60"/>
        <v/>
      </c>
      <c r="AU335" s="20" t="str">
        <f t="shared" si="61"/>
        <v/>
      </c>
      <c r="AV335" s="20"/>
      <c r="AW335" s="20"/>
      <c r="AX335" s="20"/>
      <c r="CL335" s="106">
        <v>42661</v>
      </c>
      <c r="CM335" s="107">
        <f t="shared" si="55"/>
        <v>92.220813831613668</v>
      </c>
    </row>
    <row r="336" spans="31:91">
      <c r="AE336" s="26">
        <f>Data!A331</f>
        <v>42482</v>
      </c>
      <c r="AF336" s="35">
        <f>Data!B331</f>
        <v>89.11</v>
      </c>
      <c r="AG336" s="35">
        <f>Data!F331</f>
        <v>1404874</v>
      </c>
      <c r="AH336" s="35">
        <f>Data!C331</f>
        <v>89.81</v>
      </c>
      <c r="AI336" s="35">
        <f>Data!D331</f>
        <v>88.89</v>
      </c>
      <c r="AJ336" s="35">
        <f>Data!E331</f>
        <v>89.65</v>
      </c>
      <c r="AK336" s="35">
        <f>Data!F331</f>
        <v>1404874</v>
      </c>
      <c r="AL336" s="35">
        <f t="shared" si="54"/>
        <v>89.65</v>
      </c>
      <c r="AM336" s="35">
        <f t="shared" si="53"/>
        <v>7.8081427774687545E-2</v>
      </c>
      <c r="AN336" s="35">
        <f t="shared" si="62"/>
        <v>18.626795000832814</v>
      </c>
      <c r="AO336" s="35" t="str">
        <f t="shared" si="56"/>
        <v>no</v>
      </c>
      <c r="AP336" s="35" t="str">
        <f t="shared" si="57"/>
        <v>no</v>
      </c>
      <c r="AQ336" s="35" t="str">
        <f t="shared" si="57"/>
        <v>no</v>
      </c>
      <c r="AR336" s="35" t="str">
        <f t="shared" si="58"/>
        <v>FITS BITCH</v>
      </c>
      <c r="AS336" s="35" t="str">
        <f t="shared" si="59"/>
        <v>FITS BITCH</v>
      </c>
      <c r="AT336" s="20" t="str">
        <f t="shared" si="60"/>
        <v/>
      </c>
      <c r="AU336" s="20" t="str">
        <f t="shared" si="61"/>
        <v/>
      </c>
      <c r="AV336" s="20"/>
      <c r="AW336" s="20"/>
      <c r="AX336" s="20"/>
      <c r="CL336" s="106">
        <v>42660</v>
      </c>
      <c r="CM336" s="107">
        <f t="shared" si="55"/>
        <v>92.16752664319074</v>
      </c>
    </row>
    <row r="337" spans="31:91">
      <c r="AE337" s="26">
        <f>Data!A332</f>
        <v>42481</v>
      </c>
      <c r="AF337" s="35">
        <f>Data!B332</f>
        <v>90.62</v>
      </c>
      <c r="AG337" s="35">
        <f>Data!F332</f>
        <v>1537562</v>
      </c>
      <c r="AH337" s="35">
        <f>Data!C332</f>
        <v>90.71</v>
      </c>
      <c r="AI337" s="35">
        <f>Data!D332</f>
        <v>89.23</v>
      </c>
      <c r="AJ337" s="35">
        <f>Data!E332</f>
        <v>89.35</v>
      </c>
      <c r="AK337" s="35">
        <f>Data!F332</f>
        <v>1537562</v>
      </c>
      <c r="AL337" s="35">
        <f t="shared" si="54"/>
        <v>89.35</v>
      </c>
      <c r="AM337" s="35">
        <f t="shared" si="53"/>
        <v>-0.33575825405709164</v>
      </c>
      <c r="AN337" s="35">
        <f t="shared" si="62"/>
        <v>8.6297658240773387</v>
      </c>
      <c r="AO337" s="35" t="str">
        <f t="shared" si="56"/>
        <v>no</v>
      </c>
      <c r="AP337" s="35" t="str">
        <f t="shared" si="57"/>
        <v>no</v>
      </c>
      <c r="AQ337" s="35" t="str">
        <f t="shared" si="57"/>
        <v>no</v>
      </c>
      <c r="AR337" s="35" t="str">
        <f t="shared" si="58"/>
        <v>FITS BITCH</v>
      </c>
      <c r="AS337" s="35" t="str">
        <f t="shared" si="59"/>
        <v>no</v>
      </c>
      <c r="AT337" s="20" t="str">
        <f t="shared" si="60"/>
        <v/>
      </c>
      <c r="AU337" s="20" t="str">
        <f t="shared" si="61"/>
        <v/>
      </c>
      <c r="AV337" s="20"/>
      <c r="AW337" s="20"/>
      <c r="AX337" s="20"/>
      <c r="CL337" s="106">
        <v>42657</v>
      </c>
      <c r="CM337" s="107">
        <f t="shared" si="55"/>
        <v>92.007665077922866</v>
      </c>
    </row>
    <row r="338" spans="31:91">
      <c r="AE338" s="26">
        <f>Data!A333</f>
        <v>42480</v>
      </c>
      <c r="AF338" s="35">
        <f>Data!B333</f>
        <v>90.68</v>
      </c>
      <c r="AG338" s="35">
        <f>Data!F333</f>
        <v>1898883</v>
      </c>
      <c r="AH338" s="35">
        <f>Data!C333</f>
        <v>90.79</v>
      </c>
      <c r="AI338" s="35">
        <f>Data!D333</f>
        <v>90.1</v>
      </c>
      <c r="AJ338" s="35">
        <f>Data!E333</f>
        <v>90.12</v>
      </c>
      <c r="AK338" s="35">
        <f>Data!F333</f>
        <v>1898883</v>
      </c>
      <c r="AL338" s="35">
        <f t="shared" si="54"/>
        <v>90.12</v>
      </c>
      <c r="AM338" s="35">
        <f t="shared" si="53"/>
        <v>0.85441633377719728</v>
      </c>
      <c r="AN338" s="35">
        <f t="shared" si="62"/>
        <v>19.028081245658633</v>
      </c>
      <c r="AO338" s="35" t="str">
        <f t="shared" si="56"/>
        <v>no</v>
      </c>
      <c r="AP338" s="35" t="str">
        <f t="shared" si="57"/>
        <v>no</v>
      </c>
      <c r="AQ338" s="35" t="str">
        <f t="shared" si="57"/>
        <v>no</v>
      </c>
      <c r="AR338" s="35" t="str">
        <f t="shared" si="58"/>
        <v>FITS BITCH</v>
      </c>
      <c r="AS338" s="35" t="str">
        <f t="shared" si="59"/>
        <v>no</v>
      </c>
      <c r="AT338" s="20" t="str">
        <f t="shared" si="60"/>
        <v/>
      </c>
      <c r="AU338" s="20" t="str">
        <f t="shared" si="61"/>
        <v/>
      </c>
      <c r="AV338" s="20"/>
      <c r="AW338" s="20"/>
      <c r="AX338" s="20"/>
      <c r="CL338" s="106">
        <v>42656</v>
      </c>
      <c r="CM338" s="107">
        <f t="shared" si="55"/>
        <v>91.954377889499938</v>
      </c>
    </row>
    <row r="339" spans="31:91">
      <c r="AE339" s="26">
        <f>Data!A334</f>
        <v>42479</v>
      </c>
      <c r="AF339" s="35">
        <f>Data!B334</f>
        <v>91</v>
      </c>
      <c r="AG339" s="35">
        <f>Data!F334</f>
        <v>1910582</v>
      </c>
      <c r="AH339" s="35">
        <f>Data!C334</f>
        <v>91</v>
      </c>
      <c r="AI339" s="35">
        <f>Data!D334</f>
        <v>90.27</v>
      </c>
      <c r="AJ339" s="35">
        <f>Data!E334</f>
        <v>90.74</v>
      </c>
      <c r="AK339" s="35">
        <f>Data!F334</f>
        <v>1910582</v>
      </c>
      <c r="AL339" s="35">
        <f t="shared" si="54"/>
        <v>90.74</v>
      </c>
      <c r="AM339" s="35">
        <f t="shared" si="53"/>
        <v>0.68327088384393919</v>
      </c>
      <c r="AN339" s="35">
        <f t="shared" si="62"/>
        <v>0.61232650574536973</v>
      </c>
      <c r="AO339" s="35" t="str">
        <f t="shared" si="56"/>
        <v>no</v>
      </c>
      <c r="AP339" s="35" t="str">
        <f t="shared" si="57"/>
        <v>FITS BITCH</v>
      </c>
      <c r="AQ339" s="35" t="str">
        <f t="shared" si="57"/>
        <v>FITS BITCH</v>
      </c>
      <c r="AR339" s="35" t="str">
        <f t="shared" si="58"/>
        <v>FITS BITCH</v>
      </c>
      <c r="AS339" s="35" t="str">
        <f t="shared" si="59"/>
        <v>FITS BITCH</v>
      </c>
      <c r="AT339" s="20" t="str">
        <f t="shared" si="60"/>
        <v/>
      </c>
      <c r="AU339" s="20" t="str">
        <f t="shared" si="61"/>
        <v/>
      </c>
      <c r="AV339" s="20"/>
      <c r="AW339" s="20"/>
      <c r="AX339" s="20"/>
      <c r="CL339" s="106">
        <v>42655</v>
      </c>
      <c r="CM339" s="107">
        <f t="shared" si="55"/>
        <v>91.90109070107701</v>
      </c>
    </row>
    <row r="340" spans="31:91">
      <c r="AE340" s="26">
        <f>Data!A335</f>
        <v>42478</v>
      </c>
      <c r="AF340" s="35">
        <f>Data!B335</f>
        <v>89.96</v>
      </c>
      <c r="AG340" s="35">
        <f>Data!F335</f>
        <v>1299408</v>
      </c>
      <c r="AH340" s="35">
        <f>Data!C335</f>
        <v>90.76</v>
      </c>
      <c r="AI340" s="35">
        <f>Data!D335</f>
        <v>89.71</v>
      </c>
      <c r="AJ340" s="35">
        <f>Data!E335</f>
        <v>90.7</v>
      </c>
      <c r="AK340" s="35">
        <f>Data!F335</f>
        <v>1299408</v>
      </c>
      <c r="AL340" s="35">
        <f t="shared" si="54"/>
        <v>90.7</v>
      </c>
      <c r="AM340" s="35">
        <f t="shared" si="53"/>
        <v>-4.4101433296573365E-2</v>
      </c>
      <c r="AN340" s="35">
        <f t="shared" si="62"/>
        <v>-47.034803541304967</v>
      </c>
      <c r="AO340" s="35" t="str">
        <f t="shared" si="56"/>
        <v>FITS BITCH</v>
      </c>
      <c r="AP340" s="35" t="str">
        <f t="shared" si="57"/>
        <v>no</v>
      </c>
      <c r="AQ340" s="35" t="str">
        <f t="shared" si="57"/>
        <v>no</v>
      </c>
      <c r="AR340" s="35" t="str">
        <f t="shared" si="58"/>
        <v>FITS BITCH</v>
      </c>
      <c r="AS340" s="35" t="str">
        <f t="shared" si="59"/>
        <v>FITS BITCH</v>
      </c>
      <c r="AT340" s="20" t="str">
        <f t="shared" si="60"/>
        <v/>
      </c>
      <c r="AU340" s="20" t="str">
        <f t="shared" si="61"/>
        <v/>
      </c>
      <c r="AV340" s="20"/>
      <c r="AW340" s="20"/>
      <c r="AX340" s="20"/>
      <c r="CL340" s="106">
        <v>42654</v>
      </c>
      <c r="CM340" s="107">
        <f t="shared" si="55"/>
        <v>91.847803512654536</v>
      </c>
    </row>
    <row r="341" spans="31:91">
      <c r="AE341" s="26">
        <f>Data!A336</f>
        <v>42475</v>
      </c>
      <c r="AF341" s="35">
        <f>Data!B336</f>
        <v>90.83</v>
      </c>
      <c r="AG341" s="35">
        <f>Data!F336</f>
        <v>1747562</v>
      </c>
      <c r="AH341" s="35">
        <f>Data!C336</f>
        <v>90.83</v>
      </c>
      <c r="AI341" s="35">
        <f>Data!D336</f>
        <v>89.75</v>
      </c>
      <c r="AJ341" s="35">
        <f>Data!E336</f>
        <v>90.15</v>
      </c>
      <c r="AK341" s="35">
        <f>Data!F336</f>
        <v>1747562</v>
      </c>
      <c r="AL341" s="35">
        <f t="shared" si="54"/>
        <v>90.15</v>
      </c>
      <c r="AM341" s="35">
        <f t="shared" si="53"/>
        <v>-0.61009428729894299</v>
      </c>
      <c r="AN341" s="35">
        <f t="shared" si="62"/>
        <v>25.644526488902823</v>
      </c>
      <c r="AO341" s="35" t="str">
        <f t="shared" si="56"/>
        <v>no</v>
      </c>
      <c r="AP341" s="35" t="str">
        <f t="shared" si="57"/>
        <v>FITS BITCH</v>
      </c>
      <c r="AQ341" s="35" t="str">
        <f t="shared" si="57"/>
        <v>no</v>
      </c>
      <c r="AR341" s="35" t="str">
        <f t="shared" si="58"/>
        <v>FITS BITCH</v>
      </c>
      <c r="AS341" s="35" t="str">
        <f t="shared" si="59"/>
        <v>no</v>
      </c>
      <c r="AT341" s="20" t="str">
        <f t="shared" si="60"/>
        <v/>
      </c>
      <c r="AU341" s="20" t="str">
        <f t="shared" si="61"/>
        <v/>
      </c>
      <c r="AV341" s="20"/>
      <c r="AW341" s="20"/>
      <c r="AX341" s="20"/>
      <c r="CL341" s="106">
        <v>42653</v>
      </c>
      <c r="CM341" s="107">
        <f t="shared" si="55"/>
        <v>91.794516324231608</v>
      </c>
    </row>
    <row r="342" spans="31:91">
      <c r="AE342" s="26">
        <f>Data!A337</f>
        <v>42474</v>
      </c>
      <c r="AF342" s="35">
        <f>Data!B337</f>
        <v>90.53</v>
      </c>
      <c r="AG342" s="35">
        <f>Data!F337</f>
        <v>1802528</v>
      </c>
      <c r="AH342" s="35">
        <f>Data!C337</f>
        <v>90.64</v>
      </c>
      <c r="AI342" s="35">
        <f>Data!D337</f>
        <v>89.96</v>
      </c>
      <c r="AJ342" s="35">
        <f>Data!E337</f>
        <v>90.26</v>
      </c>
      <c r="AK342" s="35">
        <f>Data!F337</f>
        <v>1802528</v>
      </c>
      <c r="AL342" s="35">
        <f t="shared" si="54"/>
        <v>90.26</v>
      </c>
      <c r="AM342" s="35">
        <f t="shared" si="53"/>
        <v>0.12187015289164572</v>
      </c>
      <c r="AN342" s="35">
        <f t="shared" si="62"/>
        <v>3.0493839762821993</v>
      </c>
      <c r="AO342" s="35" t="str">
        <f t="shared" si="56"/>
        <v>no</v>
      </c>
      <c r="AP342" s="35" t="str">
        <f t="shared" si="57"/>
        <v>FITS BITCH</v>
      </c>
      <c r="AQ342" s="35" t="str">
        <f t="shared" si="57"/>
        <v>FITS BITCH</v>
      </c>
      <c r="AR342" s="35" t="str">
        <f t="shared" si="58"/>
        <v>FITS BITCH</v>
      </c>
      <c r="AS342" s="35" t="str">
        <f t="shared" si="59"/>
        <v>FITS BITCH</v>
      </c>
      <c r="AT342" s="20" t="str">
        <f t="shared" si="60"/>
        <v/>
      </c>
      <c r="AU342" s="20" t="str">
        <f t="shared" si="61"/>
        <v/>
      </c>
      <c r="AV342" s="20"/>
      <c r="AW342" s="20"/>
      <c r="AX342" s="20"/>
      <c r="CL342" s="106">
        <v>42650</v>
      </c>
      <c r="CM342" s="107">
        <f t="shared" si="55"/>
        <v>91.634654758963279</v>
      </c>
    </row>
    <row r="343" spans="31:91">
      <c r="AE343" s="26">
        <f>Data!A338</f>
        <v>42473</v>
      </c>
      <c r="AF343" s="35">
        <f>Data!B338</f>
        <v>90.54</v>
      </c>
      <c r="AG343" s="35">
        <f>Data!F338</f>
        <v>1661879</v>
      </c>
      <c r="AH343" s="35">
        <f>Data!C338</f>
        <v>90.54</v>
      </c>
      <c r="AI343" s="35">
        <f>Data!D338</f>
        <v>89.7</v>
      </c>
      <c r="AJ343" s="35">
        <f>Data!E338</f>
        <v>90.24</v>
      </c>
      <c r="AK343" s="35">
        <f>Data!F338</f>
        <v>1661879</v>
      </c>
      <c r="AL343" s="35">
        <f t="shared" si="54"/>
        <v>90.24</v>
      </c>
      <c r="AM343" s="35">
        <f t="shared" si="53"/>
        <v>-2.2163120567387225E-2</v>
      </c>
      <c r="AN343" s="35">
        <f t="shared" si="62"/>
        <v>-8.4632515363633569</v>
      </c>
      <c r="AO343" s="35" t="str">
        <f t="shared" si="56"/>
        <v>FITS BITCH</v>
      </c>
      <c r="AP343" s="35" t="str">
        <f t="shared" si="57"/>
        <v>FITS BITCH</v>
      </c>
      <c r="AQ343" s="35" t="str">
        <f t="shared" si="57"/>
        <v>FITS BITCH</v>
      </c>
      <c r="AR343" s="35" t="str">
        <f t="shared" si="58"/>
        <v>no</v>
      </c>
      <c r="AS343" s="35" t="str">
        <f t="shared" si="59"/>
        <v>FITS BITCH</v>
      </c>
      <c r="AT343" s="20" t="str">
        <f t="shared" si="60"/>
        <v/>
      </c>
      <c r="AU343" s="20" t="str">
        <f t="shared" si="61"/>
        <v>BEARISH</v>
      </c>
      <c r="AV343" s="20"/>
      <c r="AW343" s="20"/>
      <c r="AX343" s="20"/>
      <c r="CL343" s="106">
        <v>42649</v>
      </c>
      <c r="CM343" s="107">
        <f t="shared" si="55"/>
        <v>91.581367570540351</v>
      </c>
    </row>
    <row r="344" spans="31:91">
      <c r="AE344" s="26">
        <f>Data!A339</f>
        <v>42472</v>
      </c>
      <c r="AF344" s="35">
        <f>Data!B339</f>
        <v>89.93</v>
      </c>
      <c r="AG344" s="35">
        <f>Data!F339</f>
        <v>1503821</v>
      </c>
      <c r="AH344" s="35">
        <f>Data!C339</f>
        <v>90.16</v>
      </c>
      <c r="AI344" s="35">
        <f>Data!D339</f>
        <v>89.41</v>
      </c>
      <c r="AJ344" s="35">
        <f>Data!E339</f>
        <v>90.11</v>
      </c>
      <c r="AK344" s="35">
        <f>Data!F339</f>
        <v>1503821</v>
      </c>
      <c r="AL344" s="35">
        <f t="shared" si="54"/>
        <v>90.11</v>
      </c>
      <c r="AM344" s="35">
        <f t="shared" si="53"/>
        <v>-0.14426811674619405</v>
      </c>
      <c r="AN344" s="35">
        <f t="shared" si="62"/>
        <v>-10.51042644038087</v>
      </c>
      <c r="AO344" s="35" t="str">
        <f t="shared" si="56"/>
        <v>FITS BITCH</v>
      </c>
      <c r="AP344" s="35" t="str">
        <f t="shared" si="57"/>
        <v>no</v>
      </c>
      <c r="AQ344" s="35" t="str">
        <f t="shared" si="57"/>
        <v>no</v>
      </c>
      <c r="AR344" s="35" t="str">
        <f t="shared" si="58"/>
        <v>FITS BITCH</v>
      </c>
      <c r="AS344" s="35" t="str">
        <f t="shared" si="59"/>
        <v>FITS BITCH</v>
      </c>
      <c r="AT344" s="20" t="str">
        <f t="shared" si="60"/>
        <v/>
      </c>
      <c r="AU344" s="20" t="str">
        <f t="shared" si="61"/>
        <v/>
      </c>
      <c r="AV344" s="20"/>
      <c r="AW344" s="20"/>
      <c r="AX344" s="20"/>
      <c r="CL344" s="106">
        <v>42648</v>
      </c>
      <c r="CM344" s="107">
        <f t="shared" si="55"/>
        <v>91.528080382117878</v>
      </c>
    </row>
    <row r="345" spans="31:91">
      <c r="AE345" s="26">
        <f>Data!A340</f>
        <v>42471</v>
      </c>
      <c r="AF345" s="35">
        <f>Data!B340</f>
        <v>90.95</v>
      </c>
      <c r="AG345" s="35">
        <f>Data!F340</f>
        <v>1558275</v>
      </c>
      <c r="AH345" s="35">
        <f>Data!C340</f>
        <v>90.99</v>
      </c>
      <c r="AI345" s="35">
        <f>Data!D340</f>
        <v>89.69</v>
      </c>
      <c r="AJ345" s="35">
        <f>Data!E340</f>
        <v>89.71</v>
      </c>
      <c r="AK345" s="35">
        <f>Data!F340</f>
        <v>1558275</v>
      </c>
      <c r="AL345" s="35">
        <f t="shared" si="54"/>
        <v>89.71</v>
      </c>
      <c r="AM345" s="35">
        <f t="shared" si="53"/>
        <v>-0.4458811726674905</v>
      </c>
      <c r="AN345" s="35">
        <f t="shared" si="62"/>
        <v>3.4945051419037072</v>
      </c>
      <c r="AO345" s="35" t="str">
        <f t="shared" si="56"/>
        <v>no</v>
      </c>
      <c r="AP345" s="35" t="str">
        <f t="shared" si="57"/>
        <v>FITS BITCH</v>
      </c>
      <c r="AQ345" s="35" t="str">
        <f t="shared" si="57"/>
        <v>no</v>
      </c>
      <c r="AR345" s="35" t="str">
        <f t="shared" si="58"/>
        <v>FITS BITCH</v>
      </c>
      <c r="AS345" s="35" t="str">
        <f t="shared" si="59"/>
        <v>no</v>
      </c>
      <c r="AT345" s="20" t="str">
        <f t="shared" si="60"/>
        <v/>
      </c>
      <c r="AU345" s="20" t="str">
        <f t="shared" si="61"/>
        <v/>
      </c>
      <c r="AV345" s="20"/>
      <c r="AW345" s="20"/>
      <c r="AX345" s="20"/>
      <c r="CL345" s="106">
        <v>42647</v>
      </c>
      <c r="CM345" s="107">
        <f t="shared" si="55"/>
        <v>91.47479319369495</v>
      </c>
    </row>
    <row r="346" spans="31:91">
      <c r="AE346" s="26">
        <f>Data!A341</f>
        <v>42468</v>
      </c>
      <c r="AF346" s="35">
        <f>Data!B341</f>
        <v>90.32</v>
      </c>
      <c r="AG346" s="35">
        <f>Data!F341</f>
        <v>1086682</v>
      </c>
      <c r="AH346" s="35">
        <f>Data!C341</f>
        <v>90.68</v>
      </c>
      <c r="AI346" s="35">
        <f>Data!D341</f>
        <v>89.94</v>
      </c>
      <c r="AJ346" s="35">
        <f>Data!E341</f>
        <v>90.33</v>
      </c>
      <c r="AK346" s="35">
        <f>Data!F341</f>
        <v>1086682</v>
      </c>
      <c r="AL346" s="35">
        <f t="shared" si="54"/>
        <v>90.33</v>
      </c>
      <c r="AM346" s="35">
        <f t="shared" si="53"/>
        <v>0.68637219085575618</v>
      </c>
      <c r="AN346" s="35">
        <f t="shared" si="62"/>
        <v>-43.397516476761375</v>
      </c>
      <c r="AO346" s="35" t="str">
        <f t="shared" si="56"/>
        <v>FITS BITCH</v>
      </c>
      <c r="AP346" s="35" t="str">
        <f t="shared" si="57"/>
        <v>FITS BITCH</v>
      </c>
      <c r="AQ346" s="35" t="str">
        <f t="shared" si="57"/>
        <v>FITS BITCH</v>
      </c>
      <c r="AR346" s="35" t="str">
        <f t="shared" si="58"/>
        <v>FITS BITCH</v>
      </c>
      <c r="AS346" s="35" t="str">
        <f t="shared" si="59"/>
        <v>FITS BITCH</v>
      </c>
      <c r="AT346" s="20" t="str">
        <f t="shared" si="60"/>
        <v>BULLISH</v>
      </c>
      <c r="AU346" s="20" t="str">
        <f t="shared" si="61"/>
        <v>BEARISH</v>
      </c>
      <c r="AV346" s="20"/>
      <c r="AW346" s="20"/>
      <c r="AX346" s="20"/>
      <c r="CL346" s="106">
        <v>42646</v>
      </c>
      <c r="CM346" s="107">
        <f t="shared" si="55"/>
        <v>91.421506005272022</v>
      </c>
    </row>
    <row r="347" spans="31:91">
      <c r="AE347" s="26">
        <f>Data!A342</f>
        <v>42467</v>
      </c>
      <c r="AF347" s="35">
        <f>Data!B342</f>
        <v>90.07</v>
      </c>
      <c r="AG347" s="35">
        <f>Data!F342</f>
        <v>1623724</v>
      </c>
      <c r="AH347" s="35">
        <f>Data!C342</f>
        <v>90.45</v>
      </c>
      <c r="AI347" s="35">
        <f>Data!D342</f>
        <v>89.41</v>
      </c>
      <c r="AJ347" s="35">
        <f>Data!E342</f>
        <v>89.8</v>
      </c>
      <c r="AK347" s="35">
        <f>Data!F342</f>
        <v>1623724</v>
      </c>
      <c r="AL347" s="35">
        <f t="shared" si="54"/>
        <v>89.8</v>
      </c>
      <c r="AM347" s="35">
        <f t="shared" si="53"/>
        <v>-0.59020044543429973</v>
      </c>
      <c r="AN347" s="35">
        <f t="shared" si="62"/>
        <v>33.074709741310713</v>
      </c>
      <c r="AO347" s="35" t="str">
        <f t="shared" si="56"/>
        <v>no</v>
      </c>
      <c r="AP347" s="35" t="str">
        <f t="shared" si="57"/>
        <v>no</v>
      </c>
      <c r="AQ347" s="35" t="str">
        <f t="shared" si="57"/>
        <v>FITS BITCH</v>
      </c>
      <c r="AR347" s="35" t="str">
        <f t="shared" si="58"/>
        <v>FITS BITCH</v>
      </c>
      <c r="AS347" s="35" t="str">
        <f t="shared" si="59"/>
        <v>no</v>
      </c>
      <c r="AT347" s="20" t="str">
        <f t="shared" si="60"/>
        <v/>
      </c>
      <c r="AU347" s="20" t="str">
        <f t="shared" si="61"/>
        <v/>
      </c>
      <c r="AV347" s="20"/>
      <c r="AW347" s="20"/>
      <c r="AX347" s="20"/>
      <c r="CL347" s="106">
        <v>42643</v>
      </c>
      <c r="CM347" s="107">
        <f t="shared" si="55"/>
        <v>91.261644440003693</v>
      </c>
    </row>
    <row r="348" spans="31:91">
      <c r="AE348" s="26">
        <f>Data!A343</f>
        <v>42466</v>
      </c>
      <c r="AF348" s="35">
        <f>Data!B343</f>
        <v>89.69</v>
      </c>
      <c r="AG348" s="35">
        <f>Data!F343</f>
        <v>1883745</v>
      </c>
      <c r="AH348" s="35">
        <f>Data!C343</f>
        <v>90.94</v>
      </c>
      <c r="AI348" s="35">
        <f>Data!D343</f>
        <v>89.34</v>
      </c>
      <c r="AJ348" s="35">
        <f>Data!E343</f>
        <v>90.84</v>
      </c>
      <c r="AK348" s="35">
        <f>Data!F343</f>
        <v>1883745</v>
      </c>
      <c r="AL348" s="35">
        <f t="shared" si="54"/>
        <v>90.84</v>
      </c>
      <c r="AM348" s="35">
        <f t="shared" si="53"/>
        <v>1.1448701012769773</v>
      </c>
      <c r="AN348" s="35">
        <f t="shared" si="62"/>
        <v>13.80340757374273</v>
      </c>
      <c r="AO348" s="35" t="str">
        <f t="shared" si="56"/>
        <v>no</v>
      </c>
      <c r="AP348" s="35" t="str">
        <f t="shared" si="57"/>
        <v>FITS BITCH</v>
      </c>
      <c r="AQ348" s="35" t="str">
        <f t="shared" si="57"/>
        <v>no</v>
      </c>
      <c r="AR348" s="35" t="str">
        <f t="shared" si="58"/>
        <v>no</v>
      </c>
      <c r="AS348" s="35" t="str">
        <f t="shared" si="59"/>
        <v>FITS BITCH</v>
      </c>
      <c r="AT348" s="20" t="str">
        <f t="shared" si="60"/>
        <v/>
      </c>
      <c r="AU348" s="20" t="str">
        <f t="shared" si="61"/>
        <v/>
      </c>
      <c r="AV348" s="20"/>
      <c r="AW348" s="20"/>
      <c r="AX348" s="20"/>
      <c r="CL348" s="106">
        <v>42642</v>
      </c>
      <c r="CM348" s="107">
        <f t="shared" si="55"/>
        <v>91.208357251581219</v>
      </c>
    </row>
    <row r="349" spans="31:91">
      <c r="AE349" s="26">
        <f>Data!A344</f>
        <v>42465</v>
      </c>
      <c r="AF349" s="35">
        <f>Data!B344</f>
        <v>90.69</v>
      </c>
      <c r="AG349" s="35">
        <f>Data!F344</f>
        <v>1783667</v>
      </c>
      <c r="AH349" s="35">
        <f>Data!C344</f>
        <v>90.69</v>
      </c>
      <c r="AI349" s="35">
        <f>Data!D344</f>
        <v>89.4</v>
      </c>
      <c r="AJ349" s="35">
        <f>Data!E344</f>
        <v>89.75</v>
      </c>
      <c r="AK349" s="35">
        <f>Data!F344</f>
        <v>1783667</v>
      </c>
      <c r="AL349" s="35">
        <f t="shared" si="54"/>
        <v>89.75</v>
      </c>
      <c r="AM349" s="35">
        <f t="shared" si="53"/>
        <v>-1.214484679665742</v>
      </c>
      <c r="AN349" s="35">
        <f t="shared" si="62"/>
        <v>-5.6108006707530054</v>
      </c>
      <c r="AO349" s="35" t="str">
        <f t="shared" si="56"/>
        <v>no</v>
      </c>
      <c r="AP349" s="35" t="str">
        <f t="shared" si="57"/>
        <v>FITS BITCH</v>
      </c>
      <c r="AQ349" s="35" t="str">
        <f t="shared" si="57"/>
        <v>no</v>
      </c>
      <c r="AR349" s="35" t="str">
        <f t="shared" si="58"/>
        <v>FITS BITCH</v>
      </c>
      <c r="AS349" s="35" t="str">
        <f t="shared" si="59"/>
        <v>FITS BITCH</v>
      </c>
      <c r="AT349" s="20" t="str">
        <f t="shared" si="60"/>
        <v/>
      </c>
      <c r="AU349" s="20" t="str">
        <f t="shared" si="61"/>
        <v/>
      </c>
      <c r="AV349" s="20"/>
      <c r="AW349" s="20"/>
      <c r="AX349" s="20"/>
      <c r="CL349" s="106">
        <v>42641</v>
      </c>
      <c r="CM349" s="107">
        <f t="shared" si="55"/>
        <v>91.155070063158291</v>
      </c>
    </row>
    <row r="350" spans="31:91">
      <c r="AE350" s="26">
        <f>Data!A345</f>
        <v>42464</v>
      </c>
      <c r="AF350" s="35">
        <f>Data!B345</f>
        <v>90.08</v>
      </c>
      <c r="AG350" s="35">
        <f>Data!F345</f>
        <v>1175545</v>
      </c>
      <c r="AH350" s="35">
        <f>Data!C345</f>
        <v>90.4</v>
      </c>
      <c r="AI350" s="35">
        <f>Data!D345</f>
        <v>89.47</v>
      </c>
      <c r="AJ350" s="35">
        <f>Data!E345</f>
        <v>89.71</v>
      </c>
      <c r="AK350" s="35">
        <f>Data!F345</f>
        <v>1175545</v>
      </c>
      <c r="AL350" s="35">
        <f t="shared" si="54"/>
        <v>89.71</v>
      </c>
      <c r="AM350" s="35">
        <f t="shared" si="53"/>
        <v>-4.4588117266755385E-2</v>
      </c>
      <c r="AN350" s="35">
        <f t="shared" si="62"/>
        <v>-51.731069418865296</v>
      </c>
      <c r="AO350" s="35" t="str">
        <f t="shared" si="56"/>
        <v>FITS BITCH</v>
      </c>
      <c r="AP350" s="35" t="str">
        <f t="shared" si="57"/>
        <v>FITS BITCH</v>
      </c>
      <c r="AQ350" s="35" t="str">
        <f t="shared" si="57"/>
        <v>FITS BITCH</v>
      </c>
      <c r="AR350" s="35" t="str">
        <f t="shared" si="58"/>
        <v>FITS BITCH</v>
      </c>
      <c r="AS350" s="35" t="str">
        <f t="shared" si="59"/>
        <v>no</v>
      </c>
      <c r="AT350" s="20" t="str">
        <f t="shared" si="60"/>
        <v>BULLISH</v>
      </c>
      <c r="AU350" s="20" t="str">
        <f t="shared" si="61"/>
        <v/>
      </c>
      <c r="AV350" s="20"/>
      <c r="AW350" s="20"/>
      <c r="AX350" s="20"/>
      <c r="CL350" s="106">
        <v>42640</v>
      </c>
      <c r="CM350" s="107">
        <f t="shared" si="55"/>
        <v>91.101782874735363</v>
      </c>
    </row>
    <row r="351" spans="31:91">
      <c r="AE351" s="26">
        <f>Data!A346</f>
        <v>42461</v>
      </c>
      <c r="AF351" s="35">
        <f>Data!B346</f>
        <v>88.74</v>
      </c>
      <c r="AG351" s="35">
        <f>Data!F346</f>
        <v>1623614</v>
      </c>
      <c r="AH351" s="35">
        <f>Data!C346</f>
        <v>90.37</v>
      </c>
      <c r="AI351" s="35">
        <f>Data!D346</f>
        <v>88.74</v>
      </c>
      <c r="AJ351" s="35">
        <f>Data!E346</f>
        <v>90.26</v>
      </c>
      <c r="AK351" s="35">
        <f>Data!F346</f>
        <v>1623614</v>
      </c>
      <c r="AL351" s="35">
        <f t="shared" si="54"/>
        <v>90.26</v>
      </c>
      <c r="AM351" s="35">
        <f t="shared" si="53"/>
        <v>0.60935076445824432</v>
      </c>
      <c r="AN351" s="35">
        <f t="shared" si="62"/>
        <v>27.597015054070734</v>
      </c>
      <c r="AO351" s="35" t="str">
        <f t="shared" si="56"/>
        <v>no</v>
      </c>
      <c r="AP351" s="35" t="str">
        <f t="shared" si="57"/>
        <v>FITS BITCH</v>
      </c>
      <c r="AQ351" s="35" t="str">
        <f t="shared" si="57"/>
        <v>no</v>
      </c>
      <c r="AR351" s="35" t="str">
        <f t="shared" si="58"/>
        <v>no</v>
      </c>
      <c r="AS351" s="35" t="str">
        <f t="shared" si="59"/>
        <v>FITS BITCH</v>
      </c>
      <c r="AT351" s="20" t="str">
        <f t="shared" si="60"/>
        <v/>
      </c>
      <c r="AU351" s="20" t="str">
        <f t="shared" si="61"/>
        <v/>
      </c>
      <c r="AV351" s="20"/>
      <c r="AW351" s="20"/>
      <c r="AX351" s="20"/>
      <c r="CL351" s="106">
        <v>42639</v>
      </c>
      <c r="CM351" s="107">
        <f t="shared" si="55"/>
        <v>91.04849568631289</v>
      </c>
    </row>
    <row r="352" spans="31:91">
      <c r="AE352" s="26">
        <f>Data!A347</f>
        <v>42460</v>
      </c>
      <c r="AF352" s="35">
        <f>Data!B347</f>
        <v>89.07</v>
      </c>
      <c r="AG352" s="35">
        <f>Data!F347</f>
        <v>1479752</v>
      </c>
      <c r="AH352" s="35">
        <f>Data!C347</f>
        <v>90</v>
      </c>
      <c r="AI352" s="35">
        <f>Data!D347</f>
        <v>89.07</v>
      </c>
      <c r="AJ352" s="35">
        <f>Data!E347</f>
        <v>89.71</v>
      </c>
      <c r="AK352" s="35">
        <f>Data!F347</f>
        <v>1479752</v>
      </c>
      <c r="AL352" s="35">
        <f t="shared" si="54"/>
        <v>89.71</v>
      </c>
      <c r="AM352" s="35">
        <f t="shared" si="53"/>
        <v>-0.61308661241780338</v>
      </c>
      <c r="AN352" s="35">
        <f t="shared" si="62"/>
        <v>-9.7220345030788948</v>
      </c>
      <c r="AO352" s="35" t="str">
        <f t="shared" si="56"/>
        <v>FITS BITCH</v>
      </c>
      <c r="AP352" s="35" t="str">
        <f t="shared" si="57"/>
        <v>FITS BITCH</v>
      </c>
      <c r="AQ352" s="35" t="str">
        <f t="shared" si="57"/>
        <v>FITS BITCH</v>
      </c>
      <c r="AR352" s="35" t="str">
        <f t="shared" si="58"/>
        <v>FITS BITCH</v>
      </c>
      <c r="AS352" s="35" t="str">
        <f t="shared" si="59"/>
        <v>FITS BITCH</v>
      </c>
      <c r="AT352" s="20" t="str">
        <f t="shared" si="60"/>
        <v>BULLISH</v>
      </c>
      <c r="AU352" s="20" t="str">
        <f t="shared" si="61"/>
        <v>BEARISH</v>
      </c>
      <c r="AV352" s="20"/>
      <c r="AW352" s="20"/>
      <c r="AX352" s="20"/>
      <c r="CL352" s="106">
        <v>42636</v>
      </c>
      <c r="CM352" s="107">
        <f t="shared" si="55"/>
        <v>90.888634121044561</v>
      </c>
    </row>
    <row r="353" spans="31:91">
      <c r="AE353" s="26">
        <f>Data!A348</f>
        <v>42459</v>
      </c>
      <c r="AF353" s="35">
        <f>Data!B348</f>
        <v>89.71</v>
      </c>
      <c r="AG353" s="35">
        <f>Data!F348</f>
        <v>1503033</v>
      </c>
      <c r="AH353" s="35">
        <f>Data!C348</f>
        <v>89.78</v>
      </c>
      <c r="AI353" s="35">
        <f>Data!D348</f>
        <v>89.06</v>
      </c>
      <c r="AJ353" s="35">
        <f>Data!E348</f>
        <v>89.15</v>
      </c>
      <c r="AK353" s="35">
        <f>Data!F348</f>
        <v>1503033</v>
      </c>
      <c r="AL353" s="35">
        <f t="shared" si="54"/>
        <v>89.15</v>
      </c>
      <c r="AM353" s="35">
        <f t="shared" si="53"/>
        <v>-0.62815479528882567</v>
      </c>
      <c r="AN353" s="35">
        <f t="shared" si="62"/>
        <v>1.548934720661489</v>
      </c>
      <c r="AO353" s="35" t="str">
        <f t="shared" si="56"/>
        <v>no</v>
      </c>
      <c r="AP353" s="35" t="str">
        <f t="shared" si="57"/>
        <v>FITS BITCH</v>
      </c>
      <c r="AQ353" s="35" t="str">
        <f t="shared" si="57"/>
        <v>FITS BITCH</v>
      </c>
      <c r="AR353" s="35" t="str">
        <f t="shared" si="58"/>
        <v>FITS BITCH</v>
      </c>
      <c r="AS353" s="35" t="str">
        <f t="shared" si="59"/>
        <v>no</v>
      </c>
      <c r="AT353" s="20" t="str">
        <f t="shared" si="60"/>
        <v/>
      </c>
      <c r="AU353" s="20" t="str">
        <f t="shared" si="61"/>
        <v/>
      </c>
      <c r="AV353" s="20"/>
      <c r="AW353" s="20"/>
      <c r="AX353" s="20"/>
      <c r="CL353" s="106">
        <v>42635</v>
      </c>
      <c r="CM353" s="107">
        <f t="shared" si="55"/>
        <v>90.835346932621633</v>
      </c>
    </row>
    <row r="354" spans="31:91">
      <c r="AE354" s="26">
        <f>Data!A349</f>
        <v>42458</v>
      </c>
      <c r="AF354" s="35">
        <f>Data!B349</f>
        <v>88.42</v>
      </c>
      <c r="AG354" s="35">
        <f>Data!F349</f>
        <v>1711455</v>
      </c>
      <c r="AH354" s="35">
        <f>Data!C349</f>
        <v>89.46</v>
      </c>
      <c r="AI354" s="35">
        <f>Data!D349</f>
        <v>88.25</v>
      </c>
      <c r="AJ354" s="35">
        <f>Data!E349</f>
        <v>89.43</v>
      </c>
      <c r="AK354" s="35">
        <f>Data!F349</f>
        <v>1711455</v>
      </c>
      <c r="AL354" s="35">
        <f t="shared" si="54"/>
        <v>89.43</v>
      </c>
      <c r="AM354" s="35">
        <f t="shared" si="53"/>
        <v>0.31309404003131064</v>
      </c>
      <c r="AN354" s="35">
        <f t="shared" si="62"/>
        <v>12.178059019956704</v>
      </c>
      <c r="AO354" s="35" t="str">
        <f t="shared" si="56"/>
        <v>no</v>
      </c>
      <c r="AP354" s="35" t="str">
        <f t="shared" si="57"/>
        <v>FITS BITCH</v>
      </c>
      <c r="AQ354" s="35" t="str">
        <f t="shared" si="57"/>
        <v>FITS BITCH</v>
      </c>
      <c r="AR354" s="35" t="str">
        <f t="shared" si="58"/>
        <v>no</v>
      </c>
      <c r="AS354" s="35" t="str">
        <f t="shared" si="59"/>
        <v>FITS BITCH</v>
      </c>
      <c r="AT354" s="20" t="str">
        <f t="shared" si="60"/>
        <v/>
      </c>
      <c r="AU354" s="20" t="str">
        <f t="shared" si="61"/>
        <v/>
      </c>
      <c r="AV354" s="20"/>
      <c r="AW354" s="20"/>
      <c r="AX354" s="20"/>
      <c r="CL354" s="106">
        <v>42634</v>
      </c>
      <c r="CM354" s="107">
        <f t="shared" si="55"/>
        <v>90.782059744199159</v>
      </c>
    </row>
    <row r="355" spans="31:91">
      <c r="AE355" s="26">
        <f>Data!A350</f>
        <v>42457</v>
      </c>
      <c r="AF355" s="35">
        <f>Data!B350</f>
        <v>88.8</v>
      </c>
      <c r="AG355" s="35">
        <f>Data!F350</f>
        <v>1324081</v>
      </c>
      <c r="AH355" s="35">
        <f>Data!C350</f>
        <v>88.96</v>
      </c>
      <c r="AI355" s="35">
        <f>Data!D350</f>
        <v>88.23</v>
      </c>
      <c r="AJ355" s="35">
        <f>Data!E350</f>
        <v>88.3</v>
      </c>
      <c r="AK355" s="35">
        <f>Data!F350</f>
        <v>1324081</v>
      </c>
      <c r="AL355" s="35">
        <f t="shared" si="54"/>
        <v>88.3</v>
      </c>
      <c r="AM355" s="35">
        <f t="shared" si="53"/>
        <v>-1.2797281993205094</v>
      </c>
      <c r="AN355" s="35">
        <f t="shared" si="62"/>
        <v>-29.25606515009278</v>
      </c>
      <c r="AO355" s="35" t="str">
        <f t="shared" si="56"/>
        <v>FITS BITCH</v>
      </c>
      <c r="AP355" s="35" t="str">
        <f t="shared" si="57"/>
        <v>FITS BITCH</v>
      </c>
      <c r="AQ355" s="35" t="str">
        <f t="shared" si="57"/>
        <v>FITS BITCH</v>
      </c>
      <c r="AR355" s="35" t="str">
        <f t="shared" si="58"/>
        <v>FITS BITCH</v>
      </c>
      <c r="AS355" s="35" t="str">
        <f t="shared" si="59"/>
        <v>no</v>
      </c>
      <c r="AT355" s="20" t="str">
        <f t="shared" si="60"/>
        <v>BULLISH</v>
      </c>
      <c r="AU355" s="20" t="str">
        <f t="shared" si="61"/>
        <v/>
      </c>
      <c r="AV355" s="20"/>
      <c r="AW355" s="20"/>
      <c r="AX355" s="20"/>
      <c r="CL355" s="106">
        <v>42633</v>
      </c>
      <c r="CM355" s="107">
        <f t="shared" si="55"/>
        <v>90.728772555776231</v>
      </c>
    </row>
    <row r="356" spans="31:91">
      <c r="AE356" s="26">
        <f>Data!A351</f>
        <v>42453</v>
      </c>
      <c r="AF356" s="35">
        <f>Data!B351</f>
        <v>88.23</v>
      </c>
      <c r="AG356" s="35">
        <f>Data!F351</f>
        <v>1028952</v>
      </c>
      <c r="AH356" s="35">
        <f>Data!C351</f>
        <v>88.77</v>
      </c>
      <c r="AI356" s="35">
        <f>Data!D351</f>
        <v>87.77</v>
      </c>
      <c r="AJ356" s="35">
        <f>Data!E351</f>
        <v>88.75</v>
      </c>
      <c r="AK356" s="35">
        <f>Data!F351</f>
        <v>1028952</v>
      </c>
      <c r="AL356" s="35">
        <f t="shared" si="54"/>
        <v>88.75</v>
      </c>
      <c r="AM356" s="35">
        <f t="shared" si="53"/>
        <v>0.50704225352112997</v>
      </c>
      <c r="AN356" s="35">
        <f t="shared" si="62"/>
        <v>-28.682484702882157</v>
      </c>
      <c r="AO356" s="35" t="str">
        <f t="shared" si="56"/>
        <v>FITS BITCH</v>
      </c>
      <c r="AP356" s="35" t="str">
        <f t="shared" si="57"/>
        <v>no</v>
      </c>
      <c r="AQ356" s="35" t="str">
        <f t="shared" si="57"/>
        <v>no</v>
      </c>
      <c r="AR356" s="35" t="str">
        <f t="shared" si="58"/>
        <v>FITS BITCH</v>
      </c>
      <c r="AS356" s="35" t="str">
        <f t="shared" si="59"/>
        <v>FITS BITCH</v>
      </c>
      <c r="AT356" s="20" t="str">
        <f t="shared" si="60"/>
        <v/>
      </c>
      <c r="AU356" s="20" t="str">
        <f t="shared" si="61"/>
        <v/>
      </c>
      <c r="AV356" s="20"/>
      <c r="AW356" s="20"/>
      <c r="AX356" s="20"/>
      <c r="CL356" s="106">
        <v>42632</v>
      </c>
      <c r="CM356" s="107">
        <f t="shared" si="55"/>
        <v>90.675485367353303</v>
      </c>
    </row>
    <row r="357" spans="31:91">
      <c r="AE357" s="26">
        <f>Data!A352</f>
        <v>42452</v>
      </c>
      <c r="AF357" s="35">
        <f>Data!B352</f>
        <v>88.56</v>
      </c>
      <c r="AG357" s="35">
        <f>Data!F352</f>
        <v>1177251</v>
      </c>
      <c r="AH357" s="35">
        <f>Data!C352</f>
        <v>88.79</v>
      </c>
      <c r="AI357" s="35">
        <f>Data!D352</f>
        <v>88.21</v>
      </c>
      <c r="AJ357" s="35">
        <f>Data!E352</f>
        <v>88.53</v>
      </c>
      <c r="AK357" s="35">
        <f>Data!F352</f>
        <v>1177251</v>
      </c>
      <c r="AL357" s="35">
        <f t="shared" si="54"/>
        <v>88.53</v>
      </c>
      <c r="AM357" s="35">
        <f t="shared" si="53"/>
        <v>-0.24850333220377144</v>
      </c>
      <c r="AN357" s="35">
        <f t="shared" si="62"/>
        <v>12.597058741084103</v>
      </c>
      <c r="AO357" s="35" t="str">
        <f t="shared" si="56"/>
        <v>no</v>
      </c>
      <c r="AP357" s="35" t="str">
        <f t="shared" si="57"/>
        <v>no</v>
      </c>
      <c r="AQ357" s="35" t="str">
        <f t="shared" si="57"/>
        <v>no</v>
      </c>
      <c r="AR357" s="35" t="str">
        <f t="shared" si="58"/>
        <v>FITS BITCH</v>
      </c>
      <c r="AS357" s="35" t="str">
        <f t="shared" si="59"/>
        <v>no</v>
      </c>
      <c r="AT357" s="20" t="str">
        <f t="shared" si="60"/>
        <v/>
      </c>
      <c r="AU357" s="20" t="str">
        <f t="shared" si="61"/>
        <v/>
      </c>
      <c r="AV357" s="20"/>
      <c r="AW357" s="20"/>
      <c r="AX357" s="20"/>
      <c r="CL357" s="106">
        <v>42629</v>
      </c>
      <c r="CM357" s="107">
        <f t="shared" si="55"/>
        <v>90.515623802084974</v>
      </c>
    </row>
    <row r="358" spans="31:91">
      <c r="AE358" s="26">
        <f>Data!A353</f>
        <v>42451</v>
      </c>
      <c r="AF358" s="35">
        <f>Data!B353</f>
        <v>88.79</v>
      </c>
      <c r="AG358" s="35">
        <f>Data!F353</f>
        <v>1209629</v>
      </c>
      <c r="AH358" s="35">
        <f>Data!C353</f>
        <v>89.01</v>
      </c>
      <c r="AI358" s="35">
        <f>Data!D353</f>
        <v>88.41</v>
      </c>
      <c r="AJ358" s="35">
        <f>Data!E353</f>
        <v>88.64</v>
      </c>
      <c r="AK358" s="35">
        <f>Data!F353</f>
        <v>1209629</v>
      </c>
      <c r="AL358" s="35">
        <f t="shared" si="54"/>
        <v>88.64</v>
      </c>
      <c r="AM358" s="35">
        <f t="shared" si="53"/>
        <v>0.12409747292418709</v>
      </c>
      <c r="AN358" s="35">
        <f t="shared" si="62"/>
        <v>2.6766884722505826</v>
      </c>
      <c r="AO358" s="35" t="str">
        <f t="shared" si="56"/>
        <v>no</v>
      </c>
      <c r="AP358" s="35" t="str">
        <f t="shared" si="57"/>
        <v>no</v>
      </c>
      <c r="AQ358" s="35" t="str">
        <f t="shared" si="57"/>
        <v>FITS BITCH</v>
      </c>
      <c r="AR358" s="35" t="str">
        <f t="shared" si="58"/>
        <v>FITS BITCH</v>
      </c>
      <c r="AS358" s="35" t="str">
        <f t="shared" si="59"/>
        <v>no</v>
      </c>
      <c r="AT358" s="20" t="str">
        <f t="shared" si="60"/>
        <v/>
      </c>
      <c r="AU358" s="20" t="str">
        <f t="shared" si="61"/>
        <v/>
      </c>
      <c r="AV358" s="20"/>
      <c r="AW358" s="20"/>
      <c r="AX358" s="20"/>
      <c r="CL358" s="106">
        <v>42628</v>
      </c>
      <c r="CM358" s="107">
        <f t="shared" si="55"/>
        <v>90.462336613662501</v>
      </c>
    </row>
    <row r="359" spans="31:91">
      <c r="AE359" s="26">
        <f>Data!A354</f>
        <v>42450</v>
      </c>
      <c r="AF359" s="35">
        <f>Data!B354</f>
        <v>88.21</v>
      </c>
      <c r="AG359" s="35">
        <f>Data!F354</f>
        <v>1571504</v>
      </c>
      <c r="AH359" s="35">
        <f>Data!C354</f>
        <v>89.33</v>
      </c>
      <c r="AI359" s="35">
        <f>Data!D354</f>
        <v>88.14</v>
      </c>
      <c r="AJ359" s="35">
        <f>Data!E354</f>
        <v>89.01</v>
      </c>
      <c r="AK359" s="35">
        <f>Data!F354</f>
        <v>1571504</v>
      </c>
      <c r="AL359" s="35">
        <f t="shared" si="54"/>
        <v>89.01</v>
      </c>
      <c r="AM359" s="35">
        <f t="shared" si="53"/>
        <v>0.41568363105269579</v>
      </c>
      <c r="AN359" s="35">
        <f t="shared" si="62"/>
        <v>23.027303780327635</v>
      </c>
      <c r="AO359" s="35" t="str">
        <f t="shared" si="56"/>
        <v>no</v>
      </c>
      <c r="AP359" s="35" t="str">
        <f t="shared" si="57"/>
        <v>FITS BITCH</v>
      </c>
      <c r="AQ359" s="35" t="str">
        <f t="shared" si="57"/>
        <v>FITS BITCH</v>
      </c>
      <c r="AR359" s="35" t="str">
        <f t="shared" si="58"/>
        <v>FITS BITCH</v>
      </c>
      <c r="AS359" s="35" t="str">
        <f t="shared" si="59"/>
        <v>FITS BITCH</v>
      </c>
      <c r="AT359" s="20" t="str">
        <f t="shared" si="60"/>
        <v/>
      </c>
      <c r="AU359" s="20" t="str">
        <f t="shared" si="61"/>
        <v/>
      </c>
      <c r="AV359" s="20"/>
      <c r="AW359" s="20"/>
      <c r="AX359" s="20"/>
      <c r="CL359" s="106">
        <v>42627</v>
      </c>
      <c r="CM359" s="107">
        <f t="shared" si="55"/>
        <v>90.409049425239573</v>
      </c>
    </row>
    <row r="360" spans="31:91">
      <c r="AE360" s="26">
        <f>Data!A355</f>
        <v>42447</v>
      </c>
      <c r="AF360" s="35">
        <f>Data!B355</f>
        <v>89.24</v>
      </c>
      <c r="AG360" s="35">
        <f>Data!F355</f>
        <v>3206287</v>
      </c>
      <c r="AH360" s="35">
        <f>Data!C355</f>
        <v>89.24</v>
      </c>
      <c r="AI360" s="35">
        <f>Data!D355</f>
        <v>88.02</v>
      </c>
      <c r="AJ360" s="35">
        <f>Data!E355</f>
        <v>88.64</v>
      </c>
      <c r="AK360" s="35">
        <f>Data!F355</f>
        <v>3206287</v>
      </c>
      <c r="AL360" s="35">
        <f t="shared" si="54"/>
        <v>88.64</v>
      </c>
      <c r="AM360" s="35">
        <f t="shared" si="53"/>
        <v>-0.41741877256318205</v>
      </c>
      <c r="AN360" s="35">
        <f t="shared" si="62"/>
        <v>50.98679562996076</v>
      </c>
      <c r="AO360" s="35" t="str">
        <f t="shared" si="56"/>
        <v>no</v>
      </c>
      <c r="AP360" s="35" t="str">
        <f t="shared" si="57"/>
        <v>FITS BITCH</v>
      </c>
      <c r="AQ360" s="35" t="str">
        <f t="shared" si="57"/>
        <v>FITS BITCH</v>
      </c>
      <c r="AR360" s="35" t="str">
        <f t="shared" si="58"/>
        <v>FITS BITCH</v>
      </c>
      <c r="AS360" s="35" t="str">
        <f t="shared" si="59"/>
        <v>no</v>
      </c>
      <c r="AT360" s="20" t="str">
        <f t="shared" si="60"/>
        <v/>
      </c>
      <c r="AU360" s="20" t="str">
        <f t="shared" si="61"/>
        <v/>
      </c>
      <c r="AV360" s="20"/>
      <c r="AW360" s="20"/>
      <c r="AX360" s="20"/>
      <c r="CL360" s="106">
        <v>42626</v>
      </c>
      <c r="CM360" s="107">
        <f t="shared" si="55"/>
        <v>90.355762236816645</v>
      </c>
    </row>
    <row r="361" spans="31:91">
      <c r="AE361" s="26">
        <f>Data!A356</f>
        <v>42446</v>
      </c>
      <c r="AF361" s="35">
        <f>Data!B356</f>
        <v>87.76</v>
      </c>
      <c r="AG361" s="35">
        <f>Data!F356</f>
        <v>1481849</v>
      </c>
      <c r="AH361" s="35">
        <f>Data!C356</f>
        <v>89.09</v>
      </c>
      <c r="AI361" s="35">
        <f>Data!D356</f>
        <v>87.62</v>
      </c>
      <c r="AJ361" s="35">
        <f>Data!E356</f>
        <v>88.84</v>
      </c>
      <c r="AK361" s="35">
        <f>Data!F356</f>
        <v>1481849</v>
      </c>
      <c r="AL361" s="35">
        <f t="shared" si="54"/>
        <v>88.84</v>
      </c>
      <c r="AM361" s="35">
        <f t="shared" si="53"/>
        <v>0.22512381809995816</v>
      </c>
      <c r="AN361" s="35">
        <f t="shared" si="62"/>
        <v>-116.37069633950559</v>
      </c>
      <c r="AO361" s="35" t="str">
        <f t="shared" si="56"/>
        <v>FITS BITCH</v>
      </c>
      <c r="AP361" s="35" t="str">
        <f t="shared" si="57"/>
        <v>FITS BITCH</v>
      </c>
      <c r="AQ361" s="35" t="str">
        <f t="shared" si="57"/>
        <v>FITS BITCH</v>
      </c>
      <c r="AR361" s="35" t="str">
        <f t="shared" si="58"/>
        <v>no</v>
      </c>
      <c r="AS361" s="35" t="str">
        <f t="shared" si="59"/>
        <v>FITS BITCH</v>
      </c>
      <c r="AT361" s="20" t="str">
        <f t="shared" si="60"/>
        <v/>
      </c>
      <c r="AU361" s="20" t="str">
        <f t="shared" si="61"/>
        <v>BEARISH</v>
      </c>
      <c r="AV361" s="20"/>
      <c r="AW361" s="20"/>
      <c r="AX361" s="20"/>
      <c r="CL361" s="106">
        <v>42625</v>
      </c>
      <c r="CM361" s="107">
        <f t="shared" si="55"/>
        <v>90.302475048394172</v>
      </c>
    </row>
    <row r="362" spans="31:91">
      <c r="AE362" s="26">
        <f>Data!A357</f>
        <v>42445</v>
      </c>
      <c r="AF362" s="35">
        <f>Data!B357</f>
        <v>86.99</v>
      </c>
      <c r="AG362" s="35">
        <f>Data!F357</f>
        <v>1077402</v>
      </c>
      <c r="AH362" s="35">
        <f>Data!C357</f>
        <v>87.88</v>
      </c>
      <c r="AI362" s="35">
        <f>Data!D357</f>
        <v>86.71</v>
      </c>
      <c r="AJ362" s="35">
        <f>Data!E357</f>
        <v>87.66</v>
      </c>
      <c r="AK362" s="35">
        <f>Data!F357</f>
        <v>1077402</v>
      </c>
      <c r="AL362" s="35">
        <f t="shared" si="54"/>
        <v>87.66</v>
      </c>
      <c r="AM362" s="35">
        <f t="shared" si="53"/>
        <v>-1.3461099703399577</v>
      </c>
      <c r="AN362" s="35">
        <f t="shared" si="62"/>
        <v>-37.539098683685381</v>
      </c>
      <c r="AO362" s="35" t="str">
        <f t="shared" si="56"/>
        <v>FITS BITCH</v>
      </c>
      <c r="AP362" s="35" t="str">
        <f t="shared" si="57"/>
        <v>FITS BITCH</v>
      </c>
      <c r="AQ362" s="35" t="str">
        <f t="shared" si="57"/>
        <v>FITS BITCH</v>
      </c>
      <c r="AR362" s="35" t="str">
        <f t="shared" si="58"/>
        <v>no</v>
      </c>
      <c r="AS362" s="35" t="str">
        <f t="shared" si="59"/>
        <v>FITS BITCH</v>
      </c>
      <c r="AT362" s="20" t="str">
        <f t="shared" si="60"/>
        <v/>
      </c>
      <c r="AU362" s="20" t="str">
        <f t="shared" si="61"/>
        <v>BEARISH</v>
      </c>
      <c r="AV362" s="20"/>
      <c r="AW362" s="20"/>
      <c r="AX362" s="20"/>
      <c r="CL362" s="106">
        <v>42622</v>
      </c>
      <c r="CM362" s="107">
        <f t="shared" si="55"/>
        <v>90.142613483125842</v>
      </c>
    </row>
    <row r="363" spans="31:91">
      <c r="AE363" s="26">
        <f>Data!A358</f>
        <v>42444</v>
      </c>
      <c r="AF363" s="35">
        <f>Data!B358</f>
        <v>86.55</v>
      </c>
      <c r="AG363" s="35">
        <f>Data!F358</f>
        <v>1195064</v>
      </c>
      <c r="AH363" s="35">
        <f>Data!C358</f>
        <v>87.34</v>
      </c>
      <c r="AI363" s="35">
        <f>Data!D358</f>
        <v>86.41</v>
      </c>
      <c r="AJ363" s="35">
        <f>Data!E358</f>
        <v>87.32</v>
      </c>
      <c r="AK363" s="35">
        <f>Data!F358</f>
        <v>1195064</v>
      </c>
      <c r="AL363" s="35">
        <f t="shared" si="54"/>
        <v>87.32</v>
      </c>
      <c r="AM363" s="35">
        <f t="shared" si="53"/>
        <v>-0.38937242327073229</v>
      </c>
      <c r="AN363" s="35">
        <f t="shared" si="62"/>
        <v>9.8456651693967849</v>
      </c>
      <c r="AO363" s="35" t="str">
        <f t="shared" si="56"/>
        <v>no</v>
      </c>
      <c r="AP363" s="35" t="str">
        <f t="shared" si="57"/>
        <v>no</v>
      </c>
      <c r="AQ363" s="35" t="str">
        <f t="shared" si="57"/>
        <v>no</v>
      </c>
      <c r="AR363" s="35" t="str">
        <f t="shared" si="58"/>
        <v>FITS BITCH</v>
      </c>
      <c r="AS363" s="35" t="str">
        <f t="shared" si="59"/>
        <v>FITS BITCH</v>
      </c>
      <c r="AT363" s="20" t="str">
        <f t="shared" si="60"/>
        <v/>
      </c>
      <c r="AU363" s="20" t="str">
        <f t="shared" si="61"/>
        <v/>
      </c>
      <c r="AV363" s="20"/>
      <c r="AW363" s="20"/>
      <c r="AX363" s="20"/>
      <c r="CL363" s="106">
        <v>42621</v>
      </c>
      <c r="CM363" s="107">
        <f t="shared" si="55"/>
        <v>90.089326294702914</v>
      </c>
    </row>
    <row r="364" spans="31:91">
      <c r="AE364" s="26">
        <f>Data!A359</f>
        <v>42443</v>
      </c>
      <c r="AF364" s="35">
        <f>Data!B359</f>
        <v>86.81</v>
      </c>
      <c r="AG364" s="35">
        <f>Data!F359</f>
        <v>1311980</v>
      </c>
      <c r="AH364" s="35">
        <f>Data!C359</f>
        <v>87.44</v>
      </c>
      <c r="AI364" s="35">
        <f>Data!D359</f>
        <v>86.57</v>
      </c>
      <c r="AJ364" s="35">
        <f>Data!E359</f>
        <v>87.27</v>
      </c>
      <c r="AK364" s="35">
        <f>Data!F359</f>
        <v>1311980</v>
      </c>
      <c r="AL364" s="35">
        <f t="shared" si="54"/>
        <v>87.27</v>
      </c>
      <c r="AM364" s="35">
        <f t="shared" si="53"/>
        <v>-5.7293457087197394E-2</v>
      </c>
      <c r="AN364" s="35">
        <f t="shared" si="62"/>
        <v>8.9114163325660449</v>
      </c>
      <c r="AO364" s="35" t="str">
        <f t="shared" si="56"/>
        <v>no</v>
      </c>
      <c r="AP364" s="35" t="str">
        <f t="shared" si="57"/>
        <v>no</v>
      </c>
      <c r="AQ364" s="35" t="str">
        <f t="shared" si="57"/>
        <v>FITS BITCH</v>
      </c>
      <c r="AR364" s="35" t="str">
        <f t="shared" si="58"/>
        <v>FITS BITCH</v>
      </c>
      <c r="AS364" s="35" t="b">
        <f t="shared" si="59"/>
        <v>0</v>
      </c>
      <c r="AT364" s="20" t="str">
        <f t="shared" si="60"/>
        <v/>
      </c>
      <c r="AU364" s="20" t="str">
        <f t="shared" si="61"/>
        <v/>
      </c>
      <c r="AV364" s="20"/>
      <c r="AW364" s="20"/>
      <c r="AX364" s="20"/>
      <c r="CL364" s="106">
        <v>42620</v>
      </c>
      <c r="CM364" s="107">
        <f t="shared" si="55"/>
        <v>90.036039106279986</v>
      </c>
    </row>
    <row r="365" spans="31:91">
      <c r="AE365" s="26">
        <f>Data!A360</f>
        <v>42440</v>
      </c>
      <c r="AF365" s="35">
        <f>Data!B360</f>
        <v>86.31</v>
      </c>
      <c r="AG365" s="35">
        <f>Data!F360</f>
        <v>1863316</v>
      </c>
      <c r="AH365" s="35">
        <f>Data!C360</f>
        <v>87.49</v>
      </c>
      <c r="AI365" s="35">
        <f>Data!D360</f>
        <v>85.67</v>
      </c>
      <c r="AJ365" s="35">
        <f>Data!E360</f>
        <v>87.27</v>
      </c>
      <c r="AK365" s="35">
        <f>Data!F360</f>
        <v>1863316</v>
      </c>
      <c r="AL365" s="35">
        <f t="shared" si="54"/>
        <v>87.27</v>
      </c>
      <c r="AM365" s="35">
        <f t="shared" si="53"/>
        <v>0</v>
      </c>
      <c r="AN365" s="35">
        <f t="shared" si="62"/>
        <v>29.588969342827522</v>
      </c>
      <c r="AO365" s="35" t="str">
        <f t="shared" si="56"/>
        <v>no</v>
      </c>
      <c r="AP365" s="35" t="str">
        <f t="shared" si="57"/>
        <v>FITS BITCH</v>
      </c>
      <c r="AQ365" s="35" t="str">
        <f t="shared" si="57"/>
        <v>FITS BITCH</v>
      </c>
      <c r="AR365" s="35" t="str">
        <f t="shared" si="58"/>
        <v>no</v>
      </c>
      <c r="AS365" s="35" t="str">
        <f t="shared" si="59"/>
        <v>FITS BITCH</v>
      </c>
      <c r="AT365" s="20" t="str">
        <f t="shared" si="60"/>
        <v/>
      </c>
      <c r="AU365" s="20" t="str">
        <f t="shared" si="61"/>
        <v/>
      </c>
      <c r="AV365" s="20"/>
      <c r="AW365" s="20"/>
      <c r="AX365" s="20"/>
      <c r="CL365" s="106">
        <v>42619</v>
      </c>
      <c r="CM365" s="107">
        <f t="shared" si="55"/>
        <v>89.982751917857513</v>
      </c>
    </row>
    <row r="366" spans="31:91">
      <c r="AE366" s="26">
        <f>Data!A361</f>
        <v>42439</v>
      </c>
      <c r="AF366" s="35">
        <f>Data!B361</f>
        <v>86.21</v>
      </c>
      <c r="AG366" s="35">
        <f>Data!F361</f>
        <v>1528377</v>
      </c>
      <c r="AH366" s="35">
        <f>Data!C361</f>
        <v>86.75</v>
      </c>
      <c r="AI366" s="35">
        <f>Data!D361</f>
        <v>84.36</v>
      </c>
      <c r="AJ366" s="35">
        <f>Data!E361</f>
        <v>85.2</v>
      </c>
      <c r="AK366" s="35">
        <f>Data!F361</f>
        <v>1528377</v>
      </c>
      <c r="AL366" s="35">
        <f t="shared" si="54"/>
        <v>85.2</v>
      </c>
      <c r="AM366" s="35">
        <f t="shared" ref="AM366:AM429" si="63">(AL366-AL365)/AL366*100</f>
        <v>-2.4295774647887245</v>
      </c>
      <c r="AN366" s="35">
        <f t="shared" si="62"/>
        <v>-21.914684662226662</v>
      </c>
      <c r="AO366" s="35" t="str">
        <f t="shared" si="56"/>
        <v>FITS BITCH</v>
      </c>
      <c r="AP366" s="35" t="str">
        <f t="shared" si="57"/>
        <v>FITS BITCH</v>
      </c>
      <c r="AQ366" s="35" t="str">
        <f t="shared" si="57"/>
        <v>no</v>
      </c>
      <c r="AR366" s="35" t="str">
        <f t="shared" si="58"/>
        <v>FITS BITCH</v>
      </c>
      <c r="AS366" s="35" t="str">
        <f t="shared" si="59"/>
        <v>no</v>
      </c>
      <c r="AT366" s="20" t="str">
        <f t="shared" si="60"/>
        <v>BULLISH</v>
      </c>
      <c r="AU366" s="20" t="str">
        <f t="shared" si="61"/>
        <v/>
      </c>
      <c r="AV366" s="20"/>
      <c r="AW366" s="20"/>
      <c r="AX366" s="20"/>
      <c r="CL366" s="106">
        <v>42618</v>
      </c>
      <c r="CM366" s="107">
        <f t="shared" si="55"/>
        <v>89.929464729434585</v>
      </c>
    </row>
    <row r="367" spans="31:91">
      <c r="AE367" s="26">
        <f>Data!A362</f>
        <v>42438</v>
      </c>
      <c r="AF367" s="35">
        <f>Data!B362</f>
        <v>85.33</v>
      </c>
      <c r="AG367" s="35">
        <f>Data!F362</f>
        <v>1636318</v>
      </c>
      <c r="AH367" s="35">
        <f>Data!C362</f>
        <v>85.77</v>
      </c>
      <c r="AI367" s="35">
        <f>Data!D362</f>
        <v>85.03</v>
      </c>
      <c r="AJ367" s="35">
        <f>Data!E362</f>
        <v>85.72</v>
      </c>
      <c r="AK367" s="35">
        <f>Data!F362</f>
        <v>1636318</v>
      </c>
      <c r="AL367" s="35">
        <f t="shared" si="54"/>
        <v>85.72</v>
      </c>
      <c r="AM367" s="35">
        <f t="shared" si="63"/>
        <v>0.60662622491833418</v>
      </c>
      <c r="AN367" s="35">
        <f t="shared" si="62"/>
        <v>6.5965784156869267</v>
      </c>
      <c r="AO367" s="35" t="str">
        <f t="shared" si="56"/>
        <v>no</v>
      </c>
      <c r="AP367" s="35" t="str">
        <f t="shared" si="57"/>
        <v>no</v>
      </c>
      <c r="AQ367" s="35" t="str">
        <f t="shared" si="57"/>
        <v>no</v>
      </c>
      <c r="AR367" s="35" t="str">
        <f t="shared" si="58"/>
        <v>FITS BITCH</v>
      </c>
      <c r="AS367" s="35" t="str">
        <f t="shared" si="59"/>
        <v>FITS BITCH</v>
      </c>
      <c r="AT367" s="20" t="str">
        <f t="shared" si="60"/>
        <v/>
      </c>
      <c r="AU367" s="20" t="str">
        <f t="shared" si="61"/>
        <v/>
      </c>
      <c r="AV367" s="20"/>
      <c r="AW367" s="20"/>
      <c r="AX367" s="20"/>
      <c r="CL367" s="106">
        <v>42615</v>
      </c>
      <c r="CM367" s="107">
        <f t="shared" si="55"/>
        <v>89.769603164166256</v>
      </c>
    </row>
    <row r="368" spans="31:91">
      <c r="AE368" s="26">
        <f>Data!A363</f>
        <v>42437</v>
      </c>
      <c r="AF368" s="35">
        <f>Data!B363</f>
        <v>85.6</v>
      </c>
      <c r="AG368" s="35">
        <f>Data!F363</f>
        <v>1741632</v>
      </c>
      <c r="AH368" s="35">
        <f>Data!C363</f>
        <v>86.14</v>
      </c>
      <c r="AI368" s="35">
        <f>Data!D363</f>
        <v>85.05</v>
      </c>
      <c r="AJ368" s="35">
        <f>Data!E363</f>
        <v>85.49</v>
      </c>
      <c r="AK368" s="35">
        <f>Data!F363</f>
        <v>1741632</v>
      </c>
      <c r="AL368" s="35">
        <f t="shared" si="54"/>
        <v>85.49</v>
      </c>
      <c r="AM368" s="35">
        <f t="shared" si="63"/>
        <v>-0.26903731430577144</v>
      </c>
      <c r="AN368" s="35">
        <f t="shared" si="62"/>
        <v>6.0468572006026529</v>
      </c>
      <c r="AO368" s="35" t="str">
        <f t="shared" si="56"/>
        <v>no</v>
      </c>
      <c r="AP368" s="35" t="str">
        <f t="shared" si="57"/>
        <v>no</v>
      </c>
      <c r="AQ368" s="35" t="str">
        <f t="shared" si="57"/>
        <v>no</v>
      </c>
      <c r="AR368" s="35" t="str">
        <f t="shared" si="58"/>
        <v>FITS BITCH</v>
      </c>
      <c r="AS368" s="35" t="str">
        <f t="shared" si="59"/>
        <v>no</v>
      </c>
      <c r="AT368" s="20" t="str">
        <f t="shared" si="60"/>
        <v/>
      </c>
      <c r="AU368" s="20" t="str">
        <f t="shared" si="61"/>
        <v/>
      </c>
      <c r="AV368" s="20"/>
      <c r="AW368" s="20"/>
      <c r="AX368" s="20"/>
      <c r="CL368" s="106">
        <v>42614</v>
      </c>
      <c r="CM368" s="107">
        <f t="shared" si="55"/>
        <v>89.716315975743782</v>
      </c>
    </row>
    <row r="369" spans="31:91">
      <c r="AE369" s="26">
        <f>Data!A364</f>
        <v>42436</v>
      </c>
      <c r="AF369" s="35">
        <f>Data!B364</f>
        <v>85.48</v>
      </c>
      <c r="AG369" s="35">
        <f>Data!F364</f>
        <v>1399957</v>
      </c>
      <c r="AH369" s="35">
        <f>Data!C364</f>
        <v>86.46</v>
      </c>
      <c r="AI369" s="35">
        <f>Data!D364</f>
        <v>85.48</v>
      </c>
      <c r="AJ369" s="35">
        <f>Data!E364</f>
        <v>86.09</v>
      </c>
      <c r="AK369" s="35">
        <f>Data!F364</f>
        <v>1399957</v>
      </c>
      <c r="AL369" s="35">
        <f t="shared" si="54"/>
        <v>86.09</v>
      </c>
      <c r="AM369" s="35">
        <f t="shared" si="63"/>
        <v>0.69694505749797719</v>
      </c>
      <c r="AN369" s="35">
        <f t="shared" si="62"/>
        <v>-24.406106758993314</v>
      </c>
      <c r="AO369" s="35" t="str">
        <f t="shared" si="56"/>
        <v>FITS BITCH</v>
      </c>
      <c r="AP369" s="35" t="str">
        <f t="shared" si="57"/>
        <v>FITS BITCH</v>
      </c>
      <c r="AQ369" s="35" t="str">
        <f t="shared" si="57"/>
        <v>FITS BITCH</v>
      </c>
      <c r="AR369" s="35" t="str">
        <f t="shared" si="58"/>
        <v>FITS BITCH</v>
      </c>
      <c r="AS369" s="35" t="str">
        <f t="shared" si="59"/>
        <v>no</v>
      </c>
      <c r="AT369" s="20" t="str">
        <f t="shared" si="60"/>
        <v>BULLISH</v>
      </c>
      <c r="AU369" s="20" t="str">
        <f t="shared" si="61"/>
        <v/>
      </c>
      <c r="AV369" s="20"/>
      <c r="AW369" s="20"/>
      <c r="AX369" s="20"/>
      <c r="CL369" s="106">
        <v>42613</v>
      </c>
      <c r="CM369" s="107">
        <f t="shared" si="55"/>
        <v>89.663028787320854</v>
      </c>
    </row>
    <row r="370" spans="31:91">
      <c r="AE370" s="26">
        <f>Data!A365</f>
        <v>42433</v>
      </c>
      <c r="AF370" s="35">
        <f>Data!B365</f>
        <v>85.91</v>
      </c>
      <c r="AG370" s="35">
        <f>Data!F365</f>
        <v>1580010</v>
      </c>
      <c r="AH370" s="35">
        <f>Data!C365</f>
        <v>86.36</v>
      </c>
      <c r="AI370" s="35">
        <f>Data!D365</f>
        <v>85.33</v>
      </c>
      <c r="AJ370" s="35">
        <f>Data!E365</f>
        <v>86.19</v>
      </c>
      <c r="AK370" s="35">
        <f>Data!F365</f>
        <v>1580010</v>
      </c>
      <c r="AL370" s="35">
        <f t="shared" si="54"/>
        <v>86.19</v>
      </c>
      <c r="AM370" s="35">
        <f t="shared" si="63"/>
        <v>0.11602274045712301</v>
      </c>
      <c r="AN370" s="35">
        <f t="shared" si="62"/>
        <v>11.395687369067284</v>
      </c>
      <c r="AO370" s="35" t="str">
        <f t="shared" si="56"/>
        <v>no</v>
      </c>
      <c r="AP370" s="35" t="str">
        <f t="shared" si="57"/>
        <v>FITS BITCH</v>
      </c>
      <c r="AQ370" s="35" t="str">
        <f t="shared" si="57"/>
        <v>FITS BITCH</v>
      </c>
      <c r="AR370" s="35" t="str">
        <f t="shared" si="58"/>
        <v>no</v>
      </c>
      <c r="AS370" s="35" t="str">
        <f t="shared" si="59"/>
        <v>FITS BITCH</v>
      </c>
      <c r="AT370" s="20" t="str">
        <f t="shared" si="60"/>
        <v/>
      </c>
      <c r="AU370" s="20" t="str">
        <f t="shared" si="61"/>
        <v/>
      </c>
      <c r="AV370" s="20"/>
      <c r="AW370" s="20"/>
      <c r="AX370" s="20"/>
      <c r="CL370" s="106">
        <v>42612</v>
      </c>
      <c r="CM370" s="107">
        <f t="shared" si="55"/>
        <v>89.609741598897926</v>
      </c>
    </row>
    <row r="371" spans="31:91">
      <c r="AE371" s="26">
        <f>Data!A366</f>
        <v>42432</v>
      </c>
      <c r="AF371" s="35">
        <f>Data!B366</f>
        <v>84.85</v>
      </c>
      <c r="AG371" s="35">
        <f>Data!F366</f>
        <v>1700511</v>
      </c>
      <c r="AH371" s="35">
        <f>Data!C366</f>
        <v>85.72</v>
      </c>
      <c r="AI371" s="35">
        <f>Data!D366</f>
        <v>84.85</v>
      </c>
      <c r="AJ371" s="35">
        <f>Data!E366</f>
        <v>85.65</v>
      </c>
      <c r="AK371" s="35">
        <f>Data!F366</f>
        <v>1700511</v>
      </c>
      <c r="AL371" s="35">
        <f t="shared" si="54"/>
        <v>85.65</v>
      </c>
      <c r="AM371" s="35">
        <f t="shared" si="63"/>
        <v>-0.63047285464097147</v>
      </c>
      <c r="AN371" s="35">
        <f t="shared" si="62"/>
        <v>7.0861641000852096</v>
      </c>
      <c r="AO371" s="35" t="str">
        <f t="shared" si="56"/>
        <v>no</v>
      </c>
      <c r="AP371" s="35" t="str">
        <f t="shared" si="57"/>
        <v>no</v>
      </c>
      <c r="AQ371" s="35" t="str">
        <f t="shared" si="57"/>
        <v>no</v>
      </c>
      <c r="AR371" s="35" t="str">
        <f t="shared" si="58"/>
        <v>FITS BITCH</v>
      </c>
      <c r="AS371" s="35" t="b">
        <f t="shared" si="59"/>
        <v>0</v>
      </c>
      <c r="AT371" s="20" t="str">
        <f t="shared" si="60"/>
        <v/>
      </c>
      <c r="AU371" s="20" t="str">
        <f t="shared" si="61"/>
        <v/>
      </c>
      <c r="AV371" s="20"/>
      <c r="AW371" s="20"/>
      <c r="AX371" s="20"/>
      <c r="CL371" s="106">
        <v>42611</v>
      </c>
      <c r="CM371" s="107">
        <f t="shared" si="55"/>
        <v>89.556454410475453</v>
      </c>
    </row>
    <row r="372" spans="31:91">
      <c r="AE372" s="26">
        <f>Data!A367</f>
        <v>42431</v>
      </c>
      <c r="AF372" s="35">
        <f>Data!B367</f>
        <v>86.36</v>
      </c>
      <c r="AG372" s="35">
        <f>Data!F367</f>
        <v>2059346</v>
      </c>
      <c r="AH372" s="35">
        <f>Data!C367</f>
        <v>86.36</v>
      </c>
      <c r="AI372" s="35">
        <f>Data!D367</f>
        <v>85.01</v>
      </c>
      <c r="AJ372" s="35">
        <f>Data!E367</f>
        <v>85.65</v>
      </c>
      <c r="AK372" s="35">
        <f>Data!F367</f>
        <v>2059346</v>
      </c>
      <c r="AL372" s="35">
        <f t="shared" si="54"/>
        <v>85.65</v>
      </c>
      <c r="AM372" s="35">
        <f t="shared" si="63"/>
        <v>0</v>
      </c>
      <c r="AN372" s="35">
        <f t="shared" si="62"/>
        <v>17.424706678722274</v>
      </c>
      <c r="AO372" s="35" t="str">
        <f t="shared" si="56"/>
        <v>no</v>
      </c>
      <c r="AP372" s="35" t="str">
        <f t="shared" si="57"/>
        <v>no</v>
      </c>
      <c r="AQ372" s="35" t="str">
        <f t="shared" si="57"/>
        <v>no</v>
      </c>
      <c r="AR372" s="35" t="str">
        <f t="shared" si="58"/>
        <v>FITS BITCH</v>
      </c>
      <c r="AS372" s="35" t="str">
        <f t="shared" si="59"/>
        <v>no</v>
      </c>
      <c r="AT372" s="20" t="str">
        <f t="shared" si="60"/>
        <v/>
      </c>
      <c r="AU372" s="20" t="str">
        <f t="shared" si="61"/>
        <v/>
      </c>
      <c r="AV372" s="20"/>
      <c r="AW372" s="20"/>
      <c r="AX372" s="20"/>
      <c r="CL372" s="106">
        <v>42608</v>
      </c>
      <c r="CM372" s="107">
        <f t="shared" si="55"/>
        <v>89.396592845207124</v>
      </c>
    </row>
    <row r="373" spans="31:91">
      <c r="AE373" s="26">
        <f>Data!A368</f>
        <v>42430</v>
      </c>
      <c r="AF373" s="35">
        <f>Data!B368</f>
        <v>85.62</v>
      </c>
      <c r="AG373" s="35">
        <f>Data!F368</f>
        <v>1579881</v>
      </c>
      <c r="AH373" s="35">
        <f>Data!C368</f>
        <v>86.77</v>
      </c>
      <c r="AI373" s="35">
        <f>Data!D368</f>
        <v>85.26</v>
      </c>
      <c r="AJ373" s="35">
        <f>Data!E368</f>
        <v>86.77</v>
      </c>
      <c r="AK373" s="35">
        <f>Data!F368</f>
        <v>1579881</v>
      </c>
      <c r="AL373" s="35">
        <f t="shared" si="54"/>
        <v>86.77</v>
      </c>
      <c r="AM373" s="35">
        <f t="shared" si="63"/>
        <v>1.2907686988590417</v>
      </c>
      <c r="AN373" s="35">
        <f t="shared" si="62"/>
        <v>-30.348171792685651</v>
      </c>
      <c r="AO373" s="35" t="str">
        <f t="shared" si="56"/>
        <v>FITS BITCH</v>
      </c>
      <c r="AP373" s="35" t="str">
        <f t="shared" si="57"/>
        <v>FITS BITCH</v>
      </c>
      <c r="AQ373" s="35" t="str">
        <f t="shared" si="57"/>
        <v>FITS BITCH</v>
      </c>
      <c r="AR373" s="35" t="str">
        <f t="shared" si="58"/>
        <v>no</v>
      </c>
      <c r="AS373" s="35" t="str">
        <f t="shared" si="59"/>
        <v>FITS BITCH</v>
      </c>
      <c r="AT373" s="20" t="str">
        <f t="shared" si="60"/>
        <v/>
      </c>
      <c r="AU373" s="20" t="str">
        <f t="shared" si="61"/>
        <v>BEARISH</v>
      </c>
      <c r="AV373" s="20"/>
      <c r="AW373" s="20"/>
      <c r="AX373" s="20"/>
      <c r="CL373" s="106">
        <v>42607</v>
      </c>
      <c r="CM373" s="107">
        <f t="shared" si="55"/>
        <v>89.343305656784196</v>
      </c>
    </row>
    <row r="374" spans="31:91">
      <c r="AE374" s="26">
        <f>Data!A369</f>
        <v>42429</v>
      </c>
      <c r="AF374" s="35">
        <f>Data!B369</f>
        <v>85.41</v>
      </c>
      <c r="AG374" s="35">
        <f>Data!F369</f>
        <v>1785085</v>
      </c>
      <c r="AH374" s="35">
        <f>Data!C369</f>
        <v>86.04</v>
      </c>
      <c r="AI374" s="35">
        <f>Data!D369</f>
        <v>84.67</v>
      </c>
      <c r="AJ374" s="35">
        <f>Data!E369</f>
        <v>84.69</v>
      </c>
      <c r="AK374" s="35">
        <f>Data!F369</f>
        <v>1785085</v>
      </c>
      <c r="AL374" s="35">
        <f t="shared" si="54"/>
        <v>84.69</v>
      </c>
      <c r="AM374" s="35">
        <f t="shared" si="63"/>
        <v>-2.4560160585665347</v>
      </c>
      <c r="AN374" s="35">
        <f t="shared" si="62"/>
        <v>11.495475005391901</v>
      </c>
      <c r="AO374" s="35" t="str">
        <f t="shared" si="56"/>
        <v>no</v>
      </c>
      <c r="AP374" s="35" t="str">
        <f t="shared" si="57"/>
        <v>no</v>
      </c>
      <c r="AQ374" s="35" t="str">
        <f t="shared" si="57"/>
        <v>no</v>
      </c>
      <c r="AR374" s="35" t="str">
        <f t="shared" si="58"/>
        <v>FITS BITCH</v>
      </c>
      <c r="AS374" s="35" t="str">
        <f t="shared" si="59"/>
        <v>no</v>
      </c>
      <c r="AT374" s="20" t="str">
        <f t="shared" si="60"/>
        <v/>
      </c>
      <c r="AU374" s="20" t="str">
        <f t="shared" si="61"/>
        <v/>
      </c>
      <c r="AV374" s="20"/>
      <c r="AW374" s="20"/>
      <c r="AX374" s="20"/>
      <c r="CL374" s="106">
        <v>42606</v>
      </c>
      <c r="CM374" s="107">
        <f t="shared" si="55"/>
        <v>89.290018468361268</v>
      </c>
    </row>
    <row r="375" spans="31:91">
      <c r="AE375" s="26">
        <f>Data!A370</f>
        <v>42426</v>
      </c>
      <c r="AF375" s="35">
        <f>Data!B370</f>
        <v>86.54</v>
      </c>
      <c r="AG375" s="35">
        <f>Data!F370</f>
        <v>1401968</v>
      </c>
      <c r="AH375" s="35">
        <f>Data!C370</f>
        <v>86.57</v>
      </c>
      <c r="AI375" s="35">
        <f>Data!D370</f>
        <v>85.22</v>
      </c>
      <c r="AJ375" s="35">
        <f>Data!E370</f>
        <v>85.66</v>
      </c>
      <c r="AK375" s="35">
        <f>Data!F370</f>
        <v>1401968</v>
      </c>
      <c r="AL375" s="35">
        <f t="shared" si="54"/>
        <v>85.66</v>
      </c>
      <c r="AM375" s="35">
        <f t="shared" si="63"/>
        <v>1.132383843100629</v>
      </c>
      <c r="AN375" s="35">
        <f t="shared" si="62"/>
        <v>-27.327085924928383</v>
      </c>
      <c r="AO375" s="35" t="str">
        <f t="shared" si="56"/>
        <v>FITS BITCH</v>
      </c>
      <c r="AP375" s="35" t="str">
        <f t="shared" si="57"/>
        <v>FITS BITCH</v>
      </c>
      <c r="AQ375" s="35" t="str">
        <f t="shared" si="57"/>
        <v>FITS BITCH</v>
      </c>
      <c r="AR375" s="35" t="str">
        <f t="shared" si="58"/>
        <v>FITS BITCH</v>
      </c>
      <c r="AS375" s="35" t="str">
        <f t="shared" si="59"/>
        <v>no</v>
      </c>
      <c r="AT375" s="20" t="str">
        <f t="shared" si="60"/>
        <v>BULLISH</v>
      </c>
      <c r="AU375" s="20" t="str">
        <f t="shared" si="61"/>
        <v/>
      </c>
      <c r="AV375" s="20"/>
      <c r="AW375" s="20"/>
      <c r="AX375" s="20"/>
      <c r="CL375" s="106">
        <v>42605</v>
      </c>
      <c r="CM375" s="107">
        <f t="shared" si="55"/>
        <v>89.236731279938795</v>
      </c>
    </row>
    <row r="376" spans="31:91">
      <c r="AE376" s="26">
        <f>Data!A371</f>
        <v>42425</v>
      </c>
      <c r="AF376" s="35">
        <f>Data!B371</f>
        <v>86.11</v>
      </c>
      <c r="AG376" s="35">
        <f>Data!F371</f>
        <v>1418243</v>
      </c>
      <c r="AH376" s="35">
        <f>Data!C371</f>
        <v>86.12</v>
      </c>
      <c r="AI376" s="35">
        <f>Data!D371</f>
        <v>84.83</v>
      </c>
      <c r="AJ376" s="35">
        <f>Data!E371</f>
        <v>85.92</v>
      </c>
      <c r="AK376" s="35">
        <f>Data!F371</f>
        <v>1418243</v>
      </c>
      <c r="AL376" s="35">
        <f t="shared" si="54"/>
        <v>85.92</v>
      </c>
      <c r="AM376" s="35">
        <f t="shared" si="63"/>
        <v>0.30260707635009909</v>
      </c>
      <c r="AN376" s="35">
        <f t="shared" si="62"/>
        <v>1.1475466475068095</v>
      </c>
      <c r="AO376" s="35" t="str">
        <f t="shared" si="56"/>
        <v>no</v>
      </c>
      <c r="AP376" s="35" t="str">
        <f t="shared" si="57"/>
        <v>FITS BITCH</v>
      </c>
      <c r="AQ376" s="35" t="str">
        <f t="shared" si="57"/>
        <v>FITS BITCH</v>
      </c>
      <c r="AR376" s="35" t="str">
        <f t="shared" si="58"/>
        <v>no</v>
      </c>
      <c r="AS376" s="35" t="str">
        <f t="shared" si="59"/>
        <v>FITS BITCH</v>
      </c>
      <c r="AT376" s="20" t="str">
        <f t="shared" si="60"/>
        <v/>
      </c>
      <c r="AU376" s="20" t="str">
        <f t="shared" si="61"/>
        <v/>
      </c>
      <c r="AV376" s="20"/>
      <c r="AW376" s="20"/>
      <c r="AX376" s="20"/>
      <c r="CL376" s="106">
        <v>42604</v>
      </c>
      <c r="CM376" s="107">
        <f t="shared" si="55"/>
        <v>89.183444091515867</v>
      </c>
    </row>
    <row r="377" spans="31:91">
      <c r="AE377" s="26">
        <f>Data!A372</f>
        <v>42424</v>
      </c>
      <c r="AF377" s="35">
        <f>Data!B372</f>
        <v>83.92</v>
      </c>
      <c r="AG377" s="35">
        <f>Data!F372</f>
        <v>1727228</v>
      </c>
      <c r="AH377" s="35">
        <f>Data!C372</f>
        <v>85.47</v>
      </c>
      <c r="AI377" s="35">
        <f>Data!D372</f>
        <v>83.09</v>
      </c>
      <c r="AJ377" s="35">
        <f>Data!E372</f>
        <v>85.26</v>
      </c>
      <c r="AK377" s="35">
        <f>Data!F372</f>
        <v>1727228</v>
      </c>
      <c r="AL377" s="35">
        <f t="shared" si="54"/>
        <v>85.26</v>
      </c>
      <c r="AM377" s="35">
        <f t="shared" si="63"/>
        <v>-0.77410274454609029</v>
      </c>
      <c r="AN377" s="35">
        <f t="shared" si="62"/>
        <v>17.889068495878945</v>
      </c>
      <c r="AO377" s="35" t="str">
        <f t="shared" si="56"/>
        <v>no</v>
      </c>
      <c r="AP377" s="35" t="str">
        <f t="shared" si="57"/>
        <v>no</v>
      </c>
      <c r="AQ377" s="35" t="str">
        <f t="shared" si="57"/>
        <v>no</v>
      </c>
      <c r="AR377" s="35" t="str">
        <f t="shared" si="58"/>
        <v>FITS BITCH</v>
      </c>
      <c r="AS377" s="35" t="str">
        <f t="shared" si="59"/>
        <v>FITS BITCH</v>
      </c>
      <c r="AT377" s="20" t="str">
        <f t="shared" si="60"/>
        <v/>
      </c>
      <c r="AU377" s="20" t="str">
        <f t="shared" si="61"/>
        <v/>
      </c>
      <c r="AV377" s="20"/>
      <c r="AW377" s="20"/>
      <c r="AX377" s="20"/>
      <c r="CL377" s="106">
        <v>42601</v>
      </c>
      <c r="CM377" s="107">
        <f t="shared" si="55"/>
        <v>89.023582526247537</v>
      </c>
    </row>
    <row r="378" spans="31:91">
      <c r="AE378" s="26">
        <f>Data!A373</f>
        <v>42423</v>
      </c>
      <c r="AF378" s="35">
        <f>Data!B373</f>
        <v>86.12</v>
      </c>
      <c r="AG378" s="35">
        <f>Data!F373</f>
        <v>1853391</v>
      </c>
      <c r="AH378" s="35">
        <f>Data!C373</f>
        <v>86.48</v>
      </c>
      <c r="AI378" s="35">
        <f>Data!D373</f>
        <v>84.69</v>
      </c>
      <c r="AJ378" s="35">
        <f>Data!E373</f>
        <v>84.85</v>
      </c>
      <c r="AK378" s="35">
        <f>Data!F373</f>
        <v>1853391</v>
      </c>
      <c r="AL378" s="35">
        <f t="shared" si="54"/>
        <v>84.85</v>
      </c>
      <c r="AM378" s="35">
        <f t="shared" si="63"/>
        <v>-0.48320565704185131</v>
      </c>
      <c r="AN378" s="35">
        <f t="shared" si="62"/>
        <v>6.8071443100781215</v>
      </c>
      <c r="AO378" s="35" t="str">
        <f t="shared" si="56"/>
        <v>no</v>
      </c>
      <c r="AP378" s="35" t="str">
        <f t="shared" si="57"/>
        <v>no</v>
      </c>
      <c r="AQ378" s="35" t="str">
        <f t="shared" si="57"/>
        <v>no</v>
      </c>
      <c r="AR378" s="35" t="str">
        <f t="shared" si="58"/>
        <v>FITS BITCH</v>
      </c>
      <c r="AS378" s="35" t="str">
        <f t="shared" si="59"/>
        <v>no</v>
      </c>
      <c r="AT378" s="20" t="str">
        <f t="shared" si="60"/>
        <v/>
      </c>
      <c r="AU378" s="20" t="str">
        <f t="shared" si="61"/>
        <v/>
      </c>
      <c r="AV378" s="20"/>
      <c r="AW378" s="20"/>
      <c r="AX378" s="20"/>
      <c r="CL378" s="106">
        <v>42600</v>
      </c>
      <c r="CM378" s="107">
        <f t="shared" si="55"/>
        <v>88.970295337824609</v>
      </c>
    </row>
    <row r="379" spans="31:91">
      <c r="AE379" s="26">
        <f>Data!A374</f>
        <v>42422</v>
      </c>
      <c r="AF379" s="35">
        <f>Data!B374</f>
        <v>85.99</v>
      </c>
      <c r="AG379" s="35">
        <f>Data!F374</f>
        <v>1616651</v>
      </c>
      <c r="AH379" s="35">
        <f>Data!C374</f>
        <v>86.76</v>
      </c>
      <c r="AI379" s="35">
        <f>Data!D374</f>
        <v>85.94</v>
      </c>
      <c r="AJ379" s="35">
        <f>Data!E374</f>
        <v>86.4</v>
      </c>
      <c r="AK379" s="35">
        <f>Data!F374</f>
        <v>1616651</v>
      </c>
      <c r="AL379" s="35">
        <f t="shared" si="54"/>
        <v>86.4</v>
      </c>
      <c r="AM379" s="35">
        <f t="shared" si="63"/>
        <v>1.7939814814814947</v>
      </c>
      <c r="AN379" s="35">
        <f t="shared" si="62"/>
        <v>-14.643853249711904</v>
      </c>
      <c r="AO379" s="35" t="str">
        <f t="shared" si="56"/>
        <v>FITS BITCH</v>
      </c>
      <c r="AP379" s="35" t="str">
        <f t="shared" si="57"/>
        <v>FITS BITCH</v>
      </c>
      <c r="AQ379" s="35" t="str">
        <f t="shared" si="57"/>
        <v>FITS BITCH</v>
      </c>
      <c r="AR379" s="35" t="str">
        <f t="shared" si="58"/>
        <v>no</v>
      </c>
      <c r="AS379" s="35" t="str">
        <f t="shared" si="59"/>
        <v>FITS BITCH</v>
      </c>
      <c r="AT379" s="20" t="str">
        <f t="shared" si="60"/>
        <v/>
      </c>
      <c r="AU379" s="20" t="str">
        <f t="shared" si="61"/>
        <v>BEARISH</v>
      </c>
      <c r="AV379" s="20"/>
      <c r="AW379" s="20"/>
      <c r="AX379" s="20"/>
      <c r="CL379" s="106">
        <v>42599</v>
      </c>
      <c r="CM379" s="107">
        <f t="shared" si="55"/>
        <v>88.917008149402136</v>
      </c>
    </row>
    <row r="380" spans="31:91">
      <c r="AE380" s="26">
        <f>Data!A375</f>
        <v>42419</v>
      </c>
      <c r="AF380" s="35">
        <f>Data!B375</f>
        <v>84.82</v>
      </c>
      <c r="AG380" s="35">
        <f>Data!F375</f>
        <v>2063227</v>
      </c>
      <c r="AH380" s="35">
        <f>Data!C375</f>
        <v>85.69</v>
      </c>
      <c r="AI380" s="35">
        <f>Data!D375</f>
        <v>84.39</v>
      </c>
      <c r="AJ380" s="35">
        <f>Data!E375</f>
        <v>85.56</v>
      </c>
      <c r="AK380" s="35">
        <f>Data!F375</f>
        <v>2063227</v>
      </c>
      <c r="AL380" s="35">
        <f t="shared" si="54"/>
        <v>85.56</v>
      </c>
      <c r="AM380" s="35">
        <f t="shared" si="63"/>
        <v>-0.98176718092567017</v>
      </c>
      <c r="AN380" s="35">
        <f t="shared" si="62"/>
        <v>21.644540324452908</v>
      </c>
      <c r="AO380" s="35" t="str">
        <f t="shared" si="56"/>
        <v>no</v>
      </c>
      <c r="AP380" s="35" t="str">
        <f t="shared" si="57"/>
        <v>no</v>
      </c>
      <c r="AQ380" s="35" t="str">
        <f t="shared" si="57"/>
        <v>no</v>
      </c>
      <c r="AR380" s="35" t="str">
        <f t="shared" si="58"/>
        <v>FITS BITCH</v>
      </c>
      <c r="AS380" s="35" t="str">
        <f t="shared" si="59"/>
        <v>FITS BITCH</v>
      </c>
      <c r="AT380" s="20" t="str">
        <f t="shared" si="60"/>
        <v/>
      </c>
      <c r="AU380" s="20" t="str">
        <f t="shared" si="61"/>
        <v/>
      </c>
      <c r="AV380" s="20"/>
      <c r="AW380" s="20"/>
      <c r="AX380" s="20"/>
      <c r="CL380" s="106">
        <v>42598</v>
      </c>
      <c r="CM380" s="107">
        <f t="shared" si="55"/>
        <v>88.863720960979208</v>
      </c>
    </row>
    <row r="381" spans="31:91">
      <c r="AE381" s="26">
        <f>Data!A376</f>
        <v>42418</v>
      </c>
      <c r="AF381" s="35">
        <f>Data!B376</f>
        <v>85.48</v>
      </c>
      <c r="AG381" s="35">
        <f>Data!F376</f>
        <v>1537110</v>
      </c>
      <c r="AH381" s="35">
        <f>Data!C376</f>
        <v>85.7</v>
      </c>
      <c r="AI381" s="35">
        <f>Data!D376</f>
        <v>84.76</v>
      </c>
      <c r="AJ381" s="35">
        <f>Data!E376</f>
        <v>84.91</v>
      </c>
      <c r="AK381" s="35">
        <f>Data!F376</f>
        <v>1537110</v>
      </c>
      <c r="AL381" s="35">
        <f t="shared" si="54"/>
        <v>84.91</v>
      </c>
      <c r="AM381" s="35">
        <f t="shared" si="63"/>
        <v>-0.76551642916029405</v>
      </c>
      <c r="AN381" s="35">
        <f t="shared" si="62"/>
        <v>-34.227674011619207</v>
      </c>
      <c r="AO381" s="35" t="str">
        <f t="shared" si="56"/>
        <v>FITS BITCH</v>
      </c>
      <c r="AP381" s="35" t="str">
        <f t="shared" si="57"/>
        <v>FITS BITCH</v>
      </c>
      <c r="AQ381" s="35" t="str">
        <f t="shared" si="57"/>
        <v>FITS BITCH</v>
      </c>
      <c r="AR381" s="35" t="str">
        <f t="shared" si="58"/>
        <v>FITS BITCH</v>
      </c>
      <c r="AS381" s="35" t="str">
        <f t="shared" si="59"/>
        <v>no</v>
      </c>
      <c r="AT381" s="20" t="str">
        <f t="shared" si="60"/>
        <v>BULLISH</v>
      </c>
      <c r="AU381" s="20" t="str">
        <f t="shared" si="61"/>
        <v/>
      </c>
      <c r="AV381" s="20"/>
      <c r="AW381" s="20"/>
      <c r="AX381" s="20"/>
      <c r="CL381" s="106">
        <v>42597</v>
      </c>
      <c r="CM381" s="107">
        <f t="shared" si="55"/>
        <v>88.81043377255628</v>
      </c>
    </row>
    <row r="382" spans="31:91">
      <c r="AE382" s="26">
        <f>Data!A377</f>
        <v>42417</v>
      </c>
      <c r="AF382" s="35">
        <f>Data!B377</f>
        <v>84.18</v>
      </c>
      <c r="AG382" s="35">
        <f>Data!F377</f>
        <v>1880165</v>
      </c>
      <c r="AH382" s="35">
        <f>Data!C377</f>
        <v>85.44</v>
      </c>
      <c r="AI382" s="35">
        <f>Data!D377</f>
        <v>83.9</v>
      </c>
      <c r="AJ382" s="35">
        <f>Data!E377</f>
        <v>85.33</v>
      </c>
      <c r="AK382" s="35">
        <f>Data!F377</f>
        <v>1880165</v>
      </c>
      <c r="AL382" s="35">
        <f t="shared" si="54"/>
        <v>85.33</v>
      </c>
      <c r="AM382" s="35">
        <f t="shared" si="63"/>
        <v>0.49220672682526861</v>
      </c>
      <c r="AN382" s="35">
        <f t="shared" si="62"/>
        <v>18.246005004879891</v>
      </c>
      <c r="AO382" s="35" t="str">
        <f t="shared" si="56"/>
        <v>no</v>
      </c>
      <c r="AP382" s="35" t="str">
        <f t="shared" si="57"/>
        <v>FITS BITCH</v>
      </c>
      <c r="AQ382" s="35" t="str">
        <f t="shared" si="57"/>
        <v>FITS BITCH</v>
      </c>
      <c r="AR382" s="35" t="str">
        <f t="shared" si="58"/>
        <v>no</v>
      </c>
      <c r="AS382" s="35" t="str">
        <f t="shared" si="59"/>
        <v>FITS BITCH</v>
      </c>
      <c r="AT382" s="20" t="str">
        <f t="shared" si="60"/>
        <v/>
      </c>
      <c r="AU382" s="20" t="str">
        <f t="shared" si="61"/>
        <v/>
      </c>
      <c r="AV382" s="20"/>
      <c r="AW382" s="20"/>
      <c r="AX382" s="20"/>
      <c r="CL382" s="106">
        <v>42594</v>
      </c>
      <c r="CM382" s="107">
        <f t="shared" si="55"/>
        <v>88.650572207287951</v>
      </c>
    </row>
    <row r="383" spans="31:91">
      <c r="AE383" s="26">
        <f>Data!A378</f>
        <v>42416</v>
      </c>
      <c r="AF383" s="35">
        <f>Data!B378</f>
        <v>83.05</v>
      </c>
      <c r="AG383" s="35">
        <f>Data!F378</f>
        <v>2002856</v>
      </c>
      <c r="AH383" s="35">
        <f>Data!C378</f>
        <v>84.02</v>
      </c>
      <c r="AI383" s="35">
        <f>Data!D378</f>
        <v>82.59</v>
      </c>
      <c r="AJ383" s="35">
        <f>Data!E378</f>
        <v>83.78</v>
      </c>
      <c r="AK383" s="35">
        <f>Data!F378</f>
        <v>2002856</v>
      </c>
      <c r="AL383" s="35">
        <f t="shared" si="54"/>
        <v>83.78</v>
      </c>
      <c r="AM383" s="35">
        <f t="shared" si="63"/>
        <v>-1.8500835521604166</v>
      </c>
      <c r="AN383" s="35">
        <f t="shared" si="62"/>
        <v>6.1258023542381483</v>
      </c>
      <c r="AO383" s="35" t="str">
        <f t="shared" si="56"/>
        <v>no</v>
      </c>
      <c r="AP383" s="35" t="str">
        <f t="shared" si="57"/>
        <v>FITS BITCH</v>
      </c>
      <c r="AQ383" s="35" t="str">
        <f t="shared" si="57"/>
        <v>FITS BITCH</v>
      </c>
      <c r="AR383" s="35" t="str">
        <f t="shared" si="58"/>
        <v>no</v>
      </c>
      <c r="AS383" s="35" t="str">
        <f t="shared" si="59"/>
        <v>FITS BITCH</v>
      </c>
      <c r="AT383" s="20" t="str">
        <f t="shared" si="60"/>
        <v/>
      </c>
      <c r="AU383" s="20" t="str">
        <f t="shared" si="61"/>
        <v/>
      </c>
      <c r="AV383" s="20"/>
      <c r="AW383" s="20"/>
      <c r="AX383" s="20"/>
      <c r="CL383" s="106">
        <v>42593</v>
      </c>
      <c r="CM383" s="107">
        <f t="shared" si="55"/>
        <v>88.597285018865477</v>
      </c>
    </row>
    <row r="384" spans="31:91">
      <c r="AE384" s="26">
        <f>Data!A379</f>
        <v>42412</v>
      </c>
      <c r="AF384" s="35">
        <f>Data!B379</f>
        <v>81.27</v>
      </c>
      <c r="AG384" s="35">
        <f>Data!F379</f>
        <v>1505637</v>
      </c>
      <c r="AH384" s="35">
        <f>Data!C379</f>
        <v>81.88</v>
      </c>
      <c r="AI384" s="35">
        <f>Data!D379</f>
        <v>80.569999999999993</v>
      </c>
      <c r="AJ384" s="35">
        <f>Data!E379</f>
        <v>81.739999999999995</v>
      </c>
      <c r="AK384" s="35">
        <f>Data!F379</f>
        <v>1505637</v>
      </c>
      <c r="AL384" s="35">
        <f t="shared" si="54"/>
        <v>81.739999999999995</v>
      </c>
      <c r="AM384" s="35">
        <f t="shared" si="63"/>
        <v>-2.4957181306581919</v>
      </c>
      <c r="AN384" s="35">
        <f t="shared" si="62"/>
        <v>-33.023829781016275</v>
      </c>
      <c r="AO384" s="35" t="str">
        <f t="shared" si="56"/>
        <v>FITS BITCH</v>
      </c>
      <c r="AP384" s="35" t="str">
        <f t="shared" si="57"/>
        <v>FITS BITCH</v>
      </c>
      <c r="AQ384" s="35" t="str">
        <f t="shared" si="57"/>
        <v>FITS BITCH</v>
      </c>
      <c r="AR384" s="35" t="str">
        <f t="shared" si="58"/>
        <v>no</v>
      </c>
      <c r="AS384" s="35" t="str">
        <f t="shared" si="59"/>
        <v>FITS BITCH</v>
      </c>
      <c r="AT384" s="20" t="str">
        <f t="shared" si="60"/>
        <v/>
      </c>
      <c r="AU384" s="20" t="str">
        <f t="shared" si="61"/>
        <v>BEARISH</v>
      </c>
      <c r="AV384" s="20"/>
      <c r="AW384" s="20"/>
      <c r="AX384" s="20"/>
      <c r="CL384" s="106">
        <v>42592</v>
      </c>
      <c r="CM384" s="107">
        <f t="shared" si="55"/>
        <v>88.543997830442549</v>
      </c>
    </row>
    <row r="385" spans="31:91">
      <c r="AE385" s="26">
        <f>Data!A380</f>
        <v>42411</v>
      </c>
      <c r="AF385" s="35">
        <f>Data!B380</f>
        <v>79.38</v>
      </c>
      <c r="AG385" s="35">
        <f>Data!F380</f>
        <v>2824879</v>
      </c>
      <c r="AH385" s="35">
        <f>Data!C380</f>
        <v>80.55</v>
      </c>
      <c r="AI385" s="35">
        <f>Data!D380</f>
        <v>79.08</v>
      </c>
      <c r="AJ385" s="35">
        <f>Data!E380</f>
        <v>80.209999999999994</v>
      </c>
      <c r="AK385" s="35">
        <f>Data!F380</f>
        <v>2824879</v>
      </c>
      <c r="AL385" s="35">
        <f t="shared" si="54"/>
        <v>80.209999999999994</v>
      </c>
      <c r="AM385" s="35">
        <f t="shared" si="63"/>
        <v>-1.9074928313177923</v>
      </c>
      <c r="AN385" s="35">
        <f t="shared" si="62"/>
        <v>46.700832141836877</v>
      </c>
      <c r="AO385" s="35" t="str">
        <f t="shared" si="56"/>
        <v>no</v>
      </c>
      <c r="AP385" s="35" t="str">
        <f t="shared" si="57"/>
        <v>no</v>
      </c>
      <c r="AQ385" s="35" t="str">
        <f t="shared" si="57"/>
        <v>no</v>
      </c>
      <c r="AR385" s="35" t="str">
        <f t="shared" si="58"/>
        <v>FITS BITCH</v>
      </c>
      <c r="AS385" s="35" t="str">
        <f t="shared" si="59"/>
        <v>no</v>
      </c>
      <c r="AT385" s="20" t="str">
        <f t="shared" si="60"/>
        <v/>
      </c>
      <c r="AU385" s="20" t="str">
        <f t="shared" si="61"/>
        <v/>
      </c>
      <c r="AV385" s="20"/>
      <c r="AW385" s="20"/>
      <c r="AX385" s="20"/>
      <c r="CL385" s="106">
        <v>42591</v>
      </c>
      <c r="CM385" s="107">
        <f t="shared" si="55"/>
        <v>88.490710642020076</v>
      </c>
    </row>
    <row r="386" spans="31:91">
      <c r="AE386" s="26">
        <f>Data!A381</f>
        <v>42410</v>
      </c>
      <c r="AF386" s="35">
        <f>Data!B381</f>
        <v>81.819999999999993</v>
      </c>
      <c r="AG386" s="35">
        <f>Data!F381</f>
        <v>1872508</v>
      </c>
      <c r="AH386" s="35">
        <f>Data!C381</f>
        <v>82.57</v>
      </c>
      <c r="AI386" s="35">
        <f>Data!D381</f>
        <v>80.59</v>
      </c>
      <c r="AJ386" s="35">
        <f>Data!E381</f>
        <v>80.83</v>
      </c>
      <c r="AK386" s="35">
        <f>Data!F381</f>
        <v>1872508</v>
      </c>
      <c r="AL386" s="35">
        <f t="shared" si="54"/>
        <v>80.83</v>
      </c>
      <c r="AM386" s="35">
        <f t="shared" si="63"/>
        <v>0.76704193987381486</v>
      </c>
      <c r="AN386" s="35">
        <f t="shared" si="62"/>
        <v>-50.860717283984904</v>
      </c>
      <c r="AO386" s="35" t="str">
        <f t="shared" si="56"/>
        <v>FITS BITCH</v>
      </c>
      <c r="AP386" s="35" t="str">
        <f t="shared" si="57"/>
        <v>FITS BITCH</v>
      </c>
      <c r="AQ386" s="35" t="str">
        <f t="shared" si="57"/>
        <v>FITS BITCH</v>
      </c>
      <c r="AR386" s="35" t="str">
        <f t="shared" si="58"/>
        <v>FITS BITCH</v>
      </c>
      <c r="AS386" s="35" t="str">
        <f t="shared" si="59"/>
        <v>FITS BITCH</v>
      </c>
      <c r="AT386" s="20" t="str">
        <f t="shared" si="60"/>
        <v>BULLISH</v>
      </c>
      <c r="AU386" s="20" t="str">
        <f t="shared" si="61"/>
        <v>BEARISH</v>
      </c>
      <c r="AV386" s="20"/>
      <c r="AW386" s="20"/>
      <c r="AX386" s="20"/>
      <c r="CL386" s="106">
        <v>42590</v>
      </c>
      <c r="CM386" s="107">
        <f t="shared" si="55"/>
        <v>88.437423453597148</v>
      </c>
    </row>
    <row r="387" spans="31:91">
      <c r="AE387" s="26">
        <f>Data!A382</f>
        <v>42409</v>
      </c>
      <c r="AF387" s="35">
        <f>Data!B382</f>
        <v>80.95</v>
      </c>
      <c r="AG387" s="35">
        <f>Data!F382</f>
        <v>2246221</v>
      </c>
      <c r="AH387" s="35">
        <f>Data!C382</f>
        <v>81.83</v>
      </c>
      <c r="AI387" s="35">
        <f>Data!D382</f>
        <v>80.34</v>
      </c>
      <c r="AJ387" s="35">
        <f>Data!E382</f>
        <v>80.67</v>
      </c>
      <c r="AK387" s="35">
        <f>Data!F382</f>
        <v>2246221</v>
      </c>
      <c r="AL387" s="35">
        <f t="shared" si="54"/>
        <v>80.67</v>
      </c>
      <c r="AM387" s="35">
        <f t="shared" si="63"/>
        <v>-0.19833891161521827</v>
      </c>
      <c r="AN387" s="35">
        <f t="shared" si="62"/>
        <v>16.637410121265894</v>
      </c>
      <c r="AO387" s="35" t="str">
        <f t="shared" si="56"/>
        <v>no</v>
      </c>
      <c r="AP387" s="35" t="str">
        <f t="shared" si="57"/>
        <v>FITS BITCH</v>
      </c>
      <c r="AQ387" s="35" t="str">
        <f t="shared" si="57"/>
        <v>FITS BITCH</v>
      </c>
      <c r="AR387" s="35" t="str">
        <f t="shared" si="58"/>
        <v>FITS BITCH</v>
      </c>
      <c r="AS387" s="35" t="str">
        <f t="shared" si="59"/>
        <v>no</v>
      </c>
      <c r="AT387" s="20" t="str">
        <f t="shared" si="60"/>
        <v/>
      </c>
      <c r="AU387" s="20" t="str">
        <f t="shared" si="61"/>
        <v/>
      </c>
      <c r="AV387" s="20"/>
      <c r="AW387" s="20"/>
      <c r="AX387" s="20"/>
      <c r="CL387" s="106">
        <v>42587</v>
      </c>
      <c r="CM387" s="107">
        <f t="shared" si="55"/>
        <v>88.277561888328819</v>
      </c>
    </row>
    <row r="388" spans="31:91">
      <c r="AE388" s="26">
        <f>Data!A383</f>
        <v>42408</v>
      </c>
      <c r="AF388" s="35">
        <f>Data!B383</f>
        <v>80.400000000000006</v>
      </c>
      <c r="AG388" s="35">
        <f>Data!F383</f>
        <v>2344392</v>
      </c>
      <c r="AH388" s="35">
        <f>Data!C383</f>
        <v>81.5</v>
      </c>
      <c r="AI388" s="35">
        <f>Data!D383</f>
        <v>78.98</v>
      </c>
      <c r="AJ388" s="35">
        <f>Data!E383</f>
        <v>81.25</v>
      </c>
      <c r="AK388" s="35">
        <f>Data!F383</f>
        <v>2344392</v>
      </c>
      <c r="AL388" s="35">
        <f t="shared" si="54"/>
        <v>81.25</v>
      </c>
      <c r="AM388" s="35">
        <f t="shared" si="63"/>
        <v>0.71384615384615169</v>
      </c>
      <c r="AN388" s="35">
        <f t="shared" si="62"/>
        <v>4.1874822981822151</v>
      </c>
      <c r="AO388" s="35" t="str">
        <f t="shared" si="56"/>
        <v>no</v>
      </c>
      <c r="AP388" s="35" t="str">
        <f t="shared" si="57"/>
        <v>no</v>
      </c>
      <c r="AQ388" s="35" t="str">
        <f t="shared" si="57"/>
        <v>no</v>
      </c>
      <c r="AR388" s="35" t="str">
        <f t="shared" si="58"/>
        <v>FITS BITCH</v>
      </c>
      <c r="AS388" s="35" t="str">
        <f t="shared" si="59"/>
        <v>no</v>
      </c>
      <c r="AT388" s="20" t="str">
        <f t="shared" si="60"/>
        <v/>
      </c>
      <c r="AU388" s="20" t="str">
        <f t="shared" si="61"/>
        <v/>
      </c>
      <c r="AV388" s="20"/>
      <c r="AW388" s="20"/>
      <c r="AX388" s="20"/>
      <c r="CL388" s="106">
        <v>42586</v>
      </c>
      <c r="CM388" s="107">
        <f t="shared" si="55"/>
        <v>88.224274699905891</v>
      </c>
    </row>
    <row r="389" spans="31:91">
      <c r="AE389" s="26">
        <f>Data!A384</f>
        <v>42405</v>
      </c>
      <c r="AF389" s="35">
        <f>Data!B384</f>
        <v>82.8</v>
      </c>
      <c r="AG389" s="35">
        <f>Data!F384</f>
        <v>2213426</v>
      </c>
      <c r="AH389" s="35">
        <f>Data!C384</f>
        <v>82.99</v>
      </c>
      <c r="AI389" s="35">
        <f>Data!D384</f>
        <v>80.94</v>
      </c>
      <c r="AJ389" s="35">
        <f>Data!E384</f>
        <v>81.31</v>
      </c>
      <c r="AK389" s="35">
        <f>Data!F384</f>
        <v>2213426</v>
      </c>
      <c r="AL389" s="35">
        <f t="shared" si="54"/>
        <v>81.31</v>
      </c>
      <c r="AM389" s="35">
        <f t="shared" si="63"/>
        <v>7.3791661542248518E-2</v>
      </c>
      <c r="AN389" s="35">
        <f t="shared" si="62"/>
        <v>-5.9168908289683051</v>
      </c>
      <c r="AO389" s="35" t="str">
        <f t="shared" si="56"/>
        <v>no</v>
      </c>
      <c r="AP389" s="35" t="str">
        <f t="shared" si="57"/>
        <v>FITS BITCH</v>
      </c>
      <c r="AQ389" s="35" t="str">
        <f t="shared" si="57"/>
        <v>no</v>
      </c>
      <c r="AR389" s="35" t="str">
        <f t="shared" si="58"/>
        <v>FITS BITCH</v>
      </c>
      <c r="AS389" s="35" t="str">
        <f t="shared" si="59"/>
        <v>no</v>
      </c>
      <c r="AT389" s="20" t="str">
        <f t="shared" si="60"/>
        <v/>
      </c>
      <c r="AU389" s="20" t="str">
        <f t="shared" si="61"/>
        <v/>
      </c>
      <c r="AV389" s="20"/>
      <c r="AW389" s="20"/>
      <c r="AX389" s="20"/>
      <c r="CL389" s="106">
        <v>42585</v>
      </c>
      <c r="CM389" s="107">
        <f t="shared" si="55"/>
        <v>88.170987511483418</v>
      </c>
    </row>
    <row r="390" spans="31:91">
      <c r="AE390" s="26">
        <f>Data!A385</f>
        <v>42404</v>
      </c>
      <c r="AF390" s="35">
        <f>Data!B385</f>
        <v>82.03</v>
      </c>
      <c r="AG390" s="35">
        <f>Data!F385</f>
        <v>1813795</v>
      </c>
      <c r="AH390" s="35">
        <f>Data!C385</f>
        <v>82.9</v>
      </c>
      <c r="AI390" s="35">
        <f>Data!D385</f>
        <v>81.55</v>
      </c>
      <c r="AJ390" s="35">
        <f>Data!E385</f>
        <v>82.8</v>
      </c>
      <c r="AK390" s="35">
        <f>Data!F385</f>
        <v>1813795</v>
      </c>
      <c r="AL390" s="35">
        <f t="shared" ref="AL390:AL453" si="64">AJ390</f>
        <v>82.8</v>
      </c>
      <c r="AM390" s="35">
        <f t="shared" si="63"/>
        <v>1.7995169082125544</v>
      </c>
      <c r="AN390" s="35">
        <f t="shared" si="62"/>
        <v>-22.032864794533012</v>
      </c>
      <c r="AO390" s="35" t="str">
        <f t="shared" si="56"/>
        <v>FITS BITCH</v>
      </c>
      <c r="AP390" s="35" t="str">
        <f t="shared" si="57"/>
        <v>no</v>
      </c>
      <c r="AQ390" s="35" t="str">
        <f t="shared" si="57"/>
        <v>FITS BITCH</v>
      </c>
      <c r="AR390" s="35" t="str">
        <f t="shared" si="58"/>
        <v>FITS BITCH</v>
      </c>
      <c r="AS390" s="35" t="str">
        <f t="shared" si="59"/>
        <v>FITS BITCH</v>
      </c>
      <c r="AT390" s="20" t="str">
        <f t="shared" si="60"/>
        <v/>
      </c>
      <c r="AU390" s="20" t="str">
        <f t="shared" si="61"/>
        <v>BEARISH</v>
      </c>
      <c r="AV390" s="20"/>
      <c r="AW390" s="20"/>
      <c r="AX390" s="20"/>
      <c r="CL390" s="106">
        <v>42584</v>
      </c>
      <c r="CM390" s="107">
        <f t="shared" si="55"/>
        <v>88.11770032306049</v>
      </c>
    </row>
    <row r="391" spans="31:91">
      <c r="AE391" s="26">
        <f>Data!A386</f>
        <v>42403</v>
      </c>
      <c r="AF391" s="35">
        <f>Data!B386</f>
        <v>83.12</v>
      </c>
      <c r="AG391" s="35">
        <f>Data!F386</f>
        <v>3047793</v>
      </c>
      <c r="AH391" s="35">
        <f>Data!C386</f>
        <v>83.24</v>
      </c>
      <c r="AI391" s="35">
        <f>Data!D386</f>
        <v>80.81</v>
      </c>
      <c r="AJ391" s="35">
        <f>Data!E386</f>
        <v>82.15</v>
      </c>
      <c r="AK391" s="35">
        <f>Data!F386</f>
        <v>3047793</v>
      </c>
      <c r="AL391" s="35">
        <f t="shared" si="64"/>
        <v>82.15</v>
      </c>
      <c r="AM391" s="35">
        <f t="shared" si="63"/>
        <v>-0.79123554473523006</v>
      </c>
      <c r="AN391" s="35">
        <f t="shared" si="62"/>
        <v>40.488248381697836</v>
      </c>
      <c r="AO391" s="35" t="str">
        <f t="shared" si="56"/>
        <v>no</v>
      </c>
      <c r="AP391" s="35" t="str">
        <f t="shared" si="57"/>
        <v>FITS BITCH</v>
      </c>
      <c r="AQ391" s="35" t="str">
        <f t="shared" si="57"/>
        <v>no</v>
      </c>
      <c r="AR391" s="35" t="str">
        <f t="shared" si="58"/>
        <v>FITS BITCH</v>
      </c>
      <c r="AS391" s="35" t="str">
        <f t="shared" si="59"/>
        <v>no</v>
      </c>
      <c r="AT391" s="20" t="str">
        <f t="shared" si="60"/>
        <v/>
      </c>
      <c r="AU391" s="20" t="str">
        <f t="shared" si="61"/>
        <v/>
      </c>
      <c r="AV391" s="20"/>
      <c r="AW391" s="20"/>
      <c r="AX391" s="20"/>
      <c r="CL391" s="106">
        <v>42583</v>
      </c>
      <c r="CM391" s="107">
        <f t="shared" si="55"/>
        <v>88.064413134637562</v>
      </c>
    </row>
    <row r="392" spans="31:91">
      <c r="AE392" s="26">
        <f>Data!A387</f>
        <v>42402</v>
      </c>
      <c r="AF392" s="35">
        <f>Data!B387</f>
        <v>82.73</v>
      </c>
      <c r="AG392" s="35">
        <f>Data!F387</f>
        <v>3684578</v>
      </c>
      <c r="AH392" s="35">
        <f>Data!C387</f>
        <v>82.95</v>
      </c>
      <c r="AI392" s="35">
        <f>Data!D387</f>
        <v>81.7</v>
      </c>
      <c r="AJ392" s="35">
        <f>Data!E387</f>
        <v>82.17</v>
      </c>
      <c r="AK392" s="35">
        <f>Data!F387</f>
        <v>3684578</v>
      </c>
      <c r="AL392" s="35">
        <f t="shared" si="64"/>
        <v>82.17</v>
      </c>
      <c r="AM392" s="35">
        <f t="shared" si="63"/>
        <v>2.4339783375923109E-2</v>
      </c>
      <c r="AN392" s="35">
        <f t="shared" si="62"/>
        <v>17.282440485721839</v>
      </c>
      <c r="AO392" s="35" t="str">
        <f t="shared" si="56"/>
        <v>no</v>
      </c>
      <c r="AP392" s="35" t="str">
        <f t="shared" si="57"/>
        <v>no</v>
      </c>
      <c r="AQ392" s="35" t="str">
        <f t="shared" si="57"/>
        <v>FITS BITCH</v>
      </c>
      <c r="AR392" s="35" t="str">
        <f t="shared" si="58"/>
        <v>FITS BITCH</v>
      </c>
      <c r="AS392" s="35" t="str">
        <f t="shared" si="59"/>
        <v>no</v>
      </c>
      <c r="AT392" s="20" t="str">
        <f t="shared" si="60"/>
        <v/>
      </c>
      <c r="AU392" s="20" t="str">
        <f t="shared" si="61"/>
        <v/>
      </c>
      <c r="AV392" s="20"/>
      <c r="AW392" s="20"/>
      <c r="AX392" s="20"/>
      <c r="CL392" s="106">
        <v>42580</v>
      </c>
      <c r="CM392" s="107">
        <f t="shared" ref="CM392:CM455" si="65">$BA$68*CL392+$BA$70</f>
        <v>87.904551569369232</v>
      </c>
    </row>
    <row r="393" spans="31:91">
      <c r="AE393" s="26">
        <f>Data!A388</f>
        <v>42401</v>
      </c>
      <c r="AF393" s="35">
        <f>Data!B388</f>
        <v>80.72</v>
      </c>
      <c r="AG393" s="35">
        <f>Data!F388</f>
        <v>2821491</v>
      </c>
      <c r="AH393" s="35">
        <f>Data!C388</f>
        <v>83.42</v>
      </c>
      <c r="AI393" s="35">
        <f>Data!D388</f>
        <v>80.540000000000006</v>
      </c>
      <c r="AJ393" s="35">
        <f>Data!E388</f>
        <v>82.97</v>
      </c>
      <c r="AK393" s="35">
        <f>Data!F388</f>
        <v>2821491</v>
      </c>
      <c r="AL393" s="35">
        <f t="shared" si="64"/>
        <v>82.97</v>
      </c>
      <c r="AM393" s="35">
        <f t="shared" si="63"/>
        <v>0.96420392913100783</v>
      </c>
      <c r="AN393" s="35">
        <f t="shared" si="62"/>
        <v>-30.589748469869299</v>
      </c>
      <c r="AO393" s="35" t="str">
        <f t="shared" ref="AO393:AO456" si="66">IF(AN393&lt;-8,"FITS BITCH",IF(AN393&gt;-8,"no"))</f>
        <v>FITS BITCH</v>
      </c>
      <c r="AP393" s="35" t="str">
        <f t="shared" ref="AP393:AQ456" si="67">IF(AH394&lt;AH393,"FITS BITCH",IF(AH394&gt;AH393,"no"))</f>
        <v>FITS BITCH</v>
      </c>
      <c r="AQ393" s="35" t="str">
        <f t="shared" si="67"/>
        <v>no</v>
      </c>
      <c r="AR393" s="35" t="str">
        <f t="shared" ref="AR393:AR456" si="68">IF(AJ393&lt;AH394,"FITS BITCH",IF(AJ393&gt;AH394,"no"))</f>
        <v>FITS BITCH</v>
      </c>
      <c r="AS393" s="35" t="str">
        <f t="shared" ref="AS393:AS456" si="69">IF(AJ393&gt;AJ394,"FITS BITCH",IF(AJ393&lt;AJ394,"no"))</f>
        <v>no</v>
      </c>
      <c r="AT393" s="20" t="str">
        <f t="shared" ref="AT393:AT456" si="70">IF(AND($AO393="FITS BITCH",$AP393="FITS BITCH",$AR393="FITS BITCH"),"BULLISH","")</f>
        <v>BULLISH</v>
      </c>
      <c r="AU393" s="20" t="str">
        <f t="shared" ref="AU393:AU456" si="71">IF(AND($AO393="FITS BITCH",$AQ393="FITS BITCH",$AS393="FITS BITCH"),"BEARISH","")</f>
        <v/>
      </c>
      <c r="AV393" s="20"/>
      <c r="AW393" s="20"/>
      <c r="AX393" s="20"/>
      <c r="CL393" s="106">
        <v>42579</v>
      </c>
      <c r="CM393" s="107">
        <f t="shared" si="65"/>
        <v>87.851264380946759</v>
      </c>
    </row>
    <row r="394" spans="31:91">
      <c r="AE394" s="26">
        <f>Data!A389</f>
        <v>42398</v>
      </c>
      <c r="AF394" s="35">
        <f>Data!B389</f>
        <v>81.52</v>
      </c>
      <c r="AG394" s="35">
        <f>Data!F389</f>
        <v>2815715</v>
      </c>
      <c r="AH394" s="35">
        <f>Data!C389</f>
        <v>83.12</v>
      </c>
      <c r="AI394" s="35">
        <f>Data!D389</f>
        <v>81.17</v>
      </c>
      <c r="AJ394" s="35">
        <f>Data!E389</f>
        <v>83.09</v>
      </c>
      <c r="AK394" s="35">
        <f>Data!F389</f>
        <v>2815715</v>
      </c>
      <c r="AL394" s="35">
        <f t="shared" si="64"/>
        <v>83.09</v>
      </c>
      <c r="AM394" s="35">
        <f t="shared" si="63"/>
        <v>0.14442171139728552</v>
      </c>
      <c r="AN394" s="35">
        <f t="shared" ref="AN394:AN457" si="72">(AK394-AK393)/AK394*100</f>
        <v>-0.20513439747985857</v>
      </c>
      <c r="AO394" s="35" t="str">
        <f t="shared" si="66"/>
        <v>no</v>
      </c>
      <c r="AP394" s="35" t="str">
        <f t="shared" si="67"/>
        <v>FITS BITCH</v>
      </c>
      <c r="AQ394" s="35" t="str">
        <f t="shared" si="67"/>
        <v>FITS BITCH</v>
      </c>
      <c r="AR394" s="35" t="str">
        <f t="shared" si="68"/>
        <v>no</v>
      </c>
      <c r="AS394" s="35" t="str">
        <f t="shared" si="69"/>
        <v>FITS BITCH</v>
      </c>
      <c r="AT394" s="20" t="str">
        <f t="shared" si="70"/>
        <v/>
      </c>
      <c r="AU394" s="20" t="str">
        <f t="shared" si="71"/>
        <v/>
      </c>
      <c r="AV394" s="20"/>
      <c r="AW394" s="20"/>
      <c r="AX394" s="20"/>
      <c r="CL394" s="106">
        <v>42578</v>
      </c>
      <c r="CM394" s="107">
        <f t="shared" si="65"/>
        <v>87.797977192523831</v>
      </c>
    </row>
    <row r="395" spans="31:91">
      <c r="AE395" s="26">
        <f>Data!A390</f>
        <v>42397</v>
      </c>
      <c r="AF395" s="35">
        <f>Data!B390</f>
        <v>81</v>
      </c>
      <c r="AG395" s="35">
        <f>Data!F390</f>
        <v>2015079</v>
      </c>
      <c r="AH395" s="35">
        <f>Data!C390</f>
        <v>81.52</v>
      </c>
      <c r="AI395" s="35">
        <f>Data!D390</f>
        <v>80.489999999999995</v>
      </c>
      <c r="AJ395" s="35">
        <f>Data!E390</f>
        <v>80.75</v>
      </c>
      <c r="AK395" s="35">
        <f>Data!F390</f>
        <v>2015079</v>
      </c>
      <c r="AL395" s="35">
        <f t="shared" si="64"/>
        <v>80.75</v>
      </c>
      <c r="AM395" s="35">
        <f t="shared" si="63"/>
        <v>-2.8978328173374654</v>
      </c>
      <c r="AN395" s="35">
        <f t="shared" si="72"/>
        <v>-39.732238785675399</v>
      </c>
      <c r="AO395" s="35" t="str">
        <f t="shared" si="66"/>
        <v>FITS BITCH</v>
      </c>
      <c r="AP395" s="35" t="str">
        <f t="shared" si="67"/>
        <v>no</v>
      </c>
      <c r="AQ395" s="35" t="str">
        <f t="shared" si="67"/>
        <v>FITS BITCH</v>
      </c>
      <c r="AR395" s="35" t="str">
        <f t="shared" si="68"/>
        <v>FITS BITCH</v>
      </c>
      <c r="AS395" s="35" t="str">
        <f t="shared" si="69"/>
        <v>FITS BITCH</v>
      </c>
      <c r="AT395" s="20" t="str">
        <f t="shared" si="70"/>
        <v/>
      </c>
      <c r="AU395" s="20" t="str">
        <f t="shared" si="71"/>
        <v>BEARISH</v>
      </c>
      <c r="AV395" s="20"/>
      <c r="AW395" s="20"/>
      <c r="AX395" s="20"/>
      <c r="CL395" s="106">
        <v>42577</v>
      </c>
      <c r="CM395" s="107">
        <f t="shared" si="65"/>
        <v>87.744690004100903</v>
      </c>
    </row>
    <row r="396" spans="31:91">
      <c r="AE396" s="26">
        <f>Data!A391</f>
        <v>42396</v>
      </c>
      <c r="AF396" s="35">
        <f>Data!B391</f>
        <v>80.98</v>
      </c>
      <c r="AG396" s="35">
        <f>Data!F391</f>
        <v>1699848</v>
      </c>
      <c r="AH396" s="35">
        <f>Data!C391</f>
        <v>81.83</v>
      </c>
      <c r="AI396" s="35">
        <f>Data!D391</f>
        <v>79.89</v>
      </c>
      <c r="AJ396" s="35">
        <f>Data!E391</f>
        <v>80.48</v>
      </c>
      <c r="AK396" s="35">
        <f>Data!F391</f>
        <v>1699848</v>
      </c>
      <c r="AL396" s="35">
        <f t="shared" si="64"/>
        <v>80.48</v>
      </c>
      <c r="AM396" s="35">
        <f t="shared" si="63"/>
        <v>-0.33548707753478629</v>
      </c>
      <c r="AN396" s="35">
        <f t="shared" si="72"/>
        <v>-18.544658110607536</v>
      </c>
      <c r="AO396" s="35" t="str">
        <f t="shared" si="66"/>
        <v>FITS BITCH</v>
      </c>
      <c r="AP396" s="35" t="str">
        <f t="shared" si="67"/>
        <v>FITS BITCH</v>
      </c>
      <c r="AQ396" s="35" t="str">
        <f t="shared" si="67"/>
        <v>no</v>
      </c>
      <c r="AR396" s="35" t="str">
        <f t="shared" si="68"/>
        <v>FITS BITCH</v>
      </c>
      <c r="AS396" s="35" t="str">
        <f t="shared" si="69"/>
        <v>no</v>
      </c>
      <c r="AT396" s="20" t="str">
        <f t="shared" si="70"/>
        <v>BULLISH</v>
      </c>
      <c r="AU396" s="20" t="str">
        <f t="shared" si="71"/>
        <v/>
      </c>
      <c r="AV396" s="20"/>
      <c r="AW396" s="20"/>
      <c r="AX396" s="20"/>
      <c r="CL396" s="106">
        <v>42576</v>
      </c>
      <c r="CM396" s="107">
        <f t="shared" si="65"/>
        <v>87.69140281567843</v>
      </c>
    </row>
    <row r="397" spans="31:91">
      <c r="AE397" s="26">
        <f>Data!A392</f>
        <v>42395</v>
      </c>
      <c r="AF397" s="35">
        <f>Data!B392</f>
        <v>80.09</v>
      </c>
      <c r="AG397" s="35">
        <f>Data!F392</f>
        <v>1664542</v>
      </c>
      <c r="AH397" s="35">
        <f>Data!C392</f>
        <v>81.45</v>
      </c>
      <c r="AI397" s="35">
        <f>Data!D392</f>
        <v>80.05</v>
      </c>
      <c r="AJ397" s="35">
        <f>Data!E392</f>
        <v>80.89</v>
      </c>
      <c r="AK397" s="35">
        <f>Data!F392</f>
        <v>1664542</v>
      </c>
      <c r="AL397" s="35">
        <f t="shared" si="64"/>
        <v>80.89</v>
      </c>
      <c r="AM397" s="35">
        <f t="shared" si="63"/>
        <v>0.50686116948942594</v>
      </c>
      <c r="AN397" s="35">
        <f t="shared" si="72"/>
        <v>-2.1210639323008968</v>
      </c>
      <c r="AO397" s="35" t="str">
        <f t="shared" si="66"/>
        <v>no</v>
      </c>
      <c r="AP397" s="35" t="str">
        <f t="shared" si="67"/>
        <v>FITS BITCH</v>
      </c>
      <c r="AQ397" s="35" t="str">
        <f t="shared" si="67"/>
        <v>FITS BITCH</v>
      </c>
      <c r="AR397" s="35" t="str">
        <f t="shared" si="68"/>
        <v>FITS BITCH</v>
      </c>
      <c r="AS397" s="35" t="str">
        <f t="shared" si="69"/>
        <v>FITS BITCH</v>
      </c>
      <c r="AT397" s="20" t="str">
        <f t="shared" si="70"/>
        <v/>
      </c>
      <c r="AU397" s="20" t="str">
        <f t="shared" si="71"/>
        <v/>
      </c>
      <c r="AV397" s="20"/>
      <c r="AW397" s="20"/>
      <c r="AX397" s="20"/>
      <c r="CL397" s="106">
        <v>42573</v>
      </c>
      <c r="CM397" s="107">
        <f t="shared" si="65"/>
        <v>87.5315412504101</v>
      </c>
    </row>
    <row r="398" spans="31:91">
      <c r="AE398" s="26">
        <f>Data!A393</f>
        <v>42394</v>
      </c>
      <c r="AF398" s="35">
        <f>Data!B393</f>
        <v>80.37</v>
      </c>
      <c r="AG398" s="35">
        <f>Data!F393</f>
        <v>1790714</v>
      </c>
      <c r="AH398" s="35">
        <f>Data!C393</f>
        <v>81.010000000000005</v>
      </c>
      <c r="AI398" s="35">
        <f>Data!D393</f>
        <v>79.989999999999995</v>
      </c>
      <c r="AJ398" s="35">
        <f>Data!E393</f>
        <v>80.09</v>
      </c>
      <c r="AK398" s="35">
        <f>Data!F393</f>
        <v>1790714</v>
      </c>
      <c r="AL398" s="35">
        <f t="shared" si="64"/>
        <v>80.09</v>
      </c>
      <c r="AM398" s="35">
        <f t="shared" si="63"/>
        <v>-0.99887626420276832</v>
      </c>
      <c r="AN398" s="35">
        <f t="shared" si="72"/>
        <v>7.0459045944801897</v>
      </c>
      <c r="AO398" s="35" t="str">
        <f t="shared" si="66"/>
        <v>no</v>
      </c>
      <c r="AP398" s="35" t="str">
        <f t="shared" si="67"/>
        <v>no</v>
      </c>
      <c r="AQ398" s="35" t="str">
        <f t="shared" si="67"/>
        <v>FITS BITCH</v>
      </c>
      <c r="AR398" s="35" t="str">
        <f t="shared" si="68"/>
        <v>FITS BITCH</v>
      </c>
      <c r="AS398" s="35" t="str">
        <f t="shared" si="69"/>
        <v>no</v>
      </c>
      <c r="AT398" s="20" t="str">
        <f t="shared" si="70"/>
        <v/>
      </c>
      <c r="AU398" s="20" t="str">
        <f t="shared" si="71"/>
        <v/>
      </c>
      <c r="AV398" s="20"/>
      <c r="AW398" s="20"/>
      <c r="AX398" s="20"/>
      <c r="CL398" s="106">
        <v>42572</v>
      </c>
      <c r="CM398" s="107">
        <f t="shared" si="65"/>
        <v>87.478254061987172</v>
      </c>
    </row>
    <row r="399" spans="31:91">
      <c r="AE399" s="26">
        <f>Data!A394</f>
        <v>42391</v>
      </c>
      <c r="AF399" s="35">
        <f>Data!B394</f>
        <v>80.83</v>
      </c>
      <c r="AG399" s="35">
        <f>Data!F394</f>
        <v>1940151</v>
      </c>
      <c r="AH399" s="35">
        <f>Data!C394</f>
        <v>81.180000000000007</v>
      </c>
      <c r="AI399" s="35">
        <f>Data!D394</f>
        <v>79.819999999999993</v>
      </c>
      <c r="AJ399" s="35">
        <f>Data!E394</f>
        <v>81.11</v>
      </c>
      <c r="AK399" s="35">
        <f>Data!F394</f>
        <v>1940151</v>
      </c>
      <c r="AL399" s="35">
        <f t="shared" si="64"/>
        <v>81.11</v>
      </c>
      <c r="AM399" s="35">
        <f t="shared" si="63"/>
        <v>1.2575514733078486</v>
      </c>
      <c r="AN399" s="35">
        <f t="shared" si="72"/>
        <v>7.7023386324054162</v>
      </c>
      <c r="AO399" s="35" t="str">
        <f t="shared" si="66"/>
        <v>no</v>
      </c>
      <c r="AP399" s="35" t="str">
        <f t="shared" si="67"/>
        <v>FITS BITCH</v>
      </c>
      <c r="AQ399" s="35" t="str">
        <f t="shared" si="67"/>
        <v>FITS BITCH</v>
      </c>
      <c r="AR399" s="35" t="str">
        <f t="shared" si="68"/>
        <v>no</v>
      </c>
      <c r="AS399" s="35" t="str">
        <f t="shared" si="69"/>
        <v>FITS BITCH</v>
      </c>
      <c r="AT399" s="20" t="str">
        <f t="shared" si="70"/>
        <v/>
      </c>
      <c r="AU399" s="20" t="str">
        <f t="shared" si="71"/>
        <v/>
      </c>
      <c r="AV399" s="20"/>
      <c r="AW399" s="20"/>
      <c r="AX399" s="20"/>
      <c r="CL399" s="106">
        <v>42571</v>
      </c>
      <c r="CM399" s="107">
        <f t="shared" si="65"/>
        <v>87.424966873564244</v>
      </c>
    </row>
    <row r="400" spans="31:91">
      <c r="AE400" s="26">
        <f>Data!A395</f>
        <v>42390</v>
      </c>
      <c r="AF400" s="35">
        <f>Data!B395</f>
        <v>78.69</v>
      </c>
      <c r="AG400" s="35">
        <f>Data!F395</f>
        <v>2672433</v>
      </c>
      <c r="AH400" s="35">
        <f>Data!C395</f>
        <v>79.98</v>
      </c>
      <c r="AI400" s="35">
        <f>Data!D395</f>
        <v>77.77</v>
      </c>
      <c r="AJ400" s="35">
        <f>Data!E395</f>
        <v>79.25</v>
      </c>
      <c r="AK400" s="35">
        <f>Data!F395</f>
        <v>2672433</v>
      </c>
      <c r="AL400" s="35">
        <f t="shared" si="64"/>
        <v>79.25</v>
      </c>
      <c r="AM400" s="35">
        <f t="shared" si="63"/>
        <v>-2.3470031545741321</v>
      </c>
      <c r="AN400" s="35">
        <f t="shared" si="72"/>
        <v>27.401323064039396</v>
      </c>
      <c r="AO400" s="35" t="str">
        <f t="shared" si="66"/>
        <v>no</v>
      </c>
      <c r="AP400" s="35" t="str">
        <f t="shared" si="67"/>
        <v>FITS BITCH</v>
      </c>
      <c r="AQ400" s="35" t="str">
        <f t="shared" si="67"/>
        <v>FITS BITCH</v>
      </c>
      <c r="AR400" s="35" t="str">
        <f t="shared" si="68"/>
        <v>no</v>
      </c>
      <c r="AS400" s="35" t="str">
        <f t="shared" si="69"/>
        <v>FITS BITCH</v>
      </c>
      <c r="AT400" s="20" t="str">
        <f t="shared" si="70"/>
        <v/>
      </c>
      <c r="AU400" s="20" t="str">
        <f t="shared" si="71"/>
        <v/>
      </c>
      <c r="AV400" s="20"/>
      <c r="AW400" s="20"/>
      <c r="AX400" s="20"/>
      <c r="CL400" s="106">
        <v>42570</v>
      </c>
      <c r="CM400" s="107">
        <f t="shared" si="65"/>
        <v>87.371679685141771</v>
      </c>
    </row>
    <row r="401" spans="31:91">
      <c r="AE401" s="26">
        <f>Data!A396</f>
        <v>42389</v>
      </c>
      <c r="AF401" s="35">
        <f>Data!B396</f>
        <v>78.09</v>
      </c>
      <c r="AG401" s="35">
        <f>Data!F396</f>
        <v>3055472</v>
      </c>
      <c r="AH401" s="35">
        <f>Data!C396</f>
        <v>79.040000000000006</v>
      </c>
      <c r="AI401" s="35">
        <f>Data!D396</f>
        <v>76.900000000000006</v>
      </c>
      <c r="AJ401" s="35">
        <f>Data!E396</f>
        <v>78.22</v>
      </c>
      <c r="AK401" s="35">
        <f>Data!F396</f>
        <v>3055472</v>
      </c>
      <c r="AL401" s="35">
        <f t="shared" si="64"/>
        <v>78.22</v>
      </c>
      <c r="AM401" s="35">
        <f t="shared" si="63"/>
        <v>-1.3167987726924075</v>
      </c>
      <c r="AN401" s="35">
        <f t="shared" si="72"/>
        <v>12.536164625301755</v>
      </c>
      <c r="AO401" s="35" t="str">
        <f t="shared" si="66"/>
        <v>no</v>
      </c>
      <c r="AP401" s="35" t="str">
        <f t="shared" si="67"/>
        <v>no</v>
      </c>
      <c r="AQ401" s="35" t="str">
        <f t="shared" si="67"/>
        <v>no</v>
      </c>
      <c r="AR401" s="35" t="str">
        <f t="shared" si="68"/>
        <v>FITS BITCH</v>
      </c>
      <c r="AS401" s="35" t="str">
        <f t="shared" si="69"/>
        <v>no</v>
      </c>
      <c r="AT401" s="20" t="str">
        <f t="shared" si="70"/>
        <v/>
      </c>
      <c r="AU401" s="20" t="str">
        <f t="shared" si="71"/>
        <v/>
      </c>
      <c r="AV401" s="20"/>
      <c r="AW401" s="20"/>
      <c r="AX401" s="20"/>
      <c r="CL401" s="106">
        <v>42569</v>
      </c>
      <c r="CM401" s="107">
        <f t="shared" si="65"/>
        <v>87.318392496718843</v>
      </c>
    </row>
    <row r="402" spans="31:91">
      <c r="AE402" s="26">
        <f>Data!A397</f>
        <v>42388</v>
      </c>
      <c r="AF402" s="35">
        <f>Data!B397</f>
        <v>78.92</v>
      </c>
      <c r="AG402" s="35">
        <f>Data!F397</f>
        <v>2209640</v>
      </c>
      <c r="AH402" s="35">
        <f>Data!C397</f>
        <v>79.459999999999994</v>
      </c>
      <c r="AI402" s="35">
        <f>Data!D397</f>
        <v>78.260000000000005</v>
      </c>
      <c r="AJ402" s="35">
        <f>Data!E397</f>
        <v>79.11</v>
      </c>
      <c r="AK402" s="35">
        <f>Data!F397</f>
        <v>2209640</v>
      </c>
      <c r="AL402" s="35">
        <f t="shared" si="64"/>
        <v>79.11</v>
      </c>
      <c r="AM402" s="35">
        <f t="shared" si="63"/>
        <v>1.1250158007837197</v>
      </c>
      <c r="AN402" s="35">
        <f t="shared" si="72"/>
        <v>-38.279176698466713</v>
      </c>
      <c r="AO402" s="35" t="str">
        <f t="shared" si="66"/>
        <v>FITS BITCH</v>
      </c>
      <c r="AP402" s="35" t="str">
        <f t="shared" si="67"/>
        <v>FITS BITCH</v>
      </c>
      <c r="AQ402" s="35" t="str">
        <f t="shared" si="67"/>
        <v>FITS BITCH</v>
      </c>
      <c r="AR402" s="35" t="str">
        <f t="shared" si="68"/>
        <v>no</v>
      </c>
      <c r="AS402" s="35" t="str">
        <f t="shared" si="69"/>
        <v>FITS BITCH</v>
      </c>
      <c r="AT402" s="20" t="str">
        <f t="shared" si="70"/>
        <v/>
      </c>
      <c r="AU402" s="20" t="str">
        <f t="shared" si="71"/>
        <v>BEARISH</v>
      </c>
      <c r="AV402" s="20"/>
      <c r="AW402" s="20"/>
      <c r="AX402" s="20"/>
      <c r="CL402" s="106">
        <v>42566</v>
      </c>
      <c r="CM402" s="107">
        <f t="shared" si="65"/>
        <v>87.158530931450514</v>
      </c>
    </row>
    <row r="403" spans="31:91">
      <c r="AE403" s="26">
        <f>Data!A398</f>
        <v>42384</v>
      </c>
      <c r="AF403" s="35">
        <f>Data!B398</f>
        <v>76.84</v>
      </c>
      <c r="AG403" s="35">
        <f>Data!F398</f>
        <v>2952802</v>
      </c>
      <c r="AH403" s="35">
        <f>Data!C398</f>
        <v>78.400000000000006</v>
      </c>
      <c r="AI403" s="35">
        <f>Data!D398</f>
        <v>76.650000000000006</v>
      </c>
      <c r="AJ403" s="35">
        <f>Data!E398</f>
        <v>77.92</v>
      </c>
      <c r="AK403" s="35">
        <f>Data!F398</f>
        <v>2952802</v>
      </c>
      <c r="AL403" s="35">
        <f t="shared" si="64"/>
        <v>77.92</v>
      </c>
      <c r="AM403" s="35">
        <f t="shared" si="63"/>
        <v>-1.5272073921971223</v>
      </c>
      <c r="AN403" s="35">
        <f t="shared" si="72"/>
        <v>25.168026843655621</v>
      </c>
      <c r="AO403" s="35" t="str">
        <f t="shared" si="66"/>
        <v>no</v>
      </c>
      <c r="AP403" s="35" t="str">
        <f t="shared" si="67"/>
        <v>no</v>
      </c>
      <c r="AQ403" s="35" t="str">
        <f t="shared" si="67"/>
        <v>no</v>
      </c>
      <c r="AR403" s="35" t="str">
        <f t="shared" si="68"/>
        <v>FITS BITCH</v>
      </c>
      <c r="AS403" s="35" t="str">
        <f t="shared" si="69"/>
        <v>no</v>
      </c>
      <c r="AT403" s="20" t="str">
        <f t="shared" si="70"/>
        <v/>
      </c>
      <c r="AU403" s="20" t="str">
        <f t="shared" si="71"/>
        <v/>
      </c>
      <c r="AV403" s="20"/>
      <c r="AW403" s="20"/>
      <c r="AX403" s="20"/>
      <c r="CL403" s="106">
        <v>42565</v>
      </c>
      <c r="CM403" s="107">
        <f t="shared" si="65"/>
        <v>87.105243743028041</v>
      </c>
    </row>
    <row r="404" spans="31:91">
      <c r="AE404" s="26">
        <f>Data!A399</f>
        <v>42383</v>
      </c>
      <c r="AF404" s="35">
        <f>Data!B399</f>
        <v>77.599999999999994</v>
      </c>
      <c r="AG404" s="35">
        <f>Data!F399</f>
        <v>2847722</v>
      </c>
      <c r="AH404" s="35">
        <f>Data!C399</f>
        <v>79.510000000000005</v>
      </c>
      <c r="AI404" s="35">
        <f>Data!D399</f>
        <v>77.5</v>
      </c>
      <c r="AJ404" s="35">
        <f>Data!E399</f>
        <v>78.989999999999995</v>
      </c>
      <c r="AK404" s="35">
        <f>Data!F399</f>
        <v>2847722</v>
      </c>
      <c r="AL404" s="35">
        <f t="shared" si="64"/>
        <v>78.989999999999995</v>
      </c>
      <c r="AM404" s="35">
        <f t="shared" si="63"/>
        <v>1.3546018483352238</v>
      </c>
      <c r="AN404" s="35">
        <f t="shared" si="72"/>
        <v>-3.6899669279515344</v>
      </c>
      <c r="AO404" s="35" t="str">
        <f t="shared" si="66"/>
        <v>no</v>
      </c>
      <c r="AP404" s="35" t="str">
        <f t="shared" si="67"/>
        <v>no</v>
      </c>
      <c r="AQ404" s="35" t="str">
        <f t="shared" si="67"/>
        <v>FITS BITCH</v>
      </c>
      <c r="AR404" s="35" t="str">
        <f t="shared" si="68"/>
        <v>FITS BITCH</v>
      </c>
      <c r="AS404" s="35" t="str">
        <f t="shared" si="69"/>
        <v>FITS BITCH</v>
      </c>
      <c r="AT404" s="20" t="str">
        <f t="shared" si="70"/>
        <v/>
      </c>
      <c r="AU404" s="20" t="str">
        <f t="shared" si="71"/>
        <v/>
      </c>
      <c r="AV404" s="20"/>
      <c r="AW404" s="20"/>
      <c r="AX404" s="20"/>
      <c r="CL404" s="106">
        <v>42564</v>
      </c>
      <c r="CM404" s="107">
        <f t="shared" si="65"/>
        <v>87.051956554605113</v>
      </c>
    </row>
    <row r="405" spans="31:91">
      <c r="AE405" s="26">
        <f>Data!A400</f>
        <v>42382</v>
      </c>
      <c r="AF405" s="35">
        <f>Data!B400</f>
        <v>79.34</v>
      </c>
      <c r="AG405" s="35">
        <f>Data!F400</f>
        <v>1818834</v>
      </c>
      <c r="AH405" s="35">
        <f>Data!C400</f>
        <v>79.8</v>
      </c>
      <c r="AI405" s="35">
        <f>Data!D400</f>
        <v>77.12</v>
      </c>
      <c r="AJ405" s="35">
        <f>Data!E400</f>
        <v>77.34</v>
      </c>
      <c r="AK405" s="35">
        <f>Data!F400</f>
        <v>1818834</v>
      </c>
      <c r="AL405" s="35">
        <f t="shared" si="64"/>
        <v>77.34</v>
      </c>
      <c r="AM405" s="35">
        <f t="shared" si="63"/>
        <v>-2.1334367726919981</v>
      </c>
      <c r="AN405" s="35">
        <f t="shared" si="72"/>
        <v>-56.568548861523368</v>
      </c>
      <c r="AO405" s="35" t="str">
        <f t="shared" si="66"/>
        <v>FITS BITCH</v>
      </c>
      <c r="AP405" s="35" t="str">
        <f t="shared" si="67"/>
        <v>FITS BITCH</v>
      </c>
      <c r="AQ405" s="35" t="str">
        <f t="shared" si="67"/>
        <v>no</v>
      </c>
      <c r="AR405" s="35" t="str">
        <f t="shared" si="68"/>
        <v>FITS BITCH</v>
      </c>
      <c r="AS405" s="35" t="str">
        <f t="shared" si="69"/>
        <v>no</v>
      </c>
      <c r="AT405" s="20" t="str">
        <f t="shared" si="70"/>
        <v>BULLISH</v>
      </c>
      <c r="AU405" s="20" t="str">
        <f t="shared" si="71"/>
        <v/>
      </c>
      <c r="AV405" s="20"/>
      <c r="AW405" s="20"/>
      <c r="AX405" s="20"/>
      <c r="CL405" s="106">
        <v>42563</v>
      </c>
      <c r="CM405" s="107">
        <f t="shared" si="65"/>
        <v>86.998669366182185</v>
      </c>
    </row>
    <row r="406" spans="31:91">
      <c r="AE406" s="26">
        <f>Data!A401</f>
        <v>42381</v>
      </c>
      <c r="AF406" s="35">
        <f>Data!B401</f>
        <v>78.86</v>
      </c>
      <c r="AG406" s="35">
        <f>Data!F401</f>
        <v>1975167</v>
      </c>
      <c r="AH406" s="35">
        <f>Data!C401</f>
        <v>79.5</v>
      </c>
      <c r="AI406" s="35">
        <f>Data!D401</f>
        <v>78.44</v>
      </c>
      <c r="AJ406" s="35">
        <f>Data!E401</f>
        <v>79.47</v>
      </c>
      <c r="AK406" s="35">
        <f>Data!F401</f>
        <v>1975167</v>
      </c>
      <c r="AL406" s="35">
        <f t="shared" si="64"/>
        <v>79.47</v>
      </c>
      <c r="AM406" s="35">
        <f t="shared" si="63"/>
        <v>2.6802567006417459</v>
      </c>
      <c r="AN406" s="35">
        <f t="shared" si="72"/>
        <v>7.9149256746391572</v>
      </c>
      <c r="AO406" s="35" t="str">
        <f t="shared" si="66"/>
        <v>no</v>
      </c>
      <c r="AP406" s="35" t="str">
        <f t="shared" si="67"/>
        <v>FITS BITCH</v>
      </c>
      <c r="AQ406" s="35" t="str">
        <f t="shared" si="67"/>
        <v>FITS BITCH</v>
      </c>
      <c r="AR406" s="35" t="str">
        <f t="shared" si="68"/>
        <v>no</v>
      </c>
      <c r="AS406" s="35" t="str">
        <f t="shared" si="69"/>
        <v>FITS BITCH</v>
      </c>
      <c r="AT406" s="20" t="str">
        <f t="shared" si="70"/>
        <v/>
      </c>
      <c r="AU406" s="20" t="str">
        <f t="shared" si="71"/>
        <v/>
      </c>
      <c r="AV406" s="20"/>
      <c r="AW406" s="20"/>
      <c r="AX406" s="20"/>
      <c r="CL406" s="106">
        <v>42562</v>
      </c>
      <c r="CM406" s="107">
        <f t="shared" si="65"/>
        <v>86.945382177759711</v>
      </c>
    </row>
    <row r="407" spans="31:91">
      <c r="AE407" s="26">
        <f>Data!A402</f>
        <v>42380</v>
      </c>
      <c r="AF407" s="35">
        <f>Data!B402</f>
        <v>78.45</v>
      </c>
      <c r="AG407" s="35">
        <f>Data!F402</f>
        <v>2127341</v>
      </c>
      <c r="AH407" s="35">
        <f>Data!C402</f>
        <v>79.03</v>
      </c>
      <c r="AI407" s="35">
        <f>Data!D402</f>
        <v>77.709999999999994</v>
      </c>
      <c r="AJ407" s="35">
        <f>Data!E402</f>
        <v>78.510000000000005</v>
      </c>
      <c r="AK407" s="35">
        <f>Data!F402</f>
        <v>2127341</v>
      </c>
      <c r="AL407" s="35">
        <f t="shared" si="64"/>
        <v>78.510000000000005</v>
      </c>
      <c r="AM407" s="35">
        <f t="shared" si="63"/>
        <v>-1.2227741688956741</v>
      </c>
      <c r="AN407" s="35">
        <f t="shared" si="72"/>
        <v>7.1532490559811519</v>
      </c>
      <c r="AO407" s="35" t="str">
        <f t="shared" si="66"/>
        <v>no</v>
      </c>
      <c r="AP407" s="35" t="str">
        <f t="shared" si="67"/>
        <v>no</v>
      </c>
      <c r="AQ407" s="35" t="str">
        <f t="shared" si="67"/>
        <v>no</v>
      </c>
      <c r="AR407" s="35" t="str">
        <f t="shared" si="68"/>
        <v>FITS BITCH</v>
      </c>
      <c r="AS407" s="35" t="str">
        <f t="shared" si="69"/>
        <v>FITS BITCH</v>
      </c>
      <c r="AT407" s="20" t="str">
        <f t="shared" si="70"/>
        <v/>
      </c>
      <c r="AU407" s="20" t="str">
        <f t="shared" si="71"/>
        <v/>
      </c>
      <c r="AV407" s="20"/>
      <c r="AW407" s="20"/>
      <c r="AX407" s="20"/>
      <c r="CL407" s="106">
        <v>42559</v>
      </c>
      <c r="CM407" s="107">
        <f t="shared" si="65"/>
        <v>86.785520612491382</v>
      </c>
    </row>
    <row r="408" spans="31:91">
      <c r="AE408" s="26">
        <f>Data!A403</f>
        <v>42377</v>
      </c>
      <c r="AF408" s="35">
        <f>Data!B403</f>
        <v>78.930000000000007</v>
      </c>
      <c r="AG408" s="35">
        <f>Data!F403</f>
        <v>2486959</v>
      </c>
      <c r="AH408" s="35">
        <f>Data!C403</f>
        <v>79.25</v>
      </c>
      <c r="AI408" s="35">
        <f>Data!D403</f>
        <v>77.8</v>
      </c>
      <c r="AJ408" s="35">
        <f>Data!E403</f>
        <v>78.13</v>
      </c>
      <c r="AK408" s="35">
        <f>Data!F403</f>
        <v>2486959</v>
      </c>
      <c r="AL408" s="35">
        <f t="shared" si="64"/>
        <v>78.13</v>
      </c>
      <c r="AM408" s="35">
        <f t="shared" si="63"/>
        <v>-0.4863688723921793</v>
      </c>
      <c r="AN408" s="35">
        <f t="shared" si="72"/>
        <v>14.460149926074376</v>
      </c>
      <c r="AO408" s="35" t="str">
        <f t="shared" si="66"/>
        <v>no</v>
      </c>
      <c r="AP408" s="35" t="str">
        <f t="shared" si="67"/>
        <v>no</v>
      </c>
      <c r="AQ408" s="35" t="str">
        <f t="shared" si="67"/>
        <v>no</v>
      </c>
      <c r="AR408" s="35" t="str">
        <f t="shared" si="68"/>
        <v>FITS BITCH</v>
      </c>
      <c r="AS408" s="35" t="str">
        <f t="shared" si="69"/>
        <v>no</v>
      </c>
      <c r="AT408" s="20" t="str">
        <f t="shared" si="70"/>
        <v/>
      </c>
      <c r="AU408" s="20" t="str">
        <f t="shared" si="71"/>
        <v/>
      </c>
      <c r="AV408" s="20"/>
      <c r="AW408" s="20"/>
      <c r="AX408" s="20"/>
      <c r="CL408" s="106">
        <v>42558</v>
      </c>
      <c r="CM408" s="107">
        <f t="shared" si="65"/>
        <v>86.732233424068454</v>
      </c>
    </row>
    <row r="409" spans="31:91">
      <c r="AE409" s="26">
        <f>Data!A404</f>
        <v>42376</v>
      </c>
      <c r="AF409" s="35">
        <f>Data!B404</f>
        <v>79.64</v>
      </c>
      <c r="AG409" s="35">
        <f>Data!F404</f>
        <v>5031269</v>
      </c>
      <c r="AH409" s="35">
        <f>Data!C404</f>
        <v>80.349999999999994</v>
      </c>
      <c r="AI409" s="35">
        <f>Data!D404</f>
        <v>78.459999999999994</v>
      </c>
      <c r="AJ409" s="35">
        <f>Data!E404</f>
        <v>78.78</v>
      </c>
      <c r="AK409" s="35">
        <f>Data!F404</f>
        <v>5031269</v>
      </c>
      <c r="AL409" s="35">
        <f t="shared" si="64"/>
        <v>78.78</v>
      </c>
      <c r="AM409" s="35">
        <f t="shared" si="63"/>
        <v>0.82508250825083229</v>
      </c>
      <c r="AN409" s="35">
        <f t="shared" si="72"/>
        <v>50.569945673745529</v>
      </c>
      <c r="AO409" s="35" t="str">
        <f t="shared" si="66"/>
        <v>no</v>
      </c>
      <c r="AP409" s="35" t="str">
        <f t="shared" si="67"/>
        <v>no</v>
      </c>
      <c r="AQ409" s="35" t="str">
        <f t="shared" si="67"/>
        <v>no</v>
      </c>
      <c r="AR409" s="35" t="str">
        <f t="shared" si="68"/>
        <v>FITS BITCH</v>
      </c>
      <c r="AS409" s="35" t="str">
        <f t="shared" si="69"/>
        <v>no</v>
      </c>
      <c r="AT409" s="20" t="str">
        <f t="shared" si="70"/>
        <v/>
      </c>
      <c r="AU409" s="20" t="str">
        <f t="shared" si="71"/>
        <v/>
      </c>
      <c r="AV409" s="20"/>
      <c r="AW409" s="20"/>
      <c r="AX409" s="20"/>
      <c r="CL409" s="106">
        <v>42557</v>
      </c>
      <c r="CM409" s="107">
        <f t="shared" si="65"/>
        <v>86.678946235645526</v>
      </c>
    </row>
    <row r="410" spans="31:91">
      <c r="AE410" s="26">
        <f>Data!A405</f>
        <v>42375</v>
      </c>
      <c r="AF410" s="35">
        <f>Data!B405</f>
        <v>81.08</v>
      </c>
      <c r="AG410" s="35">
        <f>Data!F405</f>
        <v>1511025</v>
      </c>
      <c r="AH410" s="35">
        <f>Data!C405</f>
        <v>81.709999999999994</v>
      </c>
      <c r="AI410" s="35">
        <f>Data!D405</f>
        <v>80.88</v>
      </c>
      <c r="AJ410" s="35">
        <f>Data!E405</f>
        <v>81.260000000000005</v>
      </c>
      <c r="AK410" s="35">
        <f>Data!F405</f>
        <v>1511025</v>
      </c>
      <c r="AL410" s="35">
        <f t="shared" si="64"/>
        <v>81.260000000000005</v>
      </c>
      <c r="AM410" s="35">
        <f t="shared" si="63"/>
        <v>3.0519320698990939</v>
      </c>
      <c r="AN410" s="35">
        <f t="shared" si="72"/>
        <v>-232.97059942754092</v>
      </c>
      <c r="AO410" s="35" t="str">
        <f t="shared" si="66"/>
        <v>FITS BITCH</v>
      </c>
      <c r="AP410" s="35" t="str">
        <f t="shared" si="67"/>
        <v>no</v>
      </c>
      <c r="AQ410" s="35" t="str">
        <f t="shared" si="67"/>
        <v>no</v>
      </c>
      <c r="AR410" s="35" t="str">
        <f t="shared" si="68"/>
        <v>FITS BITCH</v>
      </c>
      <c r="AS410" s="35" t="str">
        <f t="shared" si="69"/>
        <v>no</v>
      </c>
      <c r="AT410" s="20" t="str">
        <f t="shared" si="70"/>
        <v/>
      </c>
      <c r="AU410" s="20" t="str">
        <f t="shared" si="71"/>
        <v/>
      </c>
      <c r="AV410" s="20"/>
      <c r="AW410" s="20"/>
      <c r="AX410" s="20"/>
      <c r="CL410" s="106">
        <v>42556</v>
      </c>
      <c r="CM410" s="107">
        <f t="shared" si="65"/>
        <v>86.625659047223053</v>
      </c>
    </row>
    <row r="411" spans="31:91">
      <c r="AE411" s="26">
        <f>Data!A406</f>
        <v>42374</v>
      </c>
      <c r="AF411" s="35">
        <f>Data!B406</f>
        <v>82.66</v>
      </c>
      <c r="AG411" s="35">
        <f>Data!F406</f>
        <v>2036731</v>
      </c>
      <c r="AH411" s="35">
        <f>Data!C406</f>
        <v>83.21</v>
      </c>
      <c r="AI411" s="35">
        <f>Data!D406</f>
        <v>81.819999999999993</v>
      </c>
      <c r="AJ411" s="35">
        <f>Data!E406</f>
        <v>82.27</v>
      </c>
      <c r="AK411" s="35">
        <f>Data!F406</f>
        <v>2036731</v>
      </c>
      <c r="AL411" s="35">
        <f t="shared" si="64"/>
        <v>82.27</v>
      </c>
      <c r="AM411" s="35">
        <f t="shared" si="63"/>
        <v>1.2276650054697837</v>
      </c>
      <c r="AN411" s="35">
        <f t="shared" si="72"/>
        <v>25.811263244876226</v>
      </c>
      <c r="AO411" s="35" t="str">
        <f t="shared" si="66"/>
        <v>no</v>
      </c>
      <c r="AP411" s="35" t="str">
        <f t="shared" si="67"/>
        <v>FITS BITCH</v>
      </c>
      <c r="AQ411" s="35" t="str">
        <f t="shared" si="67"/>
        <v>FITS BITCH</v>
      </c>
      <c r="AR411" s="35" t="str">
        <f t="shared" si="68"/>
        <v>FITS BITCH</v>
      </c>
      <c r="AS411" s="35" t="str">
        <f t="shared" si="69"/>
        <v>FITS BITCH</v>
      </c>
      <c r="AT411" s="20" t="str">
        <f t="shared" si="70"/>
        <v/>
      </c>
      <c r="AU411" s="20" t="str">
        <f t="shared" si="71"/>
        <v/>
      </c>
      <c r="AV411" s="20"/>
      <c r="AW411" s="20"/>
      <c r="AX411" s="20"/>
      <c r="CL411" s="106">
        <v>42555</v>
      </c>
      <c r="CM411" s="107">
        <f t="shared" si="65"/>
        <v>86.572371858800125</v>
      </c>
    </row>
    <row r="412" spans="31:91">
      <c r="AE412" s="26">
        <f>Data!A407</f>
        <v>42373</v>
      </c>
      <c r="AF412" s="35">
        <f>Data!B407</f>
        <v>82.93</v>
      </c>
      <c r="AG412" s="35">
        <f>Data!F407</f>
        <v>2239514</v>
      </c>
      <c r="AH412" s="35">
        <f>Data!C407</f>
        <v>83.19</v>
      </c>
      <c r="AI412" s="35">
        <f>Data!D407</f>
        <v>81.25</v>
      </c>
      <c r="AJ412" s="35">
        <f>Data!E407</f>
        <v>82.07</v>
      </c>
      <c r="AK412" s="35">
        <f>Data!F407</f>
        <v>2239514</v>
      </c>
      <c r="AL412" s="35">
        <f t="shared" si="64"/>
        <v>82.07</v>
      </c>
      <c r="AM412" s="35">
        <f t="shared" si="63"/>
        <v>-0.24369440721335794</v>
      </c>
      <c r="AN412" s="35">
        <f t="shared" si="72"/>
        <v>9.0547770632378271</v>
      </c>
      <c r="AO412" s="35" t="str">
        <f t="shared" si="66"/>
        <v>no</v>
      </c>
      <c r="AP412" s="35" t="str">
        <f t="shared" si="67"/>
        <v>no</v>
      </c>
      <c r="AQ412" s="35" t="str">
        <f t="shared" si="67"/>
        <v>no</v>
      </c>
      <c r="AR412" s="35" t="str">
        <f t="shared" si="68"/>
        <v>FITS BITCH</v>
      </c>
      <c r="AS412" s="35" t="str">
        <f t="shared" si="69"/>
        <v>no</v>
      </c>
      <c r="AT412" s="20" t="str">
        <f t="shared" si="70"/>
        <v/>
      </c>
      <c r="AU412" s="20" t="str">
        <f t="shared" si="71"/>
        <v/>
      </c>
      <c r="AV412" s="20"/>
      <c r="AW412" s="20"/>
      <c r="AX412" s="20"/>
      <c r="CL412" s="106">
        <v>42552</v>
      </c>
      <c r="CM412" s="107">
        <f t="shared" si="65"/>
        <v>86.412510293531795</v>
      </c>
    </row>
    <row r="413" spans="31:91">
      <c r="AE413" s="26">
        <f>Data!A408</f>
        <v>42369</v>
      </c>
      <c r="AF413" s="35">
        <f>Data!B408</f>
        <v>85.78</v>
      </c>
      <c r="AG413" s="35">
        <f>Data!F408</f>
        <v>1420087</v>
      </c>
      <c r="AH413" s="35">
        <f>Data!C408</f>
        <v>86.34</v>
      </c>
      <c r="AI413" s="35">
        <f>Data!D408</f>
        <v>84.55</v>
      </c>
      <c r="AJ413" s="35">
        <f>Data!E408</f>
        <v>84.72</v>
      </c>
      <c r="AK413" s="35">
        <f>Data!F408</f>
        <v>1420087</v>
      </c>
      <c r="AL413" s="35">
        <f t="shared" si="64"/>
        <v>84.72</v>
      </c>
      <c r="AM413" s="35">
        <f t="shared" si="63"/>
        <v>3.1279508970727168</v>
      </c>
      <c r="AN413" s="35">
        <f t="shared" si="72"/>
        <v>-57.702591460945705</v>
      </c>
      <c r="AO413" s="35" t="str">
        <f t="shared" si="66"/>
        <v>FITS BITCH</v>
      </c>
      <c r="AP413" s="35" t="str">
        <f t="shared" si="67"/>
        <v>no</v>
      </c>
      <c r="AQ413" s="35" t="str">
        <f t="shared" si="67"/>
        <v>no</v>
      </c>
      <c r="AR413" s="35" t="str">
        <f t="shared" si="68"/>
        <v>FITS BITCH</v>
      </c>
      <c r="AS413" s="35" t="str">
        <f t="shared" si="69"/>
        <v>no</v>
      </c>
      <c r="AT413" s="20" t="str">
        <f t="shared" si="70"/>
        <v/>
      </c>
      <c r="AU413" s="20" t="str">
        <f t="shared" si="71"/>
        <v/>
      </c>
      <c r="AV413" s="20"/>
      <c r="AW413" s="20"/>
      <c r="AX413" s="20"/>
      <c r="CL413" s="106">
        <v>42551</v>
      </c>
      <c r="CM413" s="107">
        <f t="shared" si="65"/>
        <v>86.359223105108867</v>
      </c>
    </row>
    <row r="414" spans="31:91">
      <c r="AE414" s="26">
        <f>Data!A409</f>
        <v>42368</v>
      </c>
      <c r="AF414" s="35">
        <f>Data!B409</f>
        <v>86.74</v>
      </c>
      <c r="AG414" s="35">
        <f>Data!F409</f>
        <v>744493</v>
      </c>
      <c r="AH414" s="35">
        <f>Data!C409</f>
        <v>87.1</v>
      </c>
      <c r="AI414" s="35">
        <f>Data!D409</f>
        <v>86.33</v>
      </c>
      <c r="AJ414" s="35">
        <f>Data!E409</f>
        <v>86.38</v>
      </c>
      <c r="AK414" s="35">
        <f>Data!F409</f>
        <v>744493</v>
      </c>
      <c r="AL414" s="35">
        <f t="shared" si="64"/>
        <v>86.38</v>
      </c>
      <c r="AM414" s="35">
        <f t="shared" si="63"/>
        <v>1.9217411437832794</v>
      </c>
      <c r="AN414" s="35">
        <f t="shared" si="72"/>
        <v>-90.74551406124705</v>
      </c>
      <c r="AO414" s="35" t="str">
        <f t="shared" si="66"/>
        <v>FITS BITCH</v>
      </c>
      <c r="AP414" s="35" t="str">
        <f t="shared" si="67"/>
        <v>no</v>
      </c>
      <c r="AQ414" s="35" t="str">
        <f t="shared" si="67"/>
        <v>no</v>
      </c>
      <c r="AR414" s="35" t="str">
        <f t="shared" si="68"/>
        <v>FITS BITCH</v>
      </c>
      <c r="AS414" s="35" t="str">
        <f t="shared" si="69"/>
        <v>no</v>
      </c>
      <c r="AT414" s="20" t="str">
        <f t="shared" si="70"/>
        <v/>
      </c>
      <c r="AU414" s="20" t="str">
        <f t="shared" si="71"/>
        <v/>
      </c>
      <c r="AV414" s="20"/>
      <c r="AW414" s="20"/>
      <c r="AX414" s="20"/>
      <c r="CL414" s="106">
        <v>42550</v>
      </c>
      <c r="CM414" s="107">
        <f t="shared" si="65"/>
        <v>86.305935916686394</v>
      </c>
    </row>
    <row r="415" spans="31:91">
      <c r="AE415" s="26">
        <f>Data!A410</f>
        <v>42367</v>
      </c>
      <c r="AF415" s="35">
        <f>Data!B410</f>
        <v>86.5</v>
      </c>
      <c r="AG415" s="35">
        <f>Data!F410</f>
        <v>975897</v>
      </c>
      <c r="AH415" s="35">
        <f>Data!C410</f>
        <v>87.25</v>
      </c>
      <c r="AI415" s="35">
        <f>Data!D410</f>
        <v>86.44</v>
      </c>
      <c r="AJ415" s="35">
        <f>Data!E410</f>
        <v>86.84</v>
      </c>
      <c r="AK415" s="35">
        <f>Data!F410</f>
        <v>975897</v>
      </c>
      <c r="AL415" s="35">
        <f t="shared" si="64"/>
        <v>86.84</v>
      </c>
      <c r="AM415" s="35">
        <f t="shared" si="63"/>
        <v>0.52970981114694604</v>
      </c>
      <c r="AN415" s="35">
        <f t="shared" si="72"/>
        <v>23.711928615417406</v>
      </c>
      <c r="AO415" s="35" t="str">
        <f t="shared" si="66"/>
        <v>no</v>
      </c>
      <c r="AP415" s="35" t="str">
        <f t="shared" si="67"/>
        <v>FITS BITCH</v>
      </c>
      <c r="AQ415" s="35" t="str">
        <f t="shared" si="67"/>
        <v>FITS BITCH</v>
      </c>
      <c r="AR415" s="35" t="str">
        <f t="shared" si="68"/>
        <v>no</v>
      </c>
      <c r="AS415" s="35" t="str">
        <f t="shared" si="69"/>
        <v>FITS BITCH</v>
      </c>
      <c r="AT415" s="20" t="str">
        <f t="shared" si="70"/>
        <v/>
      </c>
      <c r="AU415" s="20" t="str">
        <f t="shared" si="71"/>
        <v/>
      </c>
      <c r="AV415" s="20"/>
      <c r="AW415" s="20"/>
      <c r="AX415" s="20"/>
      <c r="CL415" s="106">
        <v>42549</v>
      </c>
      <c r="CM415" s="107">
        <f t="shared" si="65"/>
        <v>86.252648728263466</v>
      </c>
    </row>
    <row r="416" spans="31:91">
      <c r="AE416" s="26">
        <f>Data!A411</f>
        <v>42366</v>
      </c>
      <c r="AF416" s="35">
        <f>Data!B411</f>
        <v>85.45</v>
      </c>
      <c r="AG416" s="35">
        <f>Data!F411</f>
        <v>968014</v>
      </c>
      <c r="AH416" s="35">
        <f>Data!C411</f>
        <v>85.92</v>
      </c>
      <c r="AI416" s="35">
        <f>Data!D411</f>
        <v>85.02</v>
      </c>
      <c r="AJ416" s="35">
        <f>Data!E411</f>
        <v>85.75</v>
      </c>
      <c r="AK416" s="35">
        <f>Data!F411</f>
        <v>968014</v>
      </c>
      <c r="AL416" s="35">
        <f t="shared" si="64"/>
        <v>85.75</v>
      </c>
      <c r="AM416" s="35">
        <f t="shared" si="63"/>
        <v>-1.2711370262390709</v>
      </c>
      <c r="AN416" s="35">
        <f t="shared" si="72"/>
        <v>-0.81434772637585828</v>
      </c>
      <c r="AO416" s="35" t="str">
        <f t="shared" si="66"/>
        <v>no</v>
      </c>
      <c r="AP416" s="35" t="str">
        <f t="shared" si="67"/>
        <v>no</v>
      </c>
      <c r="AQ416" s="35" t="str">
        <f t="shared" si="67"/>
        <v>no</v>
      </c>
      <c r="AR416" s="35" t="str">
        <f t="shared" si="68"/>
        <v>FITS BITCH</v>
      </c>
      <c r="AS416" s="35" t="str">
        <f t="shared" si="69"/>
        <v>no</v>
      </c>
      <c r="AT416" s="20" t="str">
        <f t="shared" si="70"/>
        <v/>
      </c>
      <c r="AU416" s="20" t="str">
        <f t="shared" si="71"/>
        <v/>
      </c>
      <c r="AV416" s="20"/>
      <c r="AW416" s="20"/>
      <c r="AX416" s="20"/>
      <c r="CL416" s="106">
        <v>42548</v>
      </c>
      <c r="CM416" s="107">
        <f t="shared" si="65"/>
        <v>86.199361539840993</v>
      </c>
    </row>
    <row r="417" spans="31:91">
      <c r="AE417" s="26">
        <f>Data!A412</f>
        <v>42362</v>
      </c>
      <c r="AF417" s="35">
        <f>Data!B412</f>
        <v>85.92</v>
      </c>
      <c r="AG417" s="35">
        <f>Data!F412</f>
        <v>640237</v>
      </c>
      <c r="AH417" s="35">
        <f>Data!C412</f>
        <v>86.32</v>
      </c>
      <c r="AI417" s="35">
        <f>Data!D412</f>
        <v>85.66</v>
      </c>
      <c r="AJ417" s="35">
        <f>Data!E412</f>
        <v>85.94</v>
      </c>
      <c r="AK417" s="35">
        <f>Data!F412</f>
        <v>640237</v>
      </c>
      <c r="AL417" s="35">
        <f t="shared" si="64"/>
        <v>85.94</v>
      </c>
      <c r="AM417" s="35">
        <f t="shared" si="63"/>
        <v>0.22108447754246885</v>
      </c>
      <c r="AN417" s="35">
        <f t="shared" si="72"/>
        <v>-51.196197658054757</v>
      </c>
      <c r="AO417" s="35" t="str">
        <f t="shared" si="66"/>
        <v>FITS BITCH</v>
      </c>
      <c r="AP417" s="35" t="str">
        <f t="shared" si="67"/>
        <v>FITS BITCH</v>
      </c>
      <c r="AQ417" s="35" t="str">
        <f t="shared" si="67"/>
        <v>FITS BITCH</v>
      </c>
      <c r="AR417" s="35" t="str">
        <f t="shared" si="68"/>
        <v>FITS BITCH</v>
      </c>
      <c r="AS417" s="35" t="str">
        <f t="shared" si="69"/>
        <v>FITS BITCH</v>
      </c>
      <c r="AT417" s="20" t="str">
        <f t="shared" si="70"/>
        <v>BULLISH</v>
      </c>
      <c r="AU417" s="20" t="str">
        <f t="shared" si="71"/>
        <v>BEARISH</v>
      </c>
      <c r="AV417" s="20"/>
      <c r="AW417" s="20"/>
      <c r="AX417" s="20"/>
      <c r="CL417" s="106">
        <v>42545</v>
      </c>
      <c r="CM417" s="107">
        <f t="shared" si="65"/>
        <v>86.039499974572664</v>
      </c>
    </row>
    <row r="418" spans="31:91">
      <c r="AE418" s="26">
        <f>Data!A413</f>
        <v>42361</v>
      </c>
      <c r="AF418" s="35">
        <f>Data!B413</f>
        <v>85.39</v>
      </c>
      <c r="AG418" s="35">
        <f>Data!F413</f>
        <v>1056644</v>
      </c>
      <c r="AH418" s="35">
        <f>Data!C413</f>
        <v>85.96</v>
      </c>
      <c r="AI418" s="35">
        <f>Data!D413</f>
        <v>84.86</v>
      </c>
      <c r="AJ418" s="35">
        <f>Data!E413</f>
        <v>85.73</v>
      </c>
      <c r="AK418" s="35">
        <f>Data!F413</f>
        <v>1056644</v>
      </c>
      <c r="AL418" s="35">
        <f t="shared" si="64"/>
        <v>85.73</v>
      </c>
      <c r="AM418" s="35">
        <f t="shared" si="63"/>
        <v>-0.2449550915665388</v>
      </c>
      <c r="AN418" s="35">
        <f t="shared" si="72"/>
        <v>39.408447878377203</v>
      </c>
      <c r="AO418" s="35" t="str">
        <f t="shared" si="66"/>
        <v>no</v>
      </c>
      <c r="AP418" s="35" t="str">
        <f t="shared" si="67"/>
        <v>FITS BITCH</v>
      </c>
      <c r="AQ418" s="35" t="str">
        <f t="shared" si="67"/>
        <v>FITS BITCH</v>
      </c>
      <c r="AR418" s="35" t="str">
        <f t="shared" si="68"/>
        <v>no</v>
      </c>
      <c r="AS418" s="35" t="str">
        <f t="shared" si="69"/>
        <v>FITS BITCH</v>
      </c>
      <c r="AT418" s="20" t="str">
        <f t="shared" si="70"/>
        <v/>
      </c>
      <c r="AU418" s="20" t="str">
        <f t="shared" si="71"/>
        <v/>
      </c>
      <c r="AV418" s="20"/>
      <c r="AW418" s="20"/>
      <c r="AX418" s="20"/>
      <c r="CL418" s="106">
        <v>42544</v>
      </c>
      <c r="CM418" s="107">
        <f t="shared" si="65"/>
        <v>85.986212786149736</v>
      </c>
    </row>
    <row r="419" spans="31:91">
      <c r="AE419" s="26">
        <f>Data!A414</f>
        <v>42360</v>
      </c>
      <c r="AF419" s="35">
        <f>Data!B414</f>
        <v>84.76</v>
      </c>
      <c r="AG419" s="35">
        <f>Data!F414</f>
        <v>1772474</v>
      </c>
      <c r="AH419" s="35">
        <f>Data!C414</f>
        <v>85.23</v>
      </c>
      <c r="AI419" s="35">
        <f>Data!D414</f>
        <v>83.66</v>
      </c>
      <c r="AJ419" s="35">
        <f>Data!E414</f>
        <v>84.86</v>
      </c>
      <c r="AK419" s="35">
        <f>Data!F414</f>
        <v>1772474</v>
      </c>
      <c r="AL419" s="35">
        <f t="shared" si="64"/>
        <v>84.86</v>
      </c>
      <c r="AM419" s="35">
        <f t="shared" si="63"/>
        <v>-1.0252180061277452</v>
      </c>
      <c r="AN419" s="35">
        <f t="shared" si="72"/>
        <v>40.385923855582654</v>
      </c>
      <c r="AO419" s="35" t="str">
        <f t="shared" si="66"/>
        <v>no</v>
      </c>
      <c r="AP419" s="35" t="str">
        <f t="shared" si="67"/>
        <v>FITS BITCH</v>
      </c>
      <c r="AQ419" s="35" t="str">
        <f t="shared" si="67"/>
        <v>FITS BITCH</v>
      </c>
      <c r="AR419" s="35" t="str">
        <f t="shared" si="68"/>
        <v>no</v>
      </c>
      <c r="AS419" s="35" t="str">
        <f t="shared" si="69"/>
        <v>FITS BITCH</v>
      </c>
      <c r="AT419" s="20" t="str">
        <f t="shared" si="70"/>
        <v/>
      </c>
      <c r="AU419" s="20" t="str">
        <f t="shared" si="71"/>
        <v/>
      </c>
      <c r="AV419" s="20"/>
      <c r="AW419" s="20"/>
      <c r="AX419" s="20"/>
      <c r="CL419" s="106">
        <v>42543</v>
      </c>
      <c r="CM419" s="107">
        <f t="shared" si="65"/>
        <v>85.932925597726808</v>
      </c>
    </row>
    <row r="420" spans="31:91">
      <c r="AE420" s="26">
        <f>Data!A415</f>
        <v>42359</v>
      </c>
      <c r="AF420" s="35">
        <f>Data!B415</f>
        <v>83.81</v>
      </c>
      <c r="AG420" s="35">
        <f>Data!F415</f>
        <v>1432790</v>
      </c>
      <c r="AH420" s="35">
        <f>Data!C415</f>
        <v>84.19</v>
      </c>
      <c r="AI420" s="35">
        <f>Data!D415</f>
        <v>83.28</v>
      </c>
      <c r="AJ420" s="35">
        <f>Data!E415</f>
        <v>84.14</v>
      </c>
      <c r="AK420" s="35">
        <f>Data!F415</f>
        <v>1432790</v>
      </c>
      <c r="AL420" s="35">
        <f t="shared" si="64"/>
        <v>84.14</v>
      </c>
      <c r="AM420" s="35">
        <f t="shared" si="63"/>
        <v>-0.85571666270501412</v>
      </c>
      <c r="AN420" s="35">
        <f t="shared" si="72"/>
        <v>-23.707870657947083</v>
      </c>
      <c r="AO420" s="35" t="str">
        <f t="shared" si="66"/>
        <v>FITS BITCH</v>
      </c>
      <c r="AP420" s="35" t="str">
        <f t="shared" si="67"/>
        <v>no</v>
      </c>
      <c r="AQ420" s="35" t="str">
        <f t="shared" si="67"/>
        <v>FITS BITCH</v>
      </c>
      <c r="AR420" s="35" t="str">
        <f t="shared" si="68"/>
        <v>FITS BITCH</v>
      </c>
      <c r="AS420" s="35" t="str">
        <f t="shared" si="69"/>
        <v>FITS BITCH</v>
      </c>
      <c r="AT420" s="20" t="str">
        <f t="shared" si="70"/>
        <v/>
      </c>
      <c r="AU420" s="20" t="str">
        <f t="shared" si="71"/>
        <v>BEARISH</v>
      </c>
      <c r="AV420" s="20"/>
      <c r="AW420" s="20"/>
      <c r="AX420" s="20"/>
      <c r="CL420" s="106">
        <v>42542</v>
      </c>
      <c r="CM420" s="107">
        <f t="shared" si="65"/>
        <v>85.879638409304334</v>
      </c>
    </row>
    <row r="421" spans="31:91">
      <c r="AE421" s="26">
        <f>Data!A416</f>
        <v>42356</v>
      </c>
      <c r="AF421" s="35">
        <f>Data!B416</f>
        <v>84.13</v>
      </c>
      <c r="AG421" s="35">
        <f>Data!F416</f>
        <v>3879447</v>
      </c>
      <c r="AH421" s="35">
        <f>Data!C416</f>
        <v>84.68</v>
      </c>
      <c r="AI421" s="35">
        <f>Data!D416</f>
        <v>83.21</v>
      </c>
      <c r="AJ421" s="35">
        <f>Data!E416</f>
        <v>83.28</v>
      </c>
      <c r="AK421" s="35">
        <f>Data!F416</f>
        <v>3879447</v>
      </c>
      <c r="AL421" s="35">
        <f t="shared" si="64"/>
        <v>83.28</v>
      </c>
      <c r="AM421" s="35">
        <f t="shared" si="63"/>
        <v>-1.032660902977905</v>
      </c>
      <c r="AN421" s="35">
        <f t="shared" si="72"/>
        <v>63.067158798663826</v>
      </c>
      <c r="AO421" s="35" t="str">
        <f t="shared" si="66"/>
        <v>no</v>
      </c>
      <c r="AP421" s="35" t="str">
        <f t="shared" si="67"/>
        <v>no</v>
      </c>
      <c r="AQ421" s="35" t="str">
        <f t="shared" si="67"/>
        <v>no</v>
      </c>
      <c r="AR421" s="35" t="str">
        <f t="shared" si="68"/>
        <v>FITS BITCH</v>
      </c>
      <c r="AS421" s="35" t="str">
        <f t="shared" si="69"/>
        <v>no</v>
      </c>
      <c r="AT421" s="20" t="str">
        <f t="shared" si="70"/>
        <v/>
      </c>
      <c r="AU421" s="20" t="str">
        <f t="shared" si="71"/>
        <v/>
      </c>
      <c r="AV421" s="20"/>
      <c r="AW421" s="20"/>
      <c r="AX421" s="20"/>
      <c r="CL421" s="106">
        <v>42541</v>
      </c>
      <c r="CM421" s="107">
        <f t="shared" si="65"/>
        <v>85.826351220881406</v>
      </c>
    </row>
    <row r="422" spans="31:91">
      <c r="AE422" s="26">
        <f>Data!A417</f>
        <v>42355</v>
      </c>
      <c r="AF422" s="35">
        <f>Data!B417</f>
        <v>86.29</v>
      </c>
      <c r="AG422" s="35">
        <f>Data!F417</f>
        <v>1756248</v>
      </c>
      <c r="AH422" s="35">
        <f>Data!C417</f>
        <v>86.73</v>
      </c>
      <c r="AI422" s="35">
        <f>Data!D417</f>
        <v>84.76</v>
      </c>
      <c r="AJ422" s="35">
        <f>Data!E417</f>
        <v>84.81</v>
      </c>
      <c r="AK422" s="35">
        <f>Data!F417</f>
        <v>1756248</v>
      </c>
      <c r="AL422" s="35">
        <f t="shared" si="64"/>
        <v>84.81</v>
      </c>
      <c r="AM422" s="35">
        <f t="shared" si="63"/>
        <v>1.8040325433321556</v>
      </c>
      <c r="AN422" s="35">
        <f t="shared" si="72"/>
        <v>-120.89403091135193</v>
      </c>
      <c r="AO422" s="35" t="str">
        <f t="shared" si="66"/>
        <v>FITS BITCH</v>
      </c>
      <c r="AP422" s="35" t="str">
        <f t="shared" si="67"/>
        <v>FITS BITCH</v>
      </c>
      <c r="AQ422" s="35" t="str">
        <f t="shared" si="67"/>
        <v>FITS BITCH</v>
      </c>
      <c r="AR422" s="35" t="str">
        <f t="shared" si="68"/>
        <v>FITS BITCH</v>
      </c>
      <c r="AS422" s="35" t="str">
        <f t="shared" si="69"/>
        <v>no</v>
      </c>
      <c r="AT422" s="20" t="str">
        <f t="shared" si="70"/>
        <v>BULLISH</v>
      </c>
      <c r="AU422" s="20" t="str">
        <f t="shared" si="71"/>
        <v/>
      </c>
      <c r="AV422" s="20"/>
      <c r="AW422" s="20"/>
      <c r="AX422" s="20"/>
      <c r="CL422" s="106">
        <v>42538</v>
      </c>
      <c r="CM422" s="107">
        <f t="shared" si="65"/>
        <v>85.666489655613077</v>
      </c>
    </row>
    <row r="423" spans="31:91">
      <c r="AE423" s="26">
        <f>Data!A418</f>
        <v>42354</v>
      </c>
      <c r="AF423" s="35">
        <f>Data!B418</f>
        <v>86.06</v>
      </c>
      <c r="AG423" s="35">
        <f>Data!F418</f>
        <v>1535104</v>
      </c>
      <c r="AH423" s="35">
        <f>Data!C418</f>
        <v>86.36</v>
      </c>
      <c r="AI423" s="35">
        <f>Data!D418</f>
        <v>84.73</v>
      </c>
      <c r="AJ423" s="35">
        <f>Data!E418</f>
        <v>86.2</v>
      </c>
      <c r="AK423" s="35">
        <f>Data!F418</f>
        <v>1535104</v>
      </c>
      <c r="AL423" s="35">
        <f t="shared" si="64"/>
        <v>86.2</v>
      </c>
      <c r="AM423" s="35">
        <f t="shared" si="63"/>
        <v>1.6125290023201861</v>
      </c>
      <c r="AN423" s="35">
        <f t="shared" si="72"/>
        <v>-14.405799216209456</v>
      </c>
      <c r="AO423" s="35" t="str">
        <f t="shared" si="66"/>
        <v>FITS BITCH</v>
      </c>
      <c r="AP423" s="35" t="str">
        <f t="shared" si="67"/>
        <v>FITS BITCH</v>
      </c>
      <c r="AQ423" s="35" t="str">
        <f t="shared" si="67"/>
        <v>no</v>
      </c>
      <c r="AR423" s="35" t="str">
        <f t="shared" si="68"/>
        <v>no</v>
      </c>
      <c r="AS423" s="35" t="str">
        <f t="shared" si="69"/>
        <v>FITS BITCH</v>
      </c>
      <c r="AT423" s="20" t="str">
        <f t="shared" si="70"/>
        <v/>
      </c>
      <c r="AU423" s="20" t="str">
        <f t="shared" si="71"/>
        <v/>
      </c>
      <c r="AV423" s="20"/>
      <c r="AW423" s="20"/>
      <c r="AX423" s="20"/>
      <c r="CL423" s="106">
        <v>42537</v>
      </c>
      <c r="CM423" s="107">
        <f t="shared" si="65"/>
        <v>85.613202467190149</v>
      </c>
    </row>
    <row r="424" spans="31:91">
      <c r="AE424" s="26">
        <f>Data!A419</f>
        <v>42353</v>
      </c>
      <c r="AF424" s="35">
        <f>Data!B419</f>
        <v>85.31</v>
      </c>
      <c r="AG424" s="35">
        <f>Data!F419</f>
        <v>1814949</v>
      </c>
      <c r="AH424" s="35">
        <f>Data!C419</f>
        <v>86.07</v>
      </c>
      <c r="AI424" s="35">
        <f>Data!D419</f>
        <v>84.91</v>
      </c>
      <c r="AJ424" s="35">
        <f>Data!E419</f>
        <v>85.47</v>
      </c>
      <c r="AK424" s="35">
        <f>Data!F419</f>
        <v>1814949</v>
      </c>
      <c r="AL424" s="35">
        <f t="shared" si="64"/>
        <v>85.47</v>
      </c>
      <c r="AM424" s="35">
        <f t="shared" si="63"/>
        <v>-0.85410085410085879</v>
      </c>
      <c r="AN424" s="35">
        <f t="shared" si="72"/>
        <v>15.418890558357287</v>
      </c>
      <c r="AO424" s="35" t="str">
        <f t="shared" si="66"/>
        <v>no</v>
      </c>
      <c r="AP424" s="35" t="str">
        <f t="shared" si="67"/>
        <v>FITS BITCH</v>
      </c>
      <c r="AQ424" s="35" t="str">
        <f t="shared" si="67"/>
        <v>FITS BITCH</v>
      </c>
      <c r="AR424" s="35" t="str">
        <f t="shared" si="68"/>
        <v>no</v>
      </c>
      <c r="AS424" s="35" t="str">
        <f t="shared" si="69"/>
        <v>FITS BITCH</v>
      </c>
      <c r="AT424" s="20" t="str">
        <f t="shared" si="70"/>
        <v/>
      </c>
      <c r="AU424" s="20" t="str">
        <f t="shared" si="71"/>
        <v/>
      </c>
      <c r="AV424" s="20"/>
      <c r="AW424" s="20"/>
      <c r="AX424" s="20"/>
      <c r="CL424" s="106">
        <v>42536</v>
      </c>
      <c r="CM424" s="107">
        <f t="shared" si="65"/>
        <v>85.559915278767676</v>
      </c>
    </row>
    <row r="425" spans="31:91">
      <c r="AE425" s="26">
        <f>Data!A420</f>
        <v>42352</v>
      </c>
      <c r="AF425" s="35">
        <f>Data!B420</f>
        <v>83.66</v>
      </c>
      <c r="AG425" s="35">
        <f>Data!F420</f>
        <v>1528451</v>
      </c>
      <c r="AH425" s="35">
        <f>Data!C420</f>
        <v>84.73</v>
      </c>
      <c r="AI425" s="35">
        <f>Data!D420</f>
        <v>83.24</v>
      </c>
      <c r="AJ425" s="35">
        <f>Data!E420</f>
        <v>84.6</v>
      </c>
      <c r="AK425" s="35">
        <f>Data!F420</f>
        <v>1528451</v>
      </c>
      <c r="AL425" s="35">
        <f t="shared" si="64"/>
        <v>84.6</v>
      </c>
      <c r="AM425" s="35">
        <f t="shared" si="63"/>
        <v>-1.0283687943262465</v>
      </c>
      <c r="AN425" s="35">
        <f t="shared" si="72"/>
        <v>-18.744336586517985</v>
      </c>
      <c r="AO425" s="35" t="str">
        <f t="shared" si="66"/>
        <v>FITS BITCH</v>
      </c>
      <c r="AP425" s="35" t="str">
        <f t="shared" si="67"/>
        <v>no</v>
      </c>
      <c r="AQ425" s="35" t="str">
        <f t="shared" si="67"/>
        <v>FITS BITCH</v>
      </c>
      <c r="AR425" s="35" t="str">
        <f t="shared" si="68"/>
        <v>FITS BITCH</v>
      </c>
      <c r="AS425" s="35" t="str">
        <f t="shared" si="69"/>
        <v>FITS BITCH</v>
      </c>
      <c r="AT425" s="20" t="str">
        <f t="shared" si="70"/>
        <v/>
      </c>
      <c r="AU425" s="20" t="str">
        <f t="shared" si="71"/>
        <v>BEARISH</v>
      </c>
      <c r="AV425" s="20"/>
      <c r="AW425" s="20"/>
      <c r="AX425" s="20"/>
      <c r="CL425" s="106">
        <v>42535</v>
      </c>
      <c r="CM425" s="107">
        <f t="shared" si="65"/>
        <v>85.506628090344748</v>
      </c>
    </row>
    <row r="426" spans="31:91">
      <c r="AE426" s="26">
        <f>Data!A421</f>
        <v>42349</v>
      </c>
      <c r="AF426" s="35">
        <f>Data!B421</f>
        <v>84.29</v>
      </c>
      <c r="AG426" s="35">
        <f>Data!F421</f>
        <v>1945425</v>
      </c>
      <c r="AH426" s="35">
        <f>Data!C421</f>
        <v>84.91</v>
      </c>
      <c r="AI426" s="35">
        <f>Data!D421</f>
        <v>83.14</v>
      </c>
      <c r="AJ426" s="35">
        <f>Data!E421</f>
        <v>83.33</v>
      </c>
      <c r="AK426" s="35">
        <f>Data!F421</f>
        <v>1945425</v>
      </c>
      <c r="AL426" s="35">
        <f t="shared" si="64"/>
        <v>83.33</v>
      </c>
      <c r="AM426" s="35">
        <f t="shared" si="63"/>
        <v>-1.5240609624384929</v>
      </c>
      <c r="AN426" s="35">
        <f t="shared" si="72"/>
        <v>21.4335685004562</v>
      </c>
      <c r="AO426" s="35" t="str">
        <f t="shared" si="66"/>
        <v>no</v>
      </c>
      <c r="AP426" s="35" t="str">
        <f t="shared" si="67"/>
        <v>no</v>
      </c>
      <c r="AQ426" s="35" t="str">
        <f t="shared" si="67"/>
        <v>no</v>
      </c>
      <c r="AR426" s="35" t="str">
        <f t="shared" si="68"/>
        <v>FITS BITCH</v>
      </c>
      <c r="AS426" s="35" t="str">
        <f t="shared" si="69"/>
        <v>no</v>
      </c>
      <c r="AT426" s="20" t="str">
        <f t="shared" si="70"/>
        <v/>
      </c>
      <c r="AU426" s="20" t="str">
        <f t="shared" si="71"/>
        <v/>
      </c>
      <c r="AV426" s="20"/>
      <c r="AW426" s="20"/>
      <c r="AX426" s="20"/>
      <c r="CL426" s="106">
        <v>42534</v>
      </c>
      <c r="CM426" s="107">
        <f t="shared" si="65"/>
        <v>85.45334090192182</v>
      </c>
    </row>
    <row r="427" spans="31:91">
      <c r="AE427" s="26">
        <f>Data!A422</f>
        <v>42348</v>
      </c>
      <c r="AF427" s="35">
        <f>Data!B422</f>
        <v>85.08</v>
      </c>
      <c r="AG427" s="35">
        <f>Data!F422</f>
        <v>1748732</v>
      </c>
      <c r="AH427" s="35">
        <f>Data!C422</f>
        <v>86.3</v>
      </c>
      <c r="AI427" s="35">
        <f>Data!D422</f>
        <v>84.7</v>
      </c>
      <c r="AJ427" s="35">
        <f>Data!E422</f>
        <v>85.46</v>
      </c>
      <c r="AK427" s="35">
        <f>Data!F422</f>
        <v>1748732</v>
      </c>
      <c r="AL427" s="35">
        <f t="shared" si="64"/>
        <v>85.46</v>
      </c>
      <c r="AM427" s="35">
        <f t="shared" si="63"/>
        <v>2.4923941025040905</v>
      </c>
      <c r="AN427" s="35">
        <f t="shared" si="72"/>
        <v>-11.247749798139452</v>
      </c>
      <c r="AO427" s="35" t="str">
        <f t="shared" si="66"/>
        <v>FITS BITCH</v>
      </c>
      <c r="AP427" s="35" t="str">
        <f t="shared" si="67"/>
        <v>no</v>
      </c>
      <c r="AQ427" s="35" t="str">
        <f t="shared" si="67"/>
        <v>FITS BITCH</v>
      </c>
      <c r="AR427" s="35" t="str">
        <f t="shared" si="68"/>
        <v>FITS BITCH</v>
      </c>
      <c r="AS427" s="35" t="str">
        <f t="shared" si="69"/>
        <v>FITS BITCH</v>
      </c>
      <c r="AT427" s="20" t="str">
        <f t="shared" si="70"/>
        <v/>
      </c>
      <c r="AU427" s="20" t="str">
        <f t="shared" si="71"/>
        <v>BEARISH</v>
      </c>
      <c r="AV427" s="20"/>
      <c r="AW427" s="20"/>
      <c r="AX427" s="20"/>
      <c r="CL427" s="106">
        <v>42531</v>
      </c>
      <c r="CM427" s="107">
        <f t="shared" si="65"/>
        <v>85.29347933665349</v>
      </c>
    </row>
    <row r="428" spans="31:91">
      <c r="AE428" s="26">
        <f>Data!A423</f>
        <v>42347</v>
      </c>
      <c r="AF428" s="35">
        <f>Data!B423</f>
        <v>85.65</v>
      </c>
      <c r="AG428" s="35">
        <f>Data!F423</f>
        <v>1486533</v>
      </c>
      <c r="AH428" s="35">
        <f>Data!C423</f>
        <v>86.61</v>
      </c>
      <c r="AI428" s="35">
        <f>Data!D423</f>
        <v>84.48</v>
      </c>
      <c r="AJ428" s="35">
        <f>Data!E423</f>
        <v>84.95</v>
      </c>
      <c r="AK428" s="35">
        <f>Data!F423</f>
        <v>1486533</v>
      </c>
      <c r="AL428" s="35">
        <f t="shared" si="64"/>
        <v>84.95</v>
      </c>
      <c r="AM428" s="35">
        <f t="shared" si="63"/>
        <v>-0.60035314891111347</v>
      </c>
      <c r="AN428" s="35">
        <f t="shared" si="72"/>
        <v>-17.638289900056037</v>
      </c>
      <c r="AO428" s="35" t="str">
        <f t="shared" si="66"/>
        <v>FITS BITCH</v>
      </c>
      <c r="AP428" s="35" t="str">
        <f t="shared" si="67"/>
        <v>no</v>
      </c>
      <c r="AQ428" s="35" t="str">
        <f t="shared" si="67"/>
        <v>no</v>
      </c>
      <c r="AR428" s="35" t="str">
        <f t="shared" si="68"/>
        <v>FITS BITCH</v>
      </c>
      <c r="AS428" s="35" t="str">
        <f t="shared" si="69"/>
        <v>no</v>
      </c>
      <c r="AT428" s="20" t="str">
        <f t="shared" si="70"/>
        <v/>
      </c>
      <c r="AU428" s="20" t="str">
        <f t="shared" si="71"/>
        <v/>
      </c>
      <c r="AV428" s="20"/>
      <c r="AW428" s="20"/>
      <c r="AX428" s="20"/>
      <c r="CL428" s="106">
        <v>42530</v>
      </c>
      <c r="CM428" s="107">
        <f t="shared" si="65"/>
        <v>85.240192148231017</v>
      </c>
    </row>
    <row r="429" spans="31:91">
      <c r="AE429" s="26">
        <f>Data!A424</f>
        <v>42346</v>
      </c>
      <c r="AF429" s="35">
        <f>Data!B424</f>
        <v>85.78</v>
      </c>
      <c r="AG429" s="35">
        <f>Data!F424</f>
        <v>1659841</v>
      </c>
      <c r="AH429" s="35">
        <f>Data!C424</f>
        <v>86.67</v>
      </c>
      <c r="AI429" s="35">
        <f>Data!D424</f>
        <v>85.37</v>
      </c>
      <c r="AJ429" s="35">
        <f>Data!E424</f>
        <v>86.32</v>
      </c>
      <c r="AK429" s="35">
        <f>Data!F424</f>
        <v>1659841</v>
      </c>
      <c r="AL429" s="35">
        <f t="shared" si="64"/>
        <v>86.32</v>
      </c>
      <c r="AM429" s="35">
        <f t="shared" si="63"/>
        <v>1.5871177015755218</v>
      </c>
      <c r="AN429" s="35">
        <f t="shared" si="72"/>
        <v>10.441241058631521</v>
      </c>
      <c r="AO429" s="35" t="str">
        <f t="shared" si="66"/>
        <v>no</v>
      </c>
      <c r="AP429" s="35" t="str">
        <f t="shared" si="67"/>
        <v>no</v>
      </c>
      <c r="AQ429" s="35" t="str">
        <f t="shared" si="67"/>
        <v>no</v>
      </c>
      <c r="AR429" s="35" t="str">
        <f t="shared" si="68"/>
        <v>FITS BITCH</v>
      </c>
      <c r="AS429" s="35" t="str">
        <f t="shared" si="69"/>
        <v>no</v>
      </c>
      <c r="AT429" s="20" t="str">
        <f t="shared" si="70"/>
        <v/>
      </c>
      <c r="AU429" s="20" t="str">
        <f t="shared" si="71"/>
        <v/>
      </c>
      <c r="AV429" s="20"/>
      <c r="AW429" s="20"/>
      <c r="AX429" s="20"/>
      <c r="CL429" s="106">
        <v>42529</v>
      </c>
      <c r="CM429" s="107">
        <f t="shared" si="65"/>
        <v>85.186904959808089</v>
      </c>
    </row>
    <row r="430" spans="31:91">
      <c r="AE430" s="26">
        <f>Data!A425</f>
        <v>42345</v>
      </c>
      <c r="AF430" s="35">
        <f>Data!B425</f>
        <v>87.05</v>
      </c>
      <c r="AG430" s="35">
        <f>Data!F425</f>
        <v>1295511</v>
      </c>
      <c r="AH430" s="35">
        <f>Data!C425</f>
        <v>87.37</v>
      </c>
      <c r="AI430" s="35">
        <f>Data!D425</f>
        <v>86.22</v>
      </c>
      <c r="AJ430" s="35">
        <f>Data!E425</f>
        <v>86.6</v>
      </c>
      <c r="AK430" s="35">
        <f>Data!F425</f>
        <v>1295511</v>
      </c>
      <c r="AL430" s="35">
        <f t="shared" si="64"/>
        <v>86.6</v>
      </c>
      <c r="AM430" s="35">
        <f t="shared" ref="AM430:AM493" si="73">(AL430-AL429)/AL430*100</f>
        <v>0.32332563510392742</v>
      </c>
      <c r="AN430" s="35">
        <f t="shared" si="72"/>
        <v>-28.12249374957063</v>
      </c>
      <c r="AO430" s="35" t="str">
        <f t="shared" si="66"/>
        <v>FITS BITCH</v>
      </c>
      <c r="AP430" s="35" t="str">
        <f t="shared" si="67"/>
        <v>no</v>
      </c>
      <c r="AQ430" s="35" t="str">
        <f t="shared" si="67"/>
        <v>FITS BITCH</v>
      </c>
      <c r="AR430" s="35" t="str">
        <f t="shared" si="68"/>
        <v>FITS BITCH</v>
      </c>
      <c r="AS430" s="35" t="str">
        <f t="shared" si="69"/>
        <v>no</v>
      </c>
      <c r="AT430" s="20" t="str">
        <f t="shared" si="70"/>
        <v/>
      </c>
      <c r="AU430" s="20" t="str">
        <f t="shared" si="71"/>
        <v/>
      </c>
      <c r="AV430" s="20"/>
      <c r="AW430" s="20"/>
      <c r="AX430" s="20"/>
      <c r="CL430" s="106">
        <v>42528</v>
      </c>
      <c r="CM430" s="107">
        <f t="shared" si="65"/>
        <v>85.133617771385161</v>
      </c>
    </row>
    <row r="431" spans="31:91">
      <c r="AE431" s="26">
        <f>Data!A426</f>
        <v>42342</v>
      </c>
      <c r="AF431" s="35">
        <f>Data!B426</f>
        <v>85.44</v>
      </c>
      <c r="AG431" s="35">
        <f>Data!F426</f>
        <v>1531130</v>
      </c>
      <c r="AH431" s="35">
        <f>Data!C426</f>
        <v>87.54</v>
      </c>
      <c r="AI431" s="35">
        <f>Data!D426</f>
        <v>85.44</v>
      </c>
      <c r="AJ431" s="35">
        <f>Data!E426</f>
        <v>87.43</v>
      </c>
      <c r="AK431" s="35">
        <f>Data!F426</f>
        <v>1531130</v>
      </c>
      <c r="AL431" s="35">
        <f t="shared" si="64"/>
        <v>87.43</v>
      </c>
      <c r="AM431" s="35">
        <f t="shared" si="73"/>
        <v>0.94933089328607168</v>
      </c>
      <c r="AN431" s="35">
        <f t="shared" si="72"/>
        <v>15.388569226649599</v>
      </c>
      <c r="AO431" s="35" t="str">
        <f t="shared" si="66"/>
        <v>no</v>
      </c>
      <c r="AP431" s="35" t="str">
        <f t="shared" si="67"/>
        <v>FITS BITCH</v>
      </c>
      <c r="AQ431" s="35" t="str">
        <f t="shared" si="67"/>
        <v>FITS BITCH</v>
      </c>
      <c r="AR431" s="35" t="str">
        <f t="shared" si="68"/>
        <v>no</v>
      </c>
      <c r="AS431" s="35" t="str">
        <f t="shared" si="69"/>
        <v>FITS BITCH</v>
      </c>
      <c r="AT431" s="20" t="str">
        <f t="shared" si="70"/>
        <v/>
      </c>
      <c r="AU431" s="20" t="str">
        <f t="shared" si="71"/>
        <v/>
      </c>
      <c r="AV431" s="20"/>
      <c r="AW431" s="20"/>
      <c r="AX431" s="20"/>
      <c r="CL431" s="106">
        <v>42527</v>
      </c>
      <c r="CM431" s="107">
        <f t="shared" si="65"/>
        <v>85.080330582962688</v>
      </c>
    </row>
    <row r="432" spans="31:91">
      <c r="AE432" s="26">
        <f>Data!A427</f>
        <v>42341</v>
      </c>
      <c r="AF432" s="35">
        <f>Data!B427</f>
        <v>86.96</v>
      </c>
      <c r="AG432" s="35">
        <f>Data!F427</f>
        <v>1585311</v>
      </c>
      <c r="AH432" s="35">
        <f>Data!C427</f>
        <v>87.14</v>
      </c>
      <c r="AI432" s="35">
        <f>Data!D427</f>
        <v>84.94</v>
      </c>
      <c r="AJ432" s="35">
        <f>Data!E427</f>
        <v>85.26</v>
      </c>
      <c r="AK432" s="35">
        <f>Data!F427</f>
        <v>1585311</v>
      </c>
      <c r="AL432" s="35">
        <f t="shared" si="64"/>
        <v>85.26</v>
      </c>
      <c r="AM432" s="35">
        <f t="shared" si="73"/>
        <v>-2.5451559934318571</v>
      </c>
      <c r="AN432" s="35">
        <f t="shared" si="72"/>
        <v>3.4176890212709052</v>
      </c>
      <c r="AO432" s="35" t="str">
        <f t="shared" si="66"/>
        <v>no</v>
      </c>
      <c r="AP432" s="35" t="str">
        <f t="shared" si="67"/>
        <v>no</v>
      </c>
      <c r="AQ432" s="35" t="str">
        <f t="shared" si="67"/>
        <v>no</v>
      </c>
      <c r="AR432" s="35" t="str">
        <f t="shared" si="68"/>
        <v>FITS BITCH</v>
      </c>
      <c r="AS432" s="35" t="str">
        <f t="shared" si="69"/>
        <v>no</v>
      </c>
      <c r="AT432" s="20" t="str">
        <f t="shared" si="70"/>
        <v/>
      </c>
      <c r="AU432" s="20" t="str">
        <f t="shared" si="71"/>
        <v/>
      </c>
      <c r="AV432" s="20"/>
      <c r="AW432" s="20"/>
      <c r="AX432" s="20"/>
      <c r="CL432" s="106">
        <v>42524</v>
      </c>
      <c r="CM432" s="107">
        <f t="shared" si="65"/>
        <v>84.920469017694359</v>
      </c>
    </row>
    <row r="433" spans="31:91">
      <c r="AE433" s="26">
        <f>Data!A428</f>
        <v>42340</v>
      </c>
      <c r="AF433" s="35">
        <f>Data!B428</f>
        <v>87.33</v>
      </c>
      <c r="AG433" s="35">
        <f>Data!F428</f>
        <v>1586431</v>
      </c>
      <c r="AH433" s="35">
        <f>Data!C428</f>
        <v>87.9</v>
      </c>
      <c r="AI433" s="35">
        <f>Data!D428</f>
        <v>86.81</v>
      </c>
      <c r="AJ433" s="35">
        <f>Data!E428</f>
        <v>86.91</v>
      </c>
      <c r="AK433" s="35">
        <f>Data!F428</f>
        <v>1586431</v>
      </c>
      <c r="AL433" s="35">
        <f t="shared" si="64"/>
        <v>86.91</v>
      </c>
      <c r="AM433" s="35">
        <f t="shared" si="73"/>
        <v>1.8985157059026481</v>
      </c>
      <c r="AN433" s="35">
        <f t="shared" si="72"/>
        <v>7.0598721280660803E-2</v>
      </c>
      <c r="AO433" s="35" t="str">
        <f t="shared" si="66"/>
        <v>no</v>
      </c>
      <c r="AP433" s="35" t="str">
        <f t="shared" si="67"/>
        <v>no</v>
      </c>
      <c r="AQ433" s="35" t="str">
        <f t="shared" si="67"/>
        <v>FITS BITCH</v>
      </c>
      <c r="AR433" s="35" t="str">
        <f t="shared" si="68"/>
        <v>FITS BITCH</v>
      </c>
      <c r="AS433" s="35" t="str">
        <f t="shared" si="69"/>
        <v>no</v>
      </c>
      <c r="AT433" s="20" t="str">
        <f t="shared" si="70"/>
        <v/>
      </c>
      <c r="AU433" s="20" t="str">
        <f t="shared" si="71"/>
        <v/>
      </c>
      <c r="AV433" s="20"/>
      <c r="AW433" s="20"/>
      <c r="AX433" s="20"/>
      <c r="CL433" s="106">
        <v>42523</v>
      </c>
      <c r="CM433" s="107">
        <f t="shared" si="65"/>
        <v>84.867181829271431</v>
      </c>
    </row>
    <row r="434" spans="31:91">
      <c r="AE434" s="26">
        <f>Data!A429</f>
        <v>42339</v>
      </c>
      <c r="AF434" s="35">
        <f>Data!B429</f>
        <v>86.81</v>
      </c>
      <c r="AG434" s="35">
        <f>Data!F429</f>
        <v>1390500</v>
      </c>
      <c r="AH434" s="35">
        <f>Data!C429</f>
        <v>87.97</v>
      </c>
      <c r="AI434" s="35">
        <f>Data!D429</f>
        <v>86.49</v>
      </c>
      <c r="AJ434" s="35">
        <f>Data!E429</f>
        <v>87.56</v>
      </c>
      <c r="AK434" s="35">
        <f>Data!F429</f>
        <v>1390500</v>
      </c>
      <c r="AL434" s="35">
        <f t="shared" si="64"/>
        <v>87.56</v>
      </c>
      <c r="AM434" s="35">
        <f t="shared" si="73"/>
        <v>0.74234810415715591</v>
      </c>
      <c r="AN434" s="35">
        <f t="shared" si="72"/>
        <v>-14.090686803308161</v>
      </c>
      <c r="AO434" s="35" t="str">
        <f t="shared" si="66"/>
        <v>FITS BITCH</v>
      </c>
      <c r="AP434" s="35" t="str">
        <f t="shared" si="67"/>
        <v>FITS BITCH</v>
      </c>
      <c r="AQ434" s="35" t="str">
        <f t="shared" si="67"/>
        <v>FITS BITCH</v>
      </c>
      <c r="AR434" s="35" t="str">
        <f t="shared" si="68"/>
        <v>no</v>
      </c>
      <c r="AS434" s="35" t="str">
        <f t="shared" si="69"/>
        <v>FITS BITCH</v>
      </c>
      <c r="AT434" s="20" t="str">
        <f t="shared" si="70"/>
        <v/>
      </c>
      <c r="AU434" s="20" t="str">
        <f t="shared" si="71"/>
        <v>BEARISH</v>
      </c>
      <c r="AV434" s="20"/>
      <c r="AW434" s="20"/>
      <c r="AX434" s="20"/>
      <c r="CL434" s="106">
        <v>42522</v>
      </c>
      <c r="CM434" s="107">
        <f t="shared" si="65"/>
        <v>84.813894640848957</v>
      </c>
    </row>
    <row r="435" spans="31:91">
      <c r="AE435" s="26">
        <f>Data!A430</f>
        <v>42338</v>
      </c>
      <c r="AF435" s="35">
        <f>Data!B430</f>
        <v>86.97</v>
      </c>
      <c r="AG435" s="35">
        <f>Data!F430</f>
        <v>2187164</v>
      </c>
      <c r="AH435" s="35">
        <f>Data!C430</f>
        <v>87.08</v>
      </c>
      <c r="AI435" s="35">
        <f>Data!D430</f>
        <v>86.18</v>
      </c>
      <c r="AJ435" s="35">
        <f>Data!E430</f>
        <v>86.26</v>
      </c>
      <c r="AK435" s="35">
        <f>Data!F430</f>
        <v>2187164</v>
      </c>
      <c r="AL435" s="35">
        <f t="shared" si="64"/>
        <v>86.26</v>
      </c>
      <c r="AM435" s="35">
        <f t="shared" si="73"/>
        <v>-1.5070716438673744</v>
      </c>
      <c r="AN435" s="35">
        <f t="shared" si="72"/>
        <v>36.424520520637685</v>
      </c>
      <c r="AO435" s="35" t="str">
        <f t="shared" si="66"/>
        <v>no</v>
      </c>
      <c r="AP435" s="35" t="str">
        <f t="shared" si="67"/>
        <v>FITS BITCH</v>
      </c>
      <c r="AQ435" s="35" t="str">
        <f t="shared" si="67"/>
        <v>no</v>
      </c>
      <c r="AR435" s="35" t="str">
        <f t="shared" si="68"/>
        <v>FITS BITCH</v>
      </c>
      <c r="AS435" s="35" t="str">
        <f t="shared" si="69"/>
        <v>no</v>
      </c>
      <c r="AT435" s="20" t="str">
        <f t="shared" si="70"/>
        <v/>
      </c>
      <c r="AU435" s="20" t="str">
        <f t="shared" si="71"/>
        <v/>
      </c>
      <c r="AV435" s="20"/>
      <c r="AW435" s="20"/>
      <c r="AX435" s="20"/>
      <c r="CL435" s="106">
        <v>42521</v>
      </c>
      <c r="CM435" s="107">
        <f t="shared" si="65"/>
        <v>84.760607452426029</v>
      </c>
    </row>
    <row r="436" spans="31:91">
      <c r="AE436" s="26">
        <f>Data!A431</f>
        <v>42335</v>
      </c>
      <c r="AF436" s="35">
        <f>Data!B431</f>
        <v>86.48</v>
      </c>
      <c r="AG436" s="35">
        <f>Data!F431</f>
        <v>488812</v>
      </c>
      <c r="AH436" s="35">
        <f>Data!C431</f>
        <v>87.04</v>
      </c>
      <c r="AI436" s="35">
        <f>Data!D431</f>
        <v>86.23</v>
      </c>
      <c r="AJ436" s="35">
        <f>Data!E431</f>
        <v>86.69</v>
      </c>
      <c r="AK436" s="35">
        <f>Data!F431</f>
        <v>488812</v>
      </c>
      <c r="AL436" s="35">
        <f t="shared" si="64"/>
        <v>86.69</v>
      </c>
      <c r="AM436" s="35">
        <f t="shared" si="73"/>
        <v>0.49602030222631521</v>
      </c>
      <c r="AN436" s="35">
        <f t="shared" si="72"/>
        <v>-347.44482541345138</v>
      </c>
      <c r="AO436" s="35" t="str">
        <f t="shared" si="66"/>
        <v>FITS BITCH</v>
      </c>
      <c r="AP436" s="35" t="str">
        <f t="shared" si="67"/>
        <v>FITS BITCH</v>
      </c>
      <c r="AQ436" s="35" t="str">
        <f t="shared" si="67"/>
        <v>no</v>
      </c>
      <c r="AR436" s="35" t="str">
        <f t="shared" si="68"/>
        <v>FITS BITCH</v>
      </c>
      <c r="AS436" s="35" t="str">
        <f t="shared" si="69"/>
        <v>FITS BITCH</v>
      </c>
      <c r="AT436" s="20" t="str">
        <f t="shared" si="70"/>
        <v>BULLISH</v>
      </c>
      <c r="AU436" s="20" t="str">
        <f t="shared" si="71"/>
        <v/>
      </c>
      <c r="AV436" s="20"/>
      <c r="AW436" s="20"/>
      <c r="AX436" s="20"/>
      <c r="CL436" s="106">
        <v>42520</v>
      </c>
      <c r="CM436" s="107">
        <f t="shared" si="65"/>
        <v>84.707320264003101</v>
      </c>
    </row>
    <row r="437" spans="31:91">
      <c r="AE437" s="26">
        <f>Data!A432</f>
        <v>42333</v>
      </c>
      <c r="AF437" s="35">
        <f>Data!B432</f>
        <v>86.74</v>
      </c>
      <c r="AG437" s="35">
        <f>Data!F432</f>
        <v>752258</v>
      </c>
      <c r="AH437" s="35">
        <f>Data!C432</f>
        <v>86.88</v>
      </c>
      <c r="AI437" s="35">
        <f>Data!D432</f>
        <v>86.36</v>
      </c>
      <c r="AJ437" s="35">
        <f>Data!E432</f>
        <v>86.41</v>
      </c>
      <c r="AK437" s="35">
        <f>Data!F432</f>
        <v>752258</v>
      </c>
      <c r="AL437" s="35">
        <f t="shared" si="64"/>
        <v>86.41</v>
      </c>
      <c r="AM437" s="35">
        <f t="shared" si="73"/>
        <v>-0.32403656984145485</v>
      </c>
      <c r="AN437" s="35">
        <f t="shared" si="72"/>
        <v>35.02069768616618</v>
      </c>
      <c r="AO437" s="35" t="str">
        <f t="shared" si="66"/>
        <v>no</v>
      </c>
      <c r="AP437" s="35" t="str">
        <f t="shared" si="67"/>
        <v>no</v>
      </c>
      <c r="AQ437" s="35" t="str">
        <f t="shared" si="67"/>
        <v>FITS BITCH</v>
      </c>
      <c r="AR437" s="35" t="str">
        <f t="shared" si="68"/>
        <v>FITS BITCH</v>
      </c>
      <c r="AS437" s="35" t="str">
        <f t="shared" si="69"/>
        <v>no</v>
      </c>
      <c r="AT437" s="20" t="str">
        <f t="shared" si="70"/>
        <v/>
      </c>
      <c r="AU437" s="20" t="str">
        <f t="shared" si="71"/>
        <v/>
      </c>
      <c r="AV437" s="20"/>
      <c r="AW437" s="20"/>
      <c r="AX437" s="20"/>
      <c r="CL437" s="106">
        <v>42517</v>
      </c>
      <c r="CM437" s="107">
        <f t="shared" si="65"/>
        <v>84.547458698734772</v>
      </c>
    </row>
    <row r="438" spans="31:91">
      <c r="AE438" s="26">
        <f>Data!A433</f>
        <v>42332</v>
      </c>
      <c r="AF438" s="35">
        <f>Data!B433</f>
        <v>86.99</v>
      </c>
      <c r="AG438" s="35">
        <f>Data!F433</f>
        <v>1100685</v>
      </c>
      <c r="AH438" s="35">
        <f>Data!C433</f>
        <v>87.25</v>
      </c>
      <c r="AI438" s="35">
        <f>Data!D433</f>
        <v>85.88</v>
      </c>
      <c r="AJ438" s="35">
        <f>Data!E433</f>
        <v>86.71</v>
      </c>
      <c r="AK438" s="35">
        <f>Data!F433</f>
        <v>1100685</v>
      </c>
      <c r="AL438" s="35">
        <f t="shared" si="64"/>
        <v>86.71</v>
      </c>
      <c r="AM438" s="35">
        <f t="shared" si="73"/>
        <v>0.34598085572597992</v>
      </c>
      <c r="AN438" s="35">
        <f t="shared" si="72"/>
        <v>31.655469094245859</v>
      </c>
      <c r="AO438" s="35" t="str">
        <f t="shared" si="66"/>
        <v>no</v>
      </c>
      <c r="AP438" s="35" t="str">
        <f t="shared" si="67"/>
        <v>no</v>
      </c>
      <c r="AQ438" s="35" t="str">
        <f t="shared" si="67"/>
        <v>no</v>
      </c>
      <c r="AR438" s="35" t="str">
        <f t="shared" si="68"/>
        <v>FITS BITCH</v>
      </c>
      <c r="AS438" s="35" t="str">
        <f t="shared" si="69"/>
        <v>no</v>
      </c>
      <c r="AT438" s="20" t="str">
        <f t="shared" si="70"/>
        <v/>
      </c>
      <c r="AU438" s="20" t="str">
        <f t="shared" si="71"/>
        <v/>
      </c>
      <c r="AV438" s="20"/>
      <c r="AW438" s="20"/>
      <c r="AX438" s="20"/>
      <c r="CL438" s="106">
        <v>42516</v>
      </c>
      <c r="CM438" s="107">
        <f t="shared" si="65"/>
        <v>84.494171510312299</v>
      </c>
    </row>
    <row r="439" spans="31:91">
      <c r="AE439" s="26">
        <f>Data!A434</f>
        <v>42331</v>
      </c>
      <c r="AF439" s="35">
        <f>Data!B434</f>
        <v>87.26</v>
      </c>
      <c r="AG439" s="35">
        <f>Data!F434</f>
        <v>1174416</v>
      </c>
      <c r="AH439" s="35">
        <f>Data!C434</f>
        <v>87.63</v>
      </c>
      <c r="AI439" s="35">
        <f>Data!D434</f>
        <v>87</v>
      </c>
      <c r="AJ439" s="35">
        <f>Data!E434</f>
        <v>87.35</v>
      </c>
      <c r="AK439" s="35">
        <f>Data!F434</f>
        <v>1174416</v>
      </c>
      <c r="AL439" s="35">
        <f t="shared" si="64"/>
        <v>87.35</v>
      </c>
      <c r="AM439" s="35">
        <f t="shared" si="73"/>
        <v>0.73268460217515807</v>
      </c>
      <c r="AN439" s="35">
        <f t="shared" si="72"/>
        <v>6.2780990722197245</v>
      </c>
      <c r="AO439" s="35" t="str">
        <f t="shared" si="66"/>
        <v>no</v>
      </c>
      <c r="AP439" s="35" t="str">
        <f t="shared" si="67"/>
        <v>no</v>
      </c>
      <c r="AQ439" s="35" t="str">
        <f t="shared" si="67"/>
        <v>FITS BITCH</v>
      </c>
      <c r="AR439" s="35" t="str">
        <f t="shared" si="68"/>
        <v>FITS BITCH</v>
      </c>
      <c r="AS439" s="35" t="str">
        <f t="shared" si="69"/>
        <v>FITS BITCH</v>
      </c>
      <c r="AT439" s="20" t="str">
        <f t="shared" si="70"/>
        <v/>
      </c>
      <c r="AU439" s="20" t="str">
        <f t="shared" si="71"/>
        <v/>
      </c>
      <c r="AV439" s="20"/>
      <c r="AW439" s="20"/>
      <c r="AX439" s="20"/>
      <c r="CL439" s="106">
        <v>42515</v>
      </c>
      <c r="CM439" s="107">
        <f t="shared" si="65"/>
        <v>84.440884321889371</v>
      </c>
    </row>
    <row r="440" spans="31:91">
      <c r="AE440" s="26">
        <f>Data!A435</f>
        <v>42328</v>
      </c>
      <c r="AF440" s="35">
        <f>Data!B435</f>
        <v>86.94</v>
      </c>
      <c r="AG440" s="35">
        <f>Data!F435</f>
        <v>1800340</v>
      </c>
      <c r="AH440" s="35">
        <f>Data!C435</f>
        <v>87.65</v>
      </c>
      <c r="AI440" s="35">
        <f>Data!D435</f>
        <v>86.49</v>
      </c>
      <c r="AJ440" s="35">
        <f>Data!E435</f>
        <v>87.29</v>
      </c>
      <c r="AK440" s="35">
        <f>Data!F435</f>
        <v>1800340</v>
      </c>
      <c r="AL440" s="35">
        <f t="shared" si="64"/>
        <v>87.29</v>
      </c>
      <c r="AM440" s="35">
        <f t="shared" si="73"/>
        <v>-6.8736395921626822E-2</v>
      </c>
      <c r="AN440" s="35">
        <f t="shared" si="72"/>
        <v>34.766988457735756</v>
      </c>
      <c r="AO440" s="35" t="str">
        <f t="shared" si="66"/>
        <v>no</v>
      </c>
      <c r="AP440" s="35" t="str">
        <f t="shared" si="67"/>
        <v>FITS BITCH</v>
      </c>
      <c r="AQ440" s="35" t="str">
        <f t="shared" si="67"/>
        <v>FITS BITCH</v>
      </c>
      <c r="AR440" s="35" t="str">
        <f t="shared" si="68"/>
        <v>no</v>
      </c>
      <c r="AS440" s="35" t="str">
        <f t="shared" si="69"/>
        <v>FITS BITCH</v>
      </c>
      <c r="AT440" s="20" t="str">
        <f t="shared" si="70"/>
        <v/>
      </c>
      <c r="AU440" s="20" t="str">
        <f t="shared" si="71"/>
        <v/>
      </c>
      <c r="AV440" s="20"/>
      <c r="AW440" s="20"/>
      <c r="AX440" s="20"/>
      <c r="CL440" s="106">
        <v>42514</v>
      </c>
      <c r="CM440" s="107">
        <f t="shared" si="65"/>
        <v>84.387597133466443</v>
      </c>
    </row>
    <row r="441" spans="31:91">
      <c r="AE441" s="26">
        <f>Data!A436</f>
        <v>42327</v>
      </c>
      <c r="AF441" s="35">
        <f>Data!B436</f>
        <v>86.61</v>
      </c>
      <c r="AG441" s="35">
        <f>Data!F436</f>
        <v>1059362</v>
      </c>
      <c r="AH441" s="35">
        <f>Data!C436</f>
        <v>86.73</v>
      </c>
      <c r="AI441" s="35">
        <f>Data!D436</f>
        <v>86.26</v>
      </c>
      <c r="AJ441" s="35">
        <f>Data!E436</f>
        <v>86.39</v>
      </c>
      <c r="AK441" s="35">
        <f>Data!F436</f>
        <v>1059362</v>
      </c>
      <c r="AL441" s="35">
        <f t="shared" si="64"/>
        <v>86.39</v>
      </c>
      <c r="AM441" s="35">
        <f t="shared" si="73"/>
        <v>-1.0417872438939757</v>
      </c>
      <c r="AN441" s="35">
        <f t="shared" si="72"/>
        <v>-69.945684289223138</v>
      </c>
      <c r="AO441" s="35" t="str">
        <f t="shared" si="66"/>
        <v>FITS BITCH</v>
      </c>
      <c r="AP441" s="35" t="str">
        <f t="shared" si="67"/>
        <v>FITS BITCH</v>
      </c>
      <c r="AQ441" s="35" t="str">
        <f t="shared" si="67"/>
        <v>FITS BITCH</v>
      </c>
      <c r="AR441" s="35" t="str">
        <f t="shared" si="68"/>
        <v>FITS BITCH</v>
      </c>
      <c r="AS441" s="35" t="str">
        <f t="shared" si="69"/>
        <v>no</v>
      </c>
      <c r="AT441" s="20" t="str">
        <f t="shared" si="70"/>
        <v>BULLISH</v>
      </c>
      <c r="AU441" s="20" t="str">
        <f t="shared" si="71"/>
        <v/>
      </c>
      <c r="AV441" s="20"/>
      <c r="AW441" s="20"/>
      <c r="AX441" s="20"/>
      <c r="CL441" s="106">
        <v>42513</v>
      </c>
      <c r="CM441" s="107">
        <f t="shared" si="65"/>
        <v>84.334309945043969</v>
      </c>
    </row>
    <row r="442" spans="31:91">
      <c r="AE442" s="26">
        <f>Data!A437</f>
        <v>42326</v>
      </c>
      <c r="AF442" s="35">
        <f>Data!B437</f>
        <v>86.28</v>
      </c>
      <c r="AG442" s="35">
        <f>Data!F437</f>
        <v>1372943</v>
      </c>
      <c r="AH442" s="35">
        <f>Data!C437</f>
        <v>86.55</v>
      </c>
      <c r="AI442" s="35">
        <f>Data!D437</f>
        <v>85.45</v>
      </c>
      <c r="AJ442" s="35">
        <f>Data!E437</f>
        <v>86.5</v>
      </c>
      <c r="AK442" s="35">
        <f>Data!F437</f>
        <v>1372943</v>
      </c>
      <c r="AL442" s="35">
        <f t="shared" si="64"/>
        <v>86.5</v>
      </c>
      <c r="AM442" s="35">
        <f t="shared" si="73"/>
        <v>0.12716763005780282</v>
      </c>
      <c r="AN442" s="35">
        <f t="shared" si="72"/>
        <v>22.840059638309821</v>
      </c>
      <c r="AO442" s="35" t="str">
        <f t="shared" si="66"/>
        <v>no</v>
      </c>
      <c r="AP442" s="35" t="str">
        <f t="shared" si="67"/>
        <v>no</v>
      </c>
      <c r="AQ442" s="35" t="str">
        <f t="shared" si="67"/>
        <v>no</v>
      </c>
      <c r="AR442" s="35" t="str">
        <f t="shared" si="68"/>
        <v>FITS BITCH</v>
      </c>
      <c r="AS442" s="35" t="str">
        <f t="shared" si="69"/>
        <v>FITS BITCH</v>
      </c>
      <c r="AT442" s="20" t="str">
        <f t="shared" si="70"/>
        <v/>
      </c>
      <c r="AU442" s="20" t="str">
        <f t="shared" si="71"/>
        <v/>
      </c>
      <c r="AV442" s="20"/>
      <c r="AW442" s="20"/>
      <c r="AX442" s="20"/>
      <c r="CL442" s="106">
        <v>42510</v>
      </c>
      <c r="CM442" s="107">
        <f t="shared" si="65"/>
        <v>84.17444837977564</v>
      </c>
    </row>
    <row r="443" spans="31:91">
      <c r="AE443" s="26">
        <f>Data!A438</f>
        <v>42325</v>
      </c>
      <c r="AF443" s="35">
        <f>Data!B438</f>
        <v>86.45</v>
      </c>
      <c r="AG443" s="35">
        <f>Data!F438</f>
        <v>1400385</v>
      </c>
      <c r="AH443" s="35">
        <f>Data!C438</f>
        <v>86.63</v>
      </c>
      <c r="AI443" s="35">
        <f>Data!D438</f>
        <v>85.58</v>
      </c>
      <c r="AJ443" s="35">
        <f>Data!E438</f>
        <v>85.89</v>
      </c>
      <c r="AK443" s="35">
        <f>Data!F438</f>
        <v>1400385</v>
      </c>
      <c r="AL443" s="35">
        <f t="shared" si="64"/>
        <v>85.89</v>
      </c>
      <c r="AM443" s="35">
        <f t="shared" si="73"/>
        <v>-0.7102107346606118</v>
      </c>
      <c r="AN443" s="35">
        <f t="shared" si="72"/>
        <v>1.9596039660521929</v>
      </c>
      <c r="AO443" s="35" t="str">
        <f t="shared" si="66"/>
        <v>no</v>
      </c>
      <c r="AP443" s="35" t="str">
        <f t="shared" si="67"/>
        <v>FITS BITCH</v>
      </c>
      <c r="AQ443" s="35" t="str">
        <f t="shared" si="67"/>
        <v>FITS BITCH</v>
      </c>
      <c r="AR443" s="35" t="str">
        <f t="shared" si="68"/>
        <v>FITS BITCH</v>
      </c>
      <c r="AS443" s="35" t="str">
        <f t="shared" si="69"/>
        <v>no</v>
      </c>
      <c r="AT443" s="20" t="str">
        <f t="shared" si="70"/>
        <v/>
      </c>
      <c r="AU443" s="20" t="str">
        <f t="shared" si="71"/>
        <v/>
      </c>
      <c r="AV443" s="20"/>
      <c r="AW443" s="20"/>
      <c r="AX443" s="20"/>
      <c r="CL443" s="106">
        <v>42509</v>
      </c>
      <c r="CM443" s="107">
        <f t="shared" si="65"/>
        <v>84.121161191352712</v>
      </c>
    </row>
    <row r="444" spans="31:91">
      <c r="AE444" s="26">
        <f>Data!A439</f>
        <v>42324</v>
      </c>
      <c r="AF444" s="35">
        <f>Data!B439</f>
        <v>85.16</v>
      </c>
      <c r="AG444" s="35">
        <f>Data!F439</f>
        <v>1114249</v>
      </c>
      <c r="AH444" s="35">
        <f>Data!C439</f>
        <v>86.54</v>
      </c>
      <c r="AI444" s="35">
        <f>Data!D439</f>
        <v>85.06</v>
      </c>
      <c r="AJ444" s="35">
        <f>Data!E439</f>
        <v>86.52</v>
      </c>
      <c r="AK444" s="35">
        <f>Data!F439</f>
        <v>1114249</v>
      </c>
      <c r="AL444" s="35">
        <f t="shared" si="64"/>
        <v>86.52</v>
      </c>
      <c r="AM444" s="35">
        <f t="shared" si="73"/>
        <v>0.72815533980582003</v>
      </c>
      <c r="AN444" s="35">
        <f t="shared" si="72"/>
        <v>-25.679717908654169</v>
      </c>
      <c r="AO444" s="35" t="str">
        <f t="shared" si="66"/>
        <v>FITS BITCH</v>
      </c>
      <c r="AP444" s="35" t="str">
        <f t="shared" si="67"/>
        <v>no</v>
      </c>
      <c r="AQ444" s="35" t="str">
        <f t="shared" si="67"/>
        <v>FITS BITCH</v>
      </c>
      <c r="AR444" s="35" t="str">
        <f t="shared" si="68"/>
        <v>FITS BITCH</v>
      </c>
      <c r="AS444" s="35" t="str">
        <f t="shared" si="69"/>
        <v>FITS BITCH</v>
      </c>
      <c r="AT444" s="20" t="str">
        <f t="shared" si="70"/>
        <v/>
      </c>
      <c r="AU444" s="20" t="str">
        <f t="shared" si="71"/>
        <v>BEARISH</v>
      </c>
      <c r="AV444" s="20"/>
      <c r="AW444" s="20"/>
      <c r="AX444" s="20"/>
      <c r="CL444" s="106">
        <v>42508</v>
      </c>
      <c r="CM444" s="107">
        <f t="shared" si="65"/>
        <v>84.067874002929784</v>
      </c>
    </row>
    <row r="445" spans="31:91">
      <c r="AE445" s="26">
        <f>Data!A440</f>
        <v>42321</v>
      </c>
      <c r="AF445" s="35">
        <f>Data!B440</f>
        <v>85.87</v>
      </c>
      <c r="AG445" s="35">
        <f>Data!F440</f>
        <v>1278095</v>
      </c>
      <c r="AH445" s="35">
        <f>Data!C440</f>
        <v>86.67</v>
      </c>
      <c r="AI445" s="35">
        <f>Data!D440</f>
        <v>85</v>
      </c>
      <c r="AJ445" s="35">
        <f>Data!E440</f>
        <v>85.05</v>
      </c>
      <c r="AK445" s="35">
        <f>Data!F440</f>
        <v>1278095</v>
      </c>
      <c r="AL445" s="35">
        <f t="shared" si="64"/>
        <v>85.05</v>
      </c>
      <c r="AM445" s="35">
        <f t="shared" si="73"/>
        <v>-1.7283950617283939</v>
      </c>
      <c r="AN445" s="35">
        <f t="shared" si="72"/>
        <v>12.819547842687751</v>
      </c>
      <c r="AO445" s="35" t="str">
        <f t="shared" si="66"/>
        <v>no</v>
      </c>
      <c r="AP445" s="35" t="str">
        <f t="shared" si="67"/>
        <v>no</v>
      </c>
      <c r="AQ445" s="35" t="str">
        <f t="shared" si="67"/>
        <v>no</v>
      </c>
      <c r="AR445" s="35" t="str">
        <f t="shared" si="68"/>
        <v>FITS BITCH</v>
      </c>
      <c r="AS445" s="35" t="str">
        <f t="shared" si="69"/>
        <v>no</v>
      </c>
      <c r="AT445" s="20" t="str">
        <f t="shared" si="70"/>
        <v/>
      </c>
      <c r="AU445" s="20" t="str">
        <f t="shared" si="71"/>
        <v/>
      </c>
      <c r="AV445" s="20"/>
      <c r="AW445" s="20"/>
      <c r="AX445" s="20"/>
      <c r="CL445" s="106">
        <v>42507</v>
      </c>
      <c r="CM445" s="107">
        <f t="shared" si="65"/>
        <v>84.014586814507311</v>
      </c>
    </row>
    <row r="446" spans="31:91">
      <c r="AE446" s="26">
        <f>Data!A441</f>
        <v>42320</v>
      </c>
      <c r="AF446" s="35">
        <f>Data!B441</f>
        <v>87</v>
      </c>
      <c r="AG446" s="35">
        <f>Data!F441</f>
        <v>1178749</v>
      </c>
      <c r="AH446" s="35">
        <f>Data!C441</f>
        <v>87.36</v>
      </c>
      <c r="AI446" s="35">
        <f>Data!D441</f>
        <v>86.21</v>
      </c>
      <c r="AJ446" s="35">
        <f>Data!E441</f>
        <v>86.22</v>
      </c>
      <c r="AK446" s="35">
        <f>Data!F441</f>
        <v>1178749</v>
      </c>
      <c r="AL446" s="35">
        <f t="shared" si="64"/>
        <v>86.22</v>
      </c>
      <c r="AM446" s="35">
        <f t="shared" si="73"/>
        <v>1.3569937369519853</v>
      </c>
      <c r="AN446" s="35">
        <f t="shared" si="72"/>
        <v>-8.428087743870833</v>
      </c>
      <c r="AO446" s="35" t="str">
        <f t="shared" si="66"/>
        <v>FITS BITCH</v>
      </c>
      <c r="AP446" s="35" t="str">
        <f t="shared" si="67"/>
        <v>no</v>
      </c>
      <c r="AQ446" s="35" t="str">
        <f t="shared" si="67"/>
        <v>no</v>
      </c>
      <c r="AR446" s="35" t="str">
        <f t="shared" si="68"/>
        <v>FITS BITCH</v>
      </c>
      <c r="AS446" s="35" t="str">
        <f t="shared" si="69"/>
        <v>no</v>
      </c>
      <c r="AT446" s="20" t="str">
        <f t="shared" si="70"/>
        <v/>
      </c>
      <c r="AU446" s="20" t="str">
        <f t="shared" si="71"/>
        <v/>
      </c>
      <c r="AV446" s="20"/>
      <c r="AW446" s="20"/>
      <c r="AX446" s="20"/>
      <c r="CL446" s="106">
        <v>42506</v>
      </c>
      <c r="CM446" s="107">
        <f t="shared" si="65"/>
        <v>83.961299626084383</v>
      </c>
    </row>
    <row r="447" spans="31:91">
      <c r="AE447" s="26">
        <f>Data!A442</f>
        <v>42319</v>
      </c>
      <c r="AF447" s="35">
        <f>Data!B442</f>
        <v>87.38</v>
      </c>
      <c r="AG447" s="35">
        <f>Data!F442</f>
        <v>1214654</v>
      </c>
      <c r="AH447" s="35">
        <f>Data!C442</f>
        <v>87.95</v>
      </c>
      <c r="AI447" s="35">
        <f>Data!D442</f>
        <v>86.8</v>
      </c>
      <c r="AJ447" s="35">
        <f>Data!E442</f>
        <v>87.18</v>
      </c>
      <c r="AK447" s="35">
        <f>Data!F442</f>
        <v>1214654</v>
      </c>
      <c r="AL447" s="35">
        <f t="shared" si="64"/>
        <v>87.18</v>
      </c>
      <c r="AM447" s="35">
        <f t="shared" si="73"/>
        <v>1.1011699931176966</v>
      </c>
      <c r="AN447" s="35">
        <f t="shared" si="72"/>
        <v>2.9559858198301736</v>
      </c>
      <c r="AO447" s="35" t="str">
        <f t="shared" si="66"/>
        <v>no</v>
      </c>
      <c r="AP447" s="35" t="str">
        <f t="shared" si="67"/>
        <v>FITS BITCH</v>
      </c>
      <c r="AQ447" s="35" t="str">
        <f t="shared" si="67"/>
        <v>FITS BITCH</v>
      </c>
      <c r="AR447" s="35" t="str">
        <f t="shared" si="68"/>
        <v>FITS BITCH</v>
      </c>
      <c r="AS447" s="35" t="str">
        <f t="shared" si="69"/>
        <v>FITS BITCH</v>
      </c>
      <c r="AT447" s="20" t="str">
        <f t="shared" si="70"/>
        <v/>
      </c>
      <c r="AU447" s="20" t="str">
        <f t="shared" si="71"/>
        <v/>
      </c>
      <c r="AV447" s="20"/>
      <c r="AW447" s="20"/>
      <c r="AX447" s="20"/>
      <c r="CL447" s="106">
        <v>42503</v>
      </c>
      <c r="CM447" s="107">
        <f t="shared" si="65"/>
        <v>83.801438060816054</v>
      </c>
    </row>
    <row r="448" spans="31:91">
      <c r="AE448" s="26">
        <f>Data!A443</f>
        <v>42318</v>
      </c>
      <c r="AF448" s="35">
        <f>Data!B443</f>
        <v>86.47</v>
      </c>
      <c r="AG448" s="35">
        <f>Data!F443</f>
        <v>1540739</v>
      </c>
      <c r="AH448" s="35">
        <f>Data!C443</f>
        <v>87.3</v>
      </c>
      <c r="AI448" s="35">
        <f>Data!D443</f>
        <v>86.31</v>
      </c>
      <c r="AJ448" s="35">
        <f>Data!E443</f>
        <v>86.95</v>
      </c>
      <c r="AK448" s="35">
        <f>Data!F443</f>
        <v>1540739</v>
      </c>
      <c r="AL448" s="35">
        <f t="shared" si="64"/>
        <v>86.95</v>
      </c>
      <c r="AM448" s="35">
        <f t="shared" si="73"/>
        <v>-0.26451983898792863</v>
      </c>
      <c r="AN448" s="35">
        <f t="shared" si="72"/>
        <v>21.164194584546767</v>
      </c>
      <c r="AO448" s="35" t="str">
        <f t="shared" si="66"/>
        <v>no</v>
      </c>
      <c r="AP448" s="35" t="str">
        <f t="shared" si="67"/>
        <v>FITS BITCH</v>
      </c>
      <c r="AQ448" s="35" t="str">
        <f t="shared" si="67"/>
        <v>FITS BITCH</v>
      </c>
      <c r="AR448" s="35" t="str">
        <f t="shared" si="68"/>
        <v>FITS BITCH</v>
      </c>
      <c r="AS448" s="35" t="str">
        <f t="shared" si="69"/>
        <v>FITS BITCH</v>
      </c>
      <c r="AT448" s="20" t="str">
        <f t="shared" si="70"/>
        <v/>
      </c>
      <c r="AU448" s="20" t="str">
        <f t="shared" si="71"/>
        <v/>
      </c>
      <c r="AV448" s="20"/>
      <c r="AW448" s="20"/>
      <c r="AX448" s="20"/>
      <c r="CL448" s="106">
        <v>42502</v>
      </c>
      <c r="CM448" s="107">
        <f t="shared" si="65"/>
        <v>83.74815087239358</v>
      </c>
    </row>
    <row r="449" spans="31:91">
      <c r="AE449" s="26">
        <f>Data!A444</f>
        <v>42317</v>
      </c>
      <c r="AF449" s="35">
        <f>Data!B444</f>
        <v>87.04</v>
      </c>
      <c r="AG449" s="35">
        <f>Data!F444</f>
        <v>1367582</v>
      </c>
      <c r="AH449" s="35">
        <f>Data!C444</f>
        <v>87.2</v>
      </c>
      <c r="AI449" s="35">
        <f>Data!D444</f>
        <v>86.2</v>
      </c>
      <c r="AJ449" s="35">
        <f>Data!E444</f>
        <v>86.76</v>
      </c>
      <c r="AK449" s="35">
        <f>Data!F444</f>
        <v>1367582</v>
      </c>
      <c r="AL449" s="35">
        <f t="shared" si="64"/>
        <v>86.76</v>
      </c>
      <c r="AM449" s="35">
        <f t="shared" si="73"/>
        <v>-0.21899492853849437</v>
      </c>
      <c r="AN449" s="35">
        <f t="shared" si="72"/>
        <v>-12.661544243782091</v>
      </c>
      <c r="AO449" s="35" t="str">
        <f t="shared" si="66"/>
        <v>FITS BITCH</v>
      </c>
      <c r="AP449" s="35" t="str">
        <f t="shared" si="67"/>
        <v>no</v>
      </c>
      <c r="AQ449" s="35" t="str">
        <f t="shared" si="67"/>
        <v>no</v>
      </c>
      <c r="AR449" s="35" t="str">
        <f t="shared" si="68"/>
        <v>FITS BITCH</v>
      </c>
      <c r="AS449" s="35" t="str">
        <f t="shared" si="69"/>
        <v>no</v>
      </c>
      <c r="AT449" s="20" t="str">
        <f t="shared" si="70"/>
        <v/>
      </c>
      <c r="AU449" s="20" t="str">
        <f t="shared" si="71"/>
        <v/>
      </c>
      <c r="AV449" s="20"/>
      <c r="AW449" s="20"/>
      <c r="AX449" s="20"/>
      <c r="CL449" s="106">
        <v>42501</v>
      </c>
      <c r="CM449" s="107">
        <f t="shared" si="65"/>
        <v>83.694863683970652</v>
      </c>
    </row>
    <row r="450" spans="31:91">
      <c r="AE450" s="26">
        <f>Data!A445</f>
        <v>42314</v>
      </c>
      <c r="AF450" s="35">
        <f>Data!B445</f>
        <v>86.71</v>
      </c>
      <c r="AG450" s="35">
        <f>Data!F445</f>
        <v>1684536</v>
      </c>
      <c r="AH450" s="35">
        <f>Data!C445</f>
        <v>87.88</v>
      </c>
      <c r="AI450" s="35">
        <f>Data!D445</f>
        <v>86.25</v>
      </c>
      <c r="AJ450" s="35">
        <f>Data!E445</f>
        <v>87.63</v>
      </c>
      <c r="AK450" s="35">
        <f>Data!F445</f>
        <v>1684536</v>
      </c>
      <c r="AL450" s="35">
        <f t="shared" si="64"/>
        <v>87.63</v>
      </c>
      <c r="AM450" s="35">
        <f t="shared" si="73"/>
        <v>0.99281068127352545</v>
      </c>
      <c r="AN450" s="35">
        <f t="shared" si="72"/>
        <v>18.815507653146028</v>
      </c>
      <c r="AO450" s="35" t="str">
        <f t="shared" si="66"/>
        <v>no</v>
      </c>
      <c r="AP450" s="35" t="str">
        <f t="shared" si="67"/>
        <v>FITS BITCH</v>
      </c>
      <c r="AQ450" s="35" t="str">
        <f t="shared" si="67"/>
        <v>no</v>
      </c>
      <c r="AR450" s="35" t="str">
        <f t="shared" si="68"/>
        <v>no</v>
      </c>
      <c r="AS450" s="35" t="str">
        <f t="shared" si="69"/>
        <v>FITS BITCH</v>
      </c>
      <c r="AT450" s="20" t="str">
        <f t="shared" si="70"/>
        <v/>
      </c>
      <c r="AU450" s="20" t="str">
        <f t="shared" si="71"/>
        <v/>
      </c>
      <c r="AV450" s="20"/>
      <c r="AW450" s="20"/>
      <c r="AX450" s="20"/>
      <c r="CL450" s="106">
        <v>42500</v>
      </c>
      <c r="CM450" s="107">
        <f t="shared" si="65"/>
        <v>83.641576495547724</v>
      </c>
    </row>
    <row r="451" spans="31:91">
      <c r="AE451" s="26">
        <f>Data!A446</f>
        <v>42313</v>
      </c>
      <c r="AF451" s="35">
        <f>Data!B446</f>
        <v>87.31</v>
      </c>
      <c r="AG451" s="35">
        <f>Data!F446</f>
        <v>1311735</v>
      </c>
      <c r="AH451" s="35">
        <f>Data!C446</f>
        <v>87.39</v>
      </c>
      <c r="AI451" s="35">
        <f>Data!D446</f>
        <v>86.5</v>
      </c>
      <c r="AJ451" s="35">
        <f>Data!E446</f>
        <v>86.98</v>
      </c>
      <c r="AK451" s="35">
        <f>Data!F446</f>
        <v>1311735</v>
      </c>
      <c r="AL451" s="35">
        <f t="shared" si="64"/>
        <v>86.98</v>
      </c>
      <c r="AM451" s="35">
        <f t="shared" si="73"/>
        <v>-0.74729822947803104</v>
      </c>
      <c r="AN451" s="35">
        <f t="shared" si="72"/>
        <v>-28.420450777024325</v>
      </c>
      <c r="AO451" s="35" t="str">
        <f t="shared" si="66"/>
        <v>FITS BITCH</v>
      </c>
      <c r="AP451" s="35" t="b">
        <f t="shared" si="67"/>
        <v>0</v>
      </c>
      <c r="AQ451" s="35" t="str">
        <f t="shared" si="67"/>
        <v>no</v>
      </c>
      <c r="AR451" s="35" t="str">
        <f t="shared" si="68"/>
        <v>FITS BITCH</v>
      </c>
      <c r="AS451" s="35" t="str">
        <f t="shared" si="69"/>
        <v>FITS BITCH</v>
      </c>
      <c r="AT451" s="20" t="str">
        <f t="shared" si="70"/>
        <v/>
      </c>
      <c r="AU451" s="20" t="str">
        <f t="shared" si="71"/>
        <v/>
      </c>
      <c r="AV451" s="20"/>
      <c r="AW451" s="20"/>
      <c r="AX451" s="20"/>
      <c r="CL451" s="106">
        <v>42499</v>
      </c>
      <c r="CM451" s="107">
        <f t="shared" si="65"/>
        <v>83.588289307125251</v>
      </c>
    </row>
    <row r="452" spans="31:91">
      <c r="AE452" s="26">
        <f>Data!A447</f>
        <v>42312</v>
      </c>
      <c r="AF452" s="35">
        <f>Data!B447</f>
        <v>87.16</v>
      </c>
      <c r="AG452" s="35">
        <f>Data!F447</f>
        <v>1593112</v>
      </c>
      <c r="AH452" s="35">
        <f>Data!C447</f>
        <v>87.39</v>
      </c>
      <c r="AI452" s="35">
        <f>Data!D447</f>
        <v>86.83</v>
      </c>
      <c r="AJ452" s="35">
        <f>Data!E447</f>
        <v>86.96</v>
      </c>
      <c r="AK452" s="35">
        <f>Data!F447</f>
        <v>1593112</v>
      </c>
      <c r="AL452" s="35">
        <f t="shared" si="64"/>
        <v>86.96</v>
      </c>
      <c r="AM452" s="35">
        <f t="shared" si="73"/>
        <v>-2.2999080036810296E-2</v>
      </c>
      <c r="AN452" s="35">
        <f t="shared" si="72"/>
        <v>17.662097831163155</v>
      </c>
      <c r="AO452" s="35" t="str">
        <f t="shared" si="66"/>
        <v>no</v>
      </c>
      <c r="AP452" s="35" t="str">
        <f t="shared" si="67"/>
        <v>FITS BITCH</v>
      </c>
      <c r="AQ452" s="35" t="str">
        <f t="shared" si="67"/>
        <v>FITS BITCH</v>
      </c>
      <c r="AR452" s="35" t="str">
        <f t="shared" si="68"/>
        <v>FITS BITCH</v>
      </c>
      <c r="AS452" s="35" t="str">
        <f t="shared" si="69"/>
        <v>FITS BITCH</v>
      </c>
      <c r="AT452" s="20" t="str">
        <f t="shared" si="70"/>
        <v/>
      </c>
      <c r="AU452" s="20" t="str">
        <f t="shared" si="71"/>
        <v/>
      </c>
      <c r="AV452" s="20"/>
      <c r="AW452" s="20"/>
      <c r="AX452" s="20"/>
      <c r="CL452" s="106">
        <v>42496</v>
      </c>
      <c r="CM452" s="107">
        <f t="shared" si="65"/>
        <v>83.428427741856922</v>
      </c>
    </row>
    <row r="453" spans="31:91">
      <c r="AE453" s="26">
        <f>Data!A448</f>
        <v>42311</v>
      </c>
      <c r="AF453" s="35">
        <f>Data!B448</f>
        <v>86.88</v>
      </c>
      <c r="AG453" s="35">
        <f>Data!F448</f>
        <v>1704117</v>
      </c>
      <c r="AH453" s="35">
        <f>Data!C448</f>
        <v>87.2</v>
      </c>
      <c r="AI453" s="35">
        <f>Data!D448</f>
        <v>86.47</v>
      </c>
      <c r="AJ453" s="35">
        <f>Data!E448</f>
        <v>86.73</v>
      </c>
      <c r="AK453" s="35">
        <f>Data!F448</f>
        <v>1704117</v>
      </c>
      <c r="AL453" s="35">
        <f t="shared" si="64"/>
        <v>86.73</v>
      </c>
      <c r="AM453" s="35">
        <f t="shared" si="73"/>
        <v>-0.26519082209153666</v>
      </c>
      <c r="AN453" s="35">
        <f t="shared" si="72"/>
        <v>6.5139306749477877</v>
      </c>
      <c r="AO453" s="35" t="str">
        <f t="shared" si="66"/>
        <v>no</v>
      </c>
      <c r="AP453" s="35" t="str">
        <f t="shared" si="67"/>
        <v>no</v>
      </c>
      <c r="AQ453" s="35" t="str">
        <f t="shared" si="67"/>
        <v>FITS BITCH</v>
      </c>
      <c r="AR453" s="35" t="str">
        <f t="shared" si="68"/>
        <v>FITS BITCH</v>
      </c>
      <c r="AS453" s="35" t="str">
        <f t="shared" si="69"/>
        <v>no</v>
      </c>
      <c r="AT453" s="20" t="str">
        <f t="shared" si="70"/>
        <v/>
      </c>
      <c r="AU453" s="20" t="str">
        <f t="shared" si="71"/>
        <v/>
      </c>
      <c r="AV453" s="20"/>
      <c r="AW453" s="20"/>
      <c r="AX453" s="20"/>
      <c r="CL453" s="106">
        <v>42495</v>
      </c>
      <c r="CM453" s="107">
        <f t="shared" si="65"/>
        <v>83.375140553433994</v>
      </c>
    </row>
    <row r="454" spans="31:91">
      <c r="AE454" s="26">
        <f>Data!A449</f>
        <v>42310</v>
      </c>
      <c r="AF454" s="35">
        <f>Data!B449</f>
        <v>86.99</v>
      </c>
      <c r="AG454" s="35">
        <f>Data!F449</f>
        <v>1888169</v>
      </c>
      <c r="AH454" s="35">
        <f>Data!C449</f>
        <v>87.46</v>
      </c>
      <c r="AI454" s="35">
        <f>Data!D449</f>
        <v>86.44</v>
      </c>
      <c r="AJ454" s="35">
        <f>Data!E449</f>
        <v>86.99</v>
      </c>
      <c r="AK454" s="35">
        <f>Data!F449</f>
        <v>1888169</v>
      </c>
      <c r="AL454" s="35">
        <f t="shared" ref="AL454:AL517" si="74">AJ454</f>
        <v>86.99</v>
      </c>
      <c r="AM454" s="35">
        <f t="shared" si="73"/>
        <v>0.29888492930220817</v>
      </c>
      <c r="AN454" s="35">
        <f t="shared" si="72"/>
        <v>9.747644411067018</v>
      </c>
      <c r="AO454" s="35" t="str">
        <f t="shared" si="66"/>
        <v>no</v>
      </c>
      <c r="AP454" s="35" t="str">
        <f t="shared" si="67"/>
        <v>no</v>
      </c>
      <c r="AQ454" s="35" t="str">
        <f t="shared" si="67"/>
        <v>no</v>
      </c>
      <c r="AR454" s="35" t="str">
        <f t="shared" si="68"/>
        <v>FITS BITCH</v>
      </c>
      <c r="AS454" s="35" t="b">
        <f t="shared" si="69"/>
        <v>0</v>
      </c>
      <c r="AT454" s="20" t="str">
        <f t="shared" si="70"/>
        <v/>
      </c>
      <c r="AU454" s="20" t="str">
        <f t="shared" si="71"/>
        <v/>
      </c>
      <c r="AV454" s="20"/>
      <c r="AW454" s="20"/>
      <c r="AX454" s="20"/>
      <c r="CL454" s="106">
        <v>42494</v>
      </c>
      <c r="CM454" s="107">
        <f t="shared" si="65"/>
        <v>83.321853365011066</v>
      </c>
    </row>
    <row r="455" spans="31:91">
      <c r="AE455" s="26">
        <f>Data!A450</f>
        <v>42307</v>
      </c>
      <c r="AF455" s="35">
        <f>Data!B450</f>
        <v>88.36</v>
      </c>
      <c r="AG455" s="35">
        <f>Data!F450</f>
        <v>3026745</v>
      </c>
      <c r="AH455" s="35">
        <f>Data!C450</f>
        <v>88.65</v>
      </c>
      <c r="AI455" s="35">
        <f>Data!D450</f>
        <v>86.96</v>
      </c>
      <c r="AJ455" s="35">
        <f>Data!E450</f>
        <v>86.99</v>
      </c>
      <c r="AK455" s="35">
        <f>Data!F450</f>
        <v>3026745</v>
      </c>
      <c r="AL455" s="35">
        <f t="shared" si="74"/>
        <v>86.99</v>
      </c>
      <c r="AM455" s="35">
        <f t="shared" si="73"/>
        <v>0</v>
      </c>
      <c r="AN455" s="35">
        <f t="shared" si="72"/>
        <v>37.617176207443968</v>
      </c>
      <c r="AO455" s="35" t="str">
        <f t="shared" si="66"/>
        <v>no</v>
      </c>
      <c r="AP455" s="35" t="str">
        <f t="shared" si="67"/>
        <v>FITS BITCH</v>
      </c>
      <c r="AQ455" s="35" t="str">
        <f t="shared" si="67"/>
        <v>FITS BITCH</v>
      </c>
      <c r="AR455" s="35" t="str">
        <f t="shared" si="68"/>
        <v>FITS BITCH</v>
      </c>
      <c r="AS455" s="35" t="str">
        <f t="shared" si="69"/>
        <v>no</v>
      </c>
      <c r="AT455" s="20" t="str">
        <f t="shared" si="70"/>
        <v/>
      </c>
      <c r="AU455" s="20" t="str">
        <f t="shared" si="71"/>
        <v/>
      </c>
      <c r="AV455" s="20"/>
      <c r="AW455" s="20"/>
      <c r="AX455" s="20"/>
      <c r="CL455" s="106">
        <v>42493</v>
      </c>
      <c r="CM455" s="107">
        <f t="shared" si="65"/>
        <v>83.268566176588592</v>
      </c>
    </row>
    <row r="456" spans="31:91">
      <c r="AE456" s="26">
        <f>Data!A451</f>
        <v>42306</v>
      </c>
      <c r="AF456" s="35">
        <f>Data!B451</f>
        <v>87.91</v>
      </c>
      <c r="AG456" s="35">
        <f>Data!F451</f>
        <v>2448893</v>
      </c>
      <c r="AH456" s="35">
        <f>Data!C451</f>
        <v>88.53</v>
      </c>
      <c r="AI456" s="35">
        <f>Data!D451</f>
        <v>86.57</v>
      </c>
      <c r="AJ456" s="35">
        <f>Data!E451</f>
        <v>88.36</v>
      </c>
      <c r="AK456" s="35">
        <f>Data!F451</f>
        <v>2448893</v>
      </c>
      <c r="AL456" s="35">
        <f t="shared" si="74"/>
        <v>88.36</v>
      </c>
      <c r="AM456" s="35">
        <f t="shared" si="73"/>
        <v>1.5504753282028119</v>
      </c>
      <c r="AN456" s="35">
        <f t="shared" si="72"/>
        <v>-23.596457664748929</v>
      </c>
      <c r="AO456" s="35" t="str">
        <f t="shared" si="66"/>
        <v>FITS BITCH</v>
      </c>
      <c r="AP456" s="35" t="str">
        <f t="shared" si="67"/>
        <v>no</v>
      </c>
      <c r="AQ456" s="35" t="str">
        <f t="shared" si="67"/>
        <v>no</v>
      </c>
      <c r="AR456" s="35" t="str">
        <f t="shared" si="68"/>
        <v>FITS BITCH</v>
      </c>
      <c r="AS456" s="35" t="str">
        <f t="shared" si="69"/>
        <v>FITS BITCH</v>
      </c>
      <c r="AT456" s="20" t="str">
        <f t="shared" si="70"/>
        <v/>
      </c>
      <c r="AU456" s="20" t="str">
        <f t="shared" si="71"/>
        <v/>
      </c>
      <c r="AV456" s="20"/>
      <c r="AW456" s="20"/>
      <c r="AX456" s="20"/>
      <c r="CL456" s="106">
        <v>42492</v>
      </c>
      <c r="CM456" s="107">
        <f t="shared" ref="CM456:CM476" si="75">$BA$68*CL456+$BA$70</f>
        <v>83.215278988165664</v>
      </c>
    </row>
    <row r="457" spans="31:91">
      <c r="AE457" s="26">
        <f>Data!A452</f>
        <v>42305</v>
      </c>
      <c r="AF457" s="35">
        <f>Data!B452</f>
        <v>88.32</v>
      </c>
      <c r="AG457" s="35">
        <f>Data!F452</f>
        <v>3398042</v>
      </c>
      <c r="AH457" s="35">
        <f>Data!C452</f>
        <v>89.25</v>
      </c>
      <c r="AI457" s="35">
        <f>Data!D452</f>
        <v>86.9</v>
      </c>
      <c r="AJ457" s="35">
        <f>Data!E452</f>
        <v>87.91</v>
      </c>
      <c r="AK457" s="35">
        <f>Data!F452</f>
        <v>3398042</v>
      </c>
      <c r="AL457" s="35">
        <f t="shared" si="74"/>
        <v>87.91</v>
      </c>
      <c r="AM457" s="35">
        <f t="shared" si="73"/>
        <v>-0.51188715731998957</v>
      </c>
      <c r="AN457" s="35">
        <f t="shared" si="72"/>
        <v>27.932232738736012</v>
      </c>
      <c r="AO457" s="35" t="str">
        <f t="shared" ref="AO457:AO520" si="76">IF(AN457&lt;-8,"FITS BITCH",IF(AN457&gt;-8,"no"))</f>
        <v>no</v>
      </c>
      <c r="AP457" s="35" t="str">
        <f t="shared" ref="AP457:AQ520" si="77">IF(AH458&lt;AH457,"FITS BITCH",IF(AH458&gt;AH457,"no"))</f>
        <v>no</v>
      </c>
      <c r="AQ457" s="35" t="str">
        <f t="shared" si="77"/>
        <v>no</v>
      </c>
      <c r="AR457" s="35" t="str">
        <f t="shared" ref="AR457:AR520" si="78">IF(AJ457&lt;AH458,"FITS BITCH",IF(AJ457&gt;AH458,"no"))</f>
        <v>FITS BITCH</v>
      </c>
      <c r="AS457" s="35" t="str">
        <f t="shared" ref="AS457:AS520" si="79">IF(AJ457&gt;AJ458,"FITS BITCH",IF(AJ457&lt;AJ458,"no"))</f>
        <v>no</v>
      </c>
      <c r="AT457" s="20" t="str">
        <f t="shared" ref="AT457:AT520" si="80">IF(AND($AO457="FITS BITCH",$AP457="FITS BITCH",$AR457="FITS BITCH"),"BULLISH","")</f>
        <v/>
      </c>
      <c r="AU457" s="20" t="str">
        <f t="shared" ref="AU457:AU520" si="81">IF(AND($AO457="FITS BITCH",$AQ457="FITS BITCH",$AS457="FITS BITCH"),"BEARISH","")</f>
        <v/>
      </c>
      <c r="AV457" s="20"/>
      <c r="AW457" s="20"/>
      <c r="AX457" s="20"/>
      <c r="CL457" s="106">
        <v>42489</v>
      </c>
      <c r="CM457" s="107">
        <f t="shared" si="75"/>
        <v>83.055417422897335</v>
      </c>
    </row>
    <row r="458" spans="31:91">
      <c r="AE458" s="26">
        <f>Data!A453</f>
        <v>42304</v>
      </c>
      <c r="AF458" s="35">
        <f>Data!B453</f>
        <v>90.11</v>
      </c>
      <c r="AG458" s="35">
        <f>Data!F453</f>
        <v>2025779</v>
      </c>
      <c r="AH458" s="35">
        <f>Data!C453</f>
        <v>90.38</v>
      </c>
      <c r="AI458" s="35">
        <f>Data!D453</f>
        <v>89.09</v>
      </c>
      <c r="AJ458" s="35">
        <f>Data!E453</f>
        <v>90.33</v>
      </c>
      <c r="AK458" s="35">
        <f>Data!F453</f>
        <v>2025779</v>
      </c>
      <c r="AL458" s="35">
        <f t="shared" si="74"/>
        <v>90.33</v>
      </c>
      <c r="AM458" s="35">
        <f t="shared" si="73"/>
        <v>2.6790656481789012</v>
      </c>
      <c r="AN458" s="35">
        <f t="shared" ref="AN458:AN521" si="82">(AK458-AK457)/AK458*100</f>
        <v>-67.740015075681995</v>
      </c>
      <c r="AO458" s="35" t="str">
        <f t="shared" si="76"/>
        <v>FITS BITCH</v>
      </c>
      <c r="AP458" s="35" t="str">
        <f t="shared" si="77"/>
        <v>no</v>
      </c>
      <c r="AQ458" s="35" t="str">
        <f t="shared" si="77"/>
        <v>no</v>
      </c>
      <c r="AR458" s="35" t="str">
        <f t="shared" si="78"/>
        <v>FITS BITCH</v>
      </c>
      <c r="AS458" s="35" t="str">
        <f t="shared" si="79"/>
        <v>FITS BITCH</v>
      </c>
      <c r="AT458" s="20" t="str">
        <f t="shared" si="80"/>
        <v/>
      </c>
      <c r="AU458" s="20" t="str">
        <f t="shared" si="81"/>
        <v/>
      </c>
      <c r="AV458" s="20"/>
      <c r="AW458" s="20"/>
      <c r="AX458" s="20"/>
      <c r="CL458" s="106">
        <v>42488</v>
      </c>
      <c r="CM458" s="107">
        <f t="shared" si="75"/>
        <v>83.002130234474407</v>
      </c>
    </row>
    <row r="459" spans="31:91">
      <c r="AE459" s="26">
        <f>Data!A454</f>
        <v>42303</v>
      </c>
      <c r="AF459" s="35">
        <f>Data!B454</f>
        <v>90.23</v>
      </c>
      <c r="AG459" s="35">
        <f>Data!F454</f>
        <v>2297359</v>
      </c>
      <c r="AH459" s="35">
        <f>Data!C454</f>
        <v>90.67</v>
      </c>
      <c r="AI459" s="35">
        <f>Data!D454</f>
        <v>89.73</v>
      </c>
      <c r="AJ459" s="35">
        <f>Data!E454</f>
        <v>90.11</v>
      </c>
      <c r="AK459" s="35">
        <f>Data!F454</f>
        <v>2297359</v>
      </c>
      <c r="AL459" s="35">
        <f t="shared" si="74"/>
        <v>90.11</v>
      </c>
      <c r="AM459" s="35">
        <f t="shared" si="73"/>
        <v>-0.24414604372433565</v>
      </c>
      <c r="AN459" s="35">
        <f t="shared" si="82"/>
        <v>11.821400138158642</v>
      </c>
      <c r="AO459" s="35" t="str">
        <f t="shared" si="76"/>
        <v>no</v>
      </c>
      <c r="AP459" s="35" t="str">
        <f t="shared" si="77"/>
        <v>FITS BITCH</v>
      </c>
      <c r="AQ459" s="35" t="str">
        <f t="shared" si="77"/>
        <v>FITS BITCH</v>
      </c>
      <c r="AR459" s="35" t="str">
        <f t="shared" si="78"/>
        <v>FITS BITCH</v>
      </c>
      <c r="AS459" s="35" t="str">
        <f t="shared" si="79"/>
        <v>no</v>
      </c>
      <c r="AT459" s="20" t="str">
        <f t="shared" si="80"/>
        <v/>
      </c>
      <c r="AU459" s="20" t="str">
        <f t="shared" si="81"/>
        <v/>
      </c>
      <c r="AV459" s="20"/>
      <c r="AW459" s="20"/>
      <c r="AX459" s="20"/>
      <c r="CL459" s="106">
        <v>42487</v>
      </c>
      <c r="CM459" s="107">
        <f t="shared" si="75"/>
        <v>82.948843046051934</v>
      </c>
    </row>
    <row r="460" spans="31:91">
      <c r="AE460" s="26">
        <f>Data!A455</f>
        <v>42300</v>
      </c>
      <c r="AF460" s="35">
        <f>Data!B455</f>
        <v>90</v>
      </c>
      <c r="AG460" s="35">
        <f>Data!F455</f>
        <v>1829479</v>
      </c>
      <c r="AH460" s="35">
        <f>Data!C455</f>
        <v>90.6</v>
      </c>
      <c r="AI460" s="35">
        <f>Data!D455</f>
        <v>89.68</v>
      </c>
      <c r="AJ460" s="35">
        <f>Data!E455</f>
        <v>90.53</v>
      </c>
      <c r="AK460" s="35">
        <f>Data!F455</f>
        <v>1829479</v>
      </c>
      <c r="AL460" s="35">
        <f t="shared" si="74"/>
        <v>90.53</v>
      </c>
      <c r="AM460" s="35">
        <f t="shared" si="73"/>
        <v>0.46393460731249497</v>
      </c>
      <c r="AN460" s="35">
        <f t="shared" si="82"/>
        <v>-25.574494159266109</v>
      </c>
      <c r="AO460" s="35" t="str">
        <f t="shared" si="76"/>
        <v>FITS BITCH</v>
      </c>
      <c r="AP460" s="35" t="str">
        <f t="shared" si="77"/>
        <v>FITS BITCH</v>
      </c>
      <c r="AQ460" s="35" t="str">
        <f t="shared" si="77"/>
        <v>FITS BITCH</v>
      </c>
      <c r="AR460" s="35" t="str">
        <f t="shared" si="78"/>
        <v>no</v>
      </c>
      <c r="AS460" s="35" t="str">
        <f t="shared" si="79"/>
        <v>FITS BITCH</v>
      </c>
      <c r="AT460" s="20" t="str">
        <f t="shared" si="80"/>
        <v/>
      </c>
      <c r="AU460" s="20" t="str">
        <f t="shared" si="81"/>
        <v>BEARISH</v>
      </c>
      <c r="AV460" s="20"/>
      <c r="AW460" s="20"/>
      <c r="AX460" s="20"/>
      <c r="CL460" s="106">
        <v>42486</v>
      </c>
      <c r="CM460" s="107">
        <f t="shared" si="75"/>
        <v>82.895555857629006</v>
      </c>
    </row>
    <row r="461" spans="31:91">
      <c r="AE461" s="26">
        <f>Data!A456</f>
        <v>42299</v>
      </c>
      <c r="AF461" s="35">
        <f>Data!B456</f>
        <v>87.93</v>
      </c>
      <c r="AG461" s="35">
        <f>Data!F456</f>
        <v>2099537</v>
      </c>
      <c r="AH461" s="35">
        <f>Data!C456</f>
        <v>89.82</v>
      </c>
      <c r="AI461" s="35">
        <f>Data!D456</f>
        <v>87.72</v>
      </c>
      <c r="AJ461" s="35">
        <f>Data!E456</f>
        <v>89.69</v>
      </c>
      <c r="AK461" s="35">
        <f>Data!F456</f>
        <v>2099537</v>
      </c>
      <c r="AL461" s="35">
        <f t="shared" si="74"/>
        <v>89.69</v>
      </c>
      <c r="AM461" s="35">
        <f t="shared" si="73"/>
        <v>-0.9365592596722081</v>
      </c>
      <c r="AN461" s="35">
        <f t="shared" si="82"/>
        <v>12.862740689971169</v>
      </c>
      <c r="AO461" s="35" t="str">
        <f t="shared" si="76"/>
        <v>no</v>
      </c>
      <c r="AP461" s="35" t="str">
        <f t="shared" si="77"/>
        <v>FITS BITCH</v>
      </c>
      <c r="AQ461" s="35" t="str">
        <f t="shared" si="77"/>
        <v>FITS BITCH</v>
      </c>
      <c r="AR461" s="35" t="str">
        <f t="shared" si="78"/>
        <v>no</v>
      </c>
      <c r="AS461" s="35" t="str">
        <f t="shared" si="79"/>
        <v>FITS BITCH</v>
      </c>
      <c r="AT461" s="20" t="str">
        <f t="shared" si="80"/>
        <v/>
      </c>
      <c r="AU461" s="20" t="str">
        <f t="shared" si="81"/>
        <v/>
      </c>
      <c r="AV461" s="20"/>
      <c r="AW461" s="20"/>
      <c r="AX461" s="20"/>
      <c r="CL461" s="106">
        <v>42485</v>
      </c>
      <c r="CM461" s="107">
        <f t="shared" si="75"/>
        <v>82.842268669206078</v>
      </c>
    </row>
    <row r="462" spans="31:91">
      <c r="AE462" s="26">
        <f>Data!A457</f>
        <v>42298</v>
      </c>
      <c r="AF462" s="35">
        <f>Data!B457</f>
        <v>87.7</v>
      </c>
      <c r="AG462" s="35">
        <f>Data!F457</f>
        <v>1607912</v>
      </c>
      <c r="AH462" s="35">
        <f>Data!C457</f>
        <v>88.48</v>
      </c>
      <c r="AI462" s="35">
        <f>Data!D457</f>
        <v>87.32</v>
      </c>
      <c r="AJ462" s="35">
        <f>Data!E457</f>
        <v>87.45</v>
      </c>
      <c r="AK462" s="35">
        <f>Data!F457</f>
        <v>1607912</v>
      </c>
      <c r="AL462" s="35">
        <f t="shared" si="74"/>
        <v>87.45</v>
      </c>
      <c r="AM462" s="35">
        <f t="shared" si="73"/>
        <v>-2.5614636935391593</v>
      </c>
      <c r="AN462" s="35">
        <f t="shared" si="82"/>
        <v>-30.575367308658684</v>
      </c>
      <c r="AO462" s="35" t="str">
        <f t="shared" si="76"/>
        <v>FITS BITCH</v>
      </c>
      <c r="AP462" s="35" t="str">
        <f t="shared" si="77"/>
        <v>FITS BITCH</v>
      </c>
      <c r="AQ462" s="35" t="str">
        <f t="shared" si="77"/>
        <v>FITS BITCH</v>
      </c>
      <c r="AR462" s="35" t="str">
        <f t="shared" si="78"/>
        <v>FITS BITCH</v>
      </c>
      <c r="AS462" s="35" t="str">
        <f t="shared" si="79"/>
        <v>FITS BITCH</v>
      </c>
      <c r="AT462" s="20" t="str">
        <f t="shared" si="80"/>
        <v>BULLISH</v>
      </c>
      <c r="AU462" s="20" t="str">
        <f t="shared" si="81"/>
        <v>BEARISH</v>
      </c>
      <c r="AV462" s="20"/>
      <c r="AW462" s="20"/>
      <c r="AX462" s="20"/>
      <c r="CL462" s="106">
        <v>42482</v>
      </c>
      <c r="CM462" s="107">
        <f t="shared" si="75"/>
        <v>82.682407103938203</v>
      </c>
    </row>
    <row r="463" spans="31:91">
      <c r="AE463" s="26">
        <f>Data!A458</f>
        <v>42297</v>
      </c>
      <c r="AF463" s="35">
        <f>Data!B458</f>
        <v>87.06</v>
      </c>
      <c r="AG463" s="35">
        <f>Data!F458</f>
        <v>1301879</v>
      </c>
      <c r="AH463" s="35">
        <f>Data!C458</f>
        <v>87.62</v>
      </c>
      <c r="AI463" s="35">
        <f>Data!D458</f>
        <v>86.95</v>
      </c>
      <c r="AJ463" s="35">
        <f>Data!E458</f>
        <v>87.42</v>
      </c>
      <c r="AK463" s="35">
        <f>Data!F458</f>
        <v>1301879</v>
      </c>
      <c r="AL463" s="35">
        <f t="shared" si="74"/>
        <v>87.42</v>
      </c>
      <c r="AM463" s="35">
        <f t="shared" si="73"/>
        <v>-3.4317089910776866E-2</v>
      </c>
      <c r="AN463" s="35">
        <f t="shared" si="82"/>
        <v>-23.507023310154015</v>
      </c>
      <c r="AO463" s="35" t="str">
        <f t="shared" si="76"/>
        <v>FITS BITCH</v>
      </c>
      <c r="AP463" s="35" t="str">
        <f t="shared" si="77"/>
        <v>FITS BITCH</v>
      </c>
      <c r="AQ463" s="35" t="str">
        <f t="shared" si="77"/>
        <v>FITS BITCH</v>
      </c>
      <c r="AR463" s="35" t="str">
        <f t="shared" si="78"/>
        <v>FITS BITCH</v>
      </c>
      <c r="AS463" s="35" t="str">
        <f t="shared" si="79"/>
        <v>FITS BITCH</v>
      </c>
      <c r="AT463" s="20" t="str">
        <f t="shared" si="80"/>
        <v>BULLISH</v>
      </c>
      <c r="AU463" s="20" t="str">
        <f t="shared" si="81"/>
        <v>BEARISH</v>
      </c>
      <c r="AV463" s="20"/>
      <c r="AW463" s="20"/>
      <c r="AX463" s="20"/>
      <c r="CL463" s="106">
        <v>42481</v>
      </c>
      <c r="CM463" s="107">
        <f t="shared" si="75"/>
        <v>82.629119915515275</v>
      </c>
    </row>
    <row r="464" spans="31:91">
      <c r="AE464" s="26">
        <f>Data!A459</f>
        <v>42296</v>
      </c>
      <c r="AF464" s="35">
        <f>Data!B459</f>
        <v>86.57</v>
      </c>
      <c r="AG464" s="35">
        <f>Data!F459</f>
        <v>1439235</v>
      </c>
      <c r="AH464" s="35">
        <f>Data!C459</f>
        <v>87.6</v>
      </c>
      <c r="AI464" s="35">
        <f>Data!D459</f>
        <v>86.5</v>
      </c>
      <c r="AJ464" s="35">
        <f>Data!E459</f>
        <v>87.3</v>
      </c>
      <c r="AK464" s="35">
        <f>Data!F459</f>
        <v>1439235</v>
      </c>
      <c r="AL464" s="35">
        <f t="shared" si="74"/>
        <v>87.3</v>
      </c>
      <c r="AM464" s="35">
        <f t="shared" si="73"/>
        <v>-0.13745704467354472</v>
      </c>
      <c r="AN464" s="35">
        <f t="shared" si="82"/>
        <v>9.5436811917442252</v>
      </c>
      <c r="AO464" s="35" t="str">
        <f t="shared" si="76"/>
        <v>no</v>
      </c>
      <c r="AP464" s="35" t="str">
        <f t="shared" si="77"/>
        <v>FITS BITCH</v>
      </c>
      <c r="AQ464" s="35" t="str">
        <f t="shared" si="77"/>
        <v>FITS BITCH</v>
      </c>
      <c r="AR464" s="35" t="str">
        <f t="shared" si="78"/>
        <v>no</v>
      </c>
      <c r="AS464" s="35" t="str">
        <f t="shared" si="79"/>
        <v>FITS BITCH</v>
      </c>
      <c r="AT464" s="20" t="str">
        <f t="shared" si="80"/>
        <v/>
      </c>
      <c r="AU464" s="20" t="str">
        <f t="shared" si="81"/>
        <v/>
      </c>
      <c r="AV464" s="20"/>
      <c r="AW464" s="20"/>
      <c r="AX464" s="20"/>
      <c r="CL464" s="106">
        <v>42480</v>
      </c>
      <c r="CM464" s="107">
        <f t="shared" si="75"/>
        <v>82.575832727092347</v>
      </c>
    </row>
    <row r="465" spans="31:91">
      <c r="AE465" s="26">
        <f>Data!A460</f>
        <v>42293</v>
      </c>
      <c r="AF465" s="35">
        <f>Data!B460</f>
        <v>86.3</v>
      </c>
      <c r="AG465" s="35">
        <f>Data!F460</f>
        <v>1841274</v>
      </c>
      <c r="AH465" s="35">
        <f>Data!C460</f>
        <v>86.98</v>
      </c>
      <c r="AI465" s="35">
        <f>Data!D460</f>
        <v>85.92</v>
      </c>
      <c r="AJ465" s="35">
        <f>Data!E460</f>
        <v>86.69</v>
      </c>
      <c r="AK465" s="35">
        <f>Data!F460</f>
        <v>1841274</v>
      </c>
      <c r="AL465" s="35">
        <f t="shared" si="74"/>
        <v>86.69</v>
      </c>
      <c r="AM465" s="35">
        <f t="shared" si="73"/>
        <v>-0.70365670780943523</v>
      </c>
      <c r="AN465" s="35">
        <f t="shared" si="82"/>
        <v>21.834827407544992</v>
      </c>
      <c r="AO465" s="35" t="str">
        <f t="shared" si="76"/>
        <v>no</v>
      </c>
      <c r="AP465" s="35" t="str">
        <f t="shared" si="77"/>
        <v>FITS BITCH</v>
      </c>
      <c r="AQ465" s="35" t="str">
        <f t="shared" si="77"/>
        <v>FITS BITCH</v>
      </c>
      <c r="AR465" s="35" t="str">
        <f t="shared" si="78"/>
        <v>no</v>
      </c>
      <c r="AS465" s="35" t="str">
        <f t="shared" si="79"/>
        <v>FITS BITCH</v>
      </c>
      <c r="AT465" s="20" t="str">
        <f t="shared" si="80"/>
        <v/>
      </c>
      <c r="AU465" s="20" t="str">
        <f t="shared" si="81"/>
        <v/>
      </c>
      <c r="AV465" s="20"/>
      <c r="AW465" s="20"/>
      <c r="AX465" s="20"/>
      <c r="CL465" s="106">
        <v>42479</v>
      </c>
      <c r="CM465" s="107">
        <f t="shared" si="75"/>
        <v>82.522545538669874</v>
      </c>
    </row>
    <row r="466" spans="31:91">
      <c r="AE466" s="26">
        <f>Data!A461</f>
        <v>42292</v>
      </c>
      <c r="AF466" s="35">
        <f>Data!B461</f>
        <v>85.62</v>
      </c>
      <c r="AG466" s="35">
        <f>Data!F461</f>
        <v>1232160</v>
      </c>
      <c r="AH466" s="35">
        <f>Data!C461</f>
        <v>85.97</v>
      </c>
      <c r="AI466" s="35">
        <f>Data!D461</f>
        <v>84.93</v>
      </c>
      <c r="AJ466" s="35">
        <f>Data!E461</f>
        <v>85.97</v>
      </c>
      <c r="AK466" s="35">
        <f>Data!F461</f>
        <v>1232160</v>
      </c>
      <c r="AL466" s="35">
        <f t="shared" si="74"/>
        <v>85.97</v>
      </c>
      <c r="AM466" s="35">
        <f t="shared" si="73"/>
        <v>-0.83750145399557852</v>
      </c>
      <c r="AN466" s="35">
        <f t="shared" si="82"/>
        <v>-49.434651343981301</v>
      </c>
      <c r="AO466" s="35" t="str">
        <f t="shared" si="76"/>
        <v>FITS BITCH</v>
      </c>
      <c r="AP466" s="35" t="str">
        <f t="shared" si="77"/>
        <v>FITS BITCH</v>
      </c>
      <c r="AQ466" s="35" t="str">
        <f t="shared" si="77"/>
        <v>no</v>
      </c>
      <c r="AR466" s="35" t="str">
        <f t="shared" si="78"/>
        <v>no</v>
      </c>
      <c r="AS466" s="35" t="str">
        <f t="shared" si="79"/>
        <v>FITS BITCH</v>
      </c>
      <c r="AT466" s="20" t="str">
        <f t="shared" si="80"/>
        <v/>
      </c>
      <c r="AU466" s="20" t="str">
        <f t="shared" si="81"/>
        <v/>
      </c>
      <c r="AV466" s="20"/>
      <c r="AW466" s="20"/>
      <c r="AX466" s="20"/>
      <c r="CL466" s="106">
        <v>42478</v>
      </c>
      <c r="CM466" s="107">
        <f t="shared" si="75"/>
        <v>82.469258350246946</v>
      </c>
    </row>
    <row r="467" spans="31:91">
      <c r="AE467" s="26">
        <f>Data!A462</f>
        <v>42291</v>
      </c>
      <c r="AF467" s="35">
        <f>Data!B462</f>
        <v>85.3</v>
      </c>
      <c r="AG467" s="35">
        <f>Data!F462</f>
        <v>1227649</v>
      </c>
      <c r="AH467" s="35">
        <f>Data!C462</f>
        <v>85.9</v>
      </c>
      <c r="AI467" s="35">
        <f>Data!D462</f>
        <v>84.94</v>
      </c>
      <c r="AJ467" s="35">
        <f>Data!E462</f>
        <v>85.14</v>
      </c>
      <c r="AK467" s="35">
        <f>Data!F462</f>
        <v>1227649</v>
      </c>
      <c r="AL467" s="35">
        <f t="shared" si="74"/>
        <v>85.14</v>
      </c>
      <c r="AM467" s="35">
        <f t="shared" si="73"/>
        <v>-0.97486492835329852</v>
      </c>
      <c r="AN467" s="35">
        <f t="shared" si="82"/>
        <v>-0.36745030542117496</v>
      </c>
      <c r="AO467" s="35" t="str">
        <f t="shared" si="76"/>
        <v>no</v>
      </c>
      <c r="AP467" s="35" t="str">
        <f t="shared" si="77"/>
        <v>FITS BITCH</v>
      </c>
      <c r="AQ467" s="35" t="str">
        <f t="shared" si="77"/>
        <v>FITS BITCH</v>
      </c>
      <c r="AR467" s="35" t="str">
        <f t="shared" si="78"/>
        <v>FITS BITCH</v>
      </c>
      <c r="AS467" s="35" t="str">
        <f t="shared" si="79"/>
        <v>no</v>
      </c>
      <c r="AT467" s="20" t="str">
        <f t="shared" si="80"/>
        <v/>
      </c>
      <c r="AU467" s="20" t="str">
        <f t="shared" si="81"/>
        <v/>
      </c>
      <c r="AV467" s="20"/>
      <c r="AW467" s="20"/>
      <c r="AX467" s="20"/>
      <c r="CL467" s="106">
        <v>42475</v>
      </c>
      <c r="CM467" s="107">
        <f t="shared" si="75"/>
        <v>82.309396784978617</v>
      </c>
    </row>
    <row r="468" spans="31:91">
      <c r="AE468" s="26">
        <f>Data!A463</f>
        <v>42290</v>
      </c>
      <c r="AF468" s="35">
        <f>Data!B463</f>
        <v>85.21</v>
      </c>
      <c r="AG468" s="35">
        <f>Data!F463</f>
        <v>1380393</v>
      </c>
      <c r="AH468" s="35">
        <f>Data!C463</f>
        <v>85.71</v>
      </c>
      <c r="AI468" s="35">
        <f>Data!D463</f>
        <v>84.87</v>
      </c>
      <c r="AJ468" s="35">
        <f>Data!E463</f>
        <v>85.16</v>
      </c>
      <c r="AK468" s="35">
        <f>Data!F463</f>
        <v>1380393</v>
      </c>
      <c r="AL468" s="35">
        <f t="shared" si="74"/>
        <v>85.16</v>
      </c>
      <c r="AM468" s="35">
        <f t="shared" si="73"/>
        <v>2.3485204321272924E-2</v>
      </c>
      <c r="AN468" s="35">
        <f t="shared" si="82"/>
        <v>11.065254605029146</v>
      </c>
      <c r="AO468" s="35" t="str">
        <f t="shared" si="76"/>
        <v>no</v>
      </c>
      <c r="AP468" s="35" t="str">
        <f t="shared" si="77"/>
        <v>no</v>
      </c>
      <c r="AQ468" s="35" t="str">
        <f t="shared" si="77"/>
        <v>no</v>
      </c>
      <c r="AR468" s="35" t="str">
        <f t="shared" si="78"/>
        <v>FITS BITCH</v>
      </c>
      <c r="AS468" s="35" t="str">
        <f t="shared" si="79"/>
        <v>no</v>
      </c>
      <c r="AT468" s="20" t="str">
        <f t="shared" si="80"/>
        <v/>
      </c>
      <c r="AU468" s="20" t="str">
        <f t="shared" si="81"/>
        <v/>
      </c>
      <c r="AV468" s="20"/>
      <c r="AW468" s="20"/>
      <c r="AX468" s="20"/>
      <c r="CL468" s="106">
        <v>42474</v>
      </c>
      <c r="CM468" s="107">
        <f t="shared" si="75"/>
        <v>82.256109596555689</v>
      </c>
    </row>
    <row r="469" spans="31:91">
      <c r="AE469" s="26">
        <f>Data!A464</f>
        <v>42289</v>
      </c>
      <c r="AF469" s="35">
        <f>Data!B464</f>
        <v>85.03</v>
      </c>
      <c r="AG469" s="35">
        <f>Data!F464</f>
        <v>1045269</v>
      </c>
      <c r="AH469" s="35">
        <f>Data!C464</f>
        <v>85.77</v>
      </c>
      <c r="AI469" s="35">
        <f>Data!D464</f>
        <v>85.03</v>
      </c>
      <c r="AJ469" s="35">
        <f>Data!E464</f>
        <v>85.68</v>
      </c>
      <c r="AK469" s="35">
        <f>Data!F464</f>
        <v>1045269</v>
      </c>
      <c r="AL469" s="35">
        <f t="shared" si="74"/>
        <v>85.68</v>
      </c>
      <c r="AM469" s="35">
        <f t="shared" si="73"/>
        <v>0.60690943043885415</v>
      </c>
      <c r="AN469" s="35">
        <f t="shared" si="82"/>
        <v>-32.061029266150626</v>
      </c>
      <c r="AO469" s="35" t="str">
        <f t="shared" si="76"/>
        <v>FITS BITCH</v>
      </c>
      <c r="AP469" s="35" t="str">
        <f t="shared" si="77"/>
        <v>no</v>
      </c>
      <c r="AQ469" s="35" t="str">
        <f t="shared" si="77"/>
        <v>FITS BITCH</v>
      </c>
      <c r="AR469" s="35" t="str">
        <f t="shared" si="78"/>
        <v>FITS BITCH</v>
      </c>
      <c r="AS469" s="35" t="str">
        <f t="shared" si="79"/>
        <v>FITS BITCH</v>
      </c>
      <c r="AT469" s="20" t="str">
        <f t="shared" si="80"/>
        <v/>
      </c>
      <c r="AU469" s="20" t="str">
        <f t="shared" si="81"/>
        <v>BEARISH</v>
      </c>
      <c r="AV469" s="20"/>
      <c r="AW469" s="20"/>
      <c r="AX469" s="20"/>
      <c r="CL469" s="106">
        <v>42473</v>
      </c>
      <c r="CM469" s="107">
        <f t="shared" si="75"/>
        <v>82.202822408133216</v>
      </c>
    </row>
    <row r="470" spans="31:91">
      <c r="AE470" s="26">
        <f>Data!A465</f>
        <v>42286</v>
      </c>
      <c r="AF470" s="35">
        <f>Data!B465</f>
        <v>85.36</v>
      </c>
      <c r="AG470" s="35">
        <f>Data!F465</f>
        <v>2185838</v>
      </c>
      <c r="AH470" s="35">
        <f>Data!C465</f>
        <v>85.99</v>
      </c>
      <c r="AI470" s="35">
        <f>Data!D465</f>
        <v>84.98</v>
      </c>
      <c r="AJ470" s="35">
        <f>Data!E465</f>
        <v>85.24</v>
      </c>
      <c r="AK470" s="35">
        <f>Data!F465</f>
        <v>2185838</v>
      </c>
      <c r="AL470" s="35">
        <f t="shared" si="74"/>
        <v>85.24</v>
      </c>
      <c r="AM470" s="35">
        <f t="shared" si="73"/>
        <v>-0.51618958235571566</v>
      </c>
      <c r="AN470" s="35">
        <f t="shared" si="82"/>
        <v>52.179941971911916</v>
      </c>
      <c r="AO470" s="35" t="str">
        <f t="shared" si="76"/>
        <v>no</v>
      </c>
      <c r="AP470" s="35" t="str">
        <f t="shared" si="77"/>
        <v>FITS BITCH</v>
      </c>
      <c r="AQ470" s="35" t="str">
        <f t="shared" si="77"/>
        <v>FITS BITCH</v>
      </c>
      <c r="AR470" s="35" t="str">
        <f t="shared" si="78"/>
        <v>FITS BITCH</v>
      </c>
      <c r="AS470" s="35" t="str">
        <f t="shared" si="79"/>
        <v>FITS BITCH</v>
      </c>
      <c r="AT470" s="20" t="str">
        <f t="shared" si="80"/>
        <v/>
      </c>
      <c r="AU470" s="20" t="str">
        <f t="shared" si="81"/>
        <v/>
      </c>
      <c r="AV470" s="20"/>
      <c r="AW470" s="20"/>
      <c r="AX470" s="20"/>
      <c r="CL470" s="106">
        <v>42472</v>
      </c>
      <c r="CM470" s="107">
        <f t="shared" si="75"/>
        <v>82.149535219710287</v>
      </c>
    </row>
    <row r="471" spans="31:91">
      <c r="AE471" s="26">
        <f>Data!A466</f>
        <v>42285</v>
      </c>
      <c r="AF471" s="35">
        <f>Data!B466</f>
        <v>83.56</v>
      </c>
      <c r="AG471" s="35">
        <f>Data!F466</f>
        <v>2128954</v>
      </c>
      <c r="AH471" s="35">
        <f>Data!C466</f>
        <v>85.44</v>
      </c>
      <c r="AI471" s="35">
        <f>Data!D466</f>
        <v>83.22</v>
      </c>
      <c r="AJ471" s="35">
        <f>Data!E466</f>
        <v>85.12</v>
      </c>
      <c r="AK471" s="35">
        <f>Data!F466</f>
        <v>2128954</v>
      </c>
      <c r="AL471" s="35">
        <f t="shared" si="74"/>
        <v>85.12</v>
      </c>
      <c r="AM471" s="35">
        <f t="shared" si="73"/>
        <v>-0.14097744360901118</v>
      </c>
      <c r="AN471" s="35">
        <f t="shared" si="82"/>
        <v>-2.6719224558163304</v>
      </c>
      <c r="AO471" s="35" t="str">
        <f t="shared" si="76"/>
        <v>no</v>
      </c>
      <c r="AP471" s="35" t="str">
        <f t="shared" si="77"/>
        <v>FITS BITCH</v>
      </c>
      <c r="AQ471" s="35" t="str">
        <f t="shared" si="77"/>
        <v>FITS BITCH</v>
      </c>
      <c r="AR471" s="35" t="str">
        <f t="shared" si="78"/>
        <v>no</v>
      </c>
      <c r="AS471" s="35" t="str">
        <f t="shared" si="79"/>
        <v>FITS BITCH</v>
      </c>
      <c r="AT471" s="20" t="str">
        <f t="shared" si="80"/>
        <v/>
      </c>
      <c r="AU471" s="20" t="str">
        <f t="shared" si="81"/>
        <v/>
      </c>
      <c r="AV471" s="20"/>
      <c r="AW471" s="20"/>
      <c r="AX471" s="20"/>
      <c r="CL471" s="106">
        <v>42471</v>
      </c>
      <c r="CM471" s="107">
        <f t="shared" si="75"/>
        <v>82.096248031287359</v>
      </c>
    </row>
    <row r="472" spans="31:91">
      <c r="AE472" s="26">
        <f>Data!A467</f>
        <v>42284</v>
      </c>
      <c r="AF472" s="35">
        <f>Data!B467</f>
        <v>82.59</v>
      </c>
      <c r="AG472" s="35">
        <f>Data!F467</f>
        <v>1714199</v>
      </c>
      <c r="AH472" s="35">
        <f>Data!C467</f>
        <v>83.86</v>
      </c>
      <c r="AI472" s="35">
        <f>Data!D467</f>
        <v>82.59</v>
      </c>
      <c r="AJ472" s="35">
        <f>Data!E467</f>
        <v>83.65</v>
      </c>
      <c r="AK472" s="35">
        <f>Data!F467</f>
        <v>1714199</v>
      </c>
      <c r="AL472" s="35">
        <f t="shared" si="74"/>
        <v>83.65</v>
      </c>
      <c r="AM472" s="35">
        <f t="shared" si="73"/>
        <v>-1.7573221757322159</v>
      </c>
      <c r="AN472" s="35">
        <f t="shared" si="82"/>
        <v>-24.195265543848759</v>
      </c>
      <c r="AO472" s="35" t="str">
        <f t="shared" si="76"/>
        <v>FITS BITCH</v>
      </c>
      <c r="AP472" s="35" t="str">
        <f t="shared" si="77"/>
        <v>FITS BITCH</v>
      </c>
      <c r="AQ472" s="35" t="str">
        <f t="shared" si="77"/>
        <v>FITS BITCH</v>
      </c>
      <c r="AR472" s="35" t="str">
        <f t="shared" si="78"/>
        <v>no</v>
      </c>
      <c r="AS472" s="35" t="str">
        <f t="shared" si="79"/>
        <v>FITS BITCH</v>
      </c>
      <c r="AT472" s="20" t="str">
        <f t="shared" si="80"/>
        <v/>
      </c>
      <c r="AU472" s="20" t="str">
        <f t="shared" si="81"/>
        <v>BEARISH</v>
      </c>
      <c r="AV472" s="20"/>
      <c r="AW472" s="20"/>
      <c r="AX472" s="20"/>
      <c r="CL472" s="106">
        <v>42468</v>
      </c>
      <c r="CM472" s="107">
        <f t="shared" si="75"/>
        <v>81.93638646601903</v>
      </c>
    </row>
    <row r="473" spans="31:91">
      <c r="AE473" s="26">
        <f>Data!A468</f>
        <v>42283</v>
      </c>
      <c r="AF473" s="35">
        <f>Data!B468</f>
        <v>82.46</v>
      </c>
      <c r="AG473" s="35">
        <f>Data!F468</f>
        <v>1860670</v>
      </c>
      <c r="AH473" s="35">
        <f>Data!C468</f>
        <v>82.91</v>
      </c>
      <c r="AI473" s="35">
        <f>Data!D468</f>
        <v>82.23</v>
      </c>
      <c r="AJ473" s="35">
        <f>Data!E468</f>
        <v>82.44</v>
      </c>
      <c r="AK473" s="35">
        <f>Data!F468</f>
        <v>1860670</v>
      </c>
      <c r="AL473" s="35">
        <f t="shared" si="74"/>
        <v>82.44</v>
      </c>
      <c r="AM473" s="35">
        <f t="shared" si="73"/>
        <v>-1.4677341096555168</v>
      </c>
      <c r="AN473" s="35">
        <f t="shared" si="82"/>
        <v>7.8719493515776575</v>
      </c>
      <c r="AO473" s="35" t="str">
        <f t="shared" si="76"/>
        <v>no</v>
      </c>
      <c r="AP473" s="35" t="str">
        <f t="shared" si="77"/>
        <v>no</v>
      </c>
      <c r="AQ473" s="35" t="str">
        <f t="shared" si="77"/>
        <v>FITS BITCH</v>
      </c>
      <c r="AR473" s="35" t="str">
        <f t="shared" si="78"/>
        <v>FITS BITCH</v>
      </c>
      <c r="AS473" s="35" t="str">
        <f t="shared" si="79"/>
        <v>no</v>
      </c>
      <c r="AT473" s="20" t="str">
        <f t="shared" si="80"/>
        <v/>
      </c>
      <c r="AU473" s="20" t="str">
        <f t="shared" si="81"/>
        <v/>
      </c>
      <c r="AV473" s="20"/>
      <c r="AW473" s="20"/>
      <c r="AX473" s="20"/>
      <c r="CL473" s="106">
        <v>42467</v>
      </c>
      <c r="CM473" s="107">
        <f t="shared" si="75"/>
        <v>81.883099277596557</v>
      </c>
    </row>
    <row r="474" spans="31:91">
      <c r="AE474" s="26">
        <f>Data!A469</f>
        <v>42282</v>
      </c>
      <c r="AF474" s="35">
        <f>Data!B469</f>
        <v>82.2</v>
      </c>
      <c r="AG474" s="35">
        <f>Data!F469</f>
        <v>1886497</v>
      </c>
      <c r="AH474" s="35">
        <f>Data!C469</f>
        <v>83.03</v>
      </c>
      <c r="AI474" s="35">
        <f>Data!D469</f>
        <v>81.89</v>
      </c>
      <c r="AJ474" s="35">
        <f>Data!E469</f>
        <v>82.7</v>
      </c>
      <c r="AK474" s="35">
        <f>Data!F469</f>
        <v>1886497</v>
      </c>
      <c r="AL474" s="35">
        <f t="shared" si="74"/>
        <v>82.7</v>
      </c>
      <c r="AM474" s="35">
        <f t="shared" si="73"/>
        <v>0.31438935912938948</v>
      </c>
      <c r="AN474" s="35">
        <f t="shared" si="82"/>
        <v>1.3690453788158687</v>
      </c>
      <c r="AO474" s="35" t="str">
        <f t="shared" si="76"/>
        <v>no</v>
      </c>
      <c r="AP474" s="35" t="str">
        <f t="shared" si="77"/>
        <v>FITS BITCH</v>
      </c>
      <c r="AQ474" s="35" t="str">
        <f t="shared" si="77"/>
        <v>FITS BITCH</v>
      </c>
      <c r="AR474" s="35" t="str">
        <f t="shared" si="78"/>
        <v>no</v>
      </c>
      <c r="AS474" s="35" t="str">
        <f t="shared" si="79"/>
        <v>FITS BITCH</v>
      </c>
      <c r="AT474" s="20" t="str">
        <f t="shared" si="80"/>
        <v/>
      </c>
      <c r="AU474" s="20" t="str">
        <f t="shared" si="81"/>
        <v/>
      </c>
      <c r="AV474" s="20"/>
      <c r="AW474" s="20"/>
      <c r="AX474" s="20"/>
      <c r="CL474" s="106">
        <v>42466</v>
      </c>
      <c r="CM474" s="107">
        <f t="shared" si="75"/>
        <v>81.829812089173629</v>
      </c>
    </row>
    <row r="475" spans="31:91">
      <c r="AE475" s="26">
        <f>Data!A470</f>
        <v>42279</v>
      </c>
      <c r="AF475" s="35">
        <f>Data!B470</f>
        <v>79.8</v>
      </c>
      <c r="AG475" s="35">
        <f>Data!F470</f>
        <v>2734747</v>
      </c>
      <c r="AH475" s="35">
        <f>Data!C470</f>
        <v>81.38</v>
      </c>
      <c r="AI475" s="35">
        <f>Data!D470</f>
        <v>78.739999999999995</v>
      </c>
      <c r="AJ475" s="35">
        <f>Data!E470</f>
        <v>81.36</v>
      </c>
      <c r="AK475" s="35">
        <f>Data!F470</f>
        <v>2734747</v>
      </c>
      <c r="AL475" s="35">
        <f t="shared" si="74"/>
        <v>81.36</v>
      </c>
      <c r="AM475" s="35">
        <f t="shared" si="73"/>
        <v>-1.6470009832841734</v>
      </c>
      <c r="AN475" s="35">
        <f t="shared" si="82"/>
        <v>31.01749448852124</v>
      </c>
      <c r="AO475" s="35" t="str">
        <f t="shared" si="76"/>
        <v>no</v>
      </c>
      <c r="AP475" s="35" t="str">
        <f t="shared" si="77"/>
        <v>FITS BITCH</v>
      </c>
      <c r="AQ475" s="35" t="str">
        <f t="shared" si="77"/>
        <v>no</v>
      </c>
      <c r="AR475" s="35" t="str">
        <f t="shared" si="78"/>
        <v>no</v>
      </c>
      <c r="AS475" s="35" t="str">
        <f t="shared" si="79"/>
        <v>FITS BITCH</v>
      </c>
      <c r="AT475" s="20" t="str">
        <f t="shared" si="80"/>
        <v/>
      </c>
      <c r="AU475" s="20" t="str">
        <f t="shared" si="81"/>
        <v/>
      </c>
      <c r="AV475" s="20"/>
      <c r="AW475" s="20"/>
      <c r="AX475" s="20"/>
      <c r="CL475" s="106">
        <v>42465</v>
      </c>
      <c r="CM475" s="107">
        <f t="shared" si="75"/>
        <v>81.776524900750701</v>
      </c>
    </row>
    <row r="476" spans="31:91">
      <c r="AE476" s="26">
        <f>Data!A471</f>
        <v>42278</v>
      </c>
      <c r="AF476" s="35">
        <f>Data!B471</f>
        <v>80.91</v>
      </c>
      <c r="AG476" s="35">
        <f>Data!F471</f>
        <v>2204827</v>
      </c>
      <c r="AH476" s="35">
        <f>Data!C471</f>
        <v>81.180000000000007</v>
      </c>
      <c r="AI476" s="35">
        <f>Data!D471</f>
        <v>80</v>
      </c>
      <c r="AJ476" s="35">
        <f>Data!E471</f>
        <v>80.89</v>
      </c>
      <c r="AK476" s="35">
        <f>Data!F471</f>
        <v>2204827</v>
      </c>
      <c r="AL476" s="35">
        <f t="shared" si="74"/>
        <v>80.89</v>
      </c>
      <c r="AM476" s="35">
        <f t="shared" si="73"/>
        <v>-0.58103597478056479</v>
      </c>
      <c r="AN476" s="35">
        <f t="shared" si="82"/>
        <v>-24.034538764265857</v>
      </c>
      <c r="AO476" s="35" t="str">
        <f t="shared" si="76"/>
        <v>FITS BITCH</v>
      </c>
      <c r="AP476" s="35" t="str">
        <f t="shared" si="77"/>
        <v>FITS BITCH</v>
      </c>
      <c r="AQ476" s="35" t="str">
        <f t="shared" si="77"/>
        <v>FITS BITCH</v>
      </c>
      <c r="AR476" s="35" t="str">
        <f t="shared" si="78"/>
        <v>no</v>
      </c>
      <c r="AS476" s="35" t="str">
        <f t="shared" si="79"/>
        <v>FITS BITCH</v>
      </c>
      <c r="AT476" s="20" t="str">
        <f t="shared" si="80"/>
        <v/>
      </c>
      <c r="AU476" s="20" t="str">
        <f t="shared" si="81"/>
        <v>BEARISH</v>
      </c>
      <c r="AV476" s="20"/>
      <c r="AW476" s="20"/>
      <c r="AX476" s="20"/>
      <c r="CL476" s="106">
        <v>42464</v>
      </c>
      <c r="CM476" s="107">
        <f t="shared" si="75"/>
        <v>81.723237712328228</v>
      </c>
    </row>
    <row r="477" spans="31:91">
      <c r="AE477" s="26">
        <f>Data!A472</f>
        <v>42277</v>
      </c>
      <c r="AF477" s="35">
        <f>Data!B472</f>
        <v>80.14</v>
      </c>
      <c r="AG477" s="35">
        <f>Data!F472</f>
        <v>2667642</v>
      </c>
      <c r="AH477" s="35">
        <f>Data!C472</f>
        <v>80.430000000000007</v>
      </c>
      <c r="AI477" s="35">
        <f>Data!D472</f>
        <v>79.290000000000006</v>
      </c>
      <c r="AJ477" s="35">
        <f>Data!E472</f>
        <v>80.36</v>
      </c>
      <c r="AK477" s="35">
        <f>Data!F472</f>
        <v>2667642</v>
      </c>
      <c r="AL477" s="35">
        <f t="shared" si="74"/>
        <v>80.36</v>
      </c>
      <c r="AM477" s="35">
        <f t="shared" si="73"/>
        <v>-0.6595321055251383</v>
      </c>
      <c r="AN477" s="35">
        <f t="shared" si="82"/>
        <v>17.349217023873518</v>
      </c>
      <c r="AO477" s="35" t="str">
        <f t="shared" si="76"/>
        <v>no</v>
      </c>
      <c r="AP477" s="35" t="str">
        <f t="shared" si="77"/>
        <v>FITS BITCH</v>
      </c>
      <c r="AQ477" s="35" t="str">
        <f t="shared" si="77"/>
        <v>FITS BITCH</v>
      </c>
      <c r="AR477" s="35" t="str">
        <f t="shared" si="78"/>
        <v>no</v>
      </c>
      <c r="AS477" s="35" t="str">
        <f t="shared" si="79"/>
        <v>FITS BITCH</v>
      </c>
      <c r="AT477" s="20" t="str">
        <f t="shared" si="80"/>
        <v/>
      </c>
      <c r="AU477" s="20" t="str">
        <f t="shared" si="81"/>
        <v/>
      </c>
      <c r="AV477" s="20"/>
      <c r="AW477" s="20"/>
      <c r="AX477" s="20"/>
      <c r="CL477" s="106">
        <v>42461</v>
      </c>
      <c r="CM477" s="107">
        <f>$BA$68*CL477+$BA$70</f>
        <v>81.563376147059898</v>
      </c>
    </row>
    <row r="478" spans="31:91">
      <c r="AE478" s="26">
        <f>Data!A473</f>
        <v>42276</v>
      </c>
      <c r="AF478" s="35">
        <f>Data!B473</f>
        <v>78.56</v>
      </c>
      <c r="AG478" s="35">
        <f>Data!F473</f>
        <v>2046194</v>
      </c>
      <c r="AH478" s="35">
        <f>Data!C473</f>
        <v>79.28</v>
      </c>
      <c r="AI478" s="35">
        <f>Data!D473</f>
        <v>78.3</v>
      </c>
      <c r="AJ478" s="35">
        <f>Data!E473</f>
        <v>79.09</v>
      </c>
      <c r="AK478" s="35">
        <f>Data!F473</f>
        <v>2046194</v>
      </c>
      <c r="AL478" s="35">
        <f t="shared" si="74"/>
        <v>79.09</v>
      </c>
      <c r="AM478" s="35">
        <f t="shared" si="73"/>
        <v>-1.6057655835124491</v>
      </c>
      <c r="AN478" s="35">
        <f t="shared" si="82"/>
        <v>-30.370922796176707</v>
      </c>
      <c r="AO478" s="35" t="str">
        <f t="shared" si="76"/>
        <v>FITS BITCH</v>
      </c>
      <c r="AP478" s="35" t="str">
        <f t="shared" si="77"/>
        <v>no</v>
      </c>
      <c r="AQ478" s="35" t="str">
        <f t="shared" si="77"/>
        <v>no</v>
      </c>
      <c r="AR478" s="35" t="str">
        <f t="shared" si="78"/>
        <v>FITS BITCH</v>
      </c>
      <c r="AS478" s="35" t="str">
        <f t="shared" si="79"/>
        <v>FITS BITCH</v>
      </c>
      <c r="AT478" s="20" t="str">
        <f t="shared" si="80"/>
        <v/>
      </c>
      <c r="AU478" s="20" t="str">
        <f t="shared" si="81"/>
        <v/>
      </c>
      <c r="AV478" s="20"/>
      <c r="AW478" s="20"/>
      <c r="AX478" s="20"/>
    </row>
    <row r="479" spans="31:91">
      <c r="AE479" s="26">
        <f>Data!A474</f>
        <v>42275</v>
      </c>
      <c r="AF479" s="35">
        <f>Data!B474</f>
        <v>79.98</v>
      </c>
      <c r="AG479" s="35">
        <f>Data!F474</f>
        <v>1820496</v>
      </c>
      <c r="AH479" s="35">
        <f>Data!C474</f>
        <v>80.430000000000007</v>
      </c>
      <c r="AI479" s="35">
        <f>Data!D474</f>
        <v>78.53</v>
      </c>
      <c r="AJ479" s="35">
        <f>Data!E474</f>
        <v>78.62</v>
      </c>
      <c r="AK479" s="35">
        <f>Data!F474</f>
        <v>1820496</v>
      </c>
      <c r="AL479" s="35">
        <f t="shared" si="74"/>
        <v>78.62</v>
      </c>
      <c r="AM479" s="35">
        <f t="shared" si="73"/>
        <v>-0.59781226151106448</v>
      </c>
      <c r="AN479" s="35">
        <f t="shared" si="82"/>
        <v>-12.39761032158269</v>
      </c>
      <c r="AO479" s="35" t="str">
        <f t="shared" si="76"/>
        <v>FITS BITCH</v>
      </c>
      <c r="AP479" s="35" t="str">
        <f t="shared" si="77"/>
        <v>no</v>
      </c>
      <c r="AQ479" s="35" t="str">
        <f t="shared" si="77"/>
        <v>no</v>
      </c>
      <c r="AR479" s="35" t="str">
        <f t="shared" si="78"/>
        <v>FITS BITCH</v>
      </c>
      <c r="AS479" s="35" t="str">
        <f t="shared" si="79"/>
        <v>no</v>
      </c>
      <c r="AT479" s="20" t="str">
        <f t="shared" si="80"/>
        <v/>
      </c>
      <c r="AU479" s="20" t="str">
        <f t="shared" si="81"/>
        <v/>
      </c>
      <c r="AV479" s="20"/>
      <c r="AW479" s="20"/>
      <c r="AX479" s="20"/>
    </row>
    <row r="480" spans="31:91">
      <c r="AE480" s="26">
        <f>Data!A475</f>
        <v>42272</v>
      </c>
      <c r="AF480" s="35">
        <f>Data!B475</f>
        <v>80.44</v>
      </c>
      <c r="AG480" s="35">
        <f>Data!F475</f>
        <v>2222797</v>
      </c>
      <c r="AH480" s="35">
        <f>Data!C475</f>
        <v>81.47</v>
      </c>
      <c r="AI480" s="35">
        <f>Data!D475</f>
        <v>79.37</v>
      </c>
      <c r="AJ480" s="35">
        <f>Data!E475</f>
        <v>80.3</v>
      </c>
      <c r="AK480" s="35">
        <f>Data!F475</f>
        <v>2222797</v>
      </c>
      <c r="AL480" s="35">
        <f t="shared" si="74"/>
        <v>80.3</v>
      </c>
      <c r="AM480" s="35">
        <f t="shared" si="73"/>
        <v>2.0921544209215348</v>
      </c>
      <c r="AN480" s="35">
        <f t="shared" si="82"/>
        <v>18.098863728896522</v>
      </c>
      <c r="AO480" s="35" t="str">
        <f t="shared" si="76"/>
        <v>no</v>
      </c>
      <c r="AP480" s="35" t="str">
        <f t="shared" si="77"/>
        <v>FITS BITCH</v>
      </c>
      <c r="AQ480" s="35" t="str">
        <f t="shared" si="77"/>
        <v>FITS BITCH</v>
      </c>
      <c r="AR480" s="35" t="str">
        <f t="shared" si="78"/>
        <v>no</v>
      </c>
      <c r="AS480" s="35" t="str">
        <f t="shared" si="79"/>
        <v>FITS BITCH</v>
      </c>
      <c r="AT480" s="20" t="str">
        <f t="shared" si="80"/>
        <v/>
      </c>
      <c r="AU480" s="20" t="str">
        <f t="shared" si="81"/>
        <v/>
      </c>
      <c r="AV480" s="20"/>
      <c r="AW480" s="20"/>
      <c r="AX480" s="20"/>
    </row>
    <row r="481" spans="31:50">
      <c r="AE481" s="26">
        <f>Data!A476</f>
        <v>42271</v>
      </c>
      <c r="AF481" s="35">
        <f>Data!B476</f>
        <v>78.61</v>
      </c>
      <c r="AG481" s="35">
        <f>Data!F476</f>
        <v>1781672</v>
      </c>
      <c r="AH481" s="35">
        <f>Data!C476</f>
        <v>79.87</v>
      </c>
      <c r="AI481" s="35">
        <f>Data!D476</f>
        <v>78.12</v>
      </c>
      <c r="AJ481" s="35">
        <f>Data!E476</f>
        <v>79.58</v>
      </c>
      <c r="AK481" s="35">
        <f>Data!F476</f>
        <v>1781672</v>
      </c>
      <c r="AL481" s="35">
        <f t="shared" si="74"/>
        <v>79.58</v>
      </c>
      <c r="AM481" s="35">
        <f t="shared" si="73"/>
        <v>-0.90474993717014185</v>
      </c>
      <c r="AN481" s="35">
        <f t="shared" si="82"/>
        <v>-24.759046558513575</v>
      </c>
      <c r="AO481" s="35" t="str">
        <f t="shared" si="76"/>
        <v>FITS BITCH</v>
      </c>
      <c r="AP481" s="35" t="str">
        <f t="shared" si="77"/>
        <v>FITS BITCH</v>
      </c>
      <c r="AQ481" s="35" t="str">
        <f t="shared" si="77"/>
        <v>no</v>
      </c>
      <c r="AR481" s="35" t="str">
        <f t="shared" si="78"/>
        <v>FITS BITCH</v>
      </c>
      <c r="AS481" s="35" t="str">
        <f t="shared" si="79"/>
        <v>FITS BITCH</v>
      </c>
      <c r="AT481" s="20" t="str">
        <f t="shared" si="80"/>
        <v>BULLISH</v>
      </c>
      <c r="AU481" s="20" t="str">
        <f t="shared" si="81"/>
        <v/>
      </c>
      <c r="AV481" s="20"/>
      <c r="AW481" s="20"/>
      <c r="AX481" s="20"/>
    </row>
    <row r="482" spans="31:50">
      <c r="AE482" s="26">
        <f>Data!A477</f>
        <v>42270</v>
      </c>
      <c r="AF482" s="35">
        <f>Data!B477</f>
        <v>79.36</v>
      </c>
      <c r="AG482" s="35">
        <f>Data!F477</f>
        <v>1155317</v>
      </c>
      <c r="AH482" s="35">
        <f>Data!C477</f>
        <v>79.78</v>
      </c>
      <c r="AI482" s="35">
        <f>Data!D477</f>
        <v>78.87</v>
      </c>
      <c r="AJ482" s="35">
        <f>Data!E477</f>
        <v>79.37</v>
      </c>
      <c r="AK482" s="35">
        <f>Data!F477</f>
        <v>1155317</v>
      </c>
      <c r="AL482" s="35">
        <f t="shared" si="74"/>
        <v>79.37</v>
      </c>
      <c r="AM482" s="35">
        <f t="shared" si="73"/>
        <v>-0.26458359581705143</v>
      </c>
      <c r="AN482" s="35">
        <f t="shared" si="82"/>
        <v>-54.214990344641343</v>
      </c>
      <c r="AO482" s="35" t="str">
        <f t="shared" si="76"/>
        <v>FITS BITCH</v>
      </c>
      <c r="AP482" s="35" t="str">
        <f t="shared" si="77"/>
        <v>FITS BITCH</v>
      </c>
      <c r="AQ482" s="35" t="str">
        <f t="shared" si="77"/>
        <v>FITS BITCH</v>
      </c>
      <c r="AR482" s="35" t="str">
        <f t="shared" si="78"/>
        <v>no</v>
      </c>
      <c r="AS482" s="35" t="str">
        <f t="shared" si="79"/>
        <v>FITS BITCH</v>
      </c>
      <c r="AT482" s="20" t="str">
        <f t="shared" si="80"/>
        <v/>
      </c>
      <c r="AU482" s="20" t="str">
        <f t="shared" si="81"/>
        <v>BEARISH</v>
      </c>
      <c r="AV482" s="20"/>
      <c r="AW482" s="20"/>
      <c r="AX482" s="20"/>
    </row>
    <row r="483" spans="31:50">
      <c r="AE483" s="26">
        <f>Data!A478</f>
        <v>42269</v>
      </c>
      <c r="AF483" s="35">
        <f>Data!B478</f>
        <v>78.44</v>
      </c>
      <c r="AG483" s="35">
        <f>Data!F478</f>
        <v>1744936</v>
      </c>
      <c r="AH483" s="35">
        <f>Data!C478</f>
        <v>79.31</v>
      </c>
      <c r="AI483" s="35">
        <f>Data!D478</f>
        <v>78.19</v>
      </c>
      <c r="AJ483" s="35">
        <f>Data!E478</f>
        <v>79.19</v>
      </c>
      <c r="AK483" s="35">
        <f>Data!F478</f>
        <v>1744936</v>
      </c>
      <c r="AL483" s="35">
        <f t="shared" si="74"/>
        <v>79.19</v>
      </c>
      <c r="AM483" s="35">
        <f t="shared" si="73"/>
        <v>-0.22730142694785557</v>
      </c>
      <c r="AN483" s="35">
        <f t="shared" si="82"/>
        <v>33.79029374143235</v>
      </c>
      <c r="AO483" s="35" t="str">
        <f t="shared" si="76"/>
        <v>no</v>
      </c>
      <c r="AP483" s="35" t="str">
        <f t="shared" si="77"/>
        <v>no</v>
      </c>
      <c r="AQ483" s="35" t="str">
        <f t="shared" si="77"/>
        <v>no</v>
      </c>
      <c r="AR483" s="35" t="str">
        <f t="shared" si="78"/>
        <v>FITS BITCH</v>
      </c>
      <c r="AS483" s="35" t="str">
        <f t="shared" si="79"/>
        <v>no</v>
      </c>
      <c r="AT483" s="20" t="str">
        <f t="shared" si="80"/>
        <v/>
      </c>
      <c r="AU483" s="20" t="str">
        <f t="shared" si="81"/>
        <v/>
      </c>
      <c r="AV483" s="20"/>
      <c r="AW483" s="20"/>
      <c r="AX483" s="20"/>
    </row>
    <row r="484" spans="31:50">
      <c r="AE484" s="26">
        <f>Data!A479</f>
        <v>42268</v>
      </c>
      <c r="AF484" s="35">
        <f>Data!B479</f>
        <v>79.38</v>
      </c>
      <c r="AG484" s="35">
        <f>Data!F479</f>
        <v>1671242</v>
      </c>
      <c r="AH484" s="35">
        <f>Data!C479</f>
        <v>80.38</v>
      </c>
      <c r="AI484" s="35">
        <f>Data!D479</f>
        <v>79.06</v>
      </c>
      <c r="AJ484" s="35">
        <f>Data!E479</f>
        <v>79.900000000000006</v>
      </c>
      <c r="AK484" s="35">
        <f>Data!F479</f>
        <v>1671242</v>
      </c>
      <c r="AL484" s="35">
        <f t="shared" si="74"/>
        <v>79.900000000000006</v>
      </c>
      <c r="AM484" s="35">
        <f t="shared" si="73"/>
        <v>0.88861076345432777</v>
      </c>
      <c r="AN484" s="35">
        <f t="shared" si="82"/>
        <v>-4.4095349446698924</v>
      </c>
      <c r="AO484" s="35" t="str">
        <f t="shared" si="76"/>
        <v>no</v>
      </c>
      <c r="AP484" s="35" t="str">
        <f t="shared" si="77"/>
        <v>FITS BITCH</v>
      </c>
      <c r="AQ484" s="35" t="str">
        <f t="shared" si="77"/>
        <v>FITS BITCH</v>
      </c>
      <c r="AR484" s="35" t="str">
        <f t="shared" si="78"/>
        <v>FITS BITCH</v>
      </c>
      <c r="AS484" s="35" t="str">
        <f t="shared" si="79"/>
        <v>FITS BITCH</v>
      </c>
      <c r="AT484" s="20" t="str">
        <f t="shared" si="80"/>
        <v/>
      </c>
      <c r="AU484" s="20" t="str">
        <f t="shared" si="81"/>
        <v/>
      </c>
      <c r="AV484" s="20"/>
      <c r="AW484" s="20"/>
      <c r="AX484" s="20"/>
    </row>
    <row r="485" spans="31:50">
      <c r="AE485" s="26">
        <f>Data!A480</f>
        <v>42265</v>
      </c>
      <c r="AF485" s="35">
        <f>Data!B480</f>
        <v>78.56</v>
      </c>
      <c r="AG485" s="35">
        <f>Data!F480</f>
        <v>3828831</v>
      </c>
      <c r="AH485" s="35">
        <f>Data!C480</f>
        <v>79.989999999999995</v>
      </c>
      <c r="AI485" s="35">
        <f>Data!D480</f>
        <v>78.540000000000006</v>
      </c>
      <c r="AJ485" s="35">
        <f>Data!E480</f>
        <v>79.010000000000005</v>
      </c>
      <c r="AK485" s="35">
        <f>Data!F480</f>
        <v>3828831</v>
      </c>
      <c r="AL485" s="35">
        <f t="shared" si="74"/>
        <v>79.010000000000005</v>
      </c>
      <c r="AM485" s="35">
        <f t="shared" si="73"/>
        <v>-1.1264396911783325</v>
      </c>
      <c r="AN485" s="35">
        <f t="shared" si="82"/>
        <v>56.351116045602431</v>
      </c>
      <c r="AO485" s="35" t="str">
        <f t="shared" si="76"/>
        <v>no</v>
      </c>
      <c r="AP485" s="35" t="str">
        <f t="shared" si="77"/>
        <v>no</v>
      </c>
      <c r="AQ485" s="35" t="str">
        <f t="shared" si="77"/>
        <v>no</v>
      </c>
      <c r="AR485" s="35" t="str">
        <f t="shared" si="78"/>
        <v>FITS BITCH</v>
      </c>
      <c r="AS485" s="35" t="str">
        <f t="shared" si="79"/>
        <v>no</v>
      </c>
      <c r="AT485" s="20" t="str">
        <f t="shared" si="80"/>
        <v/>
      </c>
      <c r="AU485" s="20" t="str">
        <f t="shared" si="81"/>
        <v/>
      </c>
      <c r="AV485" s="20"/>
      <c r="AW485" s="20"/>
      <c r="AX485" s="20"/>
    </row>
    <row r="486" spans="31:50">
      <c r="AE486" s="26">
        <f>Data!A481</f>
        <v>42264</v>
      </c>
      <c r="AF486" s="35">
        <f>Data!B481</f>
        <v>79.680000000000007</v>
      </c>
      <c r="AG486" s="35">
        <f>Data!F481</f>
        <v>1990458</v>
      </c>
      <c r="AH486" s="35">
        <f>Data!C481</f>
        <v>80.67</v>
      </c>
      <c r="AI486" s="35">
        <f>Data!D481</f>
        <v>79.209999999999994</v>
      </c>
      <c r="AJ486" s="35">
        <f>Data!E481</f>
        <v>79.430000000000007</v>
      </c>
      <c r="AK486" s="35">
        <f>Data!F481</f>
        <v>1990458</v>
      </c>
      <c r="AL486" s="35">
        <f t="shared" si="74"/>
        <v>79.430000000000007</v>
      </c>
      <c r="AM486" s="35">
        <f t="shared" si="73"/>
        <v>0.52876746821100551</v>
      </c>
      <c r="AN486" s="35">
        <f t="shared" si="82"/>
        <v>-92.359296202180602</v>
      </c>
      <c r="AO486" s="35" t="str">
        <f t="shared" si="76"/>
        <v>FITS BITCH</v>
      </c>
      <c r="AP486" s="35" t="str">
        <f t="shared" si="77"/>
        <v>FITS BITCH</v>
      </c>
      <c r="AQ486" s="35" t="str">
        <f t="shared" si="77"/>
        <v>FITS BITCH</v>
      </c>
      <c r="AR486" s="35" t="str">
        <f t="shared" si="78"/>
        <v>FITS BITCH</v>
      </c>
      <c r="AS486" s="35" t="str">
        <f t="shared" si="79"/>
        <v>no</v>
      </c>
      <c r="AT486" s="20" t="str">
        <f t="shared" si="80"/>
        <v>BULLISH</v>
      </c>
      <c r="AU486" s="20" t="str">
        <f t="shared" si="81"/>
        <v/>
      </c>
      <c r="AV486" s="20"/>
      <c r="AW486" s="20"/>
      <c r="AX486" s="20"/>
    </row>
    <row r="487" spans="31:50">
      <c r="AE487" s="26">
        <f>Data!A482</f>
        <v>42263</v>
      </c>
      <c r="AF487" s="35">
        <f>Data!B482</f>
        <v>78.930000000000007</v>
      </c>
      <c r="AG487" s="35">
        <f>Data!F482</f>
        <v>1739625</v>
      </c>
      <c r="AH487" s="35">
        <f>Data!C482</f>
        <v>79.8</v>
      </c>
      <c r="AI487" s="35">
        <f>Data!D482</f>
        <v>78.760000000000005</v>
      </c>
      <c r="AJ487" s="35">
        <f>Data!E482</f>
        <v>79.59</v>
      </c>
      <c r="AK487" s="35">
        <f>Data!F482</f>
        <v>1739625</v>
      </c>
      <c r="AL487" s="35">
        <f t="shared" si="74"/>
        <v>79.59</v>
      </c>
      <c r="AM487" s="35">
        <f t="shared" si="73"/>
        <v>0.20103028018594871</v>
      </c>
      <c r="AN487" s="35">
        <f t="shared" si="82"/>
        <v>-14.41879715455917</v>
      </c>
      <c r="AO487" s="35" t="str">
        <f t="shared" si="76"/>
        <v>FITS BITCH</v>
      </c>
      <c r="AP487" s="35" t="str">
        <f t="shared" si="77"/>
        <v>FITS BITCH</v>
      </c>
      <c r="AQ487" s="35" t="str">
        <f t="shared" si="77"/>
        <v>FITS BITCH</v>
      </c>
      <c r="AR487" s="35" t="str">
        <f t="shared" si="78"/>
        <v>no</v>
      </c>
      <c r="AS487" s="35" t="str">
        <f t="shared" si="79"/>
        <v>FITS BITCH</v>
      </c>
      <c r="AT487" s="20" t="str">
        <f t="shared" si="80"/>
        <v/>
      </c>
      <c r="AU487" s="20" t="str">
        <f t="shared" si="81"/>
        <v>BEARISH</v>
      </c>
      <c r="AV487" s="20"/>
      <c r="AW487" s="20"/>
      <c r="AX487" s="20"/>
    </row>
    <row r="488" spans="31:50">
      <c r="AE488" s="26">
        <f>Data!A483</f>
        <v>42262</v>
      </c>
      <c r="AF488" s="35">
        <f>Data!B483</f>
        <v>77.92</v>
      </c>
      <c r="AG488" s="35">
        <f>Data!F483</f>
        <v>1706312</v>
      </c>
      <c r="AH488" s="35">
        <f>Data!C483</f>
        <v>79.290000000000006</v>
      </c>
      <c r="AI488" s="35">
        <f>Data!D483</f>
        <v>77.7</v>
      </c>
      <c r="AJ488" s="35">
        <f>Data!E483</f>
        <v>78.89</v>
      </c>
      <c r="AK488" s="35">
        <f>Data!F483</f>
        <v>1706312</v>
      </c>
      <c r="AL488" s="35">
        <f t="shared" si="74"/>
        <v>78.89</v>
      </c>
      <c r="AM488" s="35">
        <f t="shared" si="73"/>
        <v>-0.88731144631766112</v>
      </c>
      <c r="AN488" s="35">
        <f t="shared" si="82"/>
        <v>-1.9523393142637453</v>
      </c>
      <c r="AO488" s="35" t="str">
        <f t="shared" si="76"/>
        <v>no</v>
      </c>
      <c r="AP488" s="35" t="str">
        <f t="shared" si="77"/>
        <v>FITS BITCH</v>
      </c>
      <c r="AQ488" s="35" t="str">
        <f t="shared" si="77"/>
        <v>FITS BITCH</v>
      </c>
      <c r="AR488" s="35" t="str">
        <f t="shared" si="78"/>
        <v>no</v>
      </c>
      <c r="AS488" s="35" t="str">
        <f t="shared" si="79"/>
        <v>FITS BITCH</v>
      </c>
      <c r="AT488" s="20" t="str">
        <f t="shared" si="80"/>
        <v/>
      </c>
      <c r="AU488" s="20" t="str">
        <f t="shared" si="81"/>
        <v/>
      </c>
      <c r="AV488" s="20"/>
      <c r="AW488" s="20"/>
      <c r="AX488" s="20"/>
    </row>
    <row r="489" spans="31:50">
      <c r="AE489" s="26">
        <f>Data!A484</f>
        <v>42261</v>
      </c>
      <c r="AF489" s="35">
        <f>Data!B484</f>
        <v>78.48</v>
      </c>
      <c r="AG489" s="35">
        <f>Data!F484</f>
        <v>1411292</v>
      </c>
      <c r="AH489" s="35">
        <f>Data!C484</f>
        <v>78.739999999999995</v>
      </c>
      <c r="AI489" s="35">
        <f>Data!D484</f>
        <v>77.569999999999993</v>
      </c>
      <c r="AJ489" s="35">
        <f>Data!E484</f>
        <v>77.760000000000005</v>
      </c>
      <c r="AK489" s="35">
        <f>Data!F484</f>
        <v>1411292</v>
      </c>
      <c r="AL489" s="35">
        <f t="shared" si="74"/>
        <v>77.760000000000005</v>
      </c>
      <c r="AM489" s="35">
        <f t="shared" si="73"/>
        <v>-1.4531893004115166</v>
      </c>
      <c r="AN489" s="35">
        <f t="shared" si="82"/>
        <v>-20.904249439520665</v>
      </c>
      <c r="AO489" s="35" t="str">
        <f t="shared" si="76"/>
        <v>FITS BITCH</v>
      </c>
      <c r="AP489" s="35" t="str">
        <f t="shared" si="77"/>
        <v>FITS BITCH</v>
      </c>
      <c r="AQ489" s="35" t="str">
        <f t="shared" si="77"/>
        <v>FITS BITCH</v>
      </c>
      <c r="AR489" s="35" t="str">
        <f t="shared" si="78"/>
        <v>FITS BITCH</v>
      </c>
      <c r="AS489" s="35" t="str">
        <f t="shared" si="79"/>
        <v>no</v>
      </c>
      <c r="AT489" s="20" t="str">
        <f t="shared" si="80"/>
        <v>BULLISH</v>
      </c>
      <c r="AU489" s="20" t="str">
        <f t="shared" si="81"/>
        <v/>
      </c>
      <c r="AV489" s="20"/>
      <c r="AW489" s="20"/>
      <c r="AX489" s="20"/>
    </row>
    <row r="490" spans="31:50">
      <c r="AE490" s="26">
        <f>Data!A485</f>
        <v>42258</v>
      </c>
      <c r="AF490" s="35">
        <f>Data!B485</f>
        <v>77.28</v>
      </c>
      <c r="AG490" s="35">
        <f>Data!F485</f>
        <v>1499877</v>
      </c>
      <c r="AH490" s="35">
        <f>Data!C485</f>
        <v>78.37</v>
      </c>
      <c r="AI490" s="35">
        <f>Data!D485</f>
        <v>77.209999999999994</v>
      </c>
      <c r="AJ490" s="35">
        <f>Data!E485</f>
        <v>78.31</v>
      </c>
      <c r="AK490" s="35">
        <f>Data!F485</f>
        <v>1499877</v>
      </c>
      <c r="AL490" s="35">
        <f t="shared" si="74"/>
        <v>78.31</v>
      </c>
      <c r="AM490" s="35">
        <f t="shared" si="73"/>
        <v>0.70233686630059655</v>
      </c>
      <c r="AN490" s="35">
        <f t="shared" si="82"/>
        <v>5.9061509710462925</v>
      </c>
      <c r="AO490" s="35" t="str">
        <f t="shared" si="76"/>
        <v>no</v>
      </c>
      <c r="AP490" s="35" t="str">
        <f t="shared" si="77"/>
        <v>no</v>
      </c>
      <c r="AQ490" s="35" t="str">
        <f t="shared" si="77"/>
        <v>FITS BITCH</v>
      </c>
      <c r="AR490" s="35" t="str">
        <f t="shared" si="78"/>
        <v>FITS BITCH</v>
      </c>
      <c r="AS490" s="35" t="str">
        <f t="shared" si="79"/>
        <v>FITS BITCH</v>
      </c>
      <c r="AT490" s="20" t="str">
        <f t="shared" si="80"/>
        <v/>
      </c>
      <c r="AU490" s="20" t="str">
        <f t="shared" si="81"/>
        <v/>
      </c>
      <c r="AV490" s="20"/>
      <c r="AW490" s="20"/>
      <c r="AX490" s="20"/>
    </row>
    <row r="491" spans="31:50">
      <c r="AE491" s="26">
        <f>Data!A486</f>
        <v>42257</v>
      </c>
      <c r="AF491" s="35">
        <f>Data!B486</f>
        <v>77.099999999999994</v>
      </c>
      <c r="AG491" s="35">
        <f>Data!F486</f>
        <v>2207829</v>
      </c>
      <c r="AH491" s="35">
        <f>Data!C486</f>
        <v>78.78</v>
      </c>
      <c r="AI491" s="35">
        <f>Data!D486</f>
        <v>77.08</v>
      </c>
      <c r="AJ491" s="35">
        <f>Data!E486</f>
        <v>77.92</v>
      </c>
      <c r="AK491" s="35">
        <f>Data!F486</f>
        <v>2207829</v>
      </c>
      <c r="AL491" s="35">
        <f t="shared" si="74"/>
        <v>77.92</v>
      </c>
      <c r="AM491" s="35">
        <f t="shared" si="73"/>
        <v>-0.50051334702258798</v>
      </c>
      <c r="AN491" s="35">
        <f t="shared" si="82"/>
        <v>32.065526813897272</v>
      </c>
      <c r="AO491" s="35" t="str">
        <f t="shared" si="76"/>
        <v>no</v>
      </c>
      <c r="AP491" s="35" t="str">
        <f t="shared" si="77"/>
        <v>no</v>
      </c>
      <c r="AQ491" s="35" t="str">
        <f t="shared" si="77"/>
        <v>no</v>
      </c>
      <c r="AR491" s="35" t="str">
        <f t="shared" si="78"/>
        <v>FITS BITCH</v>
      </c>
      <c r="AS491" s="35" t="str">
        <f t="shared" si="79"/>
        <v>FITS BITCH</v>
      </c>
      <c r="AT491" s="20" t="str">
        <f t="shared" si="80"/>
        <v/>
      </c>
      <c r="AU491" s="20" t="str">
        <f t="shared" si="81"/>
        <v/>
      </c>
      <c r="AV491" s="20"/>
      <c r="AW491" s="20"/>
      <c r="AX491" s="20"/>
    </row>
    <row r="492" spans="31:50">
      <c r="AE492" s="26">
        <f>Data!A487</f>
        <v>42256</v>
      </c>
      <c r="AF492" s="35">
        <f>Data!B487</f>
        <v>78.489999999999995</v>
      </c>
      <c r="AG492" s="35">
        <f>Data!F487</f>
        <v>3015855</v>
      </c>
      <c r="AH492" s="35">
        <f>Data!C487</f>
        <v>78.97</v>
      </c>
      <c r="AI492" s="35">
        <f>Data!D487</f>
        <v>77.33</v>
      </c>
      <c r="AJ492" s="35">
        <f>Data!E487</f>
        <v>77.510000000000005</v>
      </c>
      <c r="AK492" s="35">
        <f>Data!F487</f>
        <v>3015855</v>
      </c>
      <c r="AL492" s="35">
        <f t="shared" si="74"/>
        <v>77.510000000000005</v>
      </c>
      <c r="AM492" s="35">
        <f t="shared" si="73"/>
        <v>-0.52896400464455762</v>
      </c>
      <c r="AN492" s="35">
        <f t="shared" si="82"/>
        <v>26.792601103169751</v>
      </c>
      <c r="AO492" s="35" t="str">
        <f t="shared" si="76"/>
        <v>no</v>
      </c>
      <c r="AP492" s="35" t="str">
        <f t="shared" si="77"/>
        <v>FITS BITCH</v>
      </c>
      <c r="AQ492" s="35" t="str">
        <f t="shared" si="77"/>
        <v>FITS BITCH</v>
      </c>
      <c r="AR492" s="35" t="str">
        <f t="shared" si="78"/>
        <v>FITS BITCH</v>
      </c>
      <c r="AS492" s="35" t="str">
        <f t="shared" si="79"/>
        <v>no</v>
      </c>
      <c r="AT492" s="20" t="str">
        <f t="shared" si="80"/>
        <v/>
      </c>
      <c r="AU492" s="20" t="str">
        <f t="shared" si="81"/>
        <v/>
      </c>
      <c r="AV492" s="20"/>
      <c r="AW492" s="20"/>
      <c r="AX492" s="20"/>
    </row>
    <row r="493" spans="31:50">
      <c r="AE493" s="26">
        <f>Data!A488</f>
        <v>42255</v>
      </c>
      <c r="AF493" s="35">
        <f>Data!B488</f>
        <v>77.34</v>
      </c>
      <c r="AG493" s="35">
        <f>Data!F488</f>
        <v>1753932</v>
      </c>
      <c r="AH493" s="35">
        <f>Data!C488</f>
        <v>78.25</v>
      </c>
      <c r="AI493" s="35">
        <f>Data!D488</f>
        <v>77.02</v>
      </c>
      <c r="AJ493" s="35">
        <f>Data!E488</f>
        <v>78.2</v>
      </c>
      <c r="AK493" s="35">
        <f>Data!F488</f>
        <v>1753932</v>
      </c>
      <c r="AL493" s="35">
        <f t="shared" si="74"/>
        <v>78.2</v>
      </c>
      <c r="AM493" s="35">
        <f t="shared" si="73"/>
        <v>0.88235294117646768</v>
      </c>
      <c r="AN493" s="35">
        <f t="shared" si="82"/>
        <v>-71.948228323560997</v>
      </c>
      <c r="AO493" s="35" t="str">
        <f t="shared" si="76"/>
        <v>FITS BITCH</v>
      </c>
      <c r="AP493" s="35" t="str">
        <f t="shared" si="77"/>
        <v>FITS BITCH</v>
      </c>
      <c r="AQ493" s="35" t="str">
        <f t="shared" si="77"/>
        <v>FITS BITCH</v>
      </c>
      <c r="AR493" s="35" t="str">
        <f t="shared" si="78"/>
        <v>no</v>
      </c>
      <c r="AS493" s="35" t="str">
        <f t="shared" si="79"/>
        <v>FITS BITCH</v>
      </c>
      <c r="AT493" s="20" t="str">
        <f t="shared" si="80"/>
        <v/>
      </c>
      <c r="AU493" s="20" t="str">
        <f t="shared" si="81"/>
        <v>BEARISH</v>
      </c>
      <c r="AV493" s="20"/>
      <c r="AW493" s="20"/>
      <c r="AX493" s="20"/>
    </row>
    <row r="494" spans="31:50">
      <c r="AE494" s="26">
        <f>Data!A489</f>
        <v>42251</v>
      </c>
      <c r="AF494" s="35">
        <f>Data!B489</f>
        <v>76.239999999999995</v>
      </c>
      <c r="AG494" s="35">
        <f>Data!F489</f>
        <v>1844811</v>
      </c>
      <c r="AH494" s="35">
        <f>Data!C489</f>
        <v>76.900000000000006</v>
      </c>
      <c r="AI494" s="35">
        <f>Data!D489</f>
        <v>75.73</v>
      </c>
      <c r="AJ494" s="35">
        <f>Data!E489</f>
        <v>76.150000000000006</v>
      </c>
      <c r="AK494" s="35">
        <f>Data!F489</f>
        <v>1844811</v>
      </c>
      <c r="AL494" s="35">
        <f t="shared" si="74"/>
        <v>76.150000000000006</v>
      </c>
      <c r="AM494" s="35">
        <f t="shared" ref="AM494:AM557" si="83">(AL494-AL493)/AL494*100</f>
        <v>-2.6920551543007183</v>
      </c>
      <c r="AN494" s="35">
        <f t="shared" si="82"/>
        <v>4.9261956915911709</v>
      </c>
      <c r="AO494" s="35" t="str">
        <f t="shared" si="76"/>
        <v>no</v>
      </c>
      <c r="AP494" s="35" t="str">
        <f t="shared" si="77"/>
        <v>no</v>
      </c>
      <c r="AQ494" s="35" t="str">
        <f t="shared" si="77"/>
        <v>no</v>
      </c>
      <c r="AR494" s="35" t="str">
        <f t="shared" si="78"/>
        <v>FITS BITCH</v>
      </c>
      <c r="AS494" s="35" t="str">
        <f t="shared" si="79"/>
        <v>no</v>
      </c>
      <c r="AT494" s="20" t="str">
        <f t="shared" si="80"/>
        <v/>
      </c>
      <c r="AU494" s="20" t="str">
        <f t="shared" si="81"/>
        <v/>
      </c>
      <c r="AV494" s="20"/>
      <c r="AW494" s="20"/>
      <c r="AX494" s="20"/>
    </row>
    <row r="495" spans="31:50">
      <c r="AE495" s="26">
        <f>Data!A490</f>
        <v>42250</v>
      </c>
      <c r="AF495" s="35">
        <f>Data!B490</f>
        <v>77.099999999999994</v>
      </c>
      <c r="AG495" s="35">
        <f>Data!F490</f>
        <v>1943753</v>
      </c>
      <c r="AH495" s="35">
        <f>Data!C490</f>
        <v>78.09</v>
      </c>
      <c r="AI495" s="35">
        <f>Data!D490</f>
        <v>77.02</v>
      </c>
      <c r="AJ495" s="35">
        <f>Data!E490</f>
        <v>77.55</v>
      </c>
      <c r="AK495" s="35">
        <f>Data!F490</f>
        <v>1943753</v>
      </c>
      <c r="AL495" s="35">
        <f t="shared" si="74"/>
        <v>77.55</v>
      </c>
      <c r="AM495" s="35">
        <f t="shared" si="83"/>
        <v>1.8052869116698795</v>
      </c>
      <c r="AN495" s="35">
        <f t="shared" si="82"/>
        <v>5.0902558092514845</v>
      </c>
      <c r="AO495" s="35" t="str">
        <f t="shared" si="76"/>
        <v>no</v>
      </c>
      <c r="AP495" s="35" t="str">
        <f t="shared" si="77"/>
        <v>FITS BITCH</v>
      </c>
      <c r="AQ495" s="35" t="str">
        <f t="shared" si="77"/>
        <v>FITS BITCH</v>
      </c>
      <c r="AR495" s="35" t="str">
        <f t="shared" si="78"/>
        <v>no</v>
      </c>
      <c r="AS495" s="35" t="str">
        <f t="shared" si="79"/>
        <v>FITS BITCH</v>
      </c>
      <c r="AT495" s="20" t="str">
        <f t="shared" si="80"/>
        <v/>
      </c>
      <c r="AU495" s="20" t="str">
        <f t="shared" si="81"/>
        <v/>
      </c>
      <c r="AV495" s="20"/>
      <c r="AW495" s="20"/>
      <c r="AX495" s="20"/>
    </row>
    <row r="496" spans="31:50">
      <c r="AE496" s="26">
        <f>Data!A491</f>
        <v>42249</v>
      </c>
      <c r="AF496" s="35">
        <f>Data!B491</f>
        <v>76.45</v>
      </c>
      <c r="AG496" s="35">
        <f>Data!F491</f>
        <v>2689138</v>
      </c>
      <c r="AH496" s="35">
        <f>Data!C491</f>
        <v>77.11</v>
      </c>
      <c r="AI496" s="35">
        <f>Data!D491</f>
        <v>75.45</v>
      </c>
      <c r="AJ496" s="35">
        <f>Data!E491</f>
        <v>77.09</v>
      </c>
      <c r="AK496" s="35">
        <f>Data!F491</f>
        <v>2689138</v>
      </c>
      <c r="AL496" s="35">
        <f t="shared" si="74"/>
        <v>77.09</v>
      </c>
      <c r="AM496" s="35">
        <f t="shared" si="83"/>
        <v>-0.59670514982487188</v>
      </c>
      <c r="AN496" s="35">
        <f t="shared" si="82"/>
        <v>27.718361794746123</v>
      </c>
      <c r="AO496" s="35" t="str">
        <f t="shared" si="76"/>
        <v>no</v>
      </c>
      <c r="AP496" s="35" t="str">
        <f t="shared" si="77"/>
        <v>FITS BITCH</v>
      </c>
      <c r="AQ496" s="35" t="str">
        <f t="shared" si="77"/>
        <v>FITS BITCH</v>
      </c>
      <c r="AR496" s="35" t="str">
        <f t="shared" si="78"/>
        <v>no</v>
      </c>
      <c r="AS496" s="35" t="str">
        <f t="shared" si="79"/>
        <v>FITS BITCH</v>
      </c>
      <c r="AT496" s="20" t="str">
        <f t="shared" si="80"/>
        <v/>
      </c>
      <c r="AU496" s="20" t="str">
        <f t="shared" si="81"/>
        <v/>
      </c>
      <c r="AV496" s="20"/>
      <c r="AW496" s="20"/>
      <c r="AX496" s="20"/>
    </row>
    <row r="497" spans="31:50">
      <c r="AE497" s="26">
        <f>Data!A492</f>
        <v>42248</v>
      </c>
      <c r="AF497" s="35">
        <f>Data!B492</f>
        <v>75.459999999999994</v>
      </c>
      <c r="AG497" s="35">
        <f>Data!F492</f>
        <v>2633490</v>
      </c>
      <c r="AH497" s="35">
        <f>Data!C492</f>
        <v>76.11</v>
      </c>
      <c r="AI497" s="35">
        <f>Data!D492</f>
        <v>74.66</v>
      </c>
      <c r="AJ497" s="35">
        <f>Data!E492</f>
        <v>75.099999999999994</v>
      </c>
      <c r="AK497" s="35">
        <f>Data!F492</f>
        <v>2633490</v>
      </c>
      <c r="AL497" s="35">
        <f t="shared" si="74"/>
        <v>75.099999999999994</v>
      </c>
      <c r="AM497" s="35">
        <f t="shared" si="83"/>
        <v>-2.6498002663115967</v>
      </c>
      <c r="AN497" s="35">
        <f t="shared" si="82"/>
        <v>-2.1130894744236737</v>
      </c>
      <c r="AO497" s="35" t="str">
        <f t="shared" si="76"/>
        <v>no</v>
      </c>
      <c r="AP497" s="35" t="str">
        <f t="shared" si="77"/>
        <v>no</v>
      </c>
      <c r="AQ497" s="35" t="str">
        <f t="shared" si="77"/>
        <v>no</v>
      </c>
      <c r="AR497" s="35" t="str">
        <f t="shared" si="78"/>
        <v>FITS BITCH</v>
      </c>
      <c r="AS497" s="35" t="str">
        <f t="shared" si="79"/>
        <v>no</v>
      </c>
      <c r="AT497" s="20" t="str">
        <f t="shared" si="80"/>
        <v/>
      </c>
      <c r="AU497" s="20" t="str">
        <f t="shared" si="81"/>
        <v/>
      </c>
      <c r="AV497" s="20"/>
      <c r="AW497" s="20"/>
      <c r="AX497" s="20"/>
    </row>
    <row r="498" spans="31:50">
      <c r="AE498" s="26">
        <f>Data!A493</f>
        <v>42247</v>
      </c>
      <c r="AF498" s="35">
        <f>Data!B493</f>
        <v>77.86</v>
      </c>
      <c r="AG498" s="35">
        <f>Data!F493</f>
        <v>2355144</v>
      </c>
      <c r="AH498" s="35">
        <f>Data!C493</f>
        <v>78.400000000000006</v>
      </c>
      <c r="AI498" s="35">
        <f>Data!D493</f>
        <v>77.11</v>
      </c>
      <c r="AJ498" s="35">
        <f>Data!E493</f>
        <v>77.319999999999993</v>
      </c>
      <c r="AK498" s="35">
        <f>Data!F493</f>
        <v>2355144</v>
      </c>
      <c r="AL498" s="35">
        <f t="shared" si="74"/>
        <v>77.319999999999993</v>
      </c>
      <c r="AM498" s="35">
        <f t="shared" si="83"/>
        <v>2.8711846870150013</v>
      </c>
      <c r="AN498" s="35">
        <f t="shared" si="82"/>
        <v>-11.818640388867943</v>
      </c>
      <c r="AO498" s="35" t="str">
        <f t="shared" si="76"/>
        <v>FITS BITCH</v>
      </c>
      <c r="AP498" s="35" t="str">
        <f t="shared" si="77"/>
        <v>no</v>
      </c>
      <c r="AQ498" s="35" t="str">
        <f t="shared" si="77"/>
        <v>no</v>
      </c>
      <c r="AR498" s="35" t="str">
        <f t="shared" si="78"/>
        <v>FITS BITCH</v>
      </c>
      <c r="AS498" s="35" t="str">
        <f t="shared" si="79"/>
        <v>no</v>
      </c>
      <c r="AT498" s="20" t="str">
        <f t="shared" si="80"/>
        <v/>
      </c>
      <c r="AU498" s="20" t="str">
        <f t="shared" si="81"/>
        <v/>
      </c>
      <c r="AV498" s="20"/>
      <c r="AW498" s="20"/>
      <c r="AX498" s="20"/>
    </row>
    <row r="499" spans="31:50">
      <c r="AE499" s="26">
        <f>Data!A494</f>
        <v>42244</v>
      </c>
      <c r="AF499" s="35">
        <f>Data!B494</f>
        <v>77.760000000000005</v>
      </c>
      <c r="AG499" s="35">
        <f>Data!F494</f>
        <v>2581083</v>
      </c>
      <c r="AH499" s="35">
        <f>Data!C494</f>
        <v>78.8</v>
      </c>
      <c r="AI499" s="35">
        <f>Data!D494</f>
        <v>77.75</v>
      </c>
      <c r="AJ499" s="35">
        <f>Data!E494</f>
        <v>78.41</v>
      </c>
      <c r="AK499" s="35">
        <f>Data!F494</f>
        <v>2581083</v>
      </c>
      <c r="AL499" s="35">
        <f t="shared" si="74"/>
        <v>78.41</v>
      </c>
      <c r="AM499" s="35">
        <f t="shared" si="83"/>
        <v>1.3901288101007567</v>
      </c>
      <c r="AN499" s="35">
        <f t="shared" si="82"/>
        <v>8.7536510836730166</v>
      </c>
      <c r="AO499" s="35" t="str">
        <f t="shared" si="76"/>
        <v>no</v>
      </c>
      <c r="AP499" s="35" t="str">
        <f t="shared" si="77"/>
        <v>no</v>
      </c>
      <c r="AQ499" s="35" t="str">
        <f t="shared" si="77"/>
        <v>FITS BITCH</v>
      </c>
      <c r="AR499" s="35" t="str">
        <f t="shared" si="78"/>
        <v>FITS BITCH</v>
      </c>
      <c r="AS499" s="35" t="str">
        <f t="shared" si="79"/>
        <v>FITS BITCH</v>
      </c>
      <c r="AT499" s="20" t="str">
        <f t="shared" si="80"/>
        <v/>
      </c>
      <c r="AU499" s="20" t="str">
        <f t="shared" si="81"/>
        <v/>
      </c>
      <c r="AV499" s="20"/>
      <c r="AW499" s="20"/>
      <c r="AX499" s="20"/>
    </row>
    <row r="500" spans="31:50">
      <c r="AE500" s="26">
        <f>Data!A495</f>
        <v>42243</v>
      </c>
      <c r="AF500" s="35">
        <f>Data!B495</f>
        <v>78.319999999999993</v>
      </c>
      <c r="AG500" s="35">
        <f>Data!F495</f>
        <v>2987360</v>
      </c>
      <c r="AH500" s="35">
        <f>Data!C495</f>
        <v>78.87</v>
      </c>
      <c r="AI500" s="35">
        <f>Data!D495</f>
        <v>76.48</v>
      </c>
      <c r="AJ500" s="35">
        <f>Data!E495</f>
        <v>78.03</v>
      </c>
      <c r="AK500" s="35">
        <f>Data!F495</f>
        <v>2987360</v>
      </c>
      <c r="AL500" s="35">
        <f t="shared" si="74"/>
        <v>78.03</v>
      </c>
      <c r="AM500" s="35">
        <f t="shared" si="83"/>
        <v>-0.48699218249390674</v>
      </c>
      <c r="AN500" s="35">
        <f t="shared" si="82"/>
        <v>13.599867441486799</v>
      </c>
      <c r="AO500" s="35" t="str">
        <f t="shared" si="76"/>
        <v>no</v>
      </c>
      <c r="AP500" s="35" t="str">
        <f t="shared" si="77"/>
        <v>FITS BITCH</v>
      </c>
      <c r="AQ500" s="35" t="str">
        <f t="shared" si="77"/>
        <v>FITS BITCH</v>
      </c>
      <c r="AR500" s="35" t="str">
        <f t="shared" si="78"/>
        <v>no</v>
      </c>
      <c r="AS500" s="35" t="str">
        <f t="shared" si="79"/>
        <v>FITS BITCH</v>
      </c>
      <c r="AT500" s="20" t="str">
        <f t="shared" si="80"/>
        <v/>
      </c>
      <c r="AU500" s="20" t="str">
        <f t="shared" si="81"/>
        <v/>
      </c>
      <c r="AV500" s="20"/>
      <c r="AW500" s="20"/>
      <c r="AX500" s="20"/>
    </row>
    <row r="501" spans="31:50">
      <c r="AE501" s="26">
        <f>Data!A496</f>
        <v>42242</v>
      </c>
      <c r="AF501" s="35">
        <f>Data!B496</f>
        <v>75.62</v>
      </c>
      <c r="AG501" s="35">
        <f>Data!F496</f>
        <v>4483111</v>
      </c>
      <c r="AH501" s="35">
        <f>Data!C496</f>
        <v>77.88</v>
      </c>
      <c r="AI501" s="35">
        <f>Data!D496</f>
        <v>74.959999999999994</v>
      </c>
      <c r="AJ501" s="35">
        <f>Data!E496</f>
        <v>77.8</v>
      </c>
      <c r="AK501" s="35">
        <f>Data!F496</f>
        <v>4483111</v>
      </c>
      <c r="AL501" s="35">
        <f t="shared" si="74"/>
        <v>77.8</v>
      </c>
      <c r="AM501" s="35">
        <f t="shared" si="83"/>
        <v>-0.29562982005141897</v>
      </c>
      <c r="AN501" s="35">
        <f t="shared" si="82"/>
        <v>33.364130399626504</v>
      </c>
      <c r="AO501" s="35" t="str">
        <f t="shared" si="76"/>
        <v>no</v>
      </c>
      <c r="AP501" s="35" t="str">
        <f t="shared" si="77"/>
        <v>no</v>
      </c>
      <c r="AQ501" s="35" t="str">
        <f t="shared" si="77"/>
        <v>FITS BITCH</v>
      </c>
      <c r="AR501" s="35" t="str">
        <f t="shared" si="78"/>
        <v>FITS BITCH</v>
      </c>
      <c r="AS501" s="35" t="str">
        <f t="shared" si="79"/>
        <v>FITS BITCH</v>
      </c>
      <c r="AT501" s="20" t="str">
        <f t="shared" si="80"/>
        <v/>
      </c>
      <c r="AU501" s="20" t="str">
        <f t="shared" si="81"/>
        <v/>
      </c>
      <c r="AV501" s="20"/>
      <c r="AW501" s="20"/>
      <c r="AX501" s="20"/>
    </row>
    <row r="502" spans="31:50">
      <c r="AE502" s="26">
        <f>Data!A497</f>
        <v>42241</v>
      </c>
      <c r="AF502" s="35">
        <f>Data!B497</f>
        <v>78.5</v>
      </c>
      <c r="AG502" s="35">
        <f>Data!F497</f>
        <v>3562389</v>
      </c>
      <c r="AH502" s="35">
        <f>Data!C497</f>
        <v>78.599999999999994</v>
      </c>
      <c r="AI502" s="35">
        <f>Data!D497</f>
        <v>73.45</v>
      </c>
      <c r="AJ502" s="35">
        <f>Data!E497</f>
        <v>73.52</v>
      </c>
      <c r="AK502" s="35">
        <f>Data!F497</f>
        <v>3562389</v>
      </c>
      <c r="AL502" s="35">
        <f t="shared" si="74"/>
        <v>73.52</v>
      </c>
      <c r="AM502" s="35">
        <f t="shared" si="83"/>
        <v>-5.8215451577801973</v>
      </c>
      <c r="AN502" s="35">
        <f t="shared" si="82"/>
        <v>-25.845633365699257</v>
      </c>
      <c r="AO502" s="35" t="str">
        <f t="shared" si="76"/>
        <v>FITS BITCH</v>
      </c>
      <c r="AP502" s="35" t="str">
        <f t="shared" si="77"/>
        <v>FITS BITCH</v>
      </c>
      <c r="AQ502" s="35" t="str">
        <f t="shared" si="77"/>
        <v>FITS BITCH</v>
      </c>
      <c r="AR502" s="35" t="str">
        <f t="shared" si="78"/>
        <v>FITS BITCH</v>
      </c>
      <c r="AS502" s="35" t="str">
        <f t="shared" si="79"/>
        <v>no</v>
      </c>
      <c r="AT502" s="20" t="str">
        <f t="shared" si="80"/>
        <v>BULLISH</v>
      </c>
      <c r="AU502" s="20" t="str">
        <f t="shared" si="81"/>
        <v/>
      </c>
      <c r="AV502" s="20"/>
      <c r="AW502" s="20"/>
      <c r="AX502" s="20"/>
    </row>
    <row r="503" spans="31:50">
      <c r="AE503" s="26">
        <f>Data!A498</f>
        <v>42240</v>
      </c>
      <c r="AF503" s="35">
        <f>Data!B498</f>
        <v>75.209999999999994</v>
      </c>
      <c r="AG503" s="35">
        <f>Data!F498</f>
        <v>6530331</v>
      </c>
      <c r="AH503" s="35">
        <f>Data!C498</f>
        <v>77.78</v>
      </c>
      <c r="AI503" s="35">
        <f>Data!D498</f>
        <v>64.290000000000006</v>
      </c>
      <c r="AJ503" s="35">
        <f>Data!E498</f>
        <v>76.28</v>
      </c>
      <c r="AK503" s="35">
        <f>Data!F498</f>
        <v>6530331</v>
      </c>
      <c r="AL503" s="35">
        <f t="shared" si="74"/>
        <v>76.28</v>
      </c>
      <c r="AM503" s="35">
        <f t="shared" si="83"/>
        <v>3.6182485579444221</v>
      </c>
      <c r="AN503" s="35">
        <f t="shared" si="82"/>
        <v>45.448569146035631</v>
      </c>
      <c r="AO503" s="35" t="str">
        <f t="shared" si="76"/>
        <v>no</v>
      </c>
      <c r="AP503" s="35" t="str">
        <f t="shared" si="77"/>
        <v>no</v>
      </c>
      <c r="AQ503" s="35" t="str">
        <f t="shared" si="77"/>
        <v>no</v>
      </c>
      <c r="AR503" s="35" t="str">
        <f t="shared" si="78"/>
        <v>FITS BITCH</v>
      </c>
      <c r="AS503" s="35" t="str">
        <f t="shared" si="79"/>
        <v>no</v>
      </c>
      <c r="AT503" s="20" t="str">
        <f t="shared" si="80"/>
        <v/>
      </c>
      <c r="AU503" s="20" t="str">
        <f t="shared" si="81"/>
        <v/>
      </c>
      <c r="AV503" s="20"/>
      <c r="AW503" s="20"/>
      <c r="AX503" s="20"/>
    </row>
    <row r="504" spans="31:50">
      <c r="AE504" s="26">
        <f>Data!A499</f>
        <v>42237</v>
      </c>
      <c r="AF504" s="35">
        <f>Data!B499</f>
        <v>81.84</v>
      </c>
      <c r="AG504" s="35">
        <f>Data!F499</f>
        <v>3074028</v>
      </c>
      <c r="AH504" s="35">
        <f>Data!C499</f>
        <v>82.33</v>
      </c>
      <c r="AI504" s="35">
        <f>Data!D499</f>
        <v>79.23</v>
      </c>
      <c r="AJ504" s="35">
        <f>Data!E499</f>
        <v>79.23</v>
      </c>
      <c r="AK504" s="35">
        <f>Data!F499</f>
        <v>3074028</v>
      </c>
      <c r="AL504" s="35">
        <f t="shared" si="74"/>
        <v>79.23</v>
      </c>
      <c r="AM504" s="35">
        <f t="shared" si="83"/>
        <v>3.7233371197778657</v>
      </c>
      <c r="AN504" s="35">
        <f t="shared" si="82"/>
        <v>-112.43563819197482</v>
      </c>
      <c r="AO504" s="35" t="str">
        <f t="shared" si="76"/>
        <v>FITS BITCH</v>
      </c>
      <c r="AP504" s="35" t="str">
        <f t="shared" si="77"/>
        <v>no</v>
      </c>
      <c r="AQ504" s="35" t="str">
        <f t="shared" si="77"/>
        <v>no</v>
      </c>
      <c r="AR504" s="35" t="str">
        <f t="shared" si="78"/>
        <v>FITS BITCH</v>
      </c>
      <c r="AS504" s="35" t="str">
        <f t="shared" si="79"/>
        <v>no</v>
      </c>
      <c r="AT504" s="20" t="str">
        <f t="shared" si="80"/>
        <v/>
      </c>
      <c r="AU504" s="20" t="str">
        <f t="shared" si="81"/>
        <v/>
      </c>
      <c r="AV504" s="20"/>
      <c r="AW504" s="20"/>
      <c r="AX504" s="20"/>
    </row>
    <row r="505" spans="31:50">
      <c r="AE505" s="26">
        <f>Data!A500</f>
        <v>42236</v>
      </c>
      <c r="AF505" s="35">
        <f>Data!B500</f>
        <v>83.71</v>
      </c>
      <c r="AG505" s="35">
        <f>Data!F500</f>
        <v>2246283</v>
      </c>
      <c r="AH505" s="35">
        <f>Data!C500</f>
        <v>84.01</v>
      </c>
      <c r="AI505" s="35">
        <f>Data!D500</f>
        <v>82.71</v>
      </c>
      <c r="AJ505" s="35">
        <f>Data!E500</f>
        <v>82.71</v>
      </c>
      <c r="AK505" s="35">
        <f>Data!F500</f>
        <v>2246283</v>
      </c>
      <c r="AL505" s="35">
        <f t="shared" si="74"/>
        <v>82.71</v>
      </c>
      <c r="AM505" s="35">
        <f t="shared" si="83"/>
        <v>4.2074718897352072</v>
      </c>
      <c r="AN505" s="35">
        <f t="shared" si="82"/>
        <v>-36.849542110232768</v>
      </c>
      <c r="AO505" s="35" t="str">
        <f t="shared" si="76"/>
        <v>FITS BITCH</v>
      </c>
      <c r="AP505" s="35" t="str">
        <f t="shared" si="77"/>
        <v>no</v>
      </c>
      <c r="AQ505" s="35" t="str">
        <f t="shared" si="77"/>
        <v>no</v>
      </c>
      <c r="AR505" s="35" t="str">
        <f t="shared" si="78"/>
        <v>FITS BITCH</v>
      </c>
      <c r="AS505" s="35" t="str">
        <f t="shared" si="79"/>
        <v>no</v>
      </c>
      <c r="AT505" s="20" t="str">
        <f t="shared" si="80"/>
        <v/>
      </c>
      <c r="AU505" s="20" t="str">
        <f t="shared" si="81"/>
        <v/>
      </c>
      <c r="AV505" s="20"/>
      <c r="AW505" s="20"/>
      <c r="AX505" s="20"/>
    </row>
    <row r="506" spans="31:50">
      <c r="AE506" s="26">
        <f>Data!A501</f>
        <v>42235</v>
      </c>
      <c r="AF506" s="35">
        <f>Data!B501</f>
        <v>84.39</v>
      </c>
      <c r="AG506" s="35">
        <f>Data!F501</f>
        <v>1874898</v>
      </c>
      <c r="AH506" s="35">
        <f>Data!C501</f>
        <v>85.21</v>
      </c>
      <c r="AI506" s="35">
        <f>Data!D501</f>
        <v>84.05</v>
      </c>
      <c r="AJ506" s="35">
        <f>Data!E501</f>
        <v>84.47</v>
      </c>
      <c r="AK506" s="35">
        <f>Data!F501</f>
        <v>1874898</v>
      </c>
      <c r="AL506" s="35">
        <f t="shared" si="74"/>
        <v>84.47</v>
      </c>
      <c r="AM506" s="35">
        <f t="shared" si="83"/>
        <v>2.0835799692198473</v>
      </c>
      <c r="AN506" s="35">
        <f t="shared" si="82"/>
        <v>-19.808277570299822</v>
      </c>
      <c r="AO506" s="35" t="str">
        <f t="shared" si="76"/>
        <v>FITS BITCH</v>
      </c>
      <c r="AP506" s="35" t="str">
        <f t="shared" si="77"/>
        <v>FITS BITCH</v>
      </c>
      <c r="AQ506" s="35" t="str">
        <f t="shared" si="77"/>
        <v>no</v>
      </c>
      <c r="AR506" s="35" t="str">
        <f t="shared" si="78"/>
        <v>FITS BITCH</v>
      </c>
      <c r="AS506" s="35" t="str">
        <f t="shared" si="79"/>
        <v>no</v>
      </c>
      <c r="AT506" s="20" t="str">
        <f t="shared" si="80"/>
        <v>BULLISH</v>
      </c>
      <c r="AU506" s="20" t="str">
        <f t="shared" si="81"/>
        <v/>
      </c>
      <c r="AV506" s="20"/>
      <c r="AW506" s="20"/>
      <c r="AX506" s="20"/>
    </row>
    <row r="507" spans="31:50">
      <c r="AE507" s="26">
        <f>Data!A502</f>
        <v>42234</v>
      </c>
      <c r="AF507" s="35">
        <f>Data!B502</f>
        <v>84.32</v>
      </c>
      <c r="AG507" s="35">
        <f>Data!F502</f>
        <v>2615335</v>
      </c>
      <c r="AH507" s="35">
        <f>Data!C502</f>
        <v>85.15</v>
      </c>
      <c r="AI507" s="35">
        <f>Data!D502</f>
        <v>84.08</v>
      </c>
      <c r="AJ507" s="35">
        <f>Data!E502</f>
        <v>84.69</v>
      </c>
      <c r="AK507" s="35">
        <f>Data!F502</f>
        <v>2615335</v>
      </c>
      <c r="AL507" s="35">
        <f t="shared" si="74"/>
        <v>84.69</v>
      </c>
      <c r="AM507" s="35">
        <f t="shared" si="83"/>
        <v>0.25977092927145928</v>
      </c>
      <c r="AN507" s="35">
        <f t="shared" si="82"/>
        <v>28.311363553808594</v>
      </c>
      <c r="AO507" s="35" t="str">
        <f t="shared" si="76"/>
        <v>no</v>
      </c>
      <c r="AP507" s="35" t="str">
        <f t="shared" si="77"/>
        <v>FITS BITCH</v>
      </c>
      <c r="AQ507" s="35" t="str">
        <f t="shared" si="77"/>
        <v>FITS BITCH</v>
      </c>
      <c r="AR507" s="35" t="str">
        <f t="shared" si="78"/>
        <v>FITS BITCH</v>
      </c>
      <c r="AS507" s="35" t="str">
        <f t="shared" si="79"/>
        <v>no</v>
      </c>
      <c r="AT507" s="20" t="str">
        <f t="shared" si="80"/>
        <v/>
      </c>
      <c r="AU507" s="20" t="str">
        <f t="shared" si="81"/>
        <v/>
      </c>
      <c r="AV507" s="20"/>
      <c r="AW507" s="20"/>
      <c r="AX507" s="20"/>
    </row>
    <row r="508" spans="31:50">
      <c r="AE508" s="26">
        <f>Data!A503</f>
        <v>42233</v>
      </c>
      <c r="AF508" s="35">
        <f>Data!B503</f>
        <v>82.82</v>
      </c>
      <c r="AG508" s="35">
        <f>Data!F503</f>
        <v>3366649</v>
      </c>
      <c r="AH508" s="35">
        <f>Data!C503</f>
        <v>84.77</v>
      </c>
      <c r="AI508" s="35">
        <f>Data!D503</f>
        <v>82.58</v>
      </c>
      <c r="AJ508" s="35">
        <f>Data!E503</f>
        <v>84.7</v>
      </c>
      <c r="AK508" s="35">
        <f>Data!F503</f>
        <v>3366649</v>
      </c>
      <c r="AL508" s="35">
        <f t="shared" si="74"/>
        <v>84.7</v>
      </c>
      <c r="AM508" s="35">
        <f t="shared" si="83"/>
        <v>1.1806375442745119E-2</v>
      </c>
      <c r="AN508" s="35">
        <f t="shared" si="82"/>
        <v>22.316374531470316</v>
      </c>
      <c r="AO508" s="35" t="str">
        <f t="shared" si="76"/>
        <v>no</v>
      </c>
      <c r="AP508" s="35" t="str">
        <f t="shared" si="77"/>
        <v>FITS BITCH</v>
      </c>
      <c r="AQ508" s="35" t="str">
        <f t="shared" si="77"/>
        <v>FITS BITCH</v>
      </c>
      <c r="AR508" s="35" t="str">
        <f t="shared" si="78"/>
        <v>no</v>
      </c>
      <c r="AS508" s="35" t="str">
        <f t="shared" si="79"/>
        <v>FITS BITCH</v>
      </c>
      <c r="AT508" s="20" t="str">
        <f t="shared" si="80"/>
        <v/>
      </c>
      <c r="AU508" s="20" t="str">
        <f t="shared" si="81"/>
        <v/>
      </c>
      <c r="AV508" s="20"/>
      <c r="AW508" s="20"/>
      <c r="AX508" s="20"/>
    </row>
    <row r="509" spans="31:50">
      <c r="AE509" s="26">
        <f>Data!A504</f>
        <v>42230</v>
      </c>
      <c r="AF509" s="35">
        <f>Data!B504</f>
        <v>82.16</v>
      </c>
      <c r="AG509" s="35">
        <f>Data!F504</f>
        <v>2018368</v>
      </c>
      <c r="AH509" s="35">
        <f>Data!C504</f>
        <v>83.17</v>
      </c>
      <c r="AI509" s="35">
        <f>Data!D504</f>
        <v>81.94</v>
      </c>
      <c r="AJ509" s="35">
        <f>Data!E504</f>
        <v>82.99</v>
      </c>
      <c r="AK509" s="35">
        <f>Data!F504</f>
        <v>2018368</v>
      </c>
      <c r="AL509" s="35">
        <f t="shared" si="74"/>
        <v>82.99</v>
      </c>
      <c r="AM509" s="35">
        <f t="shared" si="83"/>
        <v>-2.0604892155681505</v>
      </c>
      <c r="AN509" s="35">
        <f t="shared" si="82"/>
        <v>-66.800553714684341</v>
      </c>
      <c r="AO509" s="35" t="str">
        <f t="shared" si="76"/>
        <v>FITS BITCH</v>
      </c>
      <c r="AP509" s="35" t="str">
        <f t="shared" si="77"/>
        <v>FITS BITCH</v>
      </c>
      <c r="AQ509" s="35" t="str">
        <f t="shared" si="77"/>
        <v>FITS BITCH</v>
      </c>
      <c r="AR509" s="35" t="b">
        <f t="shared" si="78"/>
        <v>0</v>
      </c>
      <c r="AS509" s="35" t="str">
        <f t="shared" si="79"/>
        <v>FITS BITCH</v>
      </c>
      <c r="AT509" s="20" t="str">
        <f t="shared" si="80"/>
        <v/>
      </c>
      <c r="AU509" s="20" t="str">
        <f t="shared" si="81"/>
        <v>BEARISH</v>
      </c>
      <c r="AV509" s="20"/>
      <c r="AW509" s="20"/>
      <c r="AX509" s="20"/>
    </row>
    <row r="510" spans="31:50">
      <c r="AE510" s="26">
        <f>Data!A505</f>
        <v>42229</v>
      </c>
      <c r="AF510" s="35">
        <f>Data!B505</f>
        <v>81.52</v>
      </c>
      <c r="AG510" s="35">
        <f>Data!F505</f>
        <v>2000830</v>
      </c>
      <c r="AH510" s="35">
        <f>Data!C505</f>
        <v>82.99</v>
      </c>
      <c r="AI510" s="35">
        <f>Data!D505</f>
        <v>81.319999999999993</v>
      </c>
      <c r="AJ510" s="35">
        <f>Data!E505</f>
        <v>82.45</v>
      </c>
      <c r="AK510" s="35">
        <f>Data!F505</f>
        <v>2000830</v>
      </c>
      <c r="AL510" s="35">
        <f t="shared" si="74"/>
        <v>82.45</v>
      </c>
      <c r="AM510" s="35">
        <f t="shared" si="83"/>
        <v>-0.65494238932685511</v>
      </c>
      <c r="AN510" s="35">
        <f t="shared" si="82"/>
        <v>-0.87653623746145348</v>
      </c>
      <c r="AO510" s="35" t="str">
        <f t="shared" si="76"/>
        <v>no</v>
      </c>
      <c r="AP510" s="35" t="str">
        <f t="shared" si="77"/>
        <v>FITS BITCH</v>
      </c>
      <c r="AQ510" s="35" t="str">
        <f t="shared" si="77"/>
        <v>FITS BITCH</v>
      </c>
      <c r="AR510" s="35" t="str">
        <f t="shared" si="78"/>
        <v>no</v>
      </c>
      <c r="AS510" s="35" t="str">
        <f t="shared" si="79"/>
        <v>FITS BITCH</v>
      </c>
      <c r="AT510" s="20" t="str">
        <f t="shared" si="80"/>
        <v/>
      </c>
      <c r="AU510" s="20" t="str">
        <f t="shared" si="81"/>
        <v/>
      </c>
      <c r="AV510" s="20"/>
      <c r="AW510" s="20"/>
      <c r="AX510" s="20"/>
    </row>
    <row r="511" spans="31:50">
      <c r="AE511" s="26">
        <f>Data!A506</f>
        <v>42228</v>
      </c>
      <c r="AF511" s="35">
        <f>Data!B506</f>
        <v>80.739999999999995</v>
      </c>
      <c r="AG511" s="35">
        <f>Data!F506</f>
        <v>1871449</v>
      </c>
      <c r="AH511" s="35">
        <f>Data!C506</f>
        <v>81.7</v>
      </c>
      <c r="AI511" s="35">
        <f>Data!D506</f>
        <v>80.150000000000006</v>
      </c>
      <c r="AJ511" s="35">
        <f>Data!E506</f>
        <v>81.55</v>
      </c>
      <c r="AK511" s="35">
        <f>Data!F506</f>
        <v>1871449</v>
      </c>
      <c r="AL511" s="35">
        <f t="shared" si="74"/>
        <v>81.55</v>
      </c>
      <c r="AM511" s="35">
        <f t="shared" si="83"/>
        <v>-1.1036174126302951</v>
      </c>
      <c r="AN511" s="35">
        <f t="shared" si="82"/>
        <v>-6.9134130825900142</v>
      </c>
      <c r="AO511" s="35" t="str">
        <f t="shared" si="76"/>
        <v>no</v>
      </c>
      <c r="AP511" s="35" t="str">
        <f t="shared" si="77"/>
        <v>no</v>
      </c>
      <c r="AQ511" s="35" t="str">
        <f t="shared" si="77"/>
        <v>no</v>
      </c>
      <c r="AR511" s="35" t="str">
        <f t="shared" si="78"/>
        <v>FITS BITCH</v>
      </c>
      <c r="AS511" s="35" t="str">
        <f t="shared" si="79"/>
        <v>FITS BITCH</v>
      </c>
      <c r="AT511" s="20" t="str">
        <f t="shared" si="80"/>
        <v/>
      </c>
      <c r="AU511" s="20" t="str">
        <f t="shared" si="81"/>
        <v/>
      </c>
      <c r="AV511" s="20"/>
      <c r="AW511" s="20"/>
      <c r="AX511" s="20"/>
    </row>
    <row r="512" spans="31:50">
      <c r="AE512" s="26">
        <f>Data!A507</f>
        <v>42227</v>
      </c>
      <c r="AF512" s="35">
        <f>Data!B507</f>
        <v>81.260000000000005</v>
      </c>
      <c r="AG512" s="35">
        <f>Data!F507</f>
        <v>1938365</v>
      </c>
      <c r="AH512" s="35">
        <f>Data!C507</f>
        <v>81.900000000000006</v>
      </c>
      <c r="AI512" s="35">
        <f>Data!D507</f>
        <v>80.75</v>
      </c>
      <c r="AJ512" s="35">
        <f>Data!E507</f>
        <v>81.33</v>
      </c>
      <c r="AK512" s="35">
        <f>Data!F507</f>
        <v>1938365</v>
      </c>
      <c r="AL512" s="35">
        <f t="shared" si="74"/>
        <v>81.33</v>
      </c>
      <c r="AM512" s="35">
        <f t="shared" si="83"/>
        <v>-0.27050288946268147</v>
      </c>
      <c r="AN512" s="35">
        <f t="shared" si="82"/>
        <v>3.452187797447849</v>
      </c>
      <c r="AO512" s="35" t="str">
        <f t="shared" si="76"/>
        <v>no</v>
      </c>
      <c r="AP512" s="35" t="str">
        <f t="shared" si="77"/>
        <v>no</v>
      </c>
      <c r="AQ512" s="35" t="str">
        <f t="shared" si="77"/>
        <v>no</v>
      </c>
      <c r="AR512" s="35" t="str">
        <f t="shared" si="78"/>
        <v>FITS BITCH</v>
      </c>
      <c r="AS512" s="35" t="str">
        <f t="shared" si="79"/>
        <v>no</v>
      </c>
      <c r="AT512" s="20" t="str">
        <f t="shared" si="80"/>
        <v/>
      </c>
      <c r="AU512" s="20" t="str">
        <f t="shared" si="81"/>
        <v/>
      </c>
      <c r="AV512" s="20"/>
      <c r="AW512" s="20"/>
      <c r="AX512" s="20"/>
    </row>
    <row r="513" spans="31:50">
      <c r="AE513" s="26">
        <f>Data!A508</f>
        <v>42226</v>
      </c>
      <c r="AF513" s="35">
        <f>Data!B508</f>
        <v>81.010000000000005</v>
      </c>
      <c r="AG513" s="35">
        <f>Data!F508</f>
        <v>2032083</v>
      </c>
      <c r="AH513" s="35">
        <f>Data!C508</f>
        <v>81.96</v>
      </c>
      <c r="AI513" s="35">
        <f>Data!D508</f>
        <v>81</v>
      </c>
      <c r="AJ513" s="35">
        <f>Data!E508</f>
        <v>81.599999999999994</v>
      </c>
      <c r="AK513" s="35">
        <f>Data!F508</f>
        <v>2032083</v>
      </c>
      <c r="AL513" s="35">
        <f t="shared" si="74"/>
        <v>81.599999999999994</v>
      </c>
      <c r="AM513" s="35">
        <f t="shared" si="83"/>
        <v>0.33088235294117163</v>
      </c>
      <c r="AN513" s="35">
        <f t="shared" si="82"/>
        <v>4.6119179187070607</v>
      </c>
      <c r="AO513" s="35" t="str">
        <f t="shared" si="76"/>
        <v>no</v>
      </c>
      <c r="AP513" s="35" t="str">
        <f t="shared" si="77"/>
        <v>FITS BITCH</v>
      </c>
      <c r="AQ513" s="35" t="str">
        <f t="shared" si="77"/>
        <v>FITS BITCH</v>
      </c>
      <c r="AR513" s="35" t="str">
        <f t="shared" si="78"/>
        <v>no</v>
      </c>
      <c r="AS513" s="35" t="str">
        <f t="shared" si="79"/>
        <v>FITS BITCH</v>
      </c>
      <c r="AT513" s="20" t="str">
        <f t="shared" si="80"/>
        <v/>
      </c>
      <c r="AU513" s="20" t="str">
        <f t="shared" si="81"/>
        <v/>
      </c>
      <c r="AV513" s="20"/>
      <c r="AW513" s="20"/>
      <c r="AX513" s="20"/>
    </row>
    <row r="514" spans="31:50">
      <c r="AE514" s="26">
        <f>Data!A509</f>
        <v>42223</v>
      </c>
      <c r="AF514" s="35">
        <f>Data!B509</f>
        <v>80.180000000000007</v>
      </c>
      <c r="AG514" s="35">
        <f>Data!F509</f>
        <v>1162306</v>
      </c>
      <c r="AH514" s="35">
        <f>Data!C509</f>
        <v>80.459999999999994</v>
      </c>
      <c r="AI514" s="35">
        <f>Data!D509</f>
        <v>79.709999999999994</v>
      </c>
      <c r="AJ514" s="35">
        <f>Data!E509</f>
        <v>80.290000000000006</v>
      </c>
      <c r="AK514" s="35">
        <f>Data!F509</f>
        <v>1162306</v>
      </c>
      <c r="AL514" s="35">
        <f t="shared" si="74"/>
        <v>80.290000000000006</v>
      </c>
      <c r="AM514" s="35">
        <f t="shared" si="83"/>
        <v>-1.6315855025532295</v>
      </c>
      <c r="AN514" s="35">
        <f t="shared" si="82"/>
        <v>-74.832014977123066</v>
      </c>
      <c r="AO514" s="35" t="str">
        <f t="shared" si="76"/>
        <v>FITS BITCH</v>
      </c>
      <c r="AP514" s="35" t="str">
        <f t="shared" si="77"/>
        <v>no</v>
      </c>
      <c r="AQ514" s="35" t="str">
        <f t="shared" si="77"/>
        <v>no</v>
      </c>
      <c r="AR514" s="35" t="str">
        <f t="shared" si="78"/>
        <v>FITS BITCH</v>
      </c>
      <c r="AS514" s="35" t="str">
        <f t="shared" si="79"/>
        <v>no</v>
      </c>
      <c r="AT514" s="20" t="str">
        <f t="shared" si="80"/>
        <v/>
      </c>
      <c r="AU514" s="20" t="str">
        <f t="shared" si="81"/>
        <v/>
      </c>
      <c r="AV514" s="20"/>
      <c r="AW514" s="20"/>
      <c r="AX514" s="20"/>
    </row>
    <row r="515" spans="31:50">
      <c r="AE515" s="26">
        <f>Data!A510</f>
        <v>42222</v>
      </c>
      <c r="AF515" s="35">
        <f>Data!B510</f>
        <v>81.78</v>
      </c>
      <c r="AG515" s="35">
        <f>Data!F510</f>
        <v>1505398</v>
      </c>
      <c r="AH515" s="35">
        <f>Data!C510</f>
        <v>81.88</v>
      </c>
      <c r="AI515" s="35">
        <f>Data!D510</f>
        <v>80.08</v>
      </c>
      <c r="AJ515" s="35">
        <f>Data!E510</f>
        <v>80.3</v>
      </c>
      <c r="AK515" s="35">
        <f>Data!F510</f>
        <v>1505398</v>
      </c>
      <c r="AL515" s="35">
        <f t="shared" si="74"/>
        <v>80.3</v>
      </c>
      <c r="AM515" s="35">
        <f t="shared" si="83"/>
        <v>1.2453300124521676E-2</v>
      </c>
      <c r="AN515" s="35">
        <f t="shared" si="82"/>
        <v>22.790783566870687</v>
      </c>
      <c r="AO515" s="35" t="str">
        <f t="shared" si="76"/>
        <v>no</v>
      </c>
      <c r="AP515" s="35" t="str">
        <f t="shared" si="77"/>
        <v>no</v>
      </c>
      <c r="AQ515" s="35" t="str">
        <f t="shared" si="77"/>
        <v>no</v>
      </c>
      <c r="AR515" s="35" t="str">
        <f t="shared" si="78"/>
        <v>FITS BITCH</v>
      </c>
      <c r="AS515" s="35" t="str">
        <f t="shared" si="79"/>
        <v>no</v>
      </c>
      <c r="AT515" s="20" t="str">
        <f t="shared" si="80"/>
        <v/>
      </c>
      <c r="AU515" s="20" t="str">
        <f t="shared" si="81"/>
        <v/>
      </c>
      <c r="AV515" s="20"/>
      <c r="AW515" s="20"/>
      <c r="AX515" s="20"/>
    </row>
    <row r="516" spans="31:50">
      <c r="AE516" s="26">
        <f>Data!A511</f>
        <v>42221</v>
      </c>
      <c r="AF516" s="35">
        <f>Data!B511</f>
        <v>81.78</v>
      </c>
      <c r="AG516" s="35">
        <f>Data!F511</f>
        <v>1964135</v>
      </c>
      <c r="AH516" s="35">
        <f>Data!C511</f>
        <v>82.07</v>
      </c>
      <c r="AI516" s="35">
        <f>Data!D511</f>
        <v>81</v>
      </c>
      <c r="AJ516" s="35">
        <f>Data!E511</f>
        <v>81.84</v>
      </c>
      <c r="AK516" s="35">
        <f>Data!F511</f>
        <v>1964135</v>
      </c>
      <c r="AL516" s="35">
        <f t="shared" si="74"/>
        <v>81.84</v>
      </c>
      <c r="AM516" s="35">
        <f t="shared" si="83"/>
        <v>1.8817204301075345</v>
      </c>
      <c r="AN516" s="35">
        <f t="shared" si="82"/>
        <v>23.355675653659244</v>
      </c>
      <c r="AO516" s="35" t="str">
        <f t="shared" si="76"/>
        <v>no</v>
      </c>
      <c r="AP516" s="35" t="str">
        <f t="shared" si="77"/>
        <v>FITS BITCH</v>
      </c>
      <c r="AQ516" s="35" t="str">
        <f t="shared" si="77"/>
        <v>FITS BITCH</v>
      </c>
      <c r="AR516" s="35" t="str">
        <f t="shared" si="78"/>
        <v>no</v>
      </c>
      <c r="AS516" s="35" t="str">
        <f t="shared" si="79"/>
        <v>FITS BITCH</v>
      </c>
      <c r="AT516" s="20" t="str">
        <f t="shared" si="80"/>
        <v/>
      </c>
      <c r="AU516" s="20" t="str">
        <f t="shared" si="81"/>
        <v/>
      </c>
      <c r="AV516" s="20"/>
      <c r="AW516" s="20"/>
      <c r="AX516" s="20"/>
    </row>
    <row r="517" spans="31:50">
      <c r="AE517" s="26">
        <f>Data!A512</f>
        <v>42220</v>
      </c>
      <c r="AF517" s="35">
        <f>Data!B512</f>
        <v>80.540000000000006</v>
      </c>
      <c r="AG517" s="35">
        <f>Data!F512</f>
        <v>2749339</v>
      </c>
      <c r="AH517" s="35">
        <f>Data!C512</f>
        <v>81.39</v>
      </c>
      <c r="AI517" s="35">
        <f>Data!D512</f>
        <v>80.14</v>
      </c>
      <c r="AJ517" s="35">
        <f>Data!E512</f>
        <v>80.680000000000007</v>
      </c>
      <c r="AK517" s="35">
        <f>Data!F512</f>
        <v>2749339</v>
      </c>
      <c r="AL517" s="35">
        <f t="shared" si="74"/>
        <v>80.680000000000007</v>
      </c>
      <c r="AM517" s="35">
        <f t="shared" si="83"/>
        <v>-1.4377788795240412</v>
      </c>
      <c r="AN517" s="35">
        <f t="shared" si="82"/>
        <v>28.559737449619711</v>
      </c>
      <c r="AO517" s="35" t="str">
        <f t="shared" si="76"/>
        <v>no</v>
      </c>
      <c r="AP517" s="35" t="str">
        <f t="shared" si="77"/>
        <v>FITS BITCH</v>
      </c>
      <c r="AQ517" s="35" t="str">
        <f t="shared" si="77"/>
        <v>FITS BITCH</v>
      </c>
      <c r="AR517" s="35" t="str">
        <f t="shared" si="78"/>
        <v>no</v>
      </c>
      <c r="AS517" s="35" t="str">
        <f t="shared" si="79"/>
        <v>FITS BITCH</v>
      </c>
      <c r="AT517" s="20" t="str">
        <f t="shared" si="80"/>
        <v/>
      </c>
      <c r="AU517" s="20" t="str">
        <f t="shared" si="81"/>
        <v/>
      </c>
      <c r="AV517" s="20"/>
      <c r="AW517" s="20"/>
      <c r="AX517" s="20"/>
    </row>
    <row r="518" spans="31:50">
      <c r="AE518" s="26">
        <f>Data!A513</f>
        <v>42219</v>
      </c>
      <c r="AF518" s="35">
        <f>Data!B513</f>
        <v>78.59</v>
      </c>
      <c r="AG518" s="35">
        <f>Data!F513</f>
        <v>2291267</v>
      </c>
      <c r="AH518" s="35">
        <f>Data!C513</f>
        <v>80.13</v>
      </c>
      <c r="AI518" s="35">
        <f>Data!D513</f>
        <v>78.510000000000005</v>
      </c>
      <c r="AJ518" s="35">
        <f>Data!E513</f>
        <v>80.11</v>
      </c>
      <c r="AK518" s="35">
        <f>Data!F513</f>
        <v>2291267</v>
      </c>
      <c r="AL518" s="35">
        <f t="shared" ref="AL518:AL581" si="84">AJ518</f>
        <v>80.11</v>
      </c>
      <c r="AM518" s="35">
        <f t="shared" si="83"/>
        <v>-0.71152165772064335</v>
      </c>
      <c r="AN518" s="35">
        <f t="shared" si="82"/>
        <v>-19.992082982908581</v>
      </c>
      <c r="AO518" s="35" t="str">
        <f t="shared" si="76"/>
        <v>FITS BITCH</v>
      </c>
      <c r="AP518" s="35" t="str">
        <f t="shared" si="77"/>
        <v>no</v>
      </c>
      <c r="AQ518" s="35" t="str">
        <f t="shared" si="77"/>
        <v>no</v>
      </c>
      <c r="AR518" s="35" t="str">
        <f t="shared" si="78"/>
        <v>FITS BITCH</v>
      </c>
      <c r="AS518" s="35" t="str">
        <f t="shared" si="79"/>
        <v>FITS BITCH</v>
      </c>
      <c r="AT518" s="20" t="str">
        <f t="shared" si="80"/>
        <v/>
      </c>
      <c r="AU518" s="20" t="str">
        <f t="shared" si="81"/>
        <v/>
      </c>
      <c r="AV518" s="20"/>
      <c r="AW518" s="20"/>
      <c r="AX518" s="20"/>
    </row>
    <row r="519" spans="31:50">
      <c r="AE519" s="26">
        <f>Data!A514</f>
        <v>42216</v>
      </c>
      <c r="AF519" s="35">
        <f>Data!B514</f>
        <v>80.2</v>
      </c>
      <c r="AG519" s="35">
        <f>Data!F514</f>
        <v>2983959</v>
      </c>
      <c r="AH519" s="35">
        <f>Data!C514</f>
        <v>80.55</v>
      </c>
      <c r="AI519" s="35">
        <f>Data!D514</f>
        <v>79.31</v>
      </c>
      <c r="AJ519" s="35">
        <f>Data!E514</f>
        <v>79.77</v>
      </c>
      <c r="AK519" s="35">
        <f>Data!F514</f>
        <v>2983959</v>
      </c>
      <c r="AL519" s="35">
        <f t="shared" si="84"/>
        <v>79.77</v>
      </c>
      <c r="AM519" s="35">
        <f t="shared" si="83"/>
        <v>-0.42622539801930981</v>
      </c>
      <c r="AN519" s="35">
        <f t="shared" si="82"/>
        <v>23.213857831156528</v>
      </c>
      <c r="AO519" s="35" t="str">
        <f t="shared" si="76"/>
        <v>no</v>
      </c>
      <c r="AP519" s="35" t="str">
        <f t="shared" si="77"/>
        <v>no</v>
      </c>
      <c r="AQ519" s="35" t="str">
        <f t="shared" si="77"/>
        <v>FITS BITCH</v>
      </c>
      <c r="AR519" s="35" t="str">
        <f t="shared" si="78"/>
        <v>FITS BITCH</v>
      </c>
      <c r="AS519" s="35" t="str">
        <f t="shared" si="79"/>
        <v>no</v>
      </c>
      <c r="AT519" s="20" t="str">
        <f t="shared" si="80"/>
        <v/>
      </c>
      <c r="AU519" s="20" t="str">
        <f t="shared" si="81"/>
        <v/>
      </c>
      <c r="AV519" s="20"/>
      <c r="AW519" s="20"/>
      <c r="AX519" s="20"/>
    </row>
    <row r="520" spans="31:50">
      <c r="AE520" s="26">
        <f>Data!A515</f>
        <v>42215</v>
      </c>
      <c r="AF520" s="35">
        <f>Data!B515</f>
        <v>80</v>
      </c>
      <c r="AG520" s="35">
        <f>Data!F515</f>
        <v>4688136</v>
      </c>
      <c r="AH520" s="35">
        <f>Data!C515</f>
        <v>81.98</v>
      </c>
      <c r="AI520" s="35">
        <f>Data!D515</f>
        <v>78.36</v>
      </c>
      <c r="AJ520" s="35">
        <f>Data!E515</f>
        <v>80.13</v>
      </c>
      <c r="AK520" s="35">
        <f>Data!F515</f>
        <v>4688136</v>
      </c>
      <c r="AL520" s="35">
        <f t="shared" si="84"/>
        <v>80.13</v>
      </c>
      <c r="AM520" s="35">
        <f t="shared" si="83"/>
        <v>0.44926993635342499</v>
      </c>
      <c r="AN520" s="35">
        <f t="shared" si="82"/>
        <v>36.350843917497272</v>
      </c>
      <c r="AO520" s="35" t="str">
        <f t="shared" si="76"/>
        <v>no</v>
      </c>
      <c r="AP520" s="35" t="str">
        <f t="shared" si="77"/>
        <v>no</v>
      </c>
      <c r="AQ520" s="35" t="str">
        <f t="shared" si="77"/>
        <v>no</v>
      </c>
      <c r="AR520" s="35" t="str">
        <f t="shared" si="78"/>
        <v>FITS BITCH</v>
      </c>
      <c r="AS520" s="35" t="str">
        <f t="shared" si="79"/>
        <v>no</v>
      </c>
      <c r="AT520" s="20" t="str">
        <f t="shared" si="80"/>
        <v/>
      </c>
      <c r="AU520" s="20" t="str">
        <f t="shared" si="81"/>
        <v/>
      </c>
      <c r="AV520" s="20"/>
      <c r="AW520" s="20"/>
      <c r="AX520" s="20"/>
    </row>
    <row r="521" spans="31:50">
      <c r="AE521" s="26">
        <f>Data!A516</f>
        <v>42214</v>
      </c>
      <c r="AF521" s="35">
        <f>Data!B516</f>
        <v>80.45</v>
      </c>
      <c r="AG521" s="35">
        <f>Data!F516</f>
        <v>2744699</v>
      </c>
      <c r="AH521" s="35">
        <f>Data!C516</f>
        <v>82.51</v>
      </c>
      <c r="AI521" s="35">
        <f>Data!D516</f>
        <v>80.38</v>
      </c>
      <c r="AJ521" s="35">
        <f>Data!E516</f>
        <v>82.34</v>
      </c>
      <c r="AK521" s="35">
        <f>Data!F516</f>
        <v>2744699</v>
      </c>
      <c r="AL521" s="35">
        <f t="shared" si="84"/>
        <v>82.34</v>
      </c>
      <c r="AM521" s="35">
        <f t="shared" si="83"/>
        <v>2.6839931989312702</v>
      </c>
      <c r="AN521" s="35">
        <f t="shared" si="82"/>
        <v>-70.80692636970393</v>
      </c>
      <c r="AO521" s="35" t="str">
        <f t="shared" ref="AO521:AO584" si="85">IF(AN521&lt;-8,"FITS BITCH",IF(AN521&gt;-8,"no"))</f>
        <v>FITS BITCH</v>
      </c>
      <c r="AP521" s="35" t="str">
        <f t="shared" ref="AP521:AQ584" si="86">IF(AH522&lt;AH521,"FITS BITCH",IF(AH522&gt;AH521,"no"))</f>
        <v>FITS BITCH</v>
      </c>
      <c r="AQ521" s="35" t="str">
        <f t="shared" si="86"/>
        <v>FITS BITCH</v>
      </c>
      <c r="AR521" s="35" t="str">
        <f t="shared" ref="AR521:AR584" si="87">IF(AJ521&lt;AH522,"FITS BITCH",IF(AJ521&gt;AH522,"no"))</f>
        <v>no</v>
      </c>
      <c r="AS521" s="35" t="str">
        <f t="shared" ref="AS521:AS584" si="88">IF(AJ521&gt;AJ522,"FITS BITCH",IF(AJ521&lt;AJ522,"no"))</f>
        <v>FITS BITCH</v>
      </c>
      <c r="AT521" s="20" t="str">
        <f t="shared" ref="AT521:AT584" si="89">IF(AND($AO521="FITS BITCH",$AP521="FITS BITCH",$AR521="FITS BITCH"),"BULLISH","")</f>
        <v/>
      </c>
      <c r="AU521" s="20" t="str">
        <f t="shared" ref="AU521:AU584" si="90">IF(AND($AO521="FITS BITCH",$AQ521="FITS BITCH",$AS521="FITS BITCH"),"BEARISH","")</f>
        <v>BEARISH</v>
      </c>
      <c r="AV521" s="20"/>
      <c r="AW521" s="20"/>
      <c r="AX521" s="20"/>
    </row>
    <row r="522" spans="31:50">
      <c r="AE522" s="26">
        <f>Data!A517</f>
        <v>42213</v>
      </c>
      <c r="AF522" s="35">
        <f>Data!B517</f>
        <v>79.760000000000005</v>
      </c>
      <c r="AG522" s="35">
        <f>Data!F517</f>
        <v>1540063</v>
      </c>
      <c r="AH522" s="35">
        <f>Data!C517</f>
        <v>80.7</v>
      </c>
      <c r="AI522" s="35">
        <f>Data!D517</f>
        <v>79.41</v>
      </c>
      <c r="AJ522" s="35">
        <f>Data!E517</f>
        <v>80.58</v>
      </c>
      <c r="AK522" s="35">
        <f>Data!F517</f>
        <v>1540063</v>
      </c>
      <c r="AL522" s="35">
        <f t="shared" si="84"/>
        <v>80.58</v>
      </c>
      <c r="AM522" s="35">
        <f t="shared" si="83"/>
        <v>-2.1841648051625779</v>
      </c>
      <c r="AN522" s="35">
        <f t="shared" ref="AN522:AN585" si="91">(AK522-AK521)/AK522*100</f>
        <v>-78.219916977422358</v>
      </c>
      <c r="AO522" s="35" t="str">
        <f t="shared" si="85"/>
        <v>FITS BITCH</v>
      </c>
      <c r="AP522" s="35" t="str">
        <f t="shared" si="86"/>
        <v>FITS BITCH</v>
      </c>
      <c r="AQ522" s="35" t="str">
        <f t="shared" si="86"/>
        <v>FITS BITCH</v>
      </c>
      <c r="AR522" s="35" t="str">
        <f t="shared" si="87"/>
        <v>no</v>
      </c>
      <c r="AS522" s="35" t="str">
        <f t="shared" si="88"/>
        <v>FITS BITCH</v>
      </c>
      <c r="AT522" s="20" t="str">
        <f t="shared" si="89"/>
        <v/>
      </c>
      <c r="AU522" s="20" t="str">
        <f t="shared" si="90"/>
        <v>BEARISH</v>
      </c>
      <c r="AV522" s="20"/>
      <c r="AW522" s="20"/>
      <c r="AX522" s="20"/>
    </row>
    <row r="523" spans="31:50">
      <c r="AE523" s="26">
        <f>Data!A518</f>
        <v>42212</v>
      </c>
      <c r="AF523" s="35">
        <f>Data!B518</f>
        <v>79.61</v>
      </c>
      <c r="AG523" s="35">
        <f>Data!F518</f>
        <v>1649795</v>
      </c>
      <c r="AH523" s="35">
        <f>Data!C518</f>
        <v>79.959999999999994</v>
      </c>
      <c r="AI523" s="35">
        <f>Data!D518</f>
        <v>79.22</v>
      </c>
      <c r="AJ523" s="35">
        <f>Data!E518</f>
        <v>79.72</v>
      </c>
      <c r="AK523" s="35">
        <f>Data!F518</f>
        <v>1649795</v>
      </c>
      <c r="AL523" s="35">
        <f t="shared" si="84"/>
        <v>79.72</v>
      </c>
      <c r="AM523" s="35">
        <f t="shared" si="83"/>
        <v>-1.0787757150025081</v>
      </c>
      <c r="AN523" s="35">
        <f t="shared" si="91"/>
        <v>6.6512506099242623</v>
      </c>
      <c r="AO523" s="35" t="str">
        <f t="shared" si="85"/>
        <v>no</v>
      </c>
      <c r="AP523" s="35" t="str">
        <f t="shared" si="86"/>
        <v>no</v>
      </c>
      <c r="AQ523" s="35" t="str">
        <f t="shared" si="86"/>
        <v>no</v>
      </c>
      <c r="AR523" s="35" t="str">
        <f t="shared" si="87"/>
        <v>FITS BITCH</v>
      </c>
      <c r="AS523" s="35" t="str">
        <f t="shared" si="88"/>
        <v>no</v>
      </c>
      <c r="AT523" s="20" t="str">
        <f t="shared" si="89"/>
        <v/>
      </c>
      <c r="AU523" s="20" t="str">
        <f t="shared" si="90"/>
        <v/>
      </c>
      <c r="AV523" s="20"/>
      <c r="AW523" s="20"/>
      <c r="AX523" s="20"/>
    </row>
    <row r="524" spans="31:50">
      <c r="AE524" s="26">
        <f>Data!A519</f>
        <v>42209</v>
      </c>
      <c r="AF524" s="35">
        <f>Data!B519</f>
        <v>81.03</v>
      </c>
      <c r="AG524" s="35">
        <f>Data!F519</f>
        <v>1935584</v>
      </c>
      <c r="AH524" s="35">
        <f>Data!C519</f>
        <v>81.05</v>
      </c>
      <c r="AI524" s="35">
        <f>Data!D519</f>
        <v>79.66</v>
      </c>
      <c r="AJ524" s="35">
        <f>Data!E519</f>
        <v>79.78</v>
      </c>
      <c r="AK524" s="35">
        <f>Data!F519</f>
        <v>1935584</v>
      </c>
      <c r="AL524" s="35">
        <f t="shared" si="84"/>
        <v>79.78</v>
      </c>
      <c r="AM524" s="35">
        <f t="shared" si="83"/>
        <v>7.5206818751569662E-2</v>
      </c>
      <c r="AN524" s="35">
        <f t="shared" si="91"/>
        <v>14.765001157273463</v>
      </c>
      <c r="AO524" s="35" t="str">
        <f t="shared" si="85"/>
        <v>no</v>
      </c>
      <c r="AP524" s="35" t="str">
        <f t="shared" si="86"/>
        <v>no</v>
      </c>
      <c r="AQ524" s="35" t="str">
        <f t="shared" si="86"/>
        <v>no</v>
      </c>
      <c r="AR524" s="35" t="str">
        <f t="shared" si="87"/>
        <v>FITS BITCH</v>
      </c>
      <c r="AS524" s="35" t="str">
        <f t="shared" si="88"/>
        <v>no</v>
      </c>
      <c r="AT524" s="20" t="str">
        <f t="shared" si="89"/>
        <v/>
      </c>
      <c r="AU524" s="20" t="str">
        <f t="shared" si="90"/>
        <v/>
      </c>
      <c r="AV524" s="20"/>
      <c r="AW524" s="20"/>
      <c r="AX524" s="20"/>
    </row>
    <row r="525" spans="31:50">
      <c r="AE525" s="26">
        <f>Data!A520</f>
        <v>42208</v>
      </c>
      <c r="AF525" s="35">
        <f>Data!B520</f>
        <v>81.42</v>
      </c>
      <c r="AG525" s="35">
        <f>Data!F520</f>
        <v>1368577</v>
      </c>
      <c r="AH525" s="35">
        <f>Data!C520</f>
        <v>81.53</v>
      </c>
      <c r="AI525" s="35">
        <f>Data!D520</f>
        <v>80.72</v>
      </c>
      <c r="AJ525" s="35">
        <f>Data!E520</f>
        <v>80.94</v>
      </c>
      <c r="AK525" s="35">
        <f>Data!F520</f>
        <v>1368577</v>
      </c>
      <c r="AL525" s="35">
        <f t="shared" si="84"/>
        <v>80.94</v>
      </c>
      <c r="AM525" s="35">
        <f t="shared" si="83"/>
        <v>1.4331603657029857</v>
      </c>
      <c r="AN525" s="35">
        <f t="shared" si="91"/>
        <v>-41.430405450332721</v>
      </c>
      <c r="AO525" s="35" t="str">
        <f t="shared" si="85"/>
        <v>FITS BITCH</v>
      </c>
      <c r="AP525" s="35" t="str">
        <f t="shared" si="86"/>
        <v>no</v>
      </c>
      <c r="AQ525" s="35" t="str">
        <f t="shared" si="86"/>
        <v>no</v>
      </c>
      <c r="AR525" s="35" t="str">
        <f t="shared" si="87"/>
        <v>FITS BITCH</v>
      </c>
      <c r="AS525" s="35" t="str">
        <f t="shared" si="88"/>
        <v>no</v>
      </c>
      <c r="AT525" s="20" t="str">
        <f t="shared" si="89"/>
        <v/>
      </c>
      <c r="AU525" s="20" t="str">
        <f t="shared" si="90"/>
        <v/>
      </c>
      <c r="AV525" s="20"/>
      <c r="AW525" s="20"/>
      <c r="AX525" s="20"/>
    </row>
    <row r="526" spans="31:50">
      <c r="AE526" s="26">
        <f>Data!A521</f>
        <v>42207</v>
      </c>
      <c r="AF526" s="35">
        <f>Data!B521</f>
        <v>81.63</v>
      </c>
      <c r="AG526" s="35">
        <f>Data!F521</f>
        <v>1529111</v>
      </c>
      <c r="AH526" s="35">
        <f>Data!C521</f>
        <v>82.11</v>
      </c>
      <c r="AI526" s="35">
        <f>Data!D521</f>
        <v>81.459999999999994</v>
      </c>
      <c r="AJ526" s="35">
        <f>Data!E521</f>
        <v>81.69</v>
      </c>
      <c r="AK526" s="35">
        <f>Data!F521</f>
        <v>1529111</v>
      </c>
      <c r="AL526" s="35">
        <f t="shared" si="84"/>
        <v>81.69</v>
      </c>
      <c r="AM526" s="35">
        <f t="shared" si="83"/>
        <v>0.91810503121557108</v>
      </c>
      <c r="AN526" s="35">
        <f t="shared" si="91"/>
        <v>10.498518420180092</v>
      </c>
      <c r="AO526" s="35" t="str">
        <f t="shared" si="85"/>
        <v>no</v>
      </c>
      <c r="AP526" s="35" t="str">
        <f t="shared" si="86"/>
        <v>no</v>
      </c>
      <c r="AQ526" s="35" t="str">
        <f t="shared" si="86"/>
        <v>FITS BITCH</v>
      </c>
      <c r="AR526" s="35" t="str">
        <f t="shared" si="87"/>
        <v>FITS BITCH</v>
      </c>
      <c r="AS526" s="35" t="str">
        <f t="shared" si="88"/>
        <v>FITS BITCH</v>
      </c>
      <c r="AT526" s="20" t="str">
        <f t="shared" si="89"/>
        <v/>
      </c>
      <c r="AU526" s="20" t="str">
        <f t="shared" si="90"/>
        <v/>
      </c>
      <c r="AV526" s="20"/>
      <c r="AW526" s="20"/>
      <c r="AX526" s="20"/>
    </row>
    <row r="527" spans="31:50">
      <c r="AE527" s="26">
        <f>Data!A522</f>
        <v>42206</v>
      </c>
      <c r="AF527" s="35">
        <f>Data!B522</f>
        <v>82.18</v>
      </c>
      <c r="AG527" s="35">
        <f>Data!F522</f>
        <v>1964296</v>
      </c>
      <c r="AH527" s="35">
        <f>Data!C522</f>
        <v>82.28</v>
      </c>
      <c r="AI527" s="35">
        <f>Data!D522</f>
        <v>81.13</v>
      </c>
      <c r="AJ527" s="35">
        <f>Data!E522</f>
        <v>81.41</v>
      </c>
      <c r="AK527" s="35">
        <f>Data!F522</f>
        <v>1964296</v>
      </c>
      <c r="AL527" s="35">
        <f t="shared" si="84"/>
        <v>81.41</v>
      </c>
      <c r="AM527" s="35">
        <f t="shared" si="83"/>
        <v>-0.34393809114359553</v>
      </c>
      <c r="AN527" s="35">
        <f t="shared" si="91"/>
        <v>22.154756716910281</v>
      </c>
      <c r="AO527" s="35" t="str">
        <f t="shared" si="85"/>
        <v>no</v>
      </c>
      <c r="AP527" s="35" t="str">
        <f t="shared" si="86"/>
        <v>no</v>
      </c>
      <c r="AQ527" s="35" t="str">
        <f t="shared" si="86"/>
        <v>no</v>
      </c>
      <c r="AR527" s="35" t="str">
        <f t="shared" si="87"/>
        <v>FITS BITCH</v>
      </c>
      <c r="AS527" s="35" t="str">
        <f t="shared" si="88"/>
        <v>no</v>
      </c>
      <c r="AT527" s="20" t="str">
        <f t="shared" si="89"/>
        <v/>
      </c>
      <c r="AU527" s="20" t="str">
        <f t="shared" si="90"/>
        <v/>
      </c>
      <c r="AV527" s="20"/>
      <c r="AW527" s="20"/>
      <c r="AX527" s="20"/>
    </row>
    <row r="528" spans="31:50">
      <c r="AE528" s="26">
        <f>Data!A523</f>
        <v>42205</v>
      </c>
      <c r="AF528" s="35">
        <f>Data!B523</f>
        <v>82.26</v>
      </c>
      <c r="AG528" s="35">
        <f>Data!F523</f>
        <v>1522473</v>
      </c>
      <c r="AH528" s="35">
        <f>Data!C523</f>
        <v>82.39</v>
      </c>
      <c r="AI528" s="35">
        <f>Data!D523</f>
        <v>81.92</v>
      </c>
      <c r="AJ528" s="35">
        <f>Data!E523</f>
        <v>82.17</v>
      </c>
      <c r="AK528" s="35">
        <f>Data!F523</f>
        <v>1522473</v>
      </c>
      <c r="AL528" s="35">
        <f t="shared" si="84"/>
        <v>82.17</v>
      </c>
      <c r="AM528" s="35">
        <f t="shared" si="83"/>
        <v>0.92491176828526855</v>
      </c>
      <c r="AN528" s="35">
        <f t="shared" si="91"/>
        <v>-29.020087712557135</v>
      </c>
      <c r="AO528" s="35" t="str">
        <f t="shared" si="85"/>
        <v>FITS BITCH</v>
      </c>
      <c r="AP528" s="35" t="str">
        <f t="shared" si="86"/>
        <v>no</v>
      </c>
      <c r="AQ528" s="35" t="str">
        <f t="shared" si="86"/>
        <v>no</v>
      </c>
      <c r="AR528" s="35" t="str">
        <f t="shared" si="87"/>
        <v>FITS BITCH</v>
      </c>
      <c r="AS528" s="35" t="str">
        <f t="shared" si="88"/>
        <v>no</v>
      </c>
      <c r="AT528" s="20" t="str">
        <f t="shared" si="89"/>
        <v/>
      </c>
      <c r="AU528" s="20" t="str">
        <f t="shared" si="90"/>
        <v/>
      </c>
      <c r="AV528" s="20"/>
      <c r="AW528" s="20"/>
      <c r="AX528" s="20"/>
    </row>
    <row r="529" spans="31:50">
      <c r="AE529" s="26">
        <f>Data!A524</f>
        <v>42202</v>
      </c>
      <c r="AF529" s="35">
        <f>Data!B524</f>
        <v>83.01</v>
      </c>
      <c r="AG529" s="35">
        <f>Data!F524</f>
        <v>1846361</v>
      </c>
      <c r="AH529" s="35">
        <f>Data!C524</f>
        <v>83.01</v>
      </c>
      <c r="AI529" s="35">
        <f>Data!D524</f>
        <v>82.25</v>
      </c>
      <c r="AJ529" s="35">
        <f>Data!E524</f>
        <v>82.39</v>
      </c>
      <c r="AK529" s="35">
        <f>Data!F524</f>
        <v>1846361</v>
      </c>
      <c r="AL529" s="35">
        <f t="shared" si="84"/>
        <v>82.39</v>
      </c>
      <c r="AM529" s="35">
        <f t="shared" si="83"/>
        <v>0.26702269692923758</v>
      </c>
      <c r="AN529" s="35">
        <f t="shared" si="91"/>
        <v>17.541964978679683</v>
      </c>
      <c r="AO529" s="35" t="str">
        <f t="shared" si="85"/>
        <v>no</v>
      </c>
      <c r="AP529" s="35" t="str">
        <f t="shared" si="86"/>
        <v>no</v>
      </c>
      <c r="AQ529" s="35" t="str">
        <f t="shared" si="86"/>
        <v>no</v>
      </c>
      <c r="AR529" s="35" t="str">
        <f t="shared" si="87"/>
        <v>FITS BITCH</v>
      </c>
      <c r="AS529" s="35" t="str">
        <f t="shared" si="88"/>
        <v>no</v>
      </c>
      <c r="AT529" s="20" t="str">
        <f t="shared" si="89"/>
        <v/>
      </c>
      <c r="AU529" s="20" t="str">
        <f t="shared" si="90"/>
        <v/>
      </c>
      <c r="AV529" s="20"/>
      <c r="AW529" s="20"/>
      <c r="AX529" s="20"/>
    </row>
    <row r="530" spans="31:50">
      <c r="AE530" s="26">
        <f>Data!A525</f>
        <v>42201</v>
      </c>
      <c r="AF530" s="35">
        <f>Data!B525</f>
        <v>82.89</v>
      </c>
      <c r="AG530" s="35">
        <f>Data!F525</f>
        <v>1546127</v>
      </c>
      <c r="AH530" s="35">
        <f>Data!C525</f>
        <v>83.04</v>
      </c>
      <c r="AI530" s="35">
        <f>Data!D525</f>
        <v>82.32</v>
      </c>
      <c r="AJ530" s="35">
        <f>Data!E525</f>
        <v>82.9</v>
      </c>
      <c r="AK530" s="35">
        <f>Data!F525</f>
        <v>1546127</v>
      </c>
      <c r="AL530" s="35">
        <f t="shared" si="84"/>
        <v>82.9</v>
      </c>
      <c r="AM530" s="35">
        <f t="shared" si="83"/>
        <v>0.61519903498191197</v>
      </c>
      <c r="AN530" s="35">
        <f t="shared" si="91"/>
        <v>-19.418456569221025</v>
      </c>
      <c r="AO530" s="35" t="str">
        <f t="shared" si="85"/>
        <v>FITS BITCH</v>
      </c>
      <c r="AP530" s="35" t="str">
        <f t="shared" si="86"/>
        <v>FITS BITCH</v>
      </c>
      <c r="AQ530" s="35" t="str">
        <f t="shared" si="86"/>
        <v>FITS BITCH</v>
      </c>
      <c r="AR530" s="35" t="str">
        <f t="shared" si="87"/>
        <v>no</v>
      </c>
      <c r="AS530" s="35" t="str">
        <f t="shared" si="88"/>
        <v>FITS BITCH</v>
      </c>
      <c r="AT530" s="20" t="str">
        <f t="shared" si="89"/>
        <v/>
      </c>
      <c r="AU530" s="20" t="str">
        <f t="shared" si="90"/>
        <v>BEARISH</v>
      </c>
      <c r="AV530" s="20"/>
      <c r="AW530" s="20"/>
      <c r="AX530" s="20"/>
    </row>
    <row r="531" spans="31:50">
      <c r="AE531" s="26">
        <f>Data!A526</f>
        <v>42200</v>
      </c>
      <c r="AF531" s="35">
        <f>Data!B526</f>
        <v>81.95</v>
      </c>
      <c r="AG531" s="35">
        <f>Data!F526</f>
        <v>2390576</v>
      </c>
      <c r="AH531" s="35">
        <f>Data!C526</f>
        <v>82.56</v>
      </c>
      <c r="AI531" s="35">
        <f>Data!D526</f>
        <v>81.5</v>
      </c>
      <c r="AJ531" s="35">
        <f>Data!E526</f>
        <v>82.5</v>
      </c>
      <c r="AK531" s="35">
        <f>Data!F526</f>
        <v>2390576</v>
      </c>
      <c r="AL531" s="35">
        <f t="shared" si="84"/>
        <v>82.5</v>
      </c>
      <c r="AM531" s="35">
        <f t="shared" si="83"/>
        <v>-0.48484848484849169</v>
      </c>
      <c r="AN531" s="35">
        <f t="shared" si="91"/>
        <v>35.324080890965192</v>
      </c>
      <c r="AO531" s="35" t="str">
        <f t="shared" si="85"/>
        <v>no</v>
      </c>
      <c r="AP531" s="35" t="str">
        <f t="shared" si="86"/>
        <v>FITS BITCH</v>
      </c>
      <c r="AQ531" s="35" t="str">
        <f t="shared" si="86"/>
        <v>FITS BITCH</v>
      </c>
      <c r="AR531" s="35" t="str">
        <f t="shared" si="87"/>
        <v>no</v>
      </c>
      <c r="AS531" s="35" t="str">
        <f t="shared" si="88"/>
        <v>FITS BITCH</v>
      </c>
      <c r="AT531" s="20" t="str">
        <f t="shared" si="89"/>
        <v/>
      </c>
      <c r="AU531" s="20" t="str">
        <f t="shared" si="90"/>
        <v/>
      </c>
      <c r="AV531" s="20"/>
      <c r="AW531" s="20"/>
      <c r="AX531" s="20"/>
    </row>
    <row r="532" spans="31:50">
      <c r="AE532" s="26">
        <f>Data!A527</f>
        <v>42199</v>
      </c>
      <c r="AF532" s="35">
        <f>Data!B527</f>
        <v>81.72</v>
      </c>
      <c r="AG532" s="35">
        <f>Data!F527</f>
        <v>1387056</v>
      </c>
      <c r="AH532" s="35">
        <f>Data!C527</f>
        <v>82.01</v>
      </c>
      <c r="AI532" s="35">
        <f>Data!D527</f>
        <v>81.48</v>
      </c>
      <c r="AJ532" s="35">
        <f>Data!E527</f>
        <v>81.89</v>
      </c>
      <c r="AK532" s="35">
        <f>Data!F527</f>
        <v>1387056</v>
      </c>
      <c r="AL532" s="35">
        <f t="shared" si="84"/>
        <v>81.89</v>
      </c>
      <c r="AM532" s="35">
        <f t="shared" si="83"/>
        <v>-0.74490169739894907</v>
      </c>
      <c r="AN532" s="35">
        <f t="shared" si="91"/>
        <v>-72.348917419339955</v>
      </c>
      <c r="AO532" s="35" t="str">
        <f t="shared" si="85"/>
        <v>FITS BITCH</v>
      </c>
      <c r="AP532" s="35" t="str">
        <f t="shared" si="86"/>
        <v>no</v>
      </c>
      <c r="AQ532" s="35" t="str">
        <f t="shared" si="86"/>
        <v>no</v>
      </c>
      <c r="AR532" s="35" t="str">
        <f t="shared" si="87"/>
        <v>FITS BITCH</v>
      </c>
      <c r="AS532" s="35" t="str">
        <f t="shared" si="88"/>
        <v>FITS BITCH</v>
      </c>
      <c r="AT532" s="20" t="str">
        <f t="shared" si="89"/>
        <v/>
      </c>
      <c r="AU532" s="20" t="str">
        <f t="shared" si="90"/>
        <v/>
      </c>
      <c r="AV532" s="20"/>
      <c r="AW532" s="20"/>
      <c r="AX532" s="20"/>
    </row>
    <row r="533" spans="31:50">
      <c r="AE533" s="26">
        <f>Data!A528</f>
        <v>42198</v>
      </c>
      <c r="AF533" s="35">
        <f>Data!B528</f>
        <v>81.849999999999994</v>
      </c>
      <c r="AG533" s="35">
        <f>Data!F528</f>
        <v>1337739</v>
      </c>
      <c r="AH533" s="35">
        <f>Data!C528</f>
        <v>82.3</v>
      </c>
      <c r="AI533" s="35">
        <f>Data!D528</f>
        <v>81.64</v>
      </c>
      <c r="AJ533" s="35">
        <f>Data!E528</f>
        <v>81.73</v>
      </c>
      <c r="AK533" s="35">
        <f>Data!F528</f>
        <v>1337739</v>
      </c>
      <c r="AL533" s="35">
        <f t="shared" si="84"/>
        <v>81.73</v>
      </c>
      <c r="AM533" s="35">
        <f t="shared" si="83"/>
        <v>-0.19576654839103952</v>
      </c>
      <c r="AN533" s="35">
        <f t="shared" si="91"/>
        <v>-3.6865935731858008</v>
      </c>
      <c r="AO533" s="35" t="str">
        <f t="shared" si="85"/>
        <v>no</v>
      </c>
      <c r="AP533" s="35" t="str">
        <f t="shared" si="86"/>
        <v>FITS BITCH</v>
      </c>
      <c r="AQ533" s="35" t="str">
        <f t="shared" si="86"/>
        <v>FITS BITCH</v>
      </c>
      <c r="AR533" s="35" t="str">
        <f t="shared" si="87"/>
        <v>FITS BITCH</v>
      </c>
      <c r="AS533" s="35" t="str">
        <f t="shared" si="88"/>
        <v>FITS BITCH</v>
      </c>
      <c r="AT533" s="20" t="str">
        <f t="shared" si="89"/>
        <v/>
      </c>
      <c r="AU533" s="20" t="str">
        <f t="shared" si="90"/>
        <v/>
      </c>
      <c r="AV533" s="20"/>
      <c r="AW533" s="20"/>
      <c r="AX533" s="20"/>
    </row>
    <row r="534" spans="31:50">
      <c r="AE534" s="26">
        <f>Data!A529</f>
        <v>42195</v>
      </c>
      <c r="AF534" s="35">
        <f>Data!B529</f>
        <v>81.86</v>
      </c>
      <c r="AG534" s="35">
        <f>Data!F529</f>
        <v>1371085</v>
      </c>
      <c r="AH534" s="35">
        <f>Data!C529</f>
        <v>81.87</v>
      </c>
      <c r="AI534" s="35">
        <f>Data!D529</f>
        <v>81.08</v>
      </c>
      <c r="AJ534" s="35">
        <f>Data!E529</f>
        <v>81.52</v>
      </c>
      <c r="AK534" s="35">
        <f>Data!F529</f>
        <v>1371085</v>
      </c>
      <c r="AL534" s="35">
        <f t="shared" si="84"/>
        <v>81.52</v>
      </c>
      <c r="AM534" s="35">
        <f t="shared" si="83"/>
        <v>-0.25760549558391554</v>
      </c>
      <c r="AN534" s="35">
        <f t="shared" si="91"/>
        <v>2.4320884554932771</v>
      </c>
      <c r="AO534" s="35" t="str">
        <f t="shared" si="85"/>
        <v>no</v>
      </c>
      <c r="AP534" s="35" t="str">
        <f t="shared" si="86"/>
        <v>FITS BITCH</v>
      </c>
      <c r="AQ534" s="35" t="str">
        <f t="shared" si="86"/>
        <v>FITS BITCH</v>
      </c>
      <c r="AR534" s="35" t="str">
        <f t="shared" si="87"/>
        <v>no</v>
      </c>
      <c r="AS534" s="35" t="str">
        <f t="shared" si="88"/>
        <v>FITS BITCH</v>
      </c>
      <c r="AT534" s="20" t="str">
        <f t="shared" si="89"/>
        <v/>
      </c>
      <c r="AU534" s="20" t="str">
        <f t="shared" si="90"/>
        <v/>
      </c>
      <c r="AV534" s="20"/>
      <c r="AW534" s="20"/>
      <c r="AX534" s="20"/>
    </row>
    <row r="535" spans="31:50">
      <c r="AE535" s="26">
        <f>Data!A530</f>
        <v>42194</v>
      </c>
      <c r="AF535" s="35">
        <f>Data!B530</f>
        <v>81.150000000000006</v>
      </c>
      <c r="AG535" s="35">
        <f>Data!F530</f>
        <v>1588076</v>
      </c>
      <c r="AH535" s="35">
        <f>Data!C530</f>
        <v>81.41</v>
      </c>
      <c r="AI535" s="35">
        <f>Data!D530</f>
        <v>80.650000000000006</v>
      </c>
      <c r="AJ535" s="35">
        <f>Data!E530</f>
        <v>80.69</v>
      </c>
      <c r="AK535" s="35">
        <f>Data!F530</f>
        <v>1588076</v>
      </c>
      <c r="AL535" s="35">
        <f t="shared" si="84"/>
        <v>80.69</v>
      </c>
      <c r="AM535" s="35">
        <f t="shared" si="83"/>
        <v>-1.0286280827859688</v>
      </c>
      <c r="AN535" s="35">
        <f t="shared" si="91"/>
        <v>13.663766721491918</v>
      </c>
      <c r="AO535" s="35" t="str">
        <f t="shared" si="85"/>
        <v>no</v>
      </c>
      <c r="AP535" s="35" t="str">
        <f t="shared" si="86"/>
        <v>FITS BITCH</v>
      </c>
      <c r="AQ535" s="35" t="str">
        <f t="shared" si="86"/>
        <v>FITS BITCH</v>
      </c>
      <c r="AR535" s="35" t="str">
        <f t="shared" si="87"/>
        <v>FITS BITCH</v>
      </c>
      <c r="AS535" s="35" t="str">
        <f t="shared" si="88"/>
        <v>FITS BITCH</v>
      </c>
      <c r="AT535" s="20" t="str">
        <f t="shared" si="89"/>
        <v/>
      </c>
      <c r="AU535" s="20" t="str">
        <f t="shared" si="90"/>
        <v/>
      </c>
      <c r="AV535" s="20"/>
      <c r="AW535" s="20"/>
      <c r="AX535" s="20"/>
    </row>
    <row r="536" spans="31:50">
      <c r="AE536" s="26">
        <f>Data!A531</f>
        <v>42193</v>
      </c>
      <c r="AF536" s="35">
        <f>Data!B531</f>
        <v>80.72</v>
      </c>
      <c r="AG536" s="35">
        <f>Data!F531</f>
        <v>1615780</v>
      </c>
      <c r="AH536" s="35">
        <f>Data!C531</f>
        <v>80.8</v>
      </c>
      <c r="AI536" s="35">
        <f>Data!D531</f>
        <v>79.98</v>
      </c>
      <c r="AJ536" s="35">
        <f>Data!E531</f>
        <v>80.03</v>
      </c>
      <c r="AK536" s="35">
        <f>Data!F531</f>
        <v>1615780</v>
      </c>
      <c r="AL536" s="35">
        <f t="shared" si="84"/>
        <v>80.03</v>
      </c>
      <c r="AM536" s="35">
        <f t="shared" si="83"/>
        <v>-0.82469074097213124</v>
      </c>
      <c r="AN536" s="35">
        <f t="shared" si="91"/>
        <v>1.7145898575301095</v>
      </c>
      <c r="AO536" s="35" t="str">
        <f t="shared" si="85"/>
        <v>no</v>
      </c>
      <c r="AP536" s="35" t="str">
        <f t="shared" si="86"/>
        <v>no</v>
      </c>
      <c r="AQ536" s="35" t="str">
        <f t="shared" si="86"/>
        <v>FITS BITCH</v>
      </c>
      <c r="AR536" s="35" t="str">
        <f t="shared" si="87"/>
        <v>FITS BITCH</v>
      </c>
      <c r="AS536" s="35" t="str">
        <f t="shared" si="88"/>
        <v>no</v>
      </c>
      <c r="AT536" s="20" t="str">
        <f t="shared" si="89"/>
        <v/>
      </c>
      <c r="AU536" s="20" t="str">
        <f t="shared" si="90"/>
        <v/>
      </c>
      <c r="AV536" s="20"/>
      <c r="AW536" s="20"/>
      <c r="AX536" s="20"/>
    </row>
    <row r="537" spans="31:50">
      <c r="AE537" s="26">
        <f>Data!A532</f>
        <v>42192</v>
      </c>
      <c r="AF537" s="35">
        <f>Data!B532</f>
        <v>80.97</v>
      </c>
      <c r="AG537" s="35">
        <f>Data!F532</f>
        <v>1747574</v>
      </c>
      <c r="AH537" s="35">
        <f>Data!C532</f>
        <v>81.239999999999995</v>
      </c>
      <c r="AI537" s="35">
        <f>Data!D532</f>
        <v>79.849999999999994</v>
      </c>
      <c r="AJ537" s="35">
        <f>Data!E532</f>
        <v>81.069999999999993</v>
      </c>
      <c r="AK537" s="35">
        <f>Data!F532</f>
        <v>1747574</v>
      </c>
      <c r="AL537" s="35">
        <f t="shared" si="84"/>
        <v>81.069999999999993</v>
      </c>
      <c r="AM537" s="35">
        <f t="shared" si="83"/>
        <v>1.2828419884050724</v>
      </c>
      <c r="AN537" s="35">
        <f t="shared" si="91"/>
        <v>7.5415404440670324</v>
      </c>
      <c r="AO537" s="35" t="str">
        <f t="shared" si="85"/>
        <v>no</v>
      </c>
      <c r="AP537" s="35" t="str">
        <f t="shared" si="86"/>
        <v>FITS BITCH</v>
      </c>
      <c r="AQ537" s="35" t="str">
        <f t="shared" si="86"/>
        <v>no</v>
      </c>
      <c r="AR537" s="35" t="str">
        <f t="shared" si="87"/>
        <v>no</v>
      </c>
      <c r="AS537" s="35" t="str">
        <f t="shared" si="88"/>
        <v>FITS BITCH</v>
      </c>
      <c r="AT537" s="20" t="str">
        <f t="shared" si="89"/>
        <v/>
      </c>
      <c r="AU537" s="20" t="str">
        <f t="shared" si="90"/>
        <v/>
      </c>
      <c r="AV537" s="20"/>
      <c r="AW537" s="20"/>
      <c r="AX537" s="20"/>
    </row>
    <row r="538" spans="31:50">
      <c r="AE538" s="26">
        <f>Data!A533</f>
        <v>42191</v>
      </c>
      <c r="AF538" s="35">
        <f>Data!B533</f>
        <v>80</v>
      </c>
      <c r="AG538" s="35">
        <f>Data!F533</f>
        <v>1503644</v>
      </c>
      <c r="AH538" s="35">
        <f>Data!C533</f>
        <v>80.94</v>
      </c>
      <c r="AI538" s="35">
        <f>Data!D533</f>
        <v>80</v>
      </c>
      <c r="AJ538" s="35">
        <f>Data!E533</f>
        <v>80.83</v>
      </c>
      <c r="AK538" s="35">
        <f>Data!F533</f>
        <v>1503644</v>
      </c>
      <c r="AL538" s="35">
        <f t="shared" si="84"/>
        <v>80.83</v>
      </c>
      <c r="AM538" s="35">
        <f t="shared" si="83"/>
        <v>-0.29691946059630692</v>
      </c>
      <c r="AN538" s="35">
        <f t="shared" si="91"/>
        <v>-16.222589921550579</v>
      </c>
      <c r="AO538" s="35" t="str">
        <f t="shared" si="85"/>
        <v>FITS BITCH</v>
      </c>
      <c r="AP538" s="35" t="str">
        <f t="shared" si="86"/>
        <v>no</v>
      </c>
      <c r="AQ538" s="35" t="str">
        <f t="shared" si="86"/>
        <v>no</v>
      </c>
      <c r="AR538" s="35" t="str">
        <f t="shared" si="87"/>
        <v>FITS BITCH</v>
      </c>
      <c r="AS538" s="35" t="b">
        <f t="shared" si="88"/>
        <v>0</v>
      </c>
      <c r="AT538" s="20" t="str">
        <f t="shared" si="89"/>
        <v/>
      </c>
      <c r="AU538" s="20" t="str">
        <f t="shared" si="90"/>
        <v/>
      </c>
      <c r="AV538" s="20"/>
      <c r="AW538" s="20"/>
      <c r="AX538" s="20"/>
    </row>
    <row r="539" spans="31:50">
      <c r="AE539" s="26">
        <f>Data!A534</f>
        <v>42187</v>
      </c>
      <c r="AF539" s="35">
        <f>Data!B534</f>
        <v>81.23</v>
      </c>
      <c r="AG539" s="35">
        <f>Data!F534</f>
        <v>1792027</v>
      </c>
      <c r="AH539" s="35">
        <f>Data!C534</f>
        <v>81.260000000000005</v>
      </c>
      <c r="AI539" s="35">
        <f>Data!D534</f>
        <v>80.349999999999994</v>
      </c>
      <c r="AJ539" s="35">
        <f>Data!E534</f>
        <v>80.83</v>
      </c>
      <c r="AK539" s="35">
        <f>Data!F534</f>
        <v>1792027</v>
      </c>
      <c r="AL539" s="35">
        <f t="shared" si="84"/>
        <v>80.83</v>
      </c>
      <c r="AM539" s="35">
        <f t="shared" si="83"/>
        <v>0</v>
      </c>
      <c r="AN539" s="35">
        <f t="shared" si="91"/>
        <v>16.092558873275905</v>
      </c>
      <c r="AO539" s="35" t="str">
        <f t="shared" si="85"/>
        <v>no</v>
      </c>
      <c r="AP539" s="35" t="str">
        <f t="shared" si="86"/>
        <v>FITS BITCH</v>
      </c>
      <c r="AQ539" s="35" t="str">
        <f t="shared" si="86"/>
        <v>FITS BITCH</v>
      </c>
      <c r="AR539" s="35" t="str">
        <f t="shared" si="87"/>
        <v>FITS BITCH</v>
      </c>
      <c r="AS539" s="35" t="str">
        <f t="shared" si="88"/>
        <v>no</v>
      </c>
      <c r="AT539" s="20" t="str">
        <f t="shared" si="89"/>
        <v/>
      </c>
      <c r="AU539" s="20" t="str">
        <f t="shared" si="90"/>
        <v/>
      </c>
      <c r="AV539" s="20"/>
      <c r="AW539" s="20"/>
      <c r="AX539" s="20"/>
    </row>
    <row r="540" spans="31:50">
      <c r="AE540" s="26">
        <f>Data!A535</f>
        <v>42186</v>
      </c>
      <c r="AF540" s="35">
        <f>Data!B535</f>
        <v>79.510000000000005</v>
      </c>
      <c r="AG540" s="35">
        <f>Data!F535</f>
        <v>1821155</v>
      </c>
      <c r="AH540" s="35">
        <f>Data!C535</f>
        <v>81.19</v>
      </c>
      <c r="AI540" s="35">
        <f>Data!D535</f>
        <v>79.510000000000005</v>
      </c>
      <c r="AJ540" s="35">
        <f>Data!E535</f>
        <v>80.89</v>
      </c>
      <c r="AK540" s="35">
        <f>Data!F535</f>
        <v>1821155</v>
      </c>
      <c r="AL540" s="35">
        <f t="shared" si="84"/>
        <v>80.89</v>
      </c>
      <c r="AM540" s="35">
        <f t="shared" si="83"/>
        <v>7.4174805291138929E-2</v>
      </c>
      <c r="AN540" s="35">
        <f t="shared" si="91"/>
        <v>1.5994245410192982</v>
      </c>
      <c r="AO540" s="35" t="str">
        <f t="shared" si="85"/>
        <v>no</v>
      </c>
      <c r="AP540" s="35" t="str">
        <f t="shared" si="86"/>
        <v>no</v>
      </c>
      <c r="AQ540" s="35" t="str">
        <f t="shared" si="86"/>
        <v>no</v>
      </c>
      <c r="AR540" s="35" t="str">
        <f t="shared" si="87"/>
        <v>FITS BITCH</v>
      </c>
      <c r="AS540" s="35" t="str">
        <f t="shared" si="88"/>
        <v>FITS BITCH</v>
      </c>
      <c r="AT540" s="20" t="str">
        <f t="shared" si="89"/>
        <v/>
      </c>
      <c r="AU540" s="20" t="str">
        <f t="shared" si="90"/>
        <v/>
      </c>
      <c r="AV540" s="20"/>
      <c r="AW540" s="20"/>
      <c r="AX540" s="20"/>
    </row>
    <row r="541" spans="31:50">
      <c r="AE541" s="26">
        <f>Data!A536</f>
        <v>42185</v>
      </c>
      <c r="AF541" s="35">
        <f>Data!B536</f>
        <v>81.39</v>
      </c>
      <c r="AG541" s="35">
        <f>Data!F536</f>
        <v>2688846</v>
      </c>
      <c r="AH541" s="35">
        <f>Data!C536</f>
        <v>81.66</v>
      </c>
      <c r="AI541" s="35">
        <f>Data!D536</f>
        <v>79.8</v>
      </c>
      <c r="AJ541" s="35">
        <f>Data!E536</f>
        <v>80.23</v>
      </c>
      <c r="AK541" s="35">
        <f>Data!F536</f>
        <v>2688846</v>
      </c>
      <c r="AL541" s="35">
        <f t="shared" si="84"/>
        <v>80.23</v>
      </c>
      <c r="AM541" s="35">
        <f t="shared" si="83"/>
        <v>-0.82263492459179433</v>
      </c>
      <c r="AN541" s="35">
        <f t="shared" si="91"/>
        <v>32.270014720069504</v>
      </c>
      <c r="AO541" s="35" t="str">
        <f t="shared" si="85"/>
        <v>no</v>
      </c>
      <c r="AP541" s="35" t="str">
        <f t="shared" si="86"/>
        <v>no</v>
      </c>
      <c r="AQ541" s="35" t="str">
        <f t="shared" si="86"/>
        <v>no</v>
      </c>
      <c r="AR541" s="35" t="str">
        <f t="shared" si="87"/>
        <v>FITS BITCH</v>
      </c>
      <c r="AS541" s="35" t="str">
        <f t="shared" si="88"/>
        <v>no</v>
      </c>
      <c r="AT541" s="20" t="str">
        <f t="shared" si="89"/>
        <v/>
      </c>
      <c r="AU541" s="20" t="str">
        <f t="shared" si="90"/>
        <v/>
      </c>
      <c r="AV541" s="20"/>
      <c r="AW541" s="20"/>
      <c r="AX541" s="20"/>
    </row>
    <row r="542" spans="31:50">
      <c r="AE542" s="26">
        <f>Data!A537</f>
        <v>42184</v>
      </c>
      <c r="AF542" s="35">
        <f>Data!B537</f>
        <v>82.8</v>
      </c>
      <c r="AG542" s="35">
        <f>Data!F537</f>
        <v>1774197</v>
      </c>
      <c r="AH542" s="35">
        <f>Data!C537</f>
        <v>82.8</v>
      </c>
      <c r="AI542" s="35">
        <f>Data!D537</f>
        <v>80.849999999999994</v>
      </c>
      <c r="AJ542" s="35">
        <f>Data!E537</f>
        <v>80.91</v>
      </c>
      <c r="AK542" s="35">
        <f>Data!F537</f>
        <v>1774197</v>
      </c>
      <c r="AL542" s="35">
        <f t="shared" si="84"/>
        <v>80.91</v>
      </c>
      <c r="AM542" s="35">
        <f t="shared" si="83"/>
        <v>0.84043999505622624</v>
      </c>
      <c r="AN542" s="35">
        <f t="shared" si="91"/>
        <v>-51.55284334265022</v>
      </c>
      <c r="AO542" s="35" t="str">
        <f t="shared" si="85"/>
        <v>FITS BITCH</v>
      </c>
      <c r="AP542" s="35" t="str">
        <f t="shared" si="86"/>
        <v>no</v>
      </c>
      <c r="AQ542" s="35" t="str">
        <f t="shared" si="86"/>
        <v>no</v>
      </c>
      <c r="AR542" s="35" t="str">
        <f t="shared" si="87"/>
        <v>FITS BITCH</v>
      </c>
      <c r="AS542" s="35" t="str">
        <f t="shared" si="88"/>
        <v>no</v>
      </c>
      <c r="AT542" s="20" t="str">
        <f t="shared" si="89"/>
        <v/>
      </c>
      <c r="AU542" s="20" t="str">
        <f t="shared" si="90"/>
        <v/>
      </c>
      <c r="AV542" s="20"/>
      <c r="AW542" s="20"/>
      <c r="AX542" s="20"/>
    </row>
    <row r="543" spans="31:50">
      <c r="AE543" s="26">
        <f>Data!A538</f>
        <v>42181</v>
      </c>
      <c r="AF543" s="35">
        <f>Data!B538</f>
        <v>83.78</v>
      </c>
      <c r="AG543" s="35">
        <f>Data!F538</f>
        <v>2889750</v>
      </c>
      <c r="AH543" s="35">
        <f>Data!C538</f>
        <v>83.84</v>
      </c>
      <c r="AI543" s="35">
        <f>Data!D538</f>
        <v>83.03</v>
      </c>
      <c r="AJ543" s="35">
        <f>Data!E538</f>
        <v>83.31</v>
      </c>
      <c r="AK543" s="35">
        <f>Data!F538</f>
        <v>2889750</v>
      </c>
      <c r="AL543" s="35">
        <f t="shared" si="84"/>
        <v>83.31</v>
      </c>
      <c r="AM543" s="35">
        <f t="shared" si="83"/>
        <v>2.8808066258552461</v>
      </c>
      <c r="AN543" s="35">
        <f t="shared" si="91"/>
        <v>38.603789255125875</v>
      </c>
      <c r="AO543" s="35" t="str">
        <f t="shared" si="85"/>
        <v>no</v>
      </c>
      <c r="AP543" s="35" t="str">
        <f t="shared" si="86"/>
        <v>no</v>
      </c>
      <c r="AQ543" s="35" t="str">
        <f t="shared" si="86"/>
        <v>no</v>
      </c>
      <c r="AR543" s="35" t="str">
        <f t="shared" si="87"/>
        <v>FITS BITCH</v>
      </c>
      <c r="AS543" s="35" t="str">
        <f t="shared" si="88"/>
        <v>no</v>
      </c>
      <c r="AT543" s="20" t="str">
        <f t="shared" si="89"/>
        <v/>
      </c>
      <c r="AU543" s="20" t="str">
        <f t="shared" si="90"/>
        <v/>
      </c>
      <c r="AV543" s="20"/>
      <c r="AW543" s="20"/>
      <c r="AX543" s="20"/>
    </row>
    <row r="544" spans="31:50">
      <c r="AE544" s="26">
        <f>Data!A539</f>
        <v>42180</v>
      </c>
      <c r="AF544" s="35">
        <f>Data!B539</f>
        <v>83.71</v>
      </c>
      <c r="AG544" s="35">
        <f>Data!F539</f>
        <v>1200144</v>
      </c>
      <c r="AH544" s="35">
        <f>Data!C539</f>
        <v>83.89</v>
      </c>
      <c r="AI544" s="35">
        <f>Data!D539</f>
        <v>83.22</v>
      </c>
      <c r="AJ544" s="35">
        <f>Data!E539</f>
        <v>83.35</v>
      </c>
      <c r="AK544" s="35">
        <f>Data!F539</f>
        <v>1200144</v>
      </c>
      <c r="AL544" s="35">
        <f t="shared" si="84"/>
        <v>83.35</v>
      </c>
      <c r="AM544" s="35">
        <f t="shared" si="83"/>
        <v>4.7990401919606532E-2</v>
      </c>
      <c r="AN544" s="35">
        <f t="shared" si="91"/>
        <v>-140.78360596728393</v>
      </c>
      <c r="AO544" s="35" t="str">
        <f t="shared" si="85"/>
        <v>FITS BITCH</v>
      </c>
      <c r="AP544" s="35" t="str">
        <f t="shared" si="86"/>
        <v>no</v>
      </c>
      <c r="AQ544" s="35" t="str">
        <f t="shared" si="86"/>
        <v>no</v>
      </c>
      <c r="AR544" s="35" t="str">
        <f t="shared" si="87"/>
        <v>FITS BITCH</v>
      </c>
      <c r="AS544" s="35" t="str">
        <f t="shared" si="88"/>
        <v>no</v>
      </c>
      <c r="AT544" s="20" t="str">
        <f t="shared" si="89"/>
        <v/>
      </c>
      <c r="AU544" s="20" t="str">
        <f t="shared" si="90"/>
        <v/>
      </c>
      <c r="AV544" s="20"/>
      <c r="AW544" s="20"/>
      <c r="AX544" s="20"/>
    </row>
    <row r="545" spans="31:50">
      <c r="AE545" s="26">
        <f>Data!A540</f>
        <v>42179</v>
      </c>
      <c r="AF545" s="35">
        <f>Data!B540</f>
        <v>84.64</v>
      </c>
      <c r="AG545" s="35">
        <f>Data!F540</f>
        <v>1548316</v>
      </c>
      <c r="AH545" s="35">
        <f>Data!C540</f>
        <v>84.76</v>
      </c>
      <c r="AI545" s="35">
        <f>Data!D540</f>
        <v>83.6</v>
      </c>
      <c r="AJ545" s="35">
        <f>Data!E540</f>
        <v>83.63</v>
      </c>
      <c r="AK545" s="35">
        <f>Data!F540</f>
        <v>1548316</v>
      </c>
      <c r="AL545" s="35">
        <f t="shared" si="84"/>
        <v>83.63</v>
      </c>
      <c r="AM545" s="35">
        <f t="shared" si="83"/>
        <v>0.33480808322372496</v>
      </c>
      <c r="AN545" s="35">
        <f t="shared" si="91"/>
        <v>22.48714086788485</v>
      </c>
      <c r="AO545" s="35" t="str">
        <f t="shared" si="85"/>
        <v>no</v>
      </c>
      <c r="AP545" s="35" t="str">
        <f t="shared" si="86"/>
        <v>no</v>
      </c>
      <c r="AQ545" s="35" t="str">
        <f t="shared" si="86"/>
        <v>no</v>
      </c>
      <c r="AR545" s="35" t="str">
        <f t="shared" si="87"/>
        <v>FITS BITCH</v>
      </c>
      <c r="AS545" s="35" t="str">
        <f t="shared" si="88"/>
        <v>no</v>
      </c>
      <c r="AT545" s="20" t="str">
        <f t="shared" si="89"/>
        <v/>
      </c>
      <c r="AU545" s="20" t="str">
        <f t="shared" si="90"/>
        <v/>
      </c>
      <c r="AV545" s="20"/>
      <c r="AW545" s="20"/>
      <c r="AX545" s="20"/>
    </row>
    <row r="546" spans="31:50">
      <c r="AE546" s="26">
        <f>Data!A541</f>
        <v>42178</v>
      </c>
      <c r="AF546" s="35">
        <f>Data!B541</f>
        <v>85.29</v>
      </c>
      <c r="AG546" s="35">
        <f>Data!F541</f>
        <v>958821</v>
      </c>
      <c r="AH546" s="35">
        <f>Data!C541</f>
        <v>85.29</v>
      </c>
      <c r="AI546" s="35">
        <f>Data!D541</f>
        <v>84.53</v>
      </c>
      <c r="AJ546" s="35">
        <f>Data!E541</f>
        <v>84.77</v>
      </c>
      <c r="AK546" s="35">
        <f>Data!F541</f>
        <v>958821</v>
      </c>
      <c r="AL546" s="35">
        <f t="shared" si="84"/>
        <v>84.77</v>
      </c>
      <c r="AM546" s="35">
        <f t="shared" si="83"/>
        <v>1.3448153828005198</v>
      </c>
      <c r="AN546" s="35">
        <f t="shared" si="91"/>
        <v>-61.481235809395088</v>
      </c>
      <c r="AO546" s="35" t="str">
        <f t="shared" si="85"/>
        <v>FITS BITCH</v>
      </c>
      <c r="AP546" s="35" t="str">
        <f t="shared" si="86"/>
        <v>no</v>
      </c>
      <c r="AQ546" s="35" t="str">
        <f t="shared" si="86"/>
        <v>no</v>
      </c>
      <c r="AR546" s="35" t="str">
        <f t="shared" si="87"/>
        <v>FITS BITCH</v>
      </c>
      <c r="AS546" s="35" t="str">
        <f t="shared" si="88"/>
        <v>no</v>
      </c>
      <c r="AT546" s="20" t="str">
        <f t="shared" si="89"/>
        <v/>
      </c>
      <c r="AU546" s="20" t="str">
        <f t="shared" si="90"/>
        <v/>
      </c>
      <c r="AV546" s="20"/>
      <c r="AW546" s="20"/>
      <c r="AX546" s="20"/>
    </row>
    <row r="547" spans="31:50">
      <c r="AE547" s="26">
        <f>Data!A542</f>
        <v>42177</v>
      </c>
      <c r="AF547" s="35">
        <f>Data!B542</f>
        <v>84.61</v>
      </c>
      <c r="AG547" s="35">
        <f>Data!F542</f>
        <v>1401927</v>
      </c>
      <c r="AH547" s="35">
        <f>Data!C542</f>
        <v>85.46</v>
      </c>
      <c r="AI547" s="35">
        <f>Data!D542</f>
        <v>84.61</v>
      </c>
      <c r="AJ547" s="35">
        <f>Data!E542</f>
        <v>85</v>
      </c>
      <c r="AK547" s="35">
        <f>Data!F542</f>
        <v>1401927</v>
      </c>
      <c r="AL547" s="35">
        <f t="shared" si="84"/>
        <v>85</v>
      </c>
      <c r="AM547" s="35">
        <f t="shared" si="83"/>
        <v>0.27058823529412235</v>
      </c>
      <c r="AN547" s="35">
        <f t="shared" si="91"/>
        <v>31.606923898319955</v>
      </c>
      <c r="AO547" s="35" t="str">
        <f t="shared" si="85"/>
        <v>no</v>
      </c>
      <c r="AP547" s="35" t="str">
        <f t="shared" si="86"/>
        <v>FITS BITCH</v>
      </c>
      <c r="AQ547" s="35" t="str">
        <f t="shared" si="86"/>
        <v>FITS BITCH</v>
      </c>
      <c r="AR547" s="35" t="str">
        <f t="shared" si="87"/>
        <v>no</v>
      </c>
      <c r="AS547" s="35" t="str">
        <f t="shared" si="88"/>
        <v>FITS BITCH</v>
      </c>
      <c r="AT547" s="20" t="str">
        <f t="shared" si="89"/>
        <v/>
      </c>
      <c r="AU547" s="20" t="str">
        <f t="shared" si="90"/>
        <v/>
      </c>
      <c r="AV547" s="20"/>
      <c r="AW547" s="20"/>
      <c r="AX547" s="20"/>
    </row>
    <row r="548" spans="31:50">
      <c r="AE548" s="26">
        <f>Data!A543</f>
        <v>42174</v>
      </c>
      <c r="AF548" s="35">
        <f>Data!B543</f>
        <v>84.45</v>
      </c>
      <c r="AG548" s="35">
        <f>Data!F543</f>
        <v>2906357</v>
      </c>
      <c r="AH548" s="35">
        <f>Data!C543</f>
        <v>84.68</v>
      </c>
      <c r="AI548" s="35">
        <f>Data!D543</f>
        <v>83.93</v>
      </c>
      <c r="AJ548" s="35">
        <f>Data!E543</f>
        <v>84.41</v>
      </c>
      <c r="AK548" s="35">
        <f>Data!F543</f>
        <v>2906357</v>
      </c>
      <c r="AL548" s="35">
        <f t="shared" si="84"/>
        <v>84.41</v>
      </c>
      <c r="AM548" s="35">
        <f t="shared" si="83"/>
        <v>-0.69896931643170657</v>
      </c>
      <c r="AN548" s="35">
        <f t="shared" si="91"/>
        <v>51.763427548645943</v>
      </c>
      <c r="AO548" s="35" t="str">
        <f t="shared" si="85"/>
        <v>no</v>
      </c>
      <c r="AP548" s="35" t="str">
        <f t="shared" si="86"/>
        <v>no</v>
      </c>
      <c r="AQ548" s="35" t="str">
        <f t="shared" si="86"/>
        <v>FITS BITCH</v>
      </c>
      <c r="AR548" s="35" t="str">
        <f t="shared" si="87"/>
        <v>FITS BITCH</v>
      </c>
      <c r="AS548" s="35" t="str">
        <f t="shared" si="88"/>
        <v>no</v>
      </c>
      <c r="AT548" s="20" t="str">
        <f t="shared" si="89"/>
        <v/>
      </c>
      <c r="AU548" s="20" t="str">
        <f t="shared" si="90"/>
        <v/>
      </c>
      <c r="AV548" s="20"/>
      <c r="AW548" s="20"/>
      <c r="AX548" s="20"/>
    </row>
    <row r="549" spans="31:50">
      <c r="AE549" s="26">
        <f>Data!A544</f>
        <v>42173</v>
      </c>
      <c r="AF549" s="35">
        <f>Data!B544</f>
        <v>83.62</v>
      </c>
      <c r="AG549" s="35">
        <f>Data!F544</f>
        <v>1556465</v>
      </c>
      <c r="AH549" s="35">
        <f>Data!C544</f>
        <v>84.8</v>
      </c>
      <c r="AI549" s="35">
        <f>Data!D544</f>
        <v>83.37</v>
      </c>
      <c r="AJ549" s="35">
        <f>Data!E544</f>
        <v>84.58</v>
      </c>
      <c r="AK549" s="35">
        <f>Data!F544</f>
        <v>1556465</v>
      </c>
      <c r="AL549" s="35">
        <f t="shared" si="84"/>
        <v>84.58</v>
      </c>
      <c r="AM549" s="35">
        <f t="shared" si="83"/>
        <v>0.20099314258690201</v>
      </c>
      <c r="AN549" s="35">
        <f t="shared" si="91"/>
        <v>-86.72806648398776</v>
      </c>
      <c r="AO549" s="35" t="str">
        <f t="shared" si="85"/>
        <v>FITS BITCH</v>
      </c>
      <c r="AP549" s="35" t="str">
        <f t="shared" si="86"/>
        <v>FITS BITCH</v>
      </c>
      <c r="AQ549" s="35" t="str">
        <f t="shared" si="86"/>
        <v>FITS BITCH</v>
      </c>
      <c r="AR549" s="35" t="str">
        <f t="shared" si="87"/>
        <v>no</v>
      </c>
      <c r="AS549" s="35" t="str">
        <f t="shared" si="88"/>
        <v>FITS BITCH</v>
      </c>
      <c r="AT549" s="20" t="str">
        <f t="shared" si="89"/>
        <v/>
      </c>
      <c r="AU549" s="20" t="str">
        <f t="shared" si="90"/>
        <v>BEARISH</v>
      </c>
      <c r="AV549" s="20"/>
      <c r="AW549" s="20"/>
      <c r="AX549" s="20"/>
    </row>
    <row r="550" spans="31:50">
      <c r="AE550" s="26">
        <f>Data!A545</f>
        <v>42172</v>
      </c>
      <c r="AF550" s="35">
        <f>Data!B545</f>
        <v>83.61</v>
      </c>
      <c r="AG550" s="35">
        <f>Data!F545</f>
        <v>1134563</v>
      </c>
      <c r="AH550" s="35">
        <f>Data!C545</f>
        <v>83.75</v>
      </c>
      <c r="AI550" s="35">
        <f>Data!D545</f>
        <v>82.77</v>
      </c>
      <c r="AJ550" s="35">
        <f>Data!E545</f>
        <v>83.28</v>
      </c>
      <c r="AK550" s="35">
        <f>Data!F545</f>
        <v>1134563</v>
      </c>
      <c r="AL550" s="35">
        <f t="shared" si="84"/>
        <v>83.28</v>
      </c>
      <c r="AM550" s="35">
        <f t="shared" si="83"/>
        <v>-1.5609990393852031</v>
      </c>
      <c r="AN550" s="35">
        <f t="shared" si="91"/>
        <v>-37.186299923406636</v>
      </c>
      <c r="AO550" s="35" t="str">
        <f t="shared" si="85"/>
        <v>FITS BITCH</v>
      </c>
      <c r="AP550" s="35" t="str">
        <f t="shared" si="86"/>
        <v>FITS BITCH</v>
      </c>
      <c r="AQ550" s="35" t="str">
        <f t="shared" si="86"/>
        <v>FITS BITCH</v>
      </c>
      <c r="AR550" s="35" t="str">
        <f t="shared" si="87"/>
        <v>FITS BITCH</v>
      </c>
      <c r="AS550" s="35" t="b">
        <f t="shared" si="88"/>
        <v>0</v>
      </c>
      <c r="AT550" s="20" t="str">
        <f t="shared" si="89"/>
        <v>BULLISH</v>
      </c>
      <c r="AU550" s="20" t="str">
        <f t="shared" si="90"/>
        <v/>
      </c>
      <c r="AV550" s="20"/>
      <c r="AW550" s="20"/>
      <c r="AX550" s="20"/>
    </row>
    <row r="551" spans="31:50">
      <c r="AE551" s="26">
        <f>Data!A546</f>
        <v>42171</v>
      </c>
      <c r="AF551" s="35">
        <f>Data!B546</f>
        <v>82.84</v>
      </c>
      <c r="AG551" s="35">
        <f>Data!F546</f>
        <v>1499857</v>
      </c>
      <c r="AH551" s="35">
        <f>Data!C546</f>
        <v>83.41</v>
      </c>
      <c r="AI551" s="35">
        <f>Data!D546</f>
        <v>82.52</v>
      </c>
      <c r="AJ551" s="35">
        <f>Data!E546</f>
        <v>83.28</v>
      </c>
      <c r="AK551" s="35">
        <f>Data!F546</f>
        <v>1499857</v>
      </c>
      <c r="AL551" s="35">
        <f t="shared" si="84"/>
        <v>83.28</v>
      </c>
      <c r="AM551" s="35">
        <f t="shared" si="83"/>
        <v>0</v>
      </c>
      <c r="AN551" s="35">
        <f t="shared" si="91"/>
        <v>24.355255200995828</v>
      </c>
      <c r="AO551" s="35" t="str">
        <f t="shared" si="85"/>
        <v>no</v>
      </c>
      <c r="AP551" s="35" t="str">
        <f t="shared" si="86"/>
        <v>no</v>
      </c>
      <c r="AQ551" s="35" t="str">
        <f t="shared" si="86"/>
        <v>FITS BITCH</v>
      </c>
      <c r="AR551" s="35" t="str">
        <f t="shared" si="87"/>
        <v>FITS BITCH</v>
      </c>
      <c r="AS551" s="35" t="str">
        <f t="shared" si="88"/>
        <v>FITS BITCH</v>
      </c>
      <c r="AT551" s="20" t="str">
        <f t="shared" si="89"/>
        <v/>
      </c>
      <c r="AU551" s="20" t="str">
        <f t="shared" si="90"/>
        <v/>
      </c>
      <c r="AV551" s="20"/>
      <c r="AW551" s="20"/>
      <c r="AX551" s="20"/>
    </row>
    <row r="552" spans="31:50">
      <c r="AE552" s="26">
        <f>Data!A547</f>
        <v>42170</v>
      </c>
      <c r="AF552" s="35">
        <f>Data!B547</f>
        <v>83.25</v>
      </c>
      <c r="AG552" s="35">
        <f>Data!F547</f>
        <v>1679680</v>
      </c>
      <c r="AH552" s="35">
        <f>Data!C547</f>
        <v>83.44</v>
      </c>
      <c r="AI552" s="35">
        <f>Data!D547</f>
        <v>82.43</v>
      </c>
      <c r="AJ552" s="35">
        <f>Data!E547</f>
        <v>82.92</v>
      </c>
      <c r="AK552" s="35">
        <f>Data!F547</f>
        <v>1679680</v>
      </c>
      <c r="AL552" s="35">
        <f t="shared" si="84"/>
        <v>82.92</v>
      </c>
      <c r="AM552" s="35">
        <f t="shared" si="83"/>
        <v>-0.43415340086830612</v>
      </c>
      <c r="AN552" s="35">
        <f t="shared" si="91"/>
        <v>10.705789197942465</v>
      </c>
      <c r="AO552" s="35" t="str">
        <f t="shared" si="85"/>
        <v>no</v>
      </c>
      <c r="AP552" s="35" t="str">
        <f t="shared" si="86"/>
        <v>no</v>
      </c>
      <c r="AQ552" s="35" t="str">
        <f t="shared" si="86"/>
        <v>no</v>
      </c>
      <c r="AR552" s="35" t="str">
        <f t="shared" si="87"/>
        <v>FITS BITCH</v>
      </c>
      <c r="AS552" s="35" t="str">
        <f t="shared" si="88"/>
        <v>no</v>
      </c>
      <c r="AT552" s="20" t="str">
        <f t="shared" si="89"/>
        <v/>
      </c>
      <c r="AU552" s="20" t="str">
        <f t="shared" si="90"/>
        <v/>
      </c>
      <c r="AV552" s="20"/>
      <c r="AW552" s="20"/>
      <c r="AX552" s="20"/>
    </row>
    <row r="553" spans="31:50">
      <c r="AE553" s="26">
        <f>Data!A548</f>
        <v>42167</v>
      </c>
      <c r="AF553" s="35">
        <f>Data!B548</f>
        <v>84.15</v>
      </c>
      <c r="AG553" s="35">
        <f>Data!F548</f>
        <v>1144565</v>
      </c>
      <c r="AH553" s="35">
        <f>Data!C548</f>
        <v>84.45</v>
      </c>
      <c r="AI553" s="35">
        <f>Data!D548</f>
        <v>83.65</v>
      </c>
      <c r="AJ553" s="35">
        <f>Data!E548</f>
        <v>83.85</v>
      </c>
      <c r="AK553" s="35">
        <f>Data!F548</f>
        <v>1144565</v>
      </c>
      <c r="AL553" s="35">
        <f t="shared" si="84"/>
        <v>83.85</v>
      </c>
      <c r="AM553" s="35">
        <f t="shared" si="83"/>
        <v>1.1091234347048213</v>
      </c>
      <c r="AN553" s="35">
        <f t="shared" si="91"/>
        <v>-46.752696439258585</v>
      </c>
      <c r="AO553" s="35" t="str">
        <f t="shared" si="85"/>
        <v>FITS BITCH</v>
      </c>
      <c r="AP553" s="35" t="str">
        <f t="shared" si="86"/>
        <v>no</v>
      </c>
      <c r="AQ553" s="35" t="str">
        <f t="shared" si="86"/>
        <v>no</v>
      </c>
      <c r="AR553" s="35" t="str">
        <f t="shared" si="87"/>
        <v>FITS BITCH</v>
      </c>
      <c r="AS553" s="35" t="str">
        <f t="shared" si="88"/>
        <v>no</v>
      </c>
      <c r="AT553" s="20" t="str">
        <f t="shared" si="89"/>
        <v/>
      </c>
      <c r="AU553" s="20" t="str">
        <f t="shared" si="90"/>
        <v/>
      </c>
      <c r="AV553" s="20"/>
      <c r="AW553" s="20"/>
      <c r="AX553" s="20"/>
    </row>
    <row r="554" spans="31:50">
      <c r="AE554" s="26">
        <f>Data!A549</f>
        <v>42166</v>
      </c>
      <c r="AF554" s="35">
        <f>Data!B549</f>
        <v>84.5</v>
      </c>
      <c r="AG554" s="35">
        <f>Data!F549</f>
        <v>1438403</v>
      </c>
      <c r="AH554" s="35">
        <f>Data!C549</f>
        <v>84.89</v>
      </c>
      <c r="AI554" s="35">
        <f>Data!D549</f>
        <v>84.2</v>
      </c>
      <c r="AJ554" s="35">
        <f>Data!E549</f>
        <v>84.62</v>
      </c>
      <c r="AK554" s="35">
        <f>Data!F549</f>
        <v>1438403</v>
      </c>
      <c r="AL554" s="35">
        <f t="shared" si="84"/>
        <v>84.62</v>
      </c>
      <c r="AM554" s="35">
        <f t="shared" si="83"/>
        <v>0.909950366343666</v>
      </c>
      <c r="AN554" s="35">
        <f t="shared" si="91"/>
        <v>20.428071965923319</v>
      </c>
      <c r="AO554" s="35" t="str">
        <f t="shared" si="85"/>
        <v>no</v>
      </c>
      <c r="AP554" s="35" t="str">
        <f t="shared" si="86"/>
        <v>FITS BITCH</v>
      </c>
      <c r="AQ554" s="35" t="str">
        <f t="shared" si="86"/>
        <v>FITS BITCH</v>
      </c>
      <c r="AR554" s="35" t="str">
        <f t="shared" si="87"/>
        <v>FITS BITCH</v>
      </c>
      <c r="AS554" s="35" t="str">
        <f t="shared" si="88"/>
        <v>FITS BITCH</v>
      </c>
      <c r="AT554" s="20" t="str">
        <f t="shared" si="89"/>
        <v/>
      </c>
      <c r="AU554" s="20" t="str">
        <f t="shared" si="90"/>
        <v/>
      </c>
      <c r="AV554" s="20"/>
      <c r="AW554" s="20"/>
      <c r="AX554" s="20"/>
    </row>
    <row r="555" spans="31:50">
      <c r="AE555" s="26">
        <f>Data!A550</f>
        <v>42165</v>
      </c>
      <c r="AF555" s="35">
        <f>Data!B550</f>
        <v>82.96</v>
      </c>
      <c r="AG555" s="35">
        <f>Data!F550</f>
        <v>1625429</v>
      </c>
      <c r="AH555" s="35">
        <f>Data!C550</f>
        <v>84.64</v>
      </c>
      <c r="AI555" s="35">
        <f>Data!D550</f>
        <v>82.84</v>
      </c>
      <c r="AJ555" s="35">
        <f>Data!E550</f>
        <v>84.18</v>
      </c>
      <c r="AK555" s="35">
        <f>Data!F550</f>
        <v>1625429</v>
      </c>
      <c r="AL555" s="35">
        <f t="shared" si="84"/>
        <v>84.18</v>
      </c>
      <c r="AM555" s="35">
        <f t="shared" si="83"/>
        <v>-0.52268947493466111</v>
      </c>
      <c r="AN555" s="35">
        <f t="shared" si="91"/>
        <v>11.506254656463001</v>
      </c>
      <c r="AO555" s="35" t="str">
        <f t="shared" si="85"/>
        <v>no</v>
      </c>
      <c r="AP555" s="35" t="str">
        <f t="shared" si="86"/>
        <v>FITS BITCH</v>
      </c>
      <c r="AQ555" s="35" t="str">
        <f t="shared" si="86"/>
        <v>no</v>
      </c>
      <c r="AR555" s="35" t="str">
        <f t="shared" si="87"/>
        <v>no</v>
      </c>
      <c r="AS555" s="35" t="str">
        <f t="shared" si="88"/>
        <v>FITS BITCH</v>
      </c>
      <c r="AT555" s="20" t="str">
        <f t="shared" si="89"/>
        <v/>
      </c>
      <c r="AU555" s="20" t="str">
        <f t="shared" si="90"/>
        <v/>
      </c>
      <c r="AV555" s="20"/>
      <c r="AW555" s="20"/>
      <c r="AX555" s="20"/>
    </row>
    <row r="556" spans="31:50">
      <c r="AE556" s="26">
        <f>Data!A551</f>
        <v>42164</v>
      </c>
      <c r="AF556" s="35">
        <f>Data!B551</f>
        <v>83.37</v>
      </c>
      <c r="AG556" s="35">
        <f>Data!F551</f>
        <v>1569472</v>
      </c>
      <c r="AH556" s="35">
        <f>Data!C551</f>
        <v>83.6</v>
      </c>
      <c r="AI556" s="35">
        <f>Data!D551</f>
        <v>82.86</v>
      </c>
      <c r="AJ556" s="35">
        <f>Data!E551</f>
        <v>83.16</v>
      </c>
      <c r="AK556" s="35">
        <f>Data!F551</f>
        <v>1569472</v>
      </c>
      <c r="AL556" s="35">
        <f t="shared" si="84"/>
        <v>83.16</v>
      </c>
      <c r="AM556" s="35">
        <f t="shared" si="83"/>
        <v>-1.2265512265512388</v>
      </c>
      <c r="AN556" s="35">
        <f t="shared" si="91"/>
        <v>-3.5653391713901237</v>
      </c>
      <c r="AO556" s="35" t="str">
        <f t="shared" si="85"/>
        <v>no</v>
      </c>
      <c r="AP556" s="35" t="str">
        <f t="shared" si="86"/>
        <v>no</v>
      </c>
      <c r="AQ556" s="35" t="str">
        <f t="shared" si="86"/>
        <v>no</v>
      </c>
      <c r="AR556" s="35" t="str">
        <f t="shared" si="87"/>
        <v>FITS BITCH</v>
      </c>
      <c r="AS556" s="35" t="str">
        <f t="shared" si="88"/>
        <v>no</v>
      </c>
      <c r="AT556" s="20" t="str">
        <f t="shared" si="89"/>
        <v/>
      </c>
      <c r="AU556" s="20" t="str">
        <f t="shared" si="90"/>
        <v/>
      </c>
      <c r="AV556" s="20"/>
      <c r="AW556" s="20"/>
      <c r="AX556" s="20"/>
    </row>
    <row r="557" spans="31:50">
      <c r="AE557" s="26">
        <f>Data!A552</f>
        <v>42163</v>
      </c>
      <c r="AF557" s="35">
        <f>Data!B552</f>
        <v>83.94</v>
      </c>
      <c r="AG557" s="35">
        <f>Data!F552</f>
        <v>1531931</v>
      </c>
      <c r="AH557" s="35">
        <f>Data!C552</f>
        <v>84.49</v>
      </c>
      <c r="AI557" s="35">
        <f>Data!D552</f>
        <v>83.41</v>
      </c>
      <c r="AJ557" s="35">
        <f>Data!E552</f>
        <v>83.5</v>
      </c>
      <c r="AK557" s="35">
        <f>Data!F552</f>
        <v>1531931</v>
      </c>
      <c r="AL557" s="35">
        <f t="shared" si="84"/>
        <v>83.5</v>
      </c>
      <c r="AM557" s="35">
        <f t="shared" si="83"/>
        <v>0.40718562874251907</v>
      </c>
      <c r="AN557" s="35">
        <f t="shared" si="91"/>
        <v>-2.4505672905633475</v>
      </c>
      <c r="AO557" s="35" t="str">
        <f t="shared" si="85"/>
        <v>no</v>
      </c>
      <c r="AP557" s="35" t="str">
        <f t="shared" si="86"/>
        <v>no</v>
      </c>
      <c r="AQ557" s="35" t="str">
        <f t="shared" si="86"/>
        <v>FITS BITCH</v>
      </c>
      <c r="AR557" s="35" t="str">
        <f t="shared" si="87"/>
        <v>FITS BITCH</v>
      </c>
      <c r="AS557" s="35" t="str">
        <f t="shared" si="88"/>
        <v>no</v>
      </c>
      <c r="AT557" s="20" t="str">
        <f t="shared" si="89"/>
        <v/>
      </c>
      <c r="AU557" s="20" t="str">
        <f t="shared" si="90"/>
        <v/>
      </c>
      <c r="AV557" s="20"/>
      <c r="AW557" s="20"/>
      <c r="AX557" s="20"/>
    </row>
    <row r="558" spans="31:50">
      <c r="AE558" s="26">
        <f>Data!A553</f>
        <v>42160</v>
      </c>
      <c r="AF558" s="35">
        <f>Data!B553</f>
        <v>84.1</v>
      </c>
      <c r="AG558" s="35">
        <f>Data!F553</f>
        <v>1353920</v>
      </c>
      <c r="AH558" s="35">
        <f>Data!C553</f>
        <v>84.57</v>
      </c>
      <c r="AI558" s="35">
        <f>Data!D553</f>
        <v>83.23</v>
      </c>
      <c r="AJ558" s="35">
        <f>Data!E553</f>
        <v>84.26</v>
      </c>
      <c r="AK558" s="35">
        <f>Data!F553</f>
        <v>1353920</v>
      </c>
      <c r="AL558" s="35">
        <f t="shared" si="84"/>
        <v>84.26</v>
      </c>
      <c r="AM558" s="35">
        <f t="shared" ref="AM558:AM621" si="92">(AL558-AL557)/AL558*100</f>
        <v>0.90197009257062077</v>
      </c>
      <c r="AN558" s="35">
        <f t="shared" si="91"/>
        <v>-13.14782261876625</v>
      </c>
      <c r="AO558" s="35" t="str">
        <f t="shared" si="85"/>
        <v>FITS BITCH</v>
      </c>
      <c r="AP558" s="35" t="str">
        <f t="shared" si="86"/>
        <v>no</v>
      </c>
      <c r="AQ558" s="35" t="str">
        <f t="shared" si="86"/>
        <v>no</v>
      </c>
      <c r="AR558" s="35" t="str">
        <f t="shared" si="87"/>
        <v>FITS BITCH</v>
      </c>
      <c r="AS558" s="35" t="str">
        <f t="shared" si="88"/>
        <v>FITS BITCH</v>
      </c>
      <c r="AT558" s="20" t="str">
        <f t="shared" si="89"/>
        <v/>
      </c>
      <c r="AU558" s="20" t="str">
        <f t="shared" si="90"/>
        <v/>
      </c>
      <c r="AV558" s="20"/>
      <c r="AW558" s="20"/>
      <c r="AX558" s="20"/>
    </row>
    <row r="559" spans="31:50">
      <c r="AE559" s="26">
        <f>Data!A554</f>
        <v>42159</v>
      </c>
      <c r="AF559" s="35">
        <f>Data!B554</f>
        <v>84.93</v>
      </c>
      <c r="AG559" s="35">
        <f>Data!F554</f>
        <v>1689573</v>
      </c>
      <c r="AH559" s="35">
        <f>Data!C554</f>
        <v>85.32</v>
      </c>
      <c r="AI559" s="35">
        <f>Data!D554</f>
        <v>83.93</v>
      </c>
      <c r="AJ559" s="35">
        <f>Data!E554</f>
        <v>84.08</v>
      </c>
      <c r="AK559" s="35">
        <f>Data!F554</f>
        <v>1689573</v>
      </c>
      <c r="AL559" s="35">
        <f t="shared" si="84"/>
        <v>84.08</v>
      </c>
      <c r="AM559" s="35">
        <f t="shared" si="92"/>
        <v>-0.21408182683159707</v>
      </c>
      <c r="AN559" s="35">
        <f t="shared" si="91"/>
        <v>19.866143694294358</v>
      </c>
      <c r="AO559" s="35" t="str">
        <f t="shared" si="85"/>
        <v>no</v>
      </c>
      <c r="AP559" s="35" t="str">
        <f t="shared" si="86"/>
        <v>no</v>
      </c>
      <c r="AQ559" s="35" t="str">
        <f t="shared" si="86"/>
        <v>no</v>
      </c>
      <c r="AR559" s="35" t="str">
        <f t="shared" si="87"/>
        <v>FITS BITCH</v>
      </c>
      <c r="AS559" s="35" t="str">
        <f t="shared" si="88"/>
        <v>no</v>
      </c>
      <c r="AT559" s="20" t="str">
        <f t="shared" si="89"/>
        <v/>
      </c>
      <c r="AU559" s="20" t="str">
        <f t="shared" si="90"/>
        <v/>
      </c>
      <c r="AV559" s="20"/>
      <c r="AW559" s="20"/>
      <c r="AX559" s="20"/>
    </row>
    <row r="560" spans="31:50">
      <c r="AE560" s="26">
        <f>Data!A555</f>
        <v>42158</v>
      </c>
      <c r="AF560" s="35">
        <f>Data!B555</f>
        <v>85.77</v>
      </c>
      <c r="AG560" s="35">
        <f>Data!F555</f>
        <v>1738389</v>
      </c>
      <c r="AH560" s="35">
        <f>Data!C555</f>
        <v>85.88</v>
      </c>
      <c r="AI560" s="35">
        <f>Data!D555</f>
        <v>85.12</v>
      </c>
      <c r="AJ560" s="35">
        <f>Data!E555</f>
        <v>85.46</v>
      </c>
      <c r="AK560" s="35">
        <f>Data!F555</f>
        <v>1738389</v>
      </c>
      <c r="AL560" s="35">
        <f t="shared" si="84"/>
        <v>85.46</v>
      </c>
      <c r="AM560" s="35">
        <f t="shared" si="92"/>
        <v>1.6147905452843385</v>
      </c>
      <c r="AN560" s="35">
        <f t="shared" si="91"/>
        <v>2.8081171705527357</v>
      </c>
      <c r="AO560" s="35" t="str">
        <f t="shared" si="85"/>
        <v>no</v>
      </c>
      <c r="AP560" s="35" t="str">
        <f t="shared" si="86"/>
        <v>FITS BITCH</v>
      </c>
      <c r="AQ560" s="35" t="str">
        <f t="shared" si="86"/>
        <v>FITS BITCH</v>
      </c>
      <c r="AR560" s="35" t="str">
        <f t="shared" si="87"/>
        <v>FITS BITCH</v>
      </c>
      <c r="AS560" s="35" t="str">
        <f t="shared" si="88"/>
        <v>FITS BITCH</v>
      </c>
      <c r="AT560" s="20" t="str">
        <f t="shared" si="89"/>
        <v/>
      </c>
      <c r="AU560" s="20" t="str">
        <f t="shared" si="90"/>
        <v/>
      </c>
      <c r="AV560" s="20"/>
      <c r="AW560" s="20"/>
      <c r="AX560" s="20"/>
    </row>
    <row r="561" spans="31:50">
      <c r="AE561" s="26">
        <f>Data!A556</f>
        <v>42157</v>
      </c>
      <c r="AF561" s="35">
        <f>Data!B556</f>
        <v>84.77</v>
      </c>
      <c r="AG561" s="35">
        <f>Data!F556</f>
        <v>2033469</v>
      </c>
      <c r="AH561" s="35">
        <f>Data!C556</f>
        <v>85.68</v>
      </c>
      <c r="AI561" s="35">
        <f>Data!D556</f>
        <v>84.34</v>
      </c>
      <c r="AJ561" s="35">
        <f>Data!E556</f>
        <v>85.45</v>
      </c>
      <c r="AK561" s="35">
        <f>Data!F556</f>
        <v>2033469</v>
      </c>
      <c r="AL561" s="35">
        <f t="shared" si="84"/>
        <v>85.45</v>
      </c>
      <c r="AM561" s="35">
        <f t="shared" si="92"/>
        <v>-1.1702750146273732E-2</v>
      </c>
      <c r="AN561" s="35">
        <f t="shared" si="91"/>
        <v>14.511162943718345</v>
      </c>
      <c r="AO561" s="35" t="str">
        <f t="shared" si="85"/>
        <v>no</v>
      </c>
      <c r="AP561" s="35" t="str">
        <f t="shared" si="86"/>
        <v>no</v>
      </c>
      <c r="AQ561" s="35" t="str">
        <f t="shared" si="86"/>
        <v>no</v>
      </c>
      <c r="AR561" s="35" t="str">
        <f t="shared" si="87"/>
        <v>FITS BITCH</v>
      </c>
      <c r="AS561" s="35" t="str">
        <f t="shared" si="88"/>
        <v>FITS BITCH</v>
      </c>
      <c r="AT561" s="20" t="str">
        <f t="shared" si="89"/>
        <v/>
      </c>
      <c r="AU561" s="20" t="str">
        <f t="shared" si="90"/>
        <v/>
      </c>
      <c r="AV561" s="20"/>
      <c r="AW561" s="20"/>
      <c r="AX561" s="20"/>
    </row>
    <row r="562" spans="31:50">
      <c r="AE562" s="26">
        <f>Data!A557</f>
        <v>42156</v>
      </c>
      <c r="AF562" s="35">
        <f>Data!B557</f>
        <v>85.7</v>
      </c>
      <c r="AG562" s="35">
        <f>Data!F557</f>
        <v>1617500</v>
      </c>
      <c r="AH562" s="35">
        <f>Data!C557</f>
        <v>85.98</v>
      </c>
      <c r="AI562" s="35">
        <f>Data!D557</f>
        <v>84.51</v>
      </c>
      <c r="AJ562" s="35">
        <f>Data!E557</f>
        <v>85.3</v>
      </c>
      <c r="AK562" s="35">
        <f>Data!F557</f>
        <v>1617500</v>
      </c>
      <c r="AL562" s="35">
        <f t="shared" si="84"/>
        <v>85.3</v>
      </c>
      <c r="AM562" s="35">
        <f t="shared" si="92"/>
        <v>-0.17584994138335955</v>
      </c>
      <c r="AN562" s="35">
        <f t="shared" si="91"/>
        <v>-25.716785162287479</v>
      </c>
      <c r="AO562" s="35" t="str">
        <f t="shared" si="85"/>
        <v>FITS BITCH</v>
      </c>
      <c r="AP562" s="35" t="str">
        <f t="shared" si="86"/>
        <v>no</v>
      </c>
      <c r="AQ562" s="35" t="str">
        <f t="shared" si="86"/>
        <v>no</v>
      </c>
      <c r="AR562" s="35" t="str">
        <f t="shared" si="87"/>
        <v>FITS BITCH</v>
      </c>
      <c r="AS562" s="35" t="str">
        <f t="shared" si="88"/>
        <v>no</v>
      </c>
      <c r="AT562" s="20" t="str">
        <f t="shared" si="89"/>
        <v/>
      </c>
      <c r="AU562" s="20" t="str">
        <f t="shared" si="90"/>
        <v/>
      </c>
      <c r="AV562" s="20"/>
      <c r="AW562" s="20"/>
      <c r="AX562" s="20"/>
    </row>
    <row r="563" spans="31:50">
      <c r="AE563" s="26">
        <f>Data!A558</f>
        <v>42153</v>
      </c>
      <c r="AF563" s="35">
        <f>Data!B558</f>
        <v>85.96</v>
      </c>
      <c r="AG563" s="35">
        <f>Data!F558</f>
        <v>2188945</v>
      </c>
      <c r="AH563" s="35">
        <f>Data!C558</f>
        <v>86</v>
      </c>
      <c r="AI563" s="35">
        <f>Data!D558</f>
        <v>85.08</v>
      </c>
      <c r="AJ563" s="35">
        <f>Data!E558</f>
        <v>85.51</v>
      </c>
      <c r="AK563" s="35">
        <f>Data!F558</f>
        <v>2188945</v>
      </c>
      <c r="AL563" s="35">
        <f t="shared" si="84"/>
        <v>85.51</v>
      </c>
      <c r="AM563" s="35">
        <f t="shared" si="92"/>
        <v>0.24558531165946432</v>
      </c>
      <c r="AN563" s="35">
        <f t="shared" si="91"/>
        <v>26.105955151911083</v>
      </c>
      <c r="AO563" s="35" t="str">
        <f t="shared" si="85"/>
        <v>no</v>
      </c>
      <c r="AP563" s="35" t="str">
        <f t="shared" si="86"/>
        <v>no</v>
      </c>
      <c r="AQ563" s="35" t="str">
        <f t="shared" si="86"/>
        <v>no</v>
      </c>
      <c r="AR563" s="35" t="str">
        <f t="shared" si="87"/>
        <v>FITS BITCH</v>
      </c>
      <c r="AS563" s="35" t="str">
        <f t="shared" si="88"/>
        <v>no</v>
      </c>
      <c r="AT563" s="20" t="str">
        <f t="shared" si="89"/>
        <v/>
      </c>
      <c r="AU563" s="20" t="str">
        <f t="shared" si="90"/>
        <v/>
      </c>
      <c r="AV563" s="20"/>
      <c r="AW563" s="20"/>
      <c r="AX563" s="20"/>
    </row>
    <row r="564" spans="31:50">
      <c r="AE564" s="26">
        <f>Data!A559</f>
        <v>42152</v>
      </c>
      <c r="AF564" s="35">
        <f>Data!B559</f>
        <v>85.87</v>
      </c>
      <c r="AG564" s="35">
        <f>Data!F559</f>
        <v>1297452</v>
      </c>
      <c r="AH564" s="35">
        <f>Data!C559</f>
        <v>86.29</v>
      </c>
      <c r="AI564" s="35">
        <f>Data!D559</f>
        <v>85.62</v>
      </c>
      <c r="AJ564" s="35">
        <f>Data!E559</f>
        <v>85.97</v>
      </c>
      <c r="AK564" s="35">
        <f>Data!F559</f>
        <v>1297452</v>
      </c>
      <c r="AL564" s="35">
        <f t="shared" si="84"/>
        <v>85.97</v>
      </c>
      <c r="AM564" s="35">
        <f t="shared" si="92"/>
        <v>0.53507037338605767</v>
      </c>
      <c r="AN564" s="35">
        <f t="shared" si="91"/>
        <v>-68.711058289632305</v>
      </c>
      <c r="AO564" s="35" t="str">
        <f t="shared" si="85"/>
        <v>FITS BITCH</v>
      </c>
      <c r="AP564" s="35" t="str">
        <f t="shared" si="86"/>
        <v>FITS BITCH</v>
      </c>
      <c r="AQ564" s="35" t="str">
        <f t="shared" si="86"/>
        <v>FITS BITCH</v>
      </c>
      <c r="AR564" s="35" t="str">
        <f t="shared" si="87"/>
        <v>FITS BITCH</v>
      </c>
      <c r="AS564" s="35" t="str">
        <f t="shared" si="88"/>
        <v>FITS BITCH</v>
      </c>
      <c r="AT564" s="20" t="str">
        <f t="shared" si="89"/>
        <v>BULLISH</v>
      </c>
      <c r="AU564" s="20" t="str">
        <f t="shared" si="90"/>
        <v>BEARISH</v>
      </c>
      <c r="AV564" s="20"/>
      <c r="AW564" s="20"/>
      <c r="AX564" s="20"/>
    </row>
    <row r="565" spans="31:50">
      <c r="AE565" s="26">
        <f>Data!A560</f>
        <v>42151</v>
      </c>
      <c r="AF565" s="35">
        <f>Data!B560</f>
        <v>85.46</v>
      </c>
      <c r="AG565" s="35">
        <f>Data!F560</f>
        <v>2017388</v>
      </c>
      <c r="AH565" s="35">
        <f>Data!C560</f>
        <v>86.03</v>
      </c>
      <c r="AI565" s="35">
        <f>Data!D560</f>
        <v>85.28</v>
      </c>
      <c r="AJ565" s="35">
        <f>Data!E560</f>
        <v>85.91</v>
      </c>
      <c r="AK565" s="35">
        <f>Data!F560</f>
        <v>2017388</v>
      </c>
      <c r="AL565" s="35">
        <f t="shared" si="84"/>
        <v>85.91</v>
      </c>
      <c r="AM565" s="35">
        <f t="shared" si="92"/>
        <v>-6.9840530788036648E-2</v>
      </c>
      <c r="AN565" s="35">
        <f t="shared" si="91"/>
        <v>35.686541210714054</v>
      </c>
      <c r="AO565" s="35" t="str">
        <f t="shared" si="85"/>
        <v>no</v>
      </c>
      <c r="AP565" s="35" t="str">
        <f t="shared" si="86"/>
        <v>no</v>
      </c>
      <c r="AQ565" s="35" t="str">
        <f t="shared" si="86"/>
        <v>FITS BITCH</v>
      </c>
      <c r="AR565" s="35" t="str">
        <f t="shared" si="87"/>
        <v>FITS BITCH</v>
      </c>
      <c r="AS565" s="35" t="str">
        <f t="shared" si="88"/>
        <v>FITS BITCH</v>
      </c>
      <c r="AT565" s="20" t="str">
        <f t="shared" si="89"/>
        <v/>
      </c>
      <c r="AU565" s="20" t="str">
        <f t="shared" si="90"/>
        <v/>
      </c>
      <c r="AV565" s="20"/>
      <c r="AW565" s="20"/>
      <c r="AX565" s="20"/>
    </row>
    <row r="566" spans="31:50">
      <c r="AE566" s="26">
        <f>Data!A561</f>
        <v>42150</v>
      </c>
      <c r="AF566" s="35">
        <f>Data!B561</f>
        <v>86.55</v>
      </c>
      <c r="AG566" s="35">
        <f>Data!F561</f>
        <v>1867570</v>
      </c>
      <c r="AH566" s="35">
        <f>Data!C561</f>
        <v>86.82</v>
      </c>
      <c r="AI566" s="35">
        <f>Data!D561</f>
        <v>85.22</v>
      </c>
      <c r="AJ566" s="35">
        <f>Data!E561</f>
        <v>85.42</v>
      </c>
      <c r="AK566" s="35">
        <f>Data!F561</f>
        <v>1867570</v>
      </c>
      <c r="AL566" s="35">
        <f t="shared" si="84"/>
        <v>85.42</v>
      </c>
      <c r="AM566" s="35">
        <f t="shared" si="92"/>
        <v>-0.57363615078435359</v>
      </c>
      <c r="AN566" s="35">
        <f t="shared" si="91"/>
        <v>-8.0220821709494157</v>
      </c>
      <c r="AO566" s="35" t="str">
        <f t="shared" si="85"/>
        <v>FITS BITCH</v>
      </c>
      <c r="AP566" s="35" t="str">
        <f t="shared" si="86"/>
        <v>no</v>
      </c>
      <c r="AQ566" s="35" t="str">
        <f t="shared" si="86"/>
        <v>no</v>
      </c>
      <c r="AR566" s="35" t="str">
        <f t="shared" si="87"/>
        <v>FITS BITCH</v>
      </c>
      <c r="AS566" s="35" t="str">
        <f t="shared" si="88"/>
        <v>no</v>
      </c>
      <c r="AT566" s="20" t="str">
        <f t="shared" si="89"/>
        <v/>
      </c>
      <c r="AU566" s="20" t="str">
        <f t="shared" si="90"/>
        <v/>
      </c>
      <c r="AV566" s="20"/>
      <c r="AW566" s="20"/>
      <c r="AX566" s="20"/>
    </row>
    <row r="567" spans="31:50">
      <c r="AE567" s="26">
        <f>Data!A562</f>
        <v>42146</v>
      </c>
      <c r="AF567" s="35">
        <f>Data!B562</f>
        <v>87.19</v>
      </c>
      <c r="AG567" s="35">
        <f>Data!F562</f>
        <v>1499264</v>
      </c>
      <c r="AH567" s="35">
        <f>Data!C562</f>
        <v>87.44</v>
      </c>
      <c r="AI567" s="35">
        <f>Data!D562</f>
        <v>86.81</v>
      </c>
      <c r="AJ567" s="35">
        <f>Data!E562</f>
        <v>86.82</v>
      </c>
      <c r="AK567" s="35">
        <f>Data!F562</f>
        <v>1499264</v>
      </c>
      <c r="AL567" s="35">
        <f t="shared" si="84"/>
        <v>86.82</v>
      </c>
      <c r="AM567" s="35">
        <f t="shared" si="92"/>
        <v>1.6125316747293155</v>
      </c>
      <c r="AN567" s="35">
        <f t="shared" si="91"/>
        <v>-24.565786946128235</v>
      </c>
      <c r="AO567" s="35" t="str">
        <f t="shared" si="85"/>
        <v>FITS BITCH</v>
      </c>
      <c r="AP567" s="35" t="str">
        <f t="shared" si="86"/>
        <v>no</v>
      </c>
      <c r="AQ567" s="35" t="str">
        <f t="shared" si="86"/>
        <v>no</v>
      </c>
      <c r="AR567" s="35" t="str">
        <f t="shared" si="87"/>
        <v>FITS BITCH</v>
      </c>
      <c r="AS567" s="35" t="str">
        <f t="shared" si="88"/>
        <v>no</v>
      </c>
      <c r="AT567" s="20" t="str">
        <f t="shared" si="89"/>
        <v/>
      </c>
      <c r="AU567" s="20" t="str">
        <f t="shared" si="90"/>
        <v/>
      </c>
      <c r="AV567" s="20"/>
      <c r="AW567" s="20"/>
      <c r="AX567" s="20"/>
    </row>
    <row r="568" spans="31:50">
      <c r="AE568" s="26">
        <f>Data!A563</f>
        <v>42145</v>
      </c>
      <c r="AF568" s="35">
        <f>Data!B563</f>
        <v>87.36</v>
      </c>
      <c r="AG568" s="35">
        <f>Data!F563</f>
        <v>1517448</v>
      </c>
      <c r="AH568" s="35">
        <f>Data!C563</f>
        <v>87.62</v>
      </c>
      <c r="AI568" s="35">
        <f>Data!D563</f>
        <v>87.08</v>
      </c>
      <c r="AJ568" s="35">
        <f>Data!E563</f>
        <v>87.27</v>
      </c>
      <c r="AK568" s="35">
        <f>Data!F563</f>
        <v>1517448</v>
      </c>
      <c r="AL568" s="35">
        <f t="shared" si="84"/>
        <v>87.27</v>
      </c>
      <c r="AM568" s="35">
        <f t="shared" si="92"/>
        <v>0.51564111378480904</v>
      </c>
      <c r="AN568" s="35">
        <f t="shared" si="91"/>
        <v>1.1983277186434065</v>
      </c>
      <c r="AO568" s="35" t="str">
        <f t="shared" si="85"/>
        <v>no</v>
      </c>
      <c r="AP568" s="35" t="str">
        <f t="shared" si="86"/>
        <v>no</v>
      </c>
      <c r="AQ568" s="35" t="str">
        <f t="shared" si="86"/>
        <v>no</v>
      </c>
      <c r="AR568" s="35" t="str">
        <f t="shared" si="87"/>
        <v>FITS BITCH</v>
      </c>
      <c r="AS568" s="35" t="str">
        <f t="shared" si="88"/>
        <v>no</v>
      </c>
      <c r="AT568" s="20" t="str">
        <f t="shared" si="89"/>
        <v/>
      </c>
      <c r="AU568" s="20" t="str">
        <f t="shared" si="90"/>
        <v/>
      </c>
      <c r="AV568" s="20"/>
      <c r="AW568" s="20"/>
      <c r="AX568" s="20"/>
    </row>
    <row r="569" spans="31:50">
      <c r="AE569" s="26">
        <f>Data!A564</f>
        <v>42144</v>
      </c>
      <c r="AF569" s="35">
        <f>Data!B564</f>
        <v>88.06</v>
      </c>
      <c r="AG569" s="35">
        <f>Data!F564</f>
        <v>1767733</v>
      </c>
      <c r="AH569" s="35">
        <f>Data!C564</f>
        <v>88.06</v>
      </c>
      <c r="AI569" s="35">
        <f>Data!D564</f>
        <v>87.42</v>
      </c>
      <c r="AJ569" s="35">
        <f>Data!E564</f>
        <v>87.43</v>
      </c>
      <c r="AK569" s="35">
        <f>Data!F564</f>
        <v>1767733</v>
      </c>
      <c r="AL569" s="35">
        <f t="shared" si="84"/>
        <v>87.43</v>
      </c>
      <c r="AM569" s="35">
        <f t="shared" si="92"/>
        <v>0.18300354569371013</v>
      </c>
      <c r="AN569" s="35">
        <f t="shared" si="91"/>
        <v>14.15852959694705</v>
      </c>
      <c r="AO569" s="35" t="str">
        <f t="shared" si="85"/>
        <v>no</v>
      </c>
      <c r="AP569" s="35" t="str">
        <f t="shared" si="86"/>
        <v>no</v>
      </c>
      <c r="AQ569" s="35" t="b">
        <f t="shared" si="86"/>
        <v>0</v>
      </c>
      <c r="AR569" s="35" t="str">
        <f t="shared" si="87"/>
        <v>FITS BITCH</v>
      </c>
      <c r="AS569" s="35" t="str">
        <f t="shared" si="88"/>
        <v>no</v>
      </c>
      <c r="AT569" s="20" t="str">
        <f t="shared" si="89"/>
        <v/>
      </c>
      <c r="AU569" s="20" t="str">
        <f t="shared" si="90"/>
        <v/>
      </c>
      <c r="AV569" s="20"/>
      <c r="AW569" s="20"/>
      <c r="AX569" s="20"/>
    </row>
    <row r="570" spans="31:50">
      <c r="AE570" s="26">
        <f>Data!A565</f>
        <v>42143</v>
      </c>
      <c r="AF570" s="35">
        <f>Data!B565</f>
        <v>87.8</v>
      </c>
      <c r="AG570" s="35">
        <f>Data!F565</f>
        <v>1875725</v>
      </c>
      <c r="AH570" s="35">
        <f>Data!C565</f>
        <v>88.12</v>
      </c>
      <c r="AI570" s="35">
        <f>Data!D565</f>
        <v>87.42</v>
      </c>
      <c r="AJ570" s="35">
        <f>Data!E565</f>
        <v>87.9</v>
      </c>
      <c r="AK570" s="35">
        <f>Data!F565</f>
        <v>1875725</v>
      </c>
      <c r="AL570" s="35">
        <f t="shared" si="84"/>
        <v>87.9</v>
      </c>
      <c r="AM570" s="35">
        <f t="shared" si="92"/>
        <v>0.53469852104664262</v>
      </c>
      <c r="AN570" s="35">
        <f t="shared" si="91"/>
        <v>5.7573471590984822</v>
      </c>
      <c r="AO570" s="35" t="str">
        <f t="shared" si="85"/>
        <v>no</v>
      </c>
      <c r="AP570" s="35" t="str">
        <f t="shared" si="86"/>
        <v>FITS BITCH</v>
      </c>
      <c r="AQ570" s="35" t="str">
        <f t="shared" si="86"/>
        <v>FITS BITCH</v>
      </c>
      <c r="AR570" s="35" t="str">
        <f t="shared" si="87"/>
        <v>no</v>
      </c>
      <c r="AS570" s="35" t="str">
        <f t="shared" si="88"/>
        <v>FITS BITCH</v>
      </c>
      <c r="AT570" s="20" t="str">
        <f t="shared" si="89"/>
        <v/>
      </c>
      <c r="AU570" s="20" t="str">
        <f t="shared" si="90"/>
        <v/>
      </c>
      <c r="AV570" s="20"/>
      <c r="AW570" s="20"/>
      <c r="AX570" s="20"/>
    </row>
    <row r="571" spans="31:50">
      <c r="AE571" s="26">
        <f>Data!A566</f>
        <v>42142</v>
      </c>
      <c r="AF571" s="35">
        <f>Data!B566</f>
        <v>87.37</v>
      </c>
      <c r="AG571" s="35">
        <f>Data!F566</f>
        <v>1593347</v>
      </c>
      <c r="AH571" s="35">
        <f>Data!C566</f>
        <v>87.81</v>
      </c>
      <c r="AI571" s="35">
        <f>Data!D566</f>
        <v>87.01</v>
      </c>
      <c r="AJ571" s="35">
        <f>Data!E566</f>
        <v>87.48</v>
      </c>
      <c r="AK571" s="35">
        <f>Data!F566</f>
        <v>1593347</v>
      </c>
      <c r="AL571" s="35">
        <f t="shared" si="84"/>
        <v>87.48</v>
      </c>
      <c r="AM571" s="35">
        <f t="shared" si="92"/>
        <v>-0.48010973936900059</v>
      </c>
      <c r="AN571" s="35">
        <f t="shared" si="91"/>
        <v>-17.722316607744578</v>
      </c>
      <c r="AO571" s="35" t="str">
        <f t="shared" si="85"/>
        <v>FITS BITCH</v>
      </c>
      <c r="AP571" s="35" t="str">
        <f t="shared" si="86"/>
        <v>no</v>
      </c>
      <c r="AQ571" s="35" t="str">
        <f t="shared" si="86"/>
        <v>no</v>
      </c>
      <c r="AR571" s="35" t="str">
        <f t="shared" si="87"/>
        <v>FITS BITCH</v>
      </c>
      <c r="AS571" s="35" t="str">
        <f t="shared" si="88"/>
        <v>no</v>
      </c>
      <c r="AT571" s="20" t="str">
        <f t="shared" si="89"/>
        <v/>
      </c>
      <c r="AU571" s="20" t="str">
        <f t="shared" si="90"/>
        <v/>
      </c>
      <c r="AV571" s="20"/>
      <c r="AW571" s="20"/>
      <c r="AX571" s="20"/>
    </row>
    <row r="572" spans="31:50">
      <c r="AE572" s="26">
        <f>Data!A567</f>
        <v>42139</v>
      </c>
      <c r="AF572" s="35">
        <f>Data!B567</f>
        <v>88.25</v>
      </c>
      <c r="AG572" s="35">
        <f>Data!F567</f>
        <v>1607075</v>
      </c>
      <c r="AH572" s="35">
        <f>Data!C567</f>
        <v>88.4</v>
      </c>
      <c r="AI572" s="35">
        <f>Data!D567</f>
        <v>87.51</v>
      </c>
      <c r="AJ572" s="35">
        <f>Data!E567</f>
        <v>87.77</v>
      </c>
      <c r="AK572" s="35">
        <f>Data!F567</f>
        <v>1607075</v>
      </c>
      <c r="AL572" s="35">
        <f t="shared" si="84"/>
        <v>87.77</v>
      </c>
      <c r="AM572" s="35">
        <f t="shared" si="92"/>
        <v>0.3304090235843592</v>
      </c>
      <c r="AN572" s="35">
        <f t="shared" si="91"/>
        <v>0.85422273384876246</v>
      </c>
      <c r="AO572" s="35" t="str">
        <f t="shared" si="85"/>
        <v>no</v>
      </c>
      <c r="AP572" s="35" t="str">
        <f t="shared" si="86"/>
        <v>FITS BITCH</v>
      </c>
      <c r="AQ572" s="35" t="str">
        <f t="shared" si="86"/>
        <v>FITS BITCH</v>
      </c>
      <c r="AR572" s="35" t="str">
        <f t="shared" si="87"/>
        <v>FITS BITCH</v>
      </c>
      <c r="AS572" s="35" t="str">
        <f t="shared" si="88"/>
        <v>no</v>
      </c>
      <c r="AT572" s="20" t="str">
        <f t="shared" si="89"/>
        <v/>
      </c>
      <c r="AU572" s="20" t="str">
        <f t="shared" si="90"/>
        <v/>
      </c>
      <c r="AV572" s="20"/>
      <c r="AW572" s="20"/>
      <c r="AX572" s="20"/>
    </row>
    <row r="573" spans="31:50">
      <c r="AE573" s="26">
        <f>Data!A568</f>
        <v>42138</v>
      </c>
      <c r="AF573" s="35">
        <f>Data!B568</f>
        <v>86.97</v>
      </c>
      <c r="AG573" s="35">
        <f>Data!F568</f>
        <v>1892400</v>
      </c>
      <c r="AH573" s="35">
        <f>Data!C568</f>
        <v>88.03</v>
      </c>
      <c r="AI573" s="35">
        <f>Data!D568</f>
        <v>86.52</v>
      </c>
      <c r="AJ573" s="35">
        <f>Data!E568</f>
        <v>87.99</v>
      </c>
      <c r="AK573" s="35">
        <f>Data!F568</f>
        <v>1892400</v>
      </c>
      <c r="AL573" s="35">
        <f t="shared" si="84"/>
        <v>87.99</v>
      </c>
      <c r="AM573" s="35">
        <f t="shared" si="92"/>
        <v>0.25002841231958051</v>
      </c>
      <c r="AN573" s="35">
        <f t="shared" si="91"/>
        <v>15.077414922849291</v>
      </c>
      <c r="AO573" s="35" t="str">
        <f t="shared" si="85"/>
        <v>no</v>
      </c>
      <c r="AP573" s="35" t="str">
        <f t="shared" si="86"/>
        <v>FITS BITCH</v>
      </c>
      <c r="AQ573" s="35" t="str">
        <f t="shared" si="86"/>
        <v>FITS BITCH</v>
      </c>
      <c r="AR573" s="35" t="str">
        <f t="shared" si="87"/>
        <v>no</v>
      </c>
      <c r="AS573" s="35" t="str">
        <f t="shared" si="88"/>
        <v>FITS BITCH</v>
      </c>
      <c r="AT573" s="20" t="str">
        <f t="shared" si="89"/>
        <v/>
      </c>
      <c r="AU573" s="20" t="str">
        <f t="shared" si="90"/>
        <v/>
      </c>
      <c r="AV573" s="20"/>
      <c r="AW573" s="20"/>
      <c r="AX573" s="20"/>
    </row>
    <row r="574" spans="31:50">
      <c r="AE574" s="26">
        <f>Data!A569</f>
        <v>42137</v>
      </c>
      <c r="AF574" s="35">
        <f>Data!B569</f>
        <v>86.65</v>
      </c>
      <c r="AG574" s="35">
        <f>Data!F569</f>
        <v>1951042</v>
      </c>
      <c r="AH574" s="35">
        <f>Data!C569</f>
        <v>87.26</v>
      </c>
      <c r="AI574" s="35">
        <f>Data!D569</f>
        <v>86.2</v>
      </c>
      <c r="AJ574" s="35">
        <f>Data!E569</f>
        <v>86.31</v>
      </c>
      <c r="AK574" s="35">
        <f>Data!F569</f>
        <v>1951042</v>
      </c>
      <c r="AL574" s="35">
        <f t="shared" si="84"/>
        <v>86.31</v>
      </c>
      <c r="AM574" s="35">
        <f t="shared" si="92"/>
        <v>-1.9464720194647116</v>
      </c>
      <c r="AN574" s="35">
        <f t="shared" si="91"/>
        <v>3.0056759413687661</v>
      </c>
      <c r="AO574" s="35" t="str">
        <f t="shared" si="85"/>
        <v>no</v>
      </c>
      <c r="AP574" s="35" t="str">
        <f t="shared" si="86"/>
        <v>FITS BITCH</v>
      </c>
      <c r="AQ574" s="35" t="str">
        <f t="shared" si="86"/>
        <v>FITS BITCH</v>
      </c>
      <c r="AR574" s="35" t="str">
        <f t="shared" si="87"/>
        <v>FITS BITCH</v>
      </c>
      <c r="AS574" s="35" t="str">
        <f t="shared" si="88"/>
        <v>no</v>
      </c>
      <c r="AT574" s="20" t="str">
        <f t="shared" si="89"/>
        <v/>
      </c>
      <c r="AU574" s="20" t="str">
        <f t="shared" si="90"/>
        <v/>
      </c>
      <c r="AV574" s="20"/>
      <c r="AW574" s="20"/>
      <c r="AX574" s="20"/>
    </row>
    <row r="575" spans="31:50">
      <c r="AE575" s="26">
        <f>Data!A570</f>
        <v>42136</v>
      </c>
      <c r="AF575" s="35">
        <f>Data!B570</f>
        <v>86.84</v>
      </c>
      <c r="AG575" s="35">
        <f>Data!F570</f>
        <v>1549814</v>
      </c>
      <c r="AH575" s="35">
        <f>Data!C570</f>
        <v>87.2</v>
      </c>
      <c r="AI575" s="35">
        <f>Data!D570</f>
        <v>85.85</v>
      </c>
      <c r="AJ575" s="35">
        <f>Data!E570</f>
        <v>86.76</v>
      </c>
      <c r="AK575" s="35">
        <f>Data!F570</f>
        <v>1549814</v>
      </c>
      <c r="AL575" s="35">
        <f t="shared" si="84"/>
        <v>86.76</v>
      </c>
      <c r="AM575" s="35">
        <f t="shared" si="92"/>
        <v>0.51867219917012775</v>
      </c>
      <c r="AN575" s="35">
        <f t="shared" si="91"/>
        <v>-25.888784073443649</v>
      </c>
      <c r="AO575" s="35" t="str">
        <f t="shared" si="85"/>
        <v>FITS BITCH</v>
      </c>
      <c r="AP575" s="35" t="str">
        <f t="shared" si="86"/>
        <v>no</v>
      </c>
      <c r="AQ575" s="35" t="str">
        <f t="shared" si="86"/>
        <v>no</v>
      </c>
      <c r="AR575" s="35" t="str">
        <f t="shared" si="87"/>
        <v>FITS BITCH</v>
      </c>
      <c r="AS575" s="35" t="str">
        <f t="shared" si="88"/>
        <v>no</v>
      </c>
      <c r="AT575" s="20" t="str">
        <f t="shared" si="89"/>
        <v/>
      </c>
      <c r="AU575" s="20" t="str">
        <f t="shared" si="90"/>
        <v/>
      </c>
      <c r="AV575" s="20"/>
      <c r="AW575" s="20"/>
      <c r="AX575" s="20"/>
    </row>
    <row r="576" spans="31:50">
      <c r="AE576" s="26">
        <f>Data!A571</f>
        <v>42135</v>
      </c>
      <c r="AF576" s="35">
        <f>Data!B571</f>
        <v>87.28</v>
      </c>
      <c r="AG576" s="35">
        <f>Data!F571</f>
        <v>1701327</v>
      </c>
      <c r="AH576" s="35">
        <f>Data!C571</f>
        <v>87.72</v>
      </c>
      <c r="AI576" s="35">
        <f>Data!D571</f>
        <v>87.06</v>
      </c>
      <c r="AJ576" s="35">
        <f>Data!E571</f>
        <v>87.21</v>
      </c>
      <c r="AK576" s="35">
        <f>Data!F571</f>
        <v>1701327</v>
      </c>
      <c r="AL576" s="35">
        <f t="shared" si="84"/>
        <v>87.21</v>
      </c>
      <c r="AM576" s="35">
        <f t="shared" si="92"/>
        <v>0.51599587203301067</v>
      </c>
      <c r="AN576" s="35">
        <f t="shared" si="91"/>
        <v>8.9055778224879756</v>
      </c>
      <c r="AO576" s="35" t="str">
        <f t="shared" si="85"/>
        <v>no</v>
      </c>
      <c r="AP576" s="35" t="str">
        <f t="shared" si="86"/>
        <v>no</v>
      </c>
      <c r="AQ576" s="35" t="str">
        <f t="shared" si="86"/>
        <v>FITS BITCH</v>
      </c>
      <c r="AR576" s="35" t="str">
        <f t="shared" si="87"/>
        <v>FITS BITCH</v>
      </c>
      <c r="AS576" s="35" t="str">
        <f t="shared" si="88"/>
        <v>no</v>
      </c>
      <c r="AT576" s="20" t="str">
        <f t="shared" si="89"/>
        <v/>
      </c>
      <c r="AU576" s="20" t="str">
        <f t="shared" si="90"/>
        <v/>
      </c>
      <c r="AV576" s="20"/>
      <c r="AW576" s="20"/>
      <c r="AX576" s="20"/>
    </row>
    <row r="577" spans="31:50">
      <c r="AE577" s="26">
        <f>Data!A572</f>
        <v>42132</v>
      </c>
      <c r="AF577" s="35">
        <f>Data!B572</f>
        <v>86.82</v>
      </c>
      <c r="AG577" s="35">
        <f>Data!F572</f>
        <v>1465071</v>
      </c>
      <c r="AH577" s="35">
        <f>Data!C572</f>
        <v>87.81</v>
      </c>
      <c r="AI577" s="35">
        <f>Data!D572</f>
        <v>86.77</v>
      </c>
      <c r="AJ577" s="35">
        <f>Data!E572</f>
        <v>87.35</v>
      </c>
      <c r="AK577" s="35">
        <f>Data!F572</f>
        <v>1465071</v>
      </c>
      <c r="AL577" s="35">
        <f t="shared" si="84"/>
        <v>87.35</v>
      </c>
      <c r="AM577" s="35">
        <f t="shared" si="92"/>
        <v>0.16027475672581634</v>
      </c>
      <c r="AN577" s="35">
        <f t="shared" si="91"/>
        <v>-16.1259078911534</v>
      </c>
      <c r="AO577" s="35" t="str">
        <f t="shared" si="85"/>
        <v>FITS BITCH</v>
      </c>
      <c r="AP577" s="35" t="str">
        <f t="shared" si="86"/>
        <v>FITS BITCH</v>
      </c>
      <c r="AQ577" s="35" t="str">
        <f t="shared" si="86"/>
        <v>FITS BITCH</v>
      </c>
      <c r="AR577" s="35" t="str">
        <f t="shared" si="87"/>
        <v>no</v>
      </c>
      <c r="AS577" s="35" t="str">
        <f t="shared" si="88"/>
        <v>FITS BITCH</v>
      </c>
      <c r="AT577" s="20" t="str">
        <f t="shared" si="89"/>
        <v/>
      </c>
      <c r="AU577" s="20" t="str">
        <f t="shared" si="90"/>
        <v>BEARISH</v>
      </c>
      <c r="AV577" s="20"/>
      <c r="AW577" s="20"/>
      <c r="AX577" s="20"/>
    </row>
    <row r="578" spans="31:50">
      <c r="AE578" s="26">
        <f>Data!A573</f>
        <v>42131</v>
      </c>
      <c r="AF578" s="35">
        <f>Data!B573</f>
        <v>85.62</v>
      </c>
      <c r="AG578" s="35">
        <f>Data!F573</f>
        <v>1656908</v>
      </c>
      <c r="AH578" s="35">
        <f>Data!C573</f>
        <v>86.59</v>
      </c>
      <c r="AI578" s="35">
        <f>Data!D573</f>
        <v>84.98</v>
      </c>
      <c r="AJ578" s="35">
        <f>Data!E573</f>
        <v>86.3</v>
      </c>
      <c r="AK578" s="35">
        <f>Data!F573</f>
        <v>1656908</v>
      </c>
      <c r="AL578" s="35">
        <f t="shared" si="84"/>
        <v>86.3</v>
      </c>
      <c r="AM578" s="35">
        <f t="shared" si="92"/>
        <v>-1.2166859791425229</v>
      </c>
      <c r="AN578" s="35">
        <f t="shared" si="91"/>
        <v>11.578011573364364</v>
      </c>
      <c r="AO578" s="35" t="str">
        <f t="shared" si="85"/>
        <v>no</v>
      </c>
      <c r="AP578" s="35" t="str">
        <f t="shared" si="86"/>
        <v>FITS BITCH</v>
      </c>
      <c r="AQ578" s="35" t="str">
        <f t="shared" si="86"/>
        <v>FITS BITCH</v>
      </c>
      <c r="AR578" s="35" t="str">
        <f t="shared" si="87"/>
        <v>no</v>
      </c>
      <c r="AS578" s="35" t="str">
        <f t="shared" si="88"/>
        <v>FITS BITCH</v>
      </c>
      <c r="AT578" s="20" t="str">
        <f t="shared" si="89"/>
        <v/>
      </c>
      <c r="AU578" s="20" t="str">
        <f t="shared" si="90"/>
        <v/>
      </c>
      <c r="AV578" s="20"/>
      <c r="AW578" s="20"/>
      <c r="AX578" s="20"/>
    </row>
    <row r="579" spans="31:50">
      <c r="AE579" s="26">
        <f>Data!A574</f>
        <v>42130</v>
      </c>
      <c r="AF579" s="35">
        <f>Data!B574</f>
        <v>85.72</v>
      </c>
      <c r="AG579" s="35">
        <f>Data!F574</f>
        <v>1610354</v>
      </c>
      <c r="AH579" s="35">
        <f>Data!C574</f>
        <v>86.17</v>
      </c>
      <c r="AI579" s="35">
        <f>Data!D574</f>
        <v>84.79</v>
      </c>
      <c r="AJ579" s="35">
        <f>Data!E574</f>
        <v>85.41</v>
      </c>
      <c r="AK579" s="35">
        <f>Data!F574</f>
        <v>1610354</v>
      </c>
      <c r="AL579" s="35">
        <f t="shared" si="84"/>
        <v>85.41</v>
      </c>
      <c r="AM579" s="35">
        <f t="shared" si="92"/>
        <v>-1.0420325488818647</v>
      </c>
      <c r="AN579" s="35">
        <f t="shared" si="91"/>
        <v>-2.8909171523776758</v>
      </c>
      <c r="AO579" s="35" t="str">
        <f t="shared" si="85"/>
        <v>no</v>
      </c>
      <c r="AP579" s="35" t="str">
        <f t="shared" si="86"/>
        <v>no</v>
      </c>
      <c r="AQ579" s="35" t="str">
        <f t="shared" si="86"/>
        <v>no</v>
      </c>
      <c r="AR579" s="35" t="str">
        <f t="shared" si="87"/>
        <v>FITS BITCH</v>
      </c>
      <c r="AS579" s="35" t="str">
        <f t="shared" si="88"/>
        <v>no</v>
      </c>
      <c r="AT579" s="20" t="str">
        <f t="shared" si="89"/>
        <v/>
      </c>
      <c r="AU579" s="20" t="str">
        <f t="shared" si="90"/>
        <v/>
      </c>
      <c r="AV579" s="20"/>
      <c r="AW579" s="20"/>
      <c r="AX579" s="20"/>
    </row>
    <row r="580" spans="31:50">
      <c r="AE580" s="26">
        <f>Data!A575</f>
        <v>42129</v>
      </c>
      <c r="AF580" s="35">
        <f>Data!B575</f>
        <v>86.56</v>
      </c>
      <c r="AG580" s="35">
        <f>Data!F575</f>
        <v>1534377</v>
      </c>
      <c r="AH580" s="35">
        <f>Data!C575</f>
        <v>86.56</v>
      </c>
      <c r="AI580" s="35">
        <f>Data!D575</f>
        <v>85.15</v>
      </c>
      <c r="AJ580" s="35">
        <f>Data!E575</f>
        <v>85.61</v>
      </c>
      <c r="AK580" s="35">
        <f>Data!F575</f>
        <v>1534377</v>
      </c>
      <c r="AL580" s="35">
        <f t="shared" si="84"/>
        <v>85.61</v>
      </c>
      <c r="AM580" s="35">
        <f t="shared" si="92"/>
        <v>0.23361756804112002</v>
      </c>
      <c r="AN580" s="35">
        <f t="shared" si="91"/>
        <v>-4.951651386849516</v>
      </c>
      <c r="AO580" s="35" t="str">
        <f t="shared" si="85"/>
        <v>no</v>
      </c>
      <c r="AP580" s="35" t="str">
        <f t="shared" si="86"/>
        <v>no</v>
      </c>
      <c r="AQ580" s="35" t="str">
        <f t="shared" si="86"/>
        <v>no</v>
      </c>
      <c r="AR580" s="35" t="str">
        <f t="shared" si="87"/>
        <v>FITS BITCH</v>
      </c>
      <c r="AS580" s="35" t="str">
        <f t="shared" si="88"/>
        <v>no</v>
      </c>
      <c r="AT580" s="20" t="str">
        <f t="shared" si="89"/>
        <v/>
      </c>
      <c r="AU580" s="20" t="str">
        <f t="shared" si="90"/>
        <v/>
      </c>
      <c r="AV580" s="20"/>
      <c r="AW580" s="20"/>
      <c r="AX580" s="20"/>
    </row>
    <row r="581" spans="31:50">
      <c r="AE581" s="26">
        <f>Data!A576</f>
        <v>42128</v>
      </c>
      <c r="AF581" s="35">
        <f>Data!B576</f>
        <v>86.46</v>
      </c>
      <c r="AG581" s="35">
        <f>Data!F576</f>
        <v>1992482</v>
      </c>
      <c r="AH581" s="35">
        <f>Data!C576</f>
        <v>86.99</v>
      </c>
      <c r="AI581" s="35">
        <f>Data!D576</f>
        <v>86.12</v>
      </c>
      <c r="AJ581" s="35">
        <f>Data!E576</f>
        <v>86.5</v>
      </c>
      <c r="AK581" s="35">
        <f>Data!F576</f>
        <v>1992482</v>
      </c>
      <c r="AL581" s="35">
        <f t="shared" si="84"/>
        <v>86.5</v>
      </c>
      <c r="AM581" s="35">
        <f t="shared" si="92"/>
        <v>1.0289017341040469</v>
      </c>
      <c r="AN581" s="35">
        <f t="shared" si="91"/>
        <v>22.991675708990094</v>
      </c>
      <c r="AO581" s="35" t="str">
        <f t="shared" si="85"/>
        <v>no</v>
      </c>
      <c r="AP581" s="35" t="str">
        <f t="shared" si="86"/>
        <v>FITS BITCH</v>
      </c>
      <c r="AQ581" s="35" t="str">
        <f t="shared" si="86"/>
        <v>FITS BITCH</v>
      </c>
      <c r="AR581" s="35" t="str">
        <f t="shared" si="87"/>
        <v>no</v>
      </c>
      <c r="AS581" s="35" t="str">
        <f t="shared" si="88"/>
        <v>FITS BITCH</v>
      </c>
      <c r="AT581" s="20" t="str">
        <f t="shared" si="89"/>
        <v/>
      </c>
      <c r="AU581" s="20" t="str">
        <f t="shared" si="90"/>
        <v/>
      </c>
      <c r="AV581" s="20"/>
      <c r="AW581" s="20"/>
      <c r="AX581" s="20"/>
    </row>
    <row r="582" spans="31:50">
      <c r="AE582" s="26">
        <f>Data!A577</f>
        <v>42125</v>
      </c>
      <c r="AF582" s="35">
        <f>Data!B577</f>
        <v>84.53</v>
      </c>
      <c r="AG582" s="35">
        <f>Data!F577</f>
        <v>2086031</v>
      </c>
      <c r="AH582" s="35">
        <f>Data!C577</f>
        <v>86.28</v>
      </c>
      <c r="AI582" s="35">
        <f>Data!D577</f>
        <v>84.52</v>
      </c>
      <c r="AJ582" s="35">
        <f>Data!E577</f>
        <v>86.03</v>
      </c>
      <c r="AK582" s="35">
        <f>Data!F577</f>
        <v>2086031</v>
      </c>
      <c r="AL582" s="35">
        <f t="shared" ref="AL582:AL645" si="93">AJ582</f>
        <v>86.03</v>
      </c>
      <c r="AM582" s="35">
        <f t="shared" si="92"/>
        <v>-0.5463210507962325</v>
      </c>
      <c r="AN582" s="35">
        <f t="shared" si="91"/>
        <v>4.484545052302674</v>
      </c>
      <c r="AO582" s="35" t="str">
        <f t="shared" si="85"/>
        <v>no</v>
      </c>
      <c r="AP582" s="35" t="str">
        <f t="shared" si="86"/>
        <v>FITS BITCH</v>
      </c>
      <c r="AQ582" s="35" t="str">
        <f t="shared" si="86"/>
        <v>FITS BITCH</v>
      </c>
      <c r="AR582" s="35" t="str">
        <f t="shared" si="87"/>
        <v>no</v>
      </c>
      <c r="AS582" s="35" t="str">
        <f t="shared" si="88"/>
        <v>FITS BITCH</v>
      </c>
      <c r="AT582" s="20" t="str">
        <f t="shared" si="89"/>
        <v/>
      </c>
      <c r="AU582" s="20" t="str">
        <f t="shared" si="90"/>
        <v/>
      </c>
      <c r="AV582" s="20"/>
      <c r="AW582" s="20"/>
      <c r="AX582" s="20"/>
    </row>
    <row r="583" spans="31:50">
      <c r="AE583" s="26">
        <f>Data!A578</f>
        <v>42124</v>
      </c>
      <c r="AF583" s="35">
        <f>Data!B578</f>
        <v>85.22</v>
      </c>
      <c r="AG583" s="35">
        <f>Data!F578</f>
        <v>2194397</v>
      </c>
      <c r="AH583" s="35">
        <f>Data!C578</f>
        <v>86</v>
      </c>
      <c r="AI583" s="35">
        <f>Data!D578</f>
        <v>84.32</v>
      </c>
      <c r="AJ583" s="35">
        <f>Data!E578</f>
        <v>84.54</v>
      </c>
      <c r="AK583" s="35">
        <f>Data!F578</f>
        <v>2194397</v>
      </c>
      <c r="AL583" s="35">
        <f t="shared" si="93"/>
        <v>84.54</v>
      </c>
      <c r="AM583" s="35">
        <f t="shared" si="92"/>
        <v>-1.762479299739762</v>
      </c>
      <c r="AN583" s="35">
        <f t="shared" si="91"/>
        <v>4.9383042357422111</v>
      </c>
      <c r="AO583" s="35" t="str">
        <f t="shared" si="85"/>
        <v>no</v>
      </c>
      <c r="AP583" s="35" t="str">
        <f t="shared" si="86"/>
        <v>FITS BITCH</v>
      </c>
      <c r="AQ583" s="35" t="str">
        <f t="shared" si="86"/>
        <v>no</v>
      </c>
      <c r="AR583" s="35" t="str">
        <f t="shared" si="87"/>
        <v>FITS BITCH</v>
      </c>
      <c r="AS583" s="35" t="str">
        <f t="shared" si="88"/>
        <v>no</v>
      </c>
      <c r="AT583" s="20" t="str">
        <f t="shared" si="89"/>
        <v/>
      </c>
      <c r="AU583" s="20" t="str">
        <f t="shared" si="90"/>
        <v/>
      </c>
      <c r="AV583" s="20"/>
      <c r="AW583" s="20"/>
      <c r="AX583" s="20"/>
    </row>
    <row r="584" spans="31:50">
      <c r="AE584" s="26">
        <f>Data!A579</f>
        <v>42123</v>
      </c>
      <c r="AF584" s="35">
        <f>Data!B579</f>
        <v>85.08</v>
      </c>
      <c r="AG584" s="35">
        <f>Data!F579</f>
        <v>1914618</v>
      </c>
      <c r="AH584" s="35">
        <f>Data!C579</f>
        <v>85.94</v>
      </c>
      <c r="AI584" s="35">
        <f>Data!D579</f>
        <v>84.76</v>
      </c>
      <c r="AJ584" s="35">
        <f>Data!E579</f>
        <v>85.39</v>
      </c>
      <c r="AK584" s="35">
        <f>Data!F579</f>
        <v>1914618</v>
      </c>
      <c r="AL584" s="35">
        <f t="shared" si="93"/>
        <v>85.39</v>
      </c>
      <c r="AM584" s="35">
        <f t="shared" si="92"/>
        <v>0.9954327204590635</v>
      </c>
      <c r="AN584" s="35">
        <f t="shared" si="91"/>
        <v>-14.612784377875901</v>
      </c>
      <c r="AO584" s="35" t="str">
        <f t="shared" si="85"/>
        <v>FITS BITCH</v>
      </c>
      <c r="AP584" s="35" t="str">
        <f t="shared" si="86"/>
        <v>FITS BITCH</v>
      </c>
      <c r="AQ584" s="35" t="str">
        <f t="shared" si="86"/>
        <v>FITS BITCH</v>
      </c>
      <c r="AR584" s="35" t="str">
        <f t="shared" si="87"/>
        <v>FITS BITCH</v>
      </c>
      <c r="AS584" s="35" t="str">
        <f t="shared" si="88"/>
        <v>no</v>
      </c>
      <c r="AT584" s="20" t="str">
        <f t="shared" si="89"/>
        <v>BULLISH</v>
      </c>
      <c r="AU584" s="20" t="str">
        <f t="shared" si="90"/>
        <v/>
      </c>
      <c r="AV584" s="20"/>
      <c r="AW584" s="20"/>
      <c r="AX584" s="20"/>
    </row>
    <row r="585" spans="31:50">
      <c r="AE585" s="26">
        <f>Data!A580</f>
        <v>42122</v>
      </c>
      <c r="AF585" s="35">
        <f>Data!B580</f>
        <v>84.8</v>
      </c>
      <c r="AG585" s="35">
        <f>Data!F580</f>
        <v>1639374</v>
      </c>
      <c r="AH585" s="35">
        <f>Data!C580</f>
        <v>85.64</v>
      </c>
      <c r="AI585" s="35">
        <f>Data!D580</f>
        <v>84.37</v>
      </c>
      <c r="AJ585" s="35">
        <f>Data!E580</f>
        <v>85.61</v>
      </c>
      <c r="AK585" s="35">
        <f>Data!F580</f>
        <v>1639374</v>
      </c>
      <c r="AL585" s="35">
        <f t="shared" si="93"/>
        <v>85.61</v>
      </c>
      <c r="AM585" s="35">
        <f t="shared" si="92"/>
        <v>0.25697932484522706</v>
      </c>
      <c r="AN585" s="35">
        <f t="shared" si="91"/>
        <v>-16.789579437029012</v>
      </c>
      <c r="AO585" s="35" t="str">
        <f t="shared" ref="AO585:AO648" si="94">IF(AN585&lt;-8,"FITS BITCH",IF(AN585&gt;-8,"no"))</f>
        <v>FITS BITCH</v>
      </c>
      <c r="AP585" s="35" t="str">
        <f t="shared" ref="AP585:AQ648" si="95">IF(AH586&lt;AH585,"FITS BITCH",IF(AH586&gt;AH585,"no"))</f>
        <v>FITS BITCH</v>
      </c>
      <c r="AQ585" s="35" t="str">
        <f t="shared" si="95"/>
        <v>no</v>
      </c>
      <c r="AR585" s="35" t="str">
        <f t="shared" ref="AR585:AR648" si="96">IF(AJ585&lt;AH586,"FITS BITCH",IF(AJ585&gt;AH586,"no"))</f>
        <v>no</v>
      </c>
      <c r="AS585" s="35" t="str">
        <f t="shared" ref="AS585:AS648" si="97">IF(AJ585&gt;AJ586,"FITS BITCH",IF(AJ585&lt;AJ586,"no"))</f>
        <v>FITS BITCH</v>
      </c>
      <c r="AT585" s="20" t="str">
        <f t="shared" ref="AT585:AT648" si="98">IF(AND($AO585="FITS BITCH",$AP585="FITS BITCH",$AR585="FITS BITCH"),"BULLISH","")</f>
        <v/>
      </c>
      <c r="AU585" s="20" t="str">
        <f t="shared" ref="AU585:AU648" si="99">IF(AND($AO585="FITS BITCH",$AQ585="FITS BITCH",$AS585="FITS BITCH"),"BEARISH","")</f>
        <v/>
      </c>
      <c r="AV585" s="20"/>
      <c r="AW585" s="20"/>
      <c r="AX585" s="20"/>
    </row>
    <row r="586" spans="31:50">
      <c r="AE586" s="26">
        <f>Data!A581</f>
        <v>42121</v>
      </c>
      <c r="AF586" s="35">
        <f>Data!B581</f>
        <v>85.42</v>
      </c>
      <c r="AG586" s="35">
        <f>Data!F581</f>
        <v>1466950</v>
      </c>
      <c r="AH586" s="35">
        <f>Data!C581</f>
        <v>85.46</v>
      </c>
      <c r="AI586" s="35">
        <f>Data!D581</f>
        <v>84.52</v>
      </c>
      <c r="AJ586" s="35">
        <f>Data!E581</f>
        <v>84.7</v>
      </c>
      <c r="AK586" s="35">
        <f>Data!F581</f>
        <v>1466950</v>
      </c>
      <c r="AL586" s="35">
        <f t="shared" si="93"/>
        <v>84.7</v>
      </c>
      <c r="AM586" s="35">
        <f t="shared" si="92"/>
        <v>-1.0743801652892522</v>
      </c>
      <c r="AN586" s="35">
        <f t="shared" ref="AN586:AN649" si="100">(AK586-AK585)/AK586*100</f>
        <v>-11.753911176250043</v>
      </c>
      <c r="AO586" s="35" t="str">
        <f t="shared" si="94"/>
        <v>FITS BITCH</v>
      </c>
      <c r="AP586" s="35" t="str">
        <f t="shared" si="95"/>
        <v>no</v>
      </c>
      <c r="AQ586" s="35" t="str">
        <f t="shared" si="95"/>
        <v>FITS BITCH</v>
      </c>
      <c r="AR586" s="35" t="str">
        <f t="shared" si="96"/>
        <v>FITS BITCH</v>
      </c>
      <c r="AS586" s="35" t="str">
        <f t="shared" si="97"/>
        <v>no</v>
      </c>
      <c r="AT586" s="20" t="str">
        <f t="shared" si="98"/>
        <v/>
      </c>
      <c r="AU586" s="20" t="str">
        <f t="shared" si="99"/>
        <v/>
      </c>
      <c r="AV586" s="20"/>
      <c r="AW586" s="20"/>
      <c r="AX586" s="20"/>
    </row>
    <row r="587" spans="31:50">
      <c r="AE587" s="26">
        <f>Data!A582</f>
        <v>42118</v>
      </c>
      <c r="AF587" s="35">
        <f>Data!B582</f>
        <v>85.65</v>
      </c>
      <c r="AG587" s="35">
        <f>Data!F582</f>
        <v>1187070</v>
      </c>
      <c r="AH587" s="35">
        <f>Data!C582</f>
        <v>85.65</v>
      </c>
      <c r="AI587" s="35">
        <f>Data!D582</f>
        <v>84.32</v>
      </c>
      <c r="AJ587" s="35">
        <f>Data!E582</f>
        <v>85</v>
      </c>
      <c r="AK587" s="35">
        <f>Data!F582</f>
        <v>1187070</v>
      </c>
      <c r="AL587" s="35">
        <f t="shared" si="93"/>
        <v>85</v>
      </c>
      <c r="AM587" s="35">
        <f t="shared" si="92"/>
        <v>0.35294117647058493</v>
      </c>
      <c r="AN587" s="35">
        <f t="shared" si="100"/>
        <v>-23.577379598507246</v>
      </c>
      <c r="AO587" s="35" t="str">
        <f t="shared" si="94"/>
        <v>FITS BITCH</v>
      </c>
      <c r="AP587" s="35" t="str">
        <f t="shared" si="95"/>
        <v>no</v>
      </c>
      <c r="AQ587" s="35" t="str">
        <f t="shared" si="95"/>
        <v>no</v>
      </c>
      <c r="AR587" s="35" t="str">
        <f t="shared" si="96"/>
        <v>FITS BITCH</v>
      </c>
      <c r="AS587" s="35" t="str">
        <f t="shared" si="97"/>
        <v>no</v>
      </c>
      <c r="AT587" s="20" t="str">
        <f t="shared" si="98"/>
        <v/>
      </c>
      <c r="AU587" s="20" t="str">
        <f t="shared" si="99"/>
        <v/>
      </c>
      <c r="AV587" s="20"/>
      <c r="AW587" s="20"/>
      <c r="AX587" s="20"/>
    </row>
    <row r="588" spans="31:50">
      <c r="AE588" s="26">
        <f>Data!A583</f>
        <v>42117</v>
      </c>
      <c r="AF588" s="35">
        <f>Data!B583</f>
        <v>85.12</v>
      </c>
      <c r="AG588" s="35">
        <f>Data!F583</f>
        <v>1000080</v>
      </c>
      <c r="AH588" s="35">
        <f>Data!C583</f>
        <v>86.1</v>
      </c>
      <c r="AI588" s="35">
        <f>Data!D583</f>
        <v>85.02</v>
      </c>
      <c r="AJ588" s="35">
        <f>Data!E583</f>
        <v>85.76</v>
      </c>
      <c r="AK588" s="35">
        <f>Data!F583</f>
        <v>1000080</v>
      </c>
      <c r="AL588" s="35">
        <f t="shared" si="93"/>
        <v>85.76</v>
      </c>
      <c r="AM588" s="35">
        <f t="shared" si="92"/>
        <v>0.88619402985075213</v>
      </c>
      <c r="AN588" s="35">
        <f t="shared" si="100"/>
        <v>-18.697504199664028</v>
      </c>
      <c r="AO588" s="35" t="str">
        <f t="shared" si="94"/>
        <v>FITS BITCH</v>
      </c>
      <c r="AP588" s="35" t="str">
        <f t="shared" si="95"/>
        <v>FITS BITCH</v>
      </c>
      <c r="AQ588" s="35" t="str">
        <f t="shared" si="95"/>
        <v>FITS BITCH</v>
      </c>
      <c r="AR588" s="35" t="str">
        <f t="shared" si="96"/>
        <v>no</v>
      </c>
      <c r="AS588" s="35" t="str">
        <f t="shared" si="97"/>
        <v>FITS BITCH</v>
      </c>
      <c r="AT588" s="20" t="str">
        <f t="shared" si="98"/>
        <v/>
      </c>
      <c r="AU588" s="20" t="str">
        <f t="shared" si="99"/>
        <v>BEARISH</v>
      </c>
      <c r="AV588" s="20"/>
      <c r="AW588" s="20"/>
      <c r="AX588" s="20"/>
    </row>
    <row r="589" spans="31:50">
      <c r="AE589" s="26">
        <f>Data!A584</f>
        <v>42116</v>
      </c>
      <c r="AF589" s="35">
        <f>Data!B584</f>
        <v>85.14</v>
      </c>
      <c r="AG589" s="35">
        <f>Data!F584</f>
        <v>993563</v>
      </c>
      <c r="AH589" s="35">
        <f>Data!C584</f>
        <v>85.49</v>
      </c>
      <c r="AI589" s="35">
        <f>Data!D584</f>
        <v>84.61</v>
      </c>
      <c r="AJ589" s="35">
        <f>Data!E584</f>
        <v>85.31</v>
      </c>
      <c r="AK589" s="35">
        <f>Data!F584</f>
        <v>993563</v>
      </c>
      <c r="AL589" s="35">
        <f t="shared" si="93"/>
        <v>85.31</v>
      </c>
      <c r="AM589" s="35">
        <f t="shared" si="92"/>
        <v>-0.52748798499590066</v>
      </c>
      <c r="AN589" s="35">
        <f t="shared" si="100"/>
        <v>-0.65592217101482242</v>
      </c>
      <c r="AO589" s="35" t="str">
        <f t="shared" si="94"/>
        <v>no</v>
      </c>
      <c r="AP589" s="35" t="str">
        <f t="shared" si="95"/>
        <v>no</v>
      </c>
      <c r="AQ589" s="35" t="str">
        <f t="shared" si="95"/>
        <v>no</v>
      </c>
      <c r="AR589" s="35" t="str">
        <f t="shared" si="96"/>
        <v>FITS BITCH</v>
      </c>
      <c r="AS589" s="35" t="str">
        <f t="shared" si="97"/>
        <v>FITS BITCH</v>
      </c>
      <c r="AT589" s="20" t="str">
        <f t="shared" si="98"/>
        <v/>
      </c>
      <c r="AU589" s="20" t="str">
        <f t="shared" si="99"/>
        <v/>
      </c>
      <c r="AV589" s="20"/>
      <c r="AW589" s="20"/>
      <c r="AX589" s="20"/>
    </row>
    <row r="590" spans="31:50">
      <c r="AE590" s="26">
        <f>Data!A585</f>
        <v>42115</v>
      </c>
      <c r="AF590" s="35">
        <f>Data!B585</f>
        <v>85.16</v>
      </c>
      <c r="AG590" s="35">
        <f>Data!F585</f>
        <v>1552471</v>
      </c>
      <c r="AH590" s="35">
        <f>Data!C585</f>
        <v>86.12</v>
      </c>
      <c r="AI590" s="35">
        <f>Data!D585</f>
        <v>84.8</v>
      </c>
      <c r="AJ590" s="35">
        <f>Data!E585</f>
        <v>85.1</v>
      </c>
      <c r="AK590" s="35">
        <f>Data!F585</f>
        <v>1552471</v>
      </c>
      <c r="AL590" s="35">
        <f t="shared" si="93"/>
        <v>85.1</v>
      </c>
      <c r="AM590" s="35">
        <f t="shared" si="92"/>
        <v>-0.2467685076380822</v>
      </c>
      <c r="AN590" s="35">
        <f t="shared" si="100"/>
        <v>36.001187783861987</v>
      </c>
      <c r="AO590" s="35" t="str">
        <f t="shared" si="94"/>
        <v>no</v>
      </c>
      <c r="AP590" s="35" t="str">
        <f t="shared" si="95"/>
        <v>FITS BITCH</v>
      </c>
      <c r="AQ590" s="35" t="str">
        <f t="shared" si="95"/>
        <v>FITS BITCH</v>
      </c>
      <c r="AR590" s="35" t="str">
        <f t="shared" si="96"/>
        <v>no</v>
      </c>
      <c r="AS590" s="35" t="str">
        <f t="shared" si="97"/>
        <v>FITS BITCH</v>
      </c>
      <c r="AT590" s="20" t="str">
        <f t="shared" si="98"/>
        <v/>
      </c>
      <c r="AU590" s="20" t="str">
        <f t="shared" si="99"/>
        <v/>
      </c>
      <c r="AV590" s="20"/>
      <c r="AW590" s="20"/>
      <c r="AX590" s="20"/>
    </row>
    <row r="591" spans="31:50">
      <c r="AE591" s="26">
        <f>Data!A586</f>
        <v>42114</v>
      </c>
      <c r="AF591" s="35">
        <f>Data!B586</f>
        <v>83.84</v>
      </c>
      <c r="AG591" s="35">
        <f>Data!F586</f>
        <v>1412630</v>
      </c>
      <c r="AH591" s="35">
        <f>Data!C586</f>
        <v>84.9</v>
      </c>
      <c r="AI591" s="35">
        <f>Data!D586</f>
        <v>83.6</v>
      </c>
      <c r="AJ591" s="35">
        <f>Data!E586</f>
        <v>84.8</v>
      </c>
      <c r="AK591" s="35">
        <f>Data!F586</f>
        <v>1412630</v>
      </c>
      <c r="AL591" s="35">
        <f t="shared" si="93"/>
        <v>84.8</v>
      </c>
      <c r="AM591" s="35">
        <f t="shared" si="92"/>
        <v>-0.35377358490565702</v>
      </c>
      <c r="AN591" s="35">
        <f t="shared" si="100"/>
        <v>-9.8993366982153859</v>
      </c>
      <c r="AO591" s="35" t="str">
        <f t="shared" si="94"/>
        <v>FITS BITCH</v>
      </c>
      <c r="AP591" s="35" t="str">
        <f t="shared" si="95"/>
        <v>no</v>
      </c>
      <c r="AQ591" s="35" t="str">
        <f t="shared" si="95"/>
        <v>FITS BITCH</v>
      </c>
      <c r="AR591" s="35" t="str">
        <f t="shared" si="96"/>
        <v>FITS BITCH</v>
      </c>
      <c r="AS591" s="35" t="str">
        <f t="shared" si="97"/>
        <v>FITS BITCH</v>
      </c>
      <c r="AT591" s="20" t="str">
        <f t="shared" si="98"/>
        <v/>
      </c>
      <c r="AU591" s="20" t="str">
        <f t="shared" si="99"/>
        <v>BEARISH</v>
      </c>
      <c r="AV591" s="20"/>
      <c r="AW591" s="20"/>
      <c r="AX591" s="20"/>
    </row>
    <row r="592" spans="31:50">
      <c r="AE592" s="26">
        <f>Data!A587</f>
        <v>42111</v>
      </c>
      <c r="AF592" s="35">
        <f>Data!B587</f>
        <v>84.64</v>
      </c>
      <c r="AG592" s="35">
        <f>Data!F587</f>
        <v>1965598</v>
      </c>
      <c r="AH592" s="35">
        <f>Data!C587</f>
        <v>85.01</v>
      </c>
      <c r="AI592" s="35">
        <f>Data!D587</f>
        <v>83.3</v>
      </c>
      <c r="AJ592" s="35">
        <f>Data!E587</f>
        <v>83.53</v>
      </c>
      <c r="AK592" s="35">
        <f>Data!F587</f>
        <v>1965598</v>
      </c>
      <c r="AL592" s="35">
        <f t="shared" si="93"/>
        <v>83.53</v>
      </c>
      <c r="AM592" s="35">
        <f t="shared" si="92"/>
        <v>-1.5204118280857131</v>
      </c>
      <c r="AN592" s="35">
        <f t="shared" si="100"/>
        <v>28.132303756922827</v>
      </c>
      <c r="AO592" s="35" t="str">
        <f t="shared" si="94"/>
        <v>no</v>
      </c>
      <c r="AP592" s="35" t="str">
        <f t="shared" si="95"/>
        <v>no</v>
      </c>
      <c r="AQ592" s="35" t="str">
        <f t="shared" si="95"/>
        <v>no</v>
      </c>
      <c r="AR592" s="35" t="str">
        <f t="shared" si="96"/>
        <v>FITS BITCH</v>
      </c>
      <c r="AS592" s="35" t="str">
        <f t="shared" si="97"/>
        <v>no</v>
      </c>
      <c r="AT592" s="20" t="str">
        <f t="shared" si="98"/>
        <v/>
      </c>
      <c r="AU592" s="20" t="str">
        <f t="shared" si="99"/>
        <v/>
      </c>
      <c r="AV592" s="20"/>
      <c r="AW592" s="20"/>
      <c r="AX592" s="20"/>
    </row>
    <row r="593" spans="31:50">
      <c r="AE593" s="26">
        <f>Data!A588</f>
        <v>42110</v>
      </c>
      <c r="AF593" s="35">
        <f>Data!B588</f>
        <v>85.56</v>
      </c>
      <c r="AG593" s="35">
        <f>Data!F588</f>
        <v>1463359</v>
      </c>
      <c r="AH593" s="35">
        <f>Data!C588</f>
        <v>85.75</v>
      </c>
      <c r="AI593" s="35">
        <f>Data!D588</f>
        <v>85.25</v>
      </c>
      <c r="AJ593" s="35">
        <f>Data!E588</f>
        <v>85.38</v>
      </c>
      <c r="AK593" s="35">
        <f>Data!F588</f>
        <v>1463359</v>
      </c>
      <c r="AL593" s="35">
        <f t="shared" si="93"/>
        <v>85.38</v>
      </c>
      <c r="AM593" s="35">
        <f t="shared" si="92"/>
        <v>2.1667837901147746</v>
      </c>
      <c r="AN593" s="35">
        <f t="shared" si="100"/>
        <v>-34.320969768867386</v>
      </c>
      <c r="AO593" s="35" t="str">
        <f t="shared" si="94"/>
        <v>FITS BITCH</v>
      </c>
      <c r="AP593" s="35" t="str">
        <f t="shared" si="95"/>
        <v>no</v>
      </c>
      <c r="AQ593" s="35" t="str">
        <f t="shared" si="95"/>
        <v>no</v>
      </c>
      <c r="AR593" s="35" t="str">
        <f t="shared" si="96"/>
        <v>FITS BITCH</v>
      </c>
      <c r="AS593" s="35" t="str">
        <f t="shared" si="97"/>
        <v>no</v>
      </c>
      <c r="AT593" s="20" t="str">
        <f t="shared" si="98"/>
        <v/>
      </c>
      <c r="AU593" s="20" t="str">
        <f t="shared" si="99"/>
        <v/>
      </c>
      <c r="AV593" s="20"/>
      <c r="AW593" s="20"/>
      <c r="AX593" s="20"/>
    </row>
    <row r="594" spans="31:50">
      <c r="AE594" s="26">
        <f>Data!A589</f>
        <v>42109</v>
      </c>
      <c r="AF594" s="35">
        <f>Data!B589</f>
        <v>85.9</v>
      </c>
      <c r="AG594" s="35">
        <f>Data!F589</f>
        <v>1481227</v>
      </c>
      <c r="AH594" s="35">
        <f>Data!C589</f>
        <v>86.08</v>
      </c>
      <c r="AI594" s="35">
        <f>Data!D589</f>
        <v>85.6</v>
      </c>
      <c r="AJ594" s="35">
        <f>Data!E589</f>
        <v>85.76</v>
      </c>
      <c r="AK594" s="35">
        <f>Data!F589</f>
        <v>1481227</v>
      </c>
      <c r="AL594" s="35">
        <f t="shared" si="93"/>
        <v>85.76</v>
      </c>
      <c r="AM594" s="35">
        <f t="shared" si="92"/>
        <v>0.44309701492538439</v>
      </c>
      <c r="AN594" s="35">
        <f t="shared" si="100"/>
        <v>1.2062972117035404</v>
      </c>
      <c r="AO594" s="35" t="str">
        <f t="shared" si="94"/>
        <v>no</v>
      </c>
      <c r="AP594" s="35" t="str">
        <f t="shared" si="95"/>
        <v>no</v>
      </c>
      <c r="AQ594" s="35" t="str">
        <f t="shared" si="95"/>
        <v>FITS BITCH</v>
      </c>
      <c r="AR594" s="35" t="str">
        <f t="shared" si="96"/>
        <v>FITS BITCH</v>
      </c>
      <c r="AS594" s="35" t="str">
        <f t="shared" si="97"/>
        <v>FITS BITCH</v>
      </c>
      <c r="AT594" s="20" t="str">
        <f t="shared" si="98"/>
        <v/>
      </c>
      <c r="AU594" s="20" t="str">
        <f t="shared" si="99"/>
        <v/>
      </c>
      <c r="AV594" s="20"/>
      <c r="AW594" s="20"/>
      <c r="AX594" s="20"/>
    </row>
    <row r="595" spans="31:50">
      <c r="AE595" s="26">
        <f>Data!A590</f>
        <v>42108</v>
      </c>
      <c r="AF595" s="35">
        <f>Data!B590</f>
        <v>85.74</v>
      </c>
      <c r="AG595" s="35">
        <f>Data!F590</f>
        <v>1366759</v>
      </c>
      <c r="AH595" s="35">
        <f>Data!C590</f>
        <v>86.14</v>
      </c>
      <c r="AI595" s="35">
        <f>Data!D590</f>
        <v>85.2</v>
      </c>
      <c r="AJ595" s="35">
        <f>Data!E590</f>
        <v>85.62</v>
      </c>
      <c r="AK595" s="35">
        <f>Data!F590</f>
        <v>1366759</v>
      </c>
      <c r="AL595" s="35">
        <f t="shared" si="93"/>
        <v>85.62</v>
      </c>
      <c r="AM595" s="35">
        <f t="shared" si="92"/>
        <v>-0.16351319785097004</v>
      </c>
      <c r="AN595" s="35">
        <f t="shared" si="100"/>
        <v>-8.3751414843436187</v>
      </c>
      <c r="AO595" s="35" t="str">
        <f t="shared" si="94"/>
        <v>FITS BITCH</v>
      </c>
      <c r="AP595" s="35" t="str">
        <f t="shared" si="95"/>
        <v>no</v>
      </c>
      <c r="AQ595" s="35" t="str">
        <f t="shared" si="95"/>
        <v>no</v>
      </c>
      <c r="AR595" s="35" t="str">
        <f t="shared" si="96"/>
        <v>FITS BITCH</v>
      </c>
      <c r="AS595" s="35" t="str">
        <f t="shared" si="97"/>
        <v>no</v>
      </c>
      <c r="AT595" s="20" t="str">
        <f t="shared" si="98"/>
        <v/>
      </c>
      <c r="AU595" s="20" t="str">
        <f t="shared" si="99"/>
        <v/>
      </c>
      <c r="AV595" s="20"/>
      <c r="AW595" s="20"/>
      <c r="AX595" s="20"/>
    </row>
    <row r="596" spans="31:50">
      <c r="AE596" s="26">
        <f>Data!A591</f>
        <v>42107</v>
      </c>
      <c r="AF596" s="35">
        <f>Data!B591</f>
        <v>86.12</v>
      </c>
      <c r="AG596" s="35">
        <f>Data!F591</f>
        <v>1331739</v>
      </c>
      <c r="AH596" s="35">
        <f>Data!C591</f>
        <v>86.7</v>
      </c>
      <c r="AI596" s="35">
        <f>Data!D591</f>
        <v>85.76</v>
      </c>
      <c r="AJ596" s="35">
        <f>Data!E591</f>
        <v>85.92</v>
      </c>
      <c r="AK596" s="35">
        <f>Data!F591</f>
        <v>1331739</v>
      </c>
      <c r="AL596" s="35">
        <f t="shared" si="93"/>
        <v>85.92</v>
      </c>
      <c r="AM596" s="35">
        <f t="shared" si="92"/>
        <v>0.34916201117318102</v>
      </c>
      <c r="AN596" s="35">
        <f t="shared" si="100"/>
        <v>-2.629644397288057</v>
      </c>
      <c r="AO596" s="35" t="str">
        <f t="shared" si="94"/>
        <v>no</v>
      </c>
      <c r="AP596" s="35" t="str">
        <f t="shared" si="95"/>
        <v>no</v>
      </c>
      <c r="AQ596" s="35" t="str">
        <f t="shared" si="95"/>
        <v>no</v>
      </c>
      <c r="AR596" s="35" t="str">
        <f t="shared" si="96"/>
        <v>FITS BITCH</v>
      </c>
      <c r="AS596" s="35" t="str">
        <f t="shared" si="97"/>
        <v>no</v>
      </c>
      <c r="AT596" s="20" t="str">
        <f t="shared" si="98"/>
        <v/>
      </c>
      <c r="AU596" s="20" t="str">
        <f t="shared" si="99"/>
        <v/>
      </c>
      <c r="AV596" s="20"/>
      <c r="AW596" s="20"/>
      <c r="AX596" s="20"/>
    </row>
    <row r="597" spans="31:50">
      <c r="AE597" s="26">
        <f>Data!A592</f>
        <v>42104</v>
      </c>
      <c r="AF597" s="35">
        <f>Data!B592</f>
        <v>86.76</v>
      </c>
      <c r="AG597" s="35">
        <f>Data!F592</f>
        <v>1857474</v>
      </c>
      <c r="AH597" s="35">
        <f>Data!C592</f>
        <v>86.79</v>
      </c>
      <c r="AI597" s="35">
        <f>Data!D592</f>
        <v>86.16</v>
      </c>
      <c r="AJ597" s="35">
        <f>Data!E592</f>
        <v>86.34</v>
      </c>
      <c r="AK597" s="35">
        <f>Data!F592</f>
        <v>1857474</v>
      </c>
      <c r="AL597" s="35">
        <f t="shared" si="93"/>
        <v>86.34</v>
      </c>
      <c r="AM597" s="35">
        <f t="shared" si="92"/>
        <v>0.48644892286310132</v>
      </c>
      <c r="AN597" s="35">
        <f t="shared" si="100"/>
        <v>28.303760914015484</v>
      </c>
      <c r="AO597" s="35" t="str">
        <f t="shared" si="94"/>
        <v>no</v>
      </c>
      <c r="AP597" s="35" t="str">
        <f t="shared" si="95"/>
        <v>FITS BITCH</v>
      </c>
      <c r="AQ597" s="35" t="str">
        <f t="shared" si="95"/>
        <v>FITS BITCH</v>
      </c>
      <c r="AR597" s="35" t="str">
        <f t="shared" si="96"/>
        <v>FITS BITCH</v>
      </c>
      <c r="AS597" s="35" t="str">
        <f t="shared" si="97"/>
        <v>no</v>
      </c>
      <c r="AT597" s="20" t="str">
        <f t="shared" si="98"/>
        <v/>
      </c>
      <c r="AU597" s="20" t="str">
        <f t="shared" si="99"/>
        <v/>
      </c>
      <c r="AV597" s="20"/>
      <c r="AW597" s="20"/>
      <c r="AX597" s="20"/>
    </row>
    <row r="598" spans="31:50">
      <c r="AE598" s="26">
        <f>Data!A593</f>
        <v>42103</v>
      </c>
      <c r="AF598" s="35">
        <f>Data!B593</f>
        <v>86.45</v>
      </c>
      <c r="AG598" s="35">
        <f>Data!F593</f>
        <v>1155351</v>
      </c>
      <c r="AH598" s="35">
        <f>Data!C593</f>
        <v>86.74</v>
      </c>
      <c r="AI598" s="35">
        <f>Data!D593</f>
        <v>85.67</v>
      </c>
      <c r="AJ598" s="35">
        <f>Data!E593</f>
        <v>86.6</v>
      </c>
      <c r="AK598" s="35">
        <f>Data!F593</f>
        <v>1155351</v>
      </c>
      <c r="AL598" s="35">
        <f t="shared" si="93"/>
        <v>86.6</v>
      </c>
      <c r="AM598" s="35">
        <f t="shared" si="92"/>
        <v>0.30023094688220664</v>
      </c>
      <c r="AN598" s="35">
        <f t="shared" si="100"/>
        <v>-60.771401937592998</v>
      </c>
      <c r="AO598" s="35" t="str">
        <f t="shared" si="94"/>
        <v>FITS BITCH</v>
      </c>
      <c r="AP598" s="35" t="str">
        <f t="shared" si="95"/>
        <v>FITS BITCH</v>
      </c>
      <c r="AQ598" s="35" t="str">
        <f t="shared" si="95"/>
        <v>FITS BITCH</v>
      </c>
      <c r="AR598" s="35" t="str">
        <f t="shared" si="96"/>
        <v>FITS BITCH</v>
      </c>
      <c r="AS598" s="35" t="str">
        <f t="shared" si="97"/>
        <v>FITS BITCH</v>
      </c>
      <c r="AT598" s="20" t="str">
        <f t="shared" si="98"/>
        <v>BULLISH</v>
      </c>
      <c r="AU598" s="20" t="str">
        <f t="shared" si="99"/>
        <v>BEARISH</v>
      </c>
      <c r="AV598" s="20"/>
      <c r="AW598" s="20"/>
      <c r="AX598" s="20"/>
    </row>
    <row r="599" spans="31:50">
      <c r="AE599" s="26">
        <f>Data!A594</f>
        <v>42102</v>
      </c>
      <c r="AF599" s="35">
        <f>Data!B594</f>
        <v>85.69</v>
      </c>
      <c r="AG599" s="35">
        <f>Data!F594</f>
        <v>1328525</v>
      </c>
      <c r="AH599" s="35">
        <f>Data!C594</f>
        <v>86.7</v>
      </c>
      <c r="AI599" s="35">
        <f>Data!D594</f>
        <v>85.53</v>
      </c>
      <c r="AJ599" s="35">
        <f>Data!E594</f>
        <v>86.57</v>
      </c>
      <c r="AK599" s="35">
        <f>Data!F594</f>
        <v>1328525</v>
      </c>
      <c r="AL599" s="35">
        <f t="shared" si="93"/>
        <v>86.57</v>
      </c>
      <c r="AM599" s="35">
        <f t="shared" si="92"/>
        <v>-3.4654037195334574E-2</v>
      </c>
      <c r="AN599" s="35">
        <f t="shared" si="100"/>
        <v>13.035057676746767</v>
      </c>
      <c r="AO599" s="35" t="str">
        <f t="shared" si="94"/>
        <v>no</v>
      </c>
      <c r="AP599" s="35" t="str">
        <f t="shared" si="95"/>
        <v>FITS BITCH</v>
      </c>
      <c r="AQ599" s="35" t="str">
        <f t="shared" si="95"/>
        <v>no</v>
      </c>
      <c r="AR599" s="35" t="str">
        <f t="shared" si="96"/>
        <v>FITS BITCH</v>
      </c>
      <c r="AS599" s="35" t="str">
        <f t="shared" si="97"/>
        <v>FITS BITCH</v>
      </c>
      <c r="AT599" s="20" t="str">
        <f t="shared" si="98"/>
        <v/>
      </c>
      <c r="AU599" s="20" t="str">
        <f t="shared" si="99"/>
        <v/>
      </c>
      <c r="AV599" s="20"/>
      <c r="AW599" s="20"/>
      <c r="AX599" s="20"/>
    </row>
    <row r="600" spans="31:50">
      <c r="AE600" s="26">
        <f>Data!A595</f>
        <v>42101</v>
      </c>
      <c r="AF600" s="35">
        <f>Data!B595</f>
        <v>86.23</v>
      </c>
      <c r="AG600" s="35">
        <f>Data!F595</f>
        <v>1039589</v>
      </c>
      <c r="AH600" s="35">
        <f>Data!C595</f>
        <v>86.63</v>
      </c>
      <c r="AI600" s="35">
        <f>Data!D595</f>
        <v>85.82</v>
      </c>
      <c r="AJ600" s="35">
        <f>Data!E595</f>
        <v>85.86</v>
      </c>
      <c r="AK600" s="35">
        <f>Data!F595</f>
        <v>1039589</v>
      </c>
      <c r="AL600" s="35">
        <f t="shared" si="93"/>
        <v>85.86</v>
      </c>
      <c r="AM600" s="35">
        <f t="shared" si="92"/>
        <v>-0.82692755648729765</v>
      </c>
      <c r="AN600" s="35">
        <f t="shared" si="100"/>
        <v>-27.793291387269392</v>
      </c>
      <c r="AO600" s="35" t="str">
        <f t="shared" si="94"/>
        <v>FITS BITCH</v>
      </c>
      <c r="AP600" s="35" t="str">
        <f t="shared" si="95"/>
        <v>no</v>
      </c>
      <c r="AQ600" s="35" t="str">
        <f t="shared" si="95"/>
        <v>FITS BITCH</v>
      </c>
      <c r="AR600" s="35" t="str">
        <f t="shared" si="96"/>
        <v>FITS BITCH</v>
      </c>
      <c r="AS600" s="35" t="str">
        <f t="shared" si="97"/>
        <v>no</v>
      </c>
      <c r="AT600" s="20" t="str">
        <f t="shared" si="98"/>
        <v/>
      </c>
      <c r="AU600" s="20" t="str">
        <f t="shared" si="99"/>
        <v/>
      </c>
      <c r="AV600" s="20"/>
      <c r="AW600" s="20"/>
      <c r="AX600" s="20"/>
    </row>
    <row r="601" spans="31:50">
      <c r="AE601" s="26">
        <f>Data!A596</f>
        <v>42100</v>
      </c>
      <c r="AF601" s="35">
        <f>Data!B596</f>
        <v>85.66</v>
      </c>
      <c r="AG601" s="35">
        <f>Data!F596</f>
        <v>1449702</v>
      </c>
      <c r="AH601" s="35">
        <f>Data!C596</f>
        <v>86.66</v>
      </c>
      <c r="AI601" s="35">
        <f>Data!D596</f>
        <v>85.42</v>
      </c>
      <c r="AJ601" s="35">
        <f>Data!E596</f>
        <v>86.25</v>
      </c>
      <c r="AK601" s="35">
        <f>Data!F596</f>
        <v>1449702</v>
      </c>
      <c r="AL601" s="35">
        <f t="shared" si="93"/>
        <v>86.25</v>
      </c>
      <c r="AM601" s="35">
        <f t="shared" si="92"/>
        <v>0.45217391304347893</v>
      </c>
      <c r="AN601" s="35">
        <f t="shared" si="100"/>
        <v>28.289469146072776</v>
      </c>
      <c r="AO601" s="35" t="str">
        <f t="shared" si="94"/>
        <v>no</v>
      </c>
      <c r="AP601" s="35" t="str">
        <f t="shared" si="95"/>
        <v>FITS BITCH</v>
      </c>
      <c r="AQ601" s="35" t="str">
        <f t="shared" si="95"/>
        <v>no</v>
      </c>
      <c r="AR601" s="35" t="str">
        <f t="shared" si="96"/>
        <v>FITS BITCH</v>
      </c>
      <c r="AS601" s="35" t="str">
        <f t="shared" si="97"/>
        <v>FITS BITCH</v>
      </c>
      <c r="AT601" s="20" t="str">
        <f t="shared" si="98"/>
        <v/>
      </c>
      <c r="AU601" s="20" t="str">
        <f t="shared" si="99"/>
        <v/>
      </c>
      <c r="AV601" s="20"/>
      <c r="AW601" s="20"/>
      <c r="AX601" s="20"/>
    </row>
    <row r="602" spans="31:50">
      <c r="AE602" s="26">
        <f>Data!A597</f>
        <v>42096</v>
      </c>
      <c r="AF602" s="35">
        <f>Data!B597</f>
        <v>85.85</v>
      </c>
      <c r="AG602" s="35">
        <f>Data!F597</f>
        <v>1699873</v>
      </c>
      <c r="AH602" s="35">
        <f>Data!C597</f>
        <v>86.58</v>
      </c>
      <c r="AI602" s="35">
        <f>Data!D597</f>
        <v>85.47</v>
      </c>
      <c r="AJ602" s="35">
        <f>Data!E597</f>
        <v>85.92</v>
      </c>
      <c r="AK602" s="35">
        <f>Data!F597</f>
        <v>1699873</v>
      </c>
      <c r="AL602" s="35">
        <f t="shared" si="93"/>
        <v>85.92</v>
      </c>
      <c r="AM602" s="35">
        <f t="shared" si="92"/>
        <v>-0.38407821229050076</v>
      </c>
      <c r="AN602" s="35">
        <f t="shared" si="100"/>
        <v>14.717040625976177</v>
      </c>
      <c r="AO602" s="35" t="str">
        <f t="shared" si="94"/>
        <v>no</v>
      </c>
      <c r="AP602" s="35" t="str">
        <f t="shared" si="95"/>
        <v>FITS BITCH</v>
      </c>
      <c r="AQ602" s="35" t="str">
        <f t="shared" si="95"/>
        <v>FITS BITCH</v>
      </c>
      <c r="AR602" s="35" t="str">
        <f t="shared" si="96"/>
        <v>no</v>
      </c>
      <c r="AS602" s="35" t="str">
        <f t="shared" si="97"/>
        <v>FITS BITCH</v>
      </c>
      <c r="AT602" s="20" t="str">
        <f t="shared" si="98"/>
        <v/>
      </c>
      <c r="AU602" s="20" t="str">
        <f t="shared" si="99"/>
        <v/>
      </c>
      <c r="AV602" s="20"/>
      <c r="AW602" s="20"/>
      <c r="AX602" s="20"/>
    </row>
    <row r="603" spans="31:50">
      <c r="AE603" s="26">
        <f>Data!A598</f>
        <v>42095</v>
      </c>
      <c r="AF603" s="35">
        <f>Data!B598</f>
        <v>85.73</v>
      </c>
      <c r="AG603" s="35">
        <f>Data!F598</f>
        <v>1502882</v>
      </c>
      <c r="AH603" s="35">
        <f>Data!C598</f>
        <v>85.73</v>
      </c>
      <c r="AI603" s="35">
        <f>Data!D598</f>
        <v>84.33</v>
      </c>
      <c r="AJ603" s="35">
        <f>Data!E598</f>
        <v>85.26</v>
      </c>
      <c r="AK603" s="35">
        <f>Data!F598</f>
        <v>1502882</v>
      </c>
      <c r="AL603" s="35">
        <f t="shared" si="93"/>
        <v>85.26</v>
      </c>
      <c r="AM603" s="35">
        <f t="shared" si="92"/>
        <v>-0.77410274454609029</v>
      </c>
      <c r="AN603" s="35">
        <f t="shared" si="100"/>
        <v>-13.107549361826146</v>
      </c>
      <c r="AO603" s="35" t="str">
        <f t="shared" si="94"/>
        <v>FITS BITCH</v>
      </c>
      <c r="AP603" s="35" t="str">
        <f t="shared" si="95"/>
        <v>no</v>
      </c>
      <c r="AQ603" s="35" t="str">
        <f t="shared" si="95"/>
        <v>no</v>
      </c>
      <c r="AR603" s="35" t="str">
        <f t="shared" si="96"/>
        <v>FITS BITCH</v>
      </c>
      <c r="AS603" s="35" t="str">
        <f t="shared" si="97"/>
        <v>no</v>
      </c>
      <c r="AT603" s="20" t="str">
        <f t="shared" si="98"/>
        <v/>
      </c>
      <c r="AU603" s="20" t="str">
        <f t="shared" si="99"/>
        <v/>
      </c>
      <c r="AV603" s="20"/>
      <c r="AW603" s="20"/>
      <c r="AX603" s="20"/>
    </row>
    <row r="604" spans="31:50">
      <c r="AE604" s="26">
        <f>Data!A599</f>
        <v>42094</v>
      </c>
      <c r="AF604" s="35">
        <f>Data!B599</f>
        <v>85.35</v>
      </c>
      <c r="AG604" s="35">
        <f>Data!F599</f>
        <v>1682183</v>
      </c>
      <c r="AH604" s="35">
        <f>Data!C599</f>
        <v>86.34</v>
      </c>
      <c r="AI604" s="35">
        <f>Data!D599</f>
        <v>85.18</v>
      </c>
      <c r="AJ604" s="35">
        <f>Data!E599</f>
        <v>85.64</v>
      </c>
      <c r="AK604" s="35">
        <f>Data!F599</f>
        <v>1682183</v>
      </c>
      <c r="AL604" s="35">
        <f t="shared" si="93"/>
        <v>85.64</v>
      </c>
      <c r="AM604" s="35">
        <f t="shared" si="92"/>
        <v>0.44371788883698671</v>
      </c>
      <c r="AN604" s="35">
        <f t="shared" si="100"/>
        <v>10.65882843899861</v>
      </c>
      <c r="AO604" s="35" t="str">
        <f t="shared" si="94"/>
        <v>no</v>
      </c>
      <c r="AP604" s="35" t="str">
        <f t="shared" si="95"/>
        <v>FITS BITCH</v>
      </c>
      <c r="AQ604" s="35" t="str">
        <f t="shared" si="95"/>
        <v>FITS BITCH</v>
      </c>
      <c r="AR604" s="35" t="str">
        <f t="shared" si="96"/>
        <v>FITS BITCH</v>
      </c>
      <c r="AS604" s="35" t="str">
        <f t="shared" si="97"/>
        <v>no</v>
      </c>
      <c r="AT604" s="20" t="str">
        <f t="shared" si="98"/>
        <v/>
      </c>
      <c r="AU604" s="20" t="str">
        <f t="shared" si="99"/>
        <v/>
      </c>
      <c r="AV604" s="20"/>
      <c r="AW604" s="20"/>
      <c r="AX604" s="20"/>
    </row>
    <row r="605" spans="31:50">
      <c r="AE605" s="26">
        <f>Data!A600</f>
        <v>42093</v>
      </c>
      <c r="AF605" s="35">
        <f>Data!B600</f>
        <v>84.96</v>
      </c>
      <c r="AG605" s="35">
        <f>Data!F600</f>
        <v>1139776</v>
      </c>
      <c r="AH605" s="35">
        <f>Data!C600</f>
        <v>86.17</v>
      </c>
      <c r="AI605" s="35">
        <f>Data!D600</f>
        <v>84.92</v>
      </c>
      <c r="AJ605" s="35">
        <f>Data!E600</f>
        <v>85.89</v>
      </c>
      <c r="AK605" s="35">
        <f>Data!F600</f>
        <v>1139776</v>
      </c>
      <c r="AL605" s="35">
        <f t="shared" si="93"/>
        <v>85.89</v>
      </c>
      <c r="AM605" s="35">
        <f t="shared" si="92"/>
        <v>0.29106997322156247</v>
      </c>
      <c r="AN605" s="35">
        <f t="shared" si="100"/>
        <v>-47.588912207310912</v>
      </c>
      <c r="AO605" s="35" t="str">
        <f t="shared" si="94"/>
        <v>FITS BITCH</v>
      </c>
      <c r="AP605" s="35" t="str">
        <f t="shared" si="95"/>
        <v>FITS BITCH</v>
      </c>
      <c r="AQ605" s="35" t="str">
        <f t="shared" si="95"/>
        <v>FITS BITCH</v>
      </c>
      <c r="AR605" s="35" t="str">
        <f t="shared" si="96"/>
        <v>no</v>
      </c>
      <c r="AS605" s="35" t="str">
        <f t="shared" si="97"/>
        <v>FITS BITCH</v>
      </c>
      <c r="AT605" s="20" t="str">
        <f t="shared" si="98"/>
        <v/>
      </c>
      <c r="AU605" s="20" t="str">
        <f t="shared" si="99"/>
        <v>BEARISH</v>
      </c>
      <c r="AV605" s="20"/>
      <c r="AW605" s="20"/>
      <c r="AX605" s="20"/>
    </row>
    <row r="606" spans="31:50">
      <c r="AE606" s="26">
        <f>Data!A601</f>
        <v>42090</v>
      </c>
      <c r="AF606" s="35">
        <f>Data!B601</f>
        <v>84.34</v>
      </c>
      <c r="AG606" s="35">
        <f>Data!F601</f>
        <v>1424992</v>
      </c>
      <c r="AH606" s="35">
        <f>Data!C601</f>
        <v>84.91</v>
      </c>
      <c r="AI606" s="35">
        <f>Data!D601</f>
        <v>84.2</v>
      </c>
      <c r="AJ606" s="35">
        <f>Data!E601</f>
        <v>84.63</v>
      </c>
      <c r="AK606" s="35">
        <f>Data!F601</f>
        <v>1424992</v>
      </c>
      <c r="AL606" s="35">
        <f t="shared" si="93"/>
        <v>84.63</v>
      </c>
      <c r="AM606" s="35">
        <f t="shared" si="92"/>
        <v>-1.4888337468982691</v>
      </c>
      <c r="AN606" s="35">
        <f t="shared" si="100"/>
        <v>20.015270261166378</v>
      </c>
      <c r="AO606" s="35" t="str">
        <f t="shared" si="94"/>
        <v>no</v>
      </c>
      <c r="AP606" s="35" t="str">
        <f t="shared" si="95"/>
        <v>FITS BITCH</v>
      </c>
      <c r="AQ606" s="35" t="str">
        <f t="shared" si="95"/>
        <v>FITS BITCH</v>
      </c>
      <c r="AR606" s="35" t="str">
        <f t="shared" si="96"/>
        <v>FITS BITCH</v>
      </c>
      <c r="AS606" s="35" t="str">
        <f t="shared" si="97"/>
        <v>FITS BITCH</v>
      </c>
      <c r="AT606" s="20" t="str">
        <f t="shared" si="98"/>
        <v/>
      </c>
      <c r="AU606" s="20" t="str">
        <f t="shared" si="99"/>
        <v/>
      </c>
      <c r="AV606" s="20"/>
      <c r="AW606" s="20"/>
      <c r="AX606" s="20"/>
    </row>
    <row r="607" spans="31:50">
      <c r="AE607" s="26">
        <f>Data!A602</f>
        <v>42089</v>
      </c>
      <c r="AF607" s="35">
        <f>Data!B602</f>
        <v>84.26</v>
      </c>
      <c r="AG607" s="35">
        <f>Data!F602</f>
        <v>1599903</v>
      </c>
      <c r="AH607" s="35">
        <f>Data!C602</f>
        <v>84.77</v>
      </c>
      <c r="AI607" s="35">
        <f>Data!D602</f>
        <v>83.91</v>
      </c>
      <c r="AJ607" s="35">
        <f>Data!E602</f>
        <v>84.41</v>
      </c>
      <c r="AK607" s="35">
        <f>Data!F602</f>
        <v>1599903</v>
      </c>
      <c r="AL607" s="35">
        <f t="shared" si="93"/>
        <v>84.41</v>
      </c>
      <c r="AM607" s="35">
        <f t="shared" si="92"/>
        <v>-0.26063262646605723</v>
      </c>
      <c r="AN607" s="35">
        <f t="shared" si="100"/>
        <v>10.932600288892514</v>
      </c>
      <c r="AO607" s="35" t="str">
        <f t="shared" si="94"/>
        <v>no</v>
      </c>
      <c r="AP607" s="35" t="str">
        <f t="shared" si="95"/>
        <v>no</v>
      </c>
      <c r="AQ607" s="35" t="str">
        <f t="shared" si="95"/>
        <v>no</v>
      </c>
      <c r="AR607" s="35" t="str">
        <f t="shared" si="96"/>
        <v>FITS BITCH</v>
      </c>
      <c r="AS607" s="35" t="str">
        <f t="shared" si="97"/>
        <v>no</v>
      </c>
      <c r="AT607" s="20" t="str">
        <f t="shared" si="98"/>
        <v/>
      </c>
      <c r="AU607" s="20" t="str">
        <f t="shared" si="99"/>
        <v/>
      </c>
      <c r="AV607" s="20"/>
      <c r="AW607" s="20"/>
      <c r="AX607" s="20"/>
    </row>
    <row r="608" spans="31:50">
      <c r="AE608" s="26">
        <f>Data!A603</f>
        <v>42088</v>
      </c>
      <c r="AF608" s="35">
        <f>Data!B603</f>
        <v>87.13</v>
      </c>
      <c r="AG608" s="35">
        <f>Data!F603</f>
        <v>1707068</v>
      </c>
      <c r="AH608" s="35">
        <f>Data!C603</f>
        <v>87.16</v>
      </c>
      <c r="AI608" s="35">
        <f>Data!D603</f>
        <v>84.74</v>
      </c>
      <c r="AJ608" s="35">
        <f>Data!E603</f>
        <v>84.74</v>
      </c>
      <c r="AK608" s="35">
        <f>Data!F603</f>
        <v>1707068</v>
      </c>
      <c r="AL608" s="35">
        <f t="shared" si="93"/>
        <v>84.74</v>
      </c>
      <c r="AM608" s="35">
        <f t="shared" si="92"/>
        <v>0.38942648100070609</v>
      </c>
      <c r="AN608" s="35">
        <f t="shared" si="100"/>
        <v>6.2777229729571404</v>
      </c>
      <c r="AO608" s="35" t="str">
        <f t="shared" si="94"/>
        <v>no</v>
      </c>
      <c r="AP608" s="35" t="str">
        <f t="shared" si="95"/>
        <v>no</v>
      </c>
      <c r="AQ608" s="35" t="str">
        <f t="shared" si="95"/>
        <v>no</v>
      </c>
      <c r="AR608" s="35" t="str">
        <f t="shared" si="96"/>
        <v>FITS BITCH</v>
      </c>
      <c r="AS608" s="35" t="str">
        <f t="shared" si="97"/>
        <v>no</v>
      </c>
      <c r="AT608" s="20" t="str">
        <f t="shared" si="98"/>
        <v/>
      </c>
      <c r="AU608" s="20" t="str">
        <f t="shared" si="99"/>
        <v/>
      </c>
      <c r="AV608" s="20"/>
      <c r="AW608" s="20"/>
      <c r="AX608" s="20"/>
    </row>
    <row r="609" spans="31:50">
      <c r="AE609" s="26">
        <f>Data!A604</f>
        <v>42087</v>
      </c>
      <c r="AF609" s="35">
        <f>Data!B604</f>
        <v>87.15</v>
      </c>
      <c r="AG609" s="35">
        <f>Data!F604</f>
        <v>1167837</v>
      </c>
      <c r="AH609" s="35">
        <f>Data!C604</f>
        <v>87.6</v>
      </c>
      <c r="AI609" s="35">
        <f>Data!D604</f>
        <v>86.96</v>
      </c>
      <c r="AJ609" s="35">
        <f>Data!E604</f>
        <v>86.96</v>
      </c>
      <c r="AK609" s="35">
        <f>Data!F604</f>
        <v>1167837</v>
      </c>
      <c r="AL609" s="35">
        <f t="shared" si="93"/>
        <v>86.96</v>
      </c>
      <c r="AM609" s="35">
        <f t="shared" si="92"/>
        <v>2.5528978840846355</v>
      </c>
      <c r="AN609" s="35">
        <f t="shared" si="100"/>
        <v>-46.173481401942226</v>
      </c>
      <c r="AO609" s="35" t="str">
        <f t="shared" si="94"/>
        <v>FITS BITCH</v>
      </c>
      <c r="AP609" s="35" t="str">
        <f t="shared" si="95"/>
        <v>no</v>
      </c>
      <c r="AQ609" s="35" t="str">
        <f t="shared" si="95"/>
        <v>no</v>
      </c>
      <c r="AR609" s="35" t="str">
        <f t="shared" si="96"/>
        <v>FITS BITCH</v>
      </c>
      <c r="AS609" s="35" t="str">
        <f t="shared" si="97"/>
        <v>no</v>
      </c>
      <c r="AT609" s="20" t="str">
        <f t="shared" si="98"/>
        <v/>
      </c>
      <c r="AU609" s="20" t="str">
        <f t="shared" si="99"/>
        <v/>
      </c>
      <c r="AV609" s="20"/>
      <c r="AW609" s="20"/>
      <c r="AX609" s="20"/>
    </row>
    <row r="610" spans="31:50">
      <c r="AE610" s="26">
        <f>Data!A605</f>
        <v>42086</v>
      </c>
      <c r="AF610" s="35">
        <f>Data!B605</f>
        <v>88.02</v>
      </c>
      <c r="AG610" s="35">
        <f>Data!F605</f>
        <v>1593071</v>
      </c>
      <c r="AH610" s="35">
        <f>Data!C605</f>
        <v>88.02</v>
      </c>
      <c r="AI610" s="35">
        <f>Data!D605</f>
        <v>87.29</v>
      </c>
      <c r="AJ610" s="35">
        <f>Data!E605</f>
        <v>87.3</v>
      </c>
      <c r="AK610" s="35">
        <f>Data!F605</f>
        <v>1593071</v>
      </c>
      <c r="AL610" s="35">
        <f t="shared" si="93"/>
        <v>87.3</v>
      </c>
      <c r="AM610" s="35">
        <f t="shared" si="92"/>
        <v>0.38946162657503253</v>
      </c>
      <c r="AN610" s="35">
        <f t="shared" si="100"/>
        <v>26.692721165597767</v>
      </c>
      <c r="AO610" s="35" t="str">
        <f t="shared" si="94"/>
        <v>no</v>
      </c>
      <c r="AP610" s="35" t="str">
        <f t="shared" si="95"/>
        <v>FITS BITCH</v>
      </c>
      <c r="AQ610" s="35" t="str">
        <f t="shared" si="95"/>
        <v>no</v>
      </c>
      <c r="AR610" s="35" t="str">
        <f t="shared" si="96"/>
        <v>FITS BITCH</v>
      </c>
      <c r="AS610" s="35" t="str">
        <f t="shared" si="97"/>
        <v>no</v>
      </c>
      <c r="AT610" s="20" t="str">
        <f t="shared" si="98"/>
        <v/>
      </c>
      <c r="AU610" s="20" t="str">
        <f t="shared" si="99"/>
        <v/>
      </c>
      <c r="AV610" s="20"/>
      <c r="AW610" s="20"/>
      <c r="AX610" s="20"/>
    </row>
    <row r="611" spans="31:50">
      <c r="AE611" s="26">
        <f>Data!A606</f>
        <v>42083</v>
      </c>
      <c r="AF611" s="35">
        <f>Data!B606</f>
        <v>87.8</v>
      </c>
      <c r="AG611" s="35">
        <f>Data!F606</f>
        <v>4119092</v>
      </c>
      <c r="AH611" s="35">
        <f>Data!C606</f>
        <v>88</v>
      </c>
      <c r="AI611" s="35">
        <f>Data!D606</f>
        <v>87.48</v>
      </c>
      <c r="AJ611" s="35">
        <f>Data!E606</f>
        <v>87.77</v>
      </c>
      <c r="AK611" s="35">
        <f>Data!F606</f>
        <v>4119092</v>
      </c>
      <c r="AL611" s="35">
        <f t="shared" si="93"/>
        <v>87.77</v>
      </c>
      <c r="AM611" s="35">
        <f t="shared" si="92"/>
        <v>0.53549048649880249</v>
      </c>
      <c r="AN611" s="35">
        <f t="shared" si="100"/>
        <v>61.324704570813182</v>
      </c>
      <c r="AO611" s="35" t="str">
        <f t="shared" si="94"/>
        <v>no</v>
      </c>
      <c r="AP611" s="35" t="str">
        <f t="shared" si="95"/>
        <v>FITS BITCH</v>
      </c>
      <c r="AQ611" s="35" t="str">
        <f t="shared" si="95"/>
        <v>FITS BITCH</v>
      </c>
      <c r="AR611" s="35" t="str">
        <f t="shared" si="96"/>
        <v>FITS BITCH</v>
      </c>
      <c r="AS611" s="35" t="str">
        <f t="shared" si="97"/>
        <v>FITS BITCH</v>
      </c>
      <c r="AT611" s="20" t="str">
        <f t="shared" si="98"/>
        <v/>
      </c>
      <c r="AU611" s="20" t="str">
        <f t="shared" si="99"/>
        <v/>
      </c>
      <c r="AV611" s="20"/>
      <c r="AW611" s="20"/>
      <c r="AX611" s="20"/>
    </row>
    <row r="612" spans="31:50">
      <c r="AE612" s="26">
        <f>Data!A607</f>
        <v>42082</v>
      </c>
      <c r="AF612" s="35">
        <f>Data!B607</f>
        <v>87.38</v>
      </c>
      <c r="AG612" s="35">
        <f>Data!F607</f>
        <v>2143890</v>
      </c>
      <c r="AH612" s="35">
        <f>Data!C607</f>
        <v>87.79</v>
      </c>
      <c r="AI612" s="35">
        <f>Data!D607</f>
        <v>87.27</v>
      </c>
      <c r="AJ612" s="35">
        <f>Data!E607</f>
        <v>87.37</v>
      </c>
      <c r="AK612" s="35">
        <f>Data!F607</f>
        <v>2143890</v>
      </c>
      <c r="AL612" s="35">
        <f t="shared" si="93"/>
        <v>87.37</v>
      </c>
      <c r="AM612" s="35">
        <f t="shared" si="92"/>
        <v>-0.45782305139062779</v>
      </c>
      <c r="AN612" s="35">
        <f t="shared" si="100"/>
        <v>-92.131685860748462</v>
      </c>
      <c r="AO612" s="35" t="str">
        <f t="shared" si="94"/>
        <v>FITS BITCH</v>
      </c>
      <c r="AP612" s="35" t="str">
        <f t="shared" si="95"/>
        <v>FITS BITCH</v>
      </c>
      <c r="AQ612" s="35" t="str">
        <f t="shared" si="95"/>
        <v>FITS BITCH</v>
      </c>
      <c r="AR612" s="35" t="str">
        <f t="shared" si="96"/>
        <v>FITS BITCH</v>
      </c>
      <c r="AS612" s="35" t="str">
        <f t="shared" si="97"/>
        <v>FITS BITCH</v>
      </c>
      <c r="AT612" s="20" t="str">
        <f t="shared" si="98"/>
        <v>BULLISH</v>
      </c>
      <c r="AU612" s="20" t="str">
        <f t="shared" si="99"/>
        <v>BEARISH</v>
      </c>
      <c r="AV612" s="20"/>
      <c r="AW612" s="20"/>
      <c r="AX612" s="20"/>
    </row>
    <row r="613" spans="31:50">
      <c r="AE613" s="26">
        <f>Data!A608</f>
        <v>42081</v>
      </c>
      <c r="AF613" s="35">
        <f>Data!B608</f>
        <v>86.63</v>
      </c>
      <c r="AG613" s="35">
        <f>Data!F608</f>
        <v>1928036</v>
      </c>
      <c r="AH613" s="35">
        <f>Data!C608</f>
        <v>87.76</v>
      </c>
      <c r="AI613" s="35">
        <f>Data!D608</f>
        <v>85.56</v>
      </c>
      <c r="AJ613" s="35">
        <f>Data!E608</f>
        <v>87.35</v>
      </c>
      <c r="AK613" s="35">
        <f>Data!F608</f>
        <v>1928036</v>
      </c>
      <c r="AL613" s="35">
        <f t="shared" si="93"/>
        <v>87.35</v>
      </c>
      <c r="AM613" s="35">
        <f t="shared" si="92"/>
        <v>-2.2896393817985385E-2</v>
      </c>
      <c r="AN613" s="35">
        <f t="shared" si="100"/>
        <v>-11.195537842654391</v>
      </c>
      <c r="AO613" s="35" t="str">
        <f t="shared" si="94"/>
        <v>FITS BITCH</v>
      </c>
      <c r="AP613" s="35" t="str">
        <f t="shared" si="95"/>
        <v>FITS BITCH</v>
      </c>
      <c r="AQ613" s="35" t="str">
        <f t="shared" si="95"/>
        <v>no</v>
      </c>
      <c r="AR613" s="35" t="str">
        <f t="shared" si="96"/>
        <v>no</v>
      </c>
      <c r="AS613" s="35" t="str">
        <f t="shared" si="97"/>
        <v>FITS BITCH</v>
      </c>
      <c r="AT613" s="20" t="str">
        <f t="shared" si="98"/>
        <v/>
      </c>
      <c r="AU613" s="20" t="str">
        <f t="shared" si="99"/>
        <v/>
      </c>
      <c r="AV613" s="20"/>
      <c r="AW613" s="20"/>
      <c r="AX613" s="20"/>
    </row>
    <row r="614" spans="31:50">
      <c r="AE614" s="26">
        <f>Data!A609</f>
        <v>42080</v>
      </c>
      <c r="AF614" s="35">
        <f>Data!B609</f>
        <v>86.91</v>
      </c>
      <c r="AG614" s="35">
        <f>Data!F609</f>
        <v>1986173</v>
      </c>
      <c r="AH614" s="35">
        <f>Data!C609</f>
        <v>87.32</v>
      </c>
      <c r="AI614" s="35">
        <f>Data!D609</f>
        <v>86.56</v>
      </c>
      <c r="AJ614" s="35">
        <f>Data!E609</f>
        <v>86.64</v>
      </c>
      <c r="AK614" s="35">
        <f>Data!F609</f>
        <v>1986173</v>
      </c>
      <c r="AL614" s="35">
        <f t="shared" si="93"/>
        <v>86.64</v>
      </c>
      <c r="AM614" s="35">
        <f t="shared" si="92"/>
        <v>-0.81948291782086069</v>
      </c>
      <c r="AN614" s="35">
        <f t="shared" si="100"/>
        <v>2.9270864119087312</v>
      </c>
      <c r="AO614" s="35" t="str">
        <f t="shared" si="94"/>
        <v>no</v>
      </c>
      <c r="AP614" s="35" t="str">
        <f t="shared" si="95"/>
        <v>no</v>
      </c>
      <c r="AQ614" s="35" t="str">
        <f t="shared" si="95"/>
        <v>FITS BITCH</v>
      </c>
      <c r="AR614" s="35" t="str">
        <f t="shared" si="96"/>
        <v>FITS BITCH</v>
      </c>
      <c r="AS614" s="35" t="str">
        <f t="shared" si="97"/>
        <v>no</v>
      </c>
      <c r="AT614" s="20" t="str">
        <f t="shared" si="98"/>
        <v/>
      </c>
      <c r="AU614" s="20" t="str">
        <f t="shared" si="99"/>
        <v/>
      </c>
      <c r="AV614" s="20"/>
      <c r="AW614" s="20"/>
      <c r="AX614" s="20"/>
    </row>
    <row r="615" spans="31:50">
      <c r="AE615" s="26">
        <f>Data!A610</f>
        <v>42079</v>
      </c>
      <c r="AF615" s="35">
        <f>Data!B610</f>
        <v>86.52</v>
      </c>
      <c r="AG615" s="35">
        <f>Data!F610</f>
        <v>1663763</v>
      </c>
      <c r="AH615" s="35">
        <f>Data!C610</f>
        <v>87.53</v>
      </c>
      <c r="AI615" s="35">
        <f>Data!D610</f>
        <v>86.2</v>
      </c>
      <c r="AJ615" s="35">
        <f>Data!E610</f>
        <v>87.35</v>
      </c>
      <c r="AK615" s="35">
        <f>Data!F610</f>
        <v>1663763</v>
      </c>
      <c r="AL615" s="35">
        <f t="shared" si="93"/>
        <v>87.35</v>
      </c>
      <c r="AM615" s="35">
        <f t="shared" si="92"/>
        <v>0.8128219805380581</v>
      </c>
      <c r="AN615" s="35">
        <f t="shared" si="100"/>
        <v>-19.378360980500229</v>
      </c>
      <c r="AO615" s="35" t="str">
        <f t="shared" si="94"/>
        <v>FITS BITCH</v>
      </c>
      <c r="AP615" s="35" t="str">
        <f t="shared" si="95"/>
        <v>FITS BITCH</v>
      </c>
      <c r="AQ615" s="35" t="str">
        <f t="shared" si="95"/>
        <v>FITS BITCH</v>
      </c>
      <c r="AR615" s="35" t="str">
        <f t="shared" si="96"/>
        <v>no</v>
      </c>
      <c r="AS615" s="35" t="str">
        <f t="shared" si="97"/>
        <v>FITS BITCH</v>
      </c>
      <c r="AT615" s="20" t="str">
        <f t="shared" si="98"/>
        <v/>
      </c>
      <c r="AU615" s="20" t="str">
        <f t="shared" si="99"/>
        <v>BEARISH</v>
      </c>
      <c r="AV615" s="20"/>
      <c r="AW615" s="20"/>
      <c r="AX615" s="20"/>
    </row>
    <row r="616" spans="31:50">
      <c r="AE616" s="26">
        <f>Data!A611</f>
        <v>42076</v>
      </c>
      <c r="AF616" s="35">
        <f>Data!B611</f>
        <v>86.09</v>
      </c>
      <c r="AG616" s="35">
        <f>Data!F611</f>
        <v>1650621</v>
      </c>
      <c r="AH616" s="35">
        <f>Data!C611</f>
        <v>86.47</v>
      </c>
      <c r="AI616" s="35">
        <f>Data!D611</f>
        <v>85.32</v>
      </c>
      <c r="AJ616" s="35">
        <f>Data!E611</f>
        <v>85.88</v>
      </c>
      <c r="AK616" s="35">
        <f>Data!F611</f>
        <v>1650621</v>
      </c>
      <c r="AL616" s="35">
        <f t="shared" si="93"/>
        <v>85.88</v>
      </c>
      <c r="AM616" s="35">
        <f t="shared" si="92"/>
        <v>-1.7116907312529097</v>
      </c>
      <c r="AN616" s="35">
        <f t="shared" si="100"/>
        <v>-0.79618519333026794</v>
      </c>
      <c r="AO616" s="35" t="str">
        <f t="shared" si="94"/>
        <v>no</v>
      </c>
      <c r="AP616" s="35" t="str">
        <f t="shared" si="95"/>
        <v>no</v>
      </c>
      <c r="AQ616" s="35" t="str">
        <f t="shared" si="95"/>
        <v>FITS BITCH</v>
      </c>
      <c r="AR616" s="35" t="str">
        <f t="shared" si="96"/>
        <v>FITS BITCH</v>
      </c>
      <c r="AS616" s="35" t="str">
        <f t="shared" si="97"/>
        <v>no</v>
      </c>
      <c r="AT616" s="20" t="str">
        <f t="shared" si="98"/>
        <v/>
      </c>
      <c r="AU616" s="20" t="str">
        <f t="shared" si="99"/>
        <v/>
      </c>
      <c r="AV616" s="20"/>
      <c r="AW616" s="20"/>
      <c r="AX616" s="20"/>
    </row>
    <row r="617" spans="31:50">
      <c r="AE617" s="26">
        <f>Data!A612</f>
        <v>42075</v>
      </c>
      <c r="AF617" s="35">
        <f>Data!B612</f>
        <v>85.41</v>
      </c>
      <c r="AG617" s="35">
        <f>Data!F612</f>
        <v>1190710</v>
      </c>
      <c r="AH617" s="35">
        <f>Data!C612</f>
        <v>86.49</v>
      </c>
      <c r="AI617" s="35">
        <f>Data!D612</f>
        <v>85.12</v>
      </c>
      <c r="AJ617" s="35">
        <f>Data!E612</f>
        <v>86.39</v>
      </c>
      <c r="AK617" s="35">
        <f>Data!F612</f>
        <v>1190710</v>
      </c>
      <c r="AL617" s="35">
        <f t="shared" si="93"/>
        <v>86.39</v>
      </c>
      <c r="AM617" s="35">
        <f t="shared" si="92"/>
        <v>0.59034610487325512</v>
      </c>
      <c r="AN617" s="35">
        <f t="shared" si="100"/>
        <v>-38.624938062164595</v>
      </c>
      <c r="AO617" s="35" t="str">
        <f t="shared" si="94"/>
        <v>FITS BITCH</v>
      </c>
      <c r="AP617" s="35" t="str">
        <f t="shared" si="95"/>
        <v>FITS BITCH</v>
      </c>
      <c r="AQ617" s="35" t="str">
        <f t="shared" si="95"/>
        <v>FITS BITCH</v>
      </c>
      <c r="AR617" s="35" t="str">
        <f t="shared" si="96"/>
        <v>no</v>
      </c>
      <c r="AS617" s="35" t="str">
        <f t="shared" si="97"/>
        <v>FITS BITCH</v>
      </c>
      <c r="AT617" s="20" t="str">
        <f t="shared" si="98"/>
        <v/>
      </c>
      <c r="AU617" s="20" t="str">
        <f t="shared" si="99"/>
        <v>BEARISH</v>
      </c>
      <c r="AV617" s="20"/>
      <c r="AW617" s="20"/>
      <c r="AX617" s="20"/>
    </row>
    <row r="618" spans="31:50">
      <c r="AE618" s="26">
        <f>Data!A613</f>
        <v>42074</v>
      </c>
      <c r="AF618" s="35">
        <f>Data!B613</f>
        <v>84.99</v>
      </c>
      <c r="AG618" s="35">
        <f>Data!F613</f>
        <v>1721823</v>
      </c>
      <c r="AH618" s="35">
        <f>Data!C613</f>
        <v>85.44</v>
      </c>
      <c r="AI618" s="35">
        <f>Data!D613</f>
        <v>84.64</v>
      </c>
      <c r="AJ618" s="35">
        <f>Data!E613</f>
        <v>84.98</v>
      </c>
      <c r="AK618" s="35">
        <f>Data!F613</f>
        <v>1721823</v>
      </c>
      <c r="AL618" s="35">
        <f t="shared" si="93"/>
        <v>84.98</v>
      </c>
      <c r="AM618" s="35">
        <f t="shared" si="92"/>
        <v>-1.6592139326900406</v>
      </c>
      <c r="AN618" s="35">
        <f t="shared" si="100"/>
        <v>30.845969649609746</v>
      </c>
      <c r="AO618" s="35" t="str">
        <f t="shared" si="94"/>
        <v>no</v>
      </c>
      <c r="AP618" s="35" t="str">
        <f t="shared" si="95"/>
        <v>no</v>
      </c>
      <c r="AQ618" s="35" t="str">
        <f t="shared" si="95"/>
        <v>no</v>
      </c>
      <c r="AR618" s="35" t="str">
        <f t="shared" si="96"/>
        <v>FITS BITCH</v>
      </c>
      <c r="AS618" s="35" t="str">
        <f t="shared" si="97"/>
        <v>no</v>
      </c>
      <c r="AT618" s="20" t="str">
        <f t="shared" si="98"/>
        <v/>
      </c>
      <c r="AU618" s="20" t="str">
        <f t="shared" si="99"/>
        <v/>
      </c>
      <c r="AV618" s="20"/>
      <c r="AW618" s="20"/>
      <c r="AX618" s="20"/>
    </row>
    <row r="619" spans="31:50">
      <c r="AE619" s="26">
        <f>Data!A614</f>
        <v>42073</v>
      </c>
      <c r="AF619" s="35">
        <f>Data!B614</f>
        <v>86.06</v>
      </c>
      <c r="AG619" s="35">
        <f>Data!F614</f>
        <v>1915348</v>
      </c>
      <c r="AH619" s="35">
        <f>Data!C614</f>
        <v>86.31</v>
      </c>
      <c r="AI619" s="35">
        <f>Data!D614</f>
        <v>85.15</v>
      </c>
      <c r="AJ619" s="35">
        <f>Data!E614</f>
        <v>85.15</v>
      </c>
      <c r="AK619" s="35">
        <f>Data!F614</f>
        <v>1915348</v>
      </c>
      <c r="AL619" s="35">
        <f t="shared" si="93"/>
        <v>85.15</v>
      </c>
      <c r="AM619" s="35">
        <f t="shared" si="92"/>
        <v>0.1996476805637131</v>
      </c>
      <c r="AN619" s="35">
        <f t="shared" si="100"/>
        <v>10.10390801045032</v>
      </c>
      <c r="AO619" s="35" t="str">
        <f t="shared" si="94"/>
        <v>no</v>
      </c>
      <c r="AP619" s="35" t="str">
        <f t="shared" si="95"/>
        <v>no</v>
      </c>
      <c r="AQ619" s="35" t="str">
        <f t="shared" si="95"/>
        <v>no</v>
      </c>
      <c r="AR619" s="35" t="str">
        <f t="shared" si="96"/>
        <v>FITS BITCH</v>
      </c>
      <c r="AS619" s="35" t="str">
        <f t="shared" si="97"/>
        <v>no</v>
      </c>
      <c r="AT619" s="20" t="str">
        <f t="shared" si="98"/>
        <v/>
      </c>
      <c r="AU619" s="20" t="str">
        <f t="shared" si="99"/>
        <v/>
      </c>
      <c r="AV619" s="20"/>
      <c r="AW619" s="20"/>
      <c r="AX619" s="20"/>
    </row>
    <row r="620" spans="31:50">
      <c r="AE620" s="26">
        <f>Data!A615</f>
        <v>42072</v>
      </c>
      <c r="AF620" s="35">
        <f>Data!B615</f>
        <v>86.4</v>
      </c>
      <c r="AG620" s="35">
        <f>Data!F615</f>
        <v>1481848</v>
      </c>
      <c r="AH620" s="35">
        <f>Data!C615</f>
        <v>87</v>
      </c>
      <c r="AI620" s="35">
        <f>Data!D615</f>
        <v>85.86</v>
      </c>
      <c r="AJ620" s="35">
        <f>Data!E615</f>
        <v>86.84</v>
      </c>
      <c r="AK620" s="35">
        <f>Data!F615</f>
        <v>1481848</v>
      </c>
      <c r="AL620" s="35">
        <f t="shared" si="93"/>
        <v>86.84</v>
      </c>
      <c r="AM620" s="35">
        <f t="shared" si="92"/>
        <v>1.946107784431135</v>
      </c>
      <c r="AN620" s="35">
        <f t="shared" si="100"/>
        <v>-29.254012557293326</v>
      </c>
      <c r="AO620" s="35" t="str">
        <f t="shared" si="94"/>
        <v>FITS BITCH</v>
      </c>
      <c r="AP620" s="35" t="str">
        <f t="shared" si="95"/>
        <v>FITS BITCH</v>
      </c>
      <c r="AQ620" s="35" t="str">
        <f t="shared" si="95"/>
        <v>FITS BITCH</v>
      </c>
      <c r="AR620" s="35" t="str">
        <f t="shared" si="96"/>
        <v>FITS BITCH</v>
      </c>
      <c r="AS620" s="35" t="str">
        <f t="shared" si="97"/>
        <v>FITS BITCH</v>
      </c>
      <c r="AT620" s="20" t="str">
        <f t="shared" si="98"/>
        <v>BULLISH</v>
      </c>
      <c r="AU620" s="20" t="str">
        <f t="shared" si="99"/>
        <v>BEARISH</v>
      </c>
      <c r="AV620" s="20"/>
      <c r="AW620" s="20"/>
      <c r="AX620" s="20"/>
    </row>
    <row r="621" spans="31:50">
      <c r="AE621" s="26">
        <f>Data!A616</f>
        <v>42069</v>
      </c>
      <c r="AF621" s="35">
        <f>Data!B616</f>
        <v>86.33</v>
      </c>
      <c r="AG621" s="35">
        <f>Data!F616</f>
        <v>2010986</v>
      </c>
      <c r="AH621" s="35">
        <f>Data!C616</f>
        <v>86.97</v>
      </c>
      <c r="AI621" s="35">
        <f>Data!D616</f>
        <v>85.84</v>
      </c>
      <c r="AJ621" s="35">
        <f>Data!E616</f>
        <v>86</v>
      </c>
      <c r="AK621" s="35">
        <f>Data!F616</f>
        <v>2010986</v>
      </c>
      <c r="AL621" s="35">
        <f t="shared" si="93"/>
        <v>86</v>
      </c>
      <c r="AM621" s="35">
        <f t="shared" si="92"/>
        <v>-0.97674418604651558</v>
      </c>
      <c r="AN621" s="35">
        <f t="shared" si="100"/>
        <v>26.312366172613832</v>
      </c>
      <c r="AO621" s="35" t="str">
        <f t="shared" si="94"/>
        <v>no</v>
      </c>
      <c r="AP621" s="35" t="str">
        <f t="shared" si="95"/>
        <v>FITS BITCH</v>
      </c>
      <c r="AQ621" s="35" t="str">
        <f t="shared" si="95"/>
        <v>no</v>
      </c>
      <c r="AR621" s="35" t="str">
        <f t="shared" si="96"/>
        <v>FITS BITCH</v>
      </c>
      <c r="AS621" s="35" t="str">
        <f t="shared" si="97"/>
        <v>no</v>
      </c>
      <c r="AT621" s="20" t="str">
        <f t="shared" si="98"/>
        <v/>
      </c>
      <c r="AU621" s="20" t="str">
        <f t="shared" si="99"/>
        <v/>
      </c>
      <c r="AV621" s="20"/>
      <c r="AW621" s="20"/>
      <c r="AX621" s="20"/>
    </row>
    <row r="622" spans="31:50">
      <c r="AE622" s="26">
        <f>Data!A617</f>
        <v>42068</v>
      </c>
      <c r="AF622" s="35">
        <f>Data!B617</f>
        <v>86.59</v>
      </c>
      <c r="AG622" s="35">
        <f>Data!F617</f>
        <v>2728568</v>
      </c>
      <c r="AH622" s="35">
        <f>Data!C617</f>
        <v>86.91</v>
      </c>
      <c r="AI622" s="35">
        <f>Data!D617</f>
        <v>86.26</v>
      </c>
      <c r="AJ622" s="35">
        <f>Data!E617</f>
        <v>86.75</v>
      </c>
      <c r="AK622" s="35">
        <f>Data!F617</f>
        <v>2728568</v>
      </c>
      <c r="AL622" s="35">
        <f t="shared" si="93"/>
        <v>86.75</v>
      </c>
      <c r="AM622" s="35">
        <f t="shared" ref="AM622:AM685" si="101">(AL622-AL621)/AL622*100</f>
        <v>0.86455331412103753</v>
      </c>
      <c r="AN622" s="35">
        <f t="shared" si="100"/>
        <v>26.298849799601843</v>
      </c>
      <c r="AO622" s="35" t="str">
        <f t="shared" si="94"/>
        <v>no</v>
      </c>
      <c r="AP622" s="35" t="str">
        <f t="shared" si="95"/>
        <v>no</v>
      </c>
      <c r="AQ622" s="35" t="str">
        <f t="shared" si="95"/>
        <v>no</v>
      </c>
      <c r="AR622" s="35" t="str">
        <f t="shared" si="96"/>
        <v>FITS BITCH</v>
      </c>
      <c r="AS622" s="35" t="str">
        <f t="shared" si="97"/>
        <v>FITS BITCH</v>
      </c>
      <c r="AT622" s="20" t="str">
        <f t="shared" si="98"/>
        <v/>
      </c>
      <c r="AU622" s="20" t="str">
        <f t="shared" si="99"/>
        <v/>
      </c>
      <c r="AV622" s="20"/>
      <c r="AW622" s="20"/>
      <c r="AX622" s="20"/>
    </row>
    <row r="623" spans="31:50">
      <c r="AE623" s="26">
        <f>Data!A618</f>
        <v>42067</v>
      </c>
      <c r="AF623" s="35">
        <f>Data!B618</f>
        <v>88.25</v>
      </c>
      <c r="AG623" s="35">
        <f>Data!F618</f>
        <v>3306010</v>
      </c>
      <c r="AH623" s="35">
        <f>Data!C618</f>
        <v>88.3</v>
      </c>
      <c r="AI623" s="35">
        <f>Data!D618</f>
        <v>86.52</v>
      </c>
      <c r="AJ623" s="35">
        <f>Data!E618</f>
        <v>86.58</v>
      </c>
      <c r="AK623" s="35">
        <f>Data!F618</f>
        <v>3306010</v>
      </c>
      <c r="AL623" s="35">
        <f t="shared" si="93"/>
        <v>86.58</v>
      </c>
      <c r="AM623" s="35">
        <f t="shared" si="101"/>
        <v>-0.19635019635019835</v>
      </c>
      <c r="AN623" s="35">
        <f t="shared" si="100"/>
        <v>17.466432345939666</v>
      </c>
      <c r="AO623" s="35" t="str">
        <f t="shared" si="94"/>
        <v>no</v>
      </c>
      <c r="AP623" s="35" t="str">
        <f t="shared" si="95"/>
        <v>no</v>
      </c>
      <c r="AQ623" s="35" t="str">
        <f t="shared" si="95"/>
        <v>no</v>
      </c>
      <c r="AR623" s="35" t="str">
        <f t="shared" si="96"/>
        <v>FITS BITCH</v>
      </c>
      <c r="AS623" s="35" t="str">
        <f t="shared" si="97"/>
        <v>no</v>
      </c>
      <c r="AT623" s="20" t="str">
        <f t="shared" si="98"/>
        <v/>
      </c>
      <c r="AU623" s="20" t="str">
        <f t="shared" si="99"/>
        <v/>
      </c>
      <c r="AV623" s="20"/>
      <c r="AW623" s="20"/>
      <c r="AX623" s="20"/>
    </row>
    <row r="624" spans="31:50">
      <c r="AE624" s="26">
        <f>Data!A619</f>
        <v>42066</v>
      </c>
      <c r="AF624" s="35">
        <f>Data!B619</f>
        <v>89.55</v>
      </c>
      <c r="AG624" s="35">
        <f>Data!F619</f>
        <v>3012171</v>
      </c>
      <c r="AH624" s="35">
        <f>Data!C619</f>
        <v>89.99</v>
      </c>
      <c r="AI624" s="35">
        <f>Data!D619</f>
        <v>88.33</v>
      </c>
      <c r="AJ624" s="35">
        <f>Data!E619</f>
        <v>88.7</v>
      </c>
      <c r="AK624" s="35">
        <f>Data!F619</f>
        <v>3012171</v>
      </c>
      <c r="AL624" s="35">
        <f t="shared" si="93"/>
        <v>88.7</v>
      </c>
      <c r="AM624" s="35">
        <f t="shared" si="101"/>
        <v>2.3900789177001176</v>
      </c>
      <c r="AN624" s="35">
        <f t="shared" si="100"/>
        <v>-9.7550570668132721</v>
      </c>
      <c r="AO624" s="35" t="str">
        <f t="shared" si="94"/>
        <v>FITS BITCH</v>
      </c>
      <c r="AP624" s="35" t="str">
        <f t="shared" si="95"/>
        <v>no</v>
      </c>
      <c r="AQ624" s="35" t="str">
        <f t="shared" si="95"/>
        <v>no</v>
      </c>
      <c r="AR624" s="35" t="str">
        <f t="shared" si="96"/>
        <v>FITS BITCH</v>
      </c>
      <c r="AS624" s="35" t="str">
        <f t="shared" si="97"/>
        <v>no</v>
      </c>
      <c r="AT624" s="20" t="str">
        <f t="shared" si="98"/>
        <v/>
      </c>
      <c r="AU624" s="20" t="str">
        <f t="shared" si="99"/>
        <v/>
      </c>
      <c r="AV624" s="20"/>
      <c r="AW624" s="20"/>
      <c r="AX624" s="20"/>
    </row>
    <row r="625" spans="31:50">
      <c r="AE625" s="26">
        <f>Data!A620</f>
        <v>42065</v>
      </c>
      <c r="AF625" s="35">
        <f>Data!B620</f>
        <v>88.88</v>
      </c>
      <c r="AG625" s="35">
        <f>Data!F620</f>
        <v>1771365</v>
      </c>
      <c r="AH625" s="35">
        <f>Data!C620</f>
        <v>90.23</v>
      </c>
      <c r="AI625" s="35">
        <f>Data!D620</f>
        <v>88.58</v>
      </c>
      <c r="AJ625" s="35">
        <f>Data!E620</f>
        <v>90.18</v>
      </c>
      <c r="AK625" s="35">
        <f>Data!F620</f>
        <v>1771365</v>
      </c>
      <c r="AL625" s="35">
        <f t="shared" si="93"/>
        <v>90.18</v>
      </c>
      <c r="AM625" s="35">
        <f t="shared" si="101"/>
        <v>1.6411621202040407</v>
      </c>
      <c r="AN625" s="35">
        <f t="shared" si="100"/>
        <v>-70.048013819850794</v>
      </c>
      <c r="AO625" s="35" t="str">
        <f t="shared" si="94"/>
        <v>FITS BITCH</v>
      </c>
      <c r="AP625" s="35" t="str">
        <f t="shared" si="95"/>
        <v>FITS BITCH</v>
      </c>
      <c r="AQ625" s="35" t="str">
        <f t="shared" si="95"/>
        <v>FITS BITCH</v>
      </c>
      <c r="AR625" s="35" t="str">
        <f t="shared" si="96"/>
        <v>no</v>
      </c>
      <c r="AS625" s="35" t="str">
        <f t="shared" si="97"/>
        <v>FITS BITCH</v>
      </c>
      <c r="AT625" s="20" t="str">
        <f t="shared" si="98"/>
        <v/>
      </c>
      <c r="AU625" s="20" t="str">
        <f t="shared" si="99"/>
        <v>BEARISH</v>
      </c>
      <c r="AV625" s="20"/>
      <c r="AW625" s="20"/>
      <c r="AX625" s="20"/>
    </row>
    <row r="626" spans="31:50">
      <c r="AE626" s="26">
        <f>Data!A621</f>
        <v>42062</v>
      </c>
      <c r="AF626" s="35">
        <f>Data!B621</f>
        <v>88.85</v>
      </c>
      <c r="AG626" s="35">
        <f>Data!F621</f>
        <v>1815944</v>
      </c>
      <c r="AH626" s="35">
        <f>Data!C621</f>
        <v>89.44</v>
      </c>
      <c r="AI626" s="35">
        <f>Data!D621</f>
        <v>88.45</v>
      </c>
      <c r="AJ626" s="35">
        <f>Data!E621</f>
        <v>88.84</v>
      </c>
      <c r="AK626" s="35">
        <f>Data!F621</f>
        <v>1815944</v>
      </c>
      <c r="AL626" s="35">
        <f t="shared" si="93"/>
        <v>88.84</v>
      </c>
      <c r="AM626" s="35">
        <f t="shared" si="101"/>
        <v>-1.5083295812697022</v>
      </c>
      <c r="AN626" s="35">
        <f t="shared" si="100"/>
        <v>2.4548664496261998</v>
      </c>
      <c r="AO626" s="35" t="str">
        <f t="shared" si="94"/>
        <v>no</v>
      </c>
      <c r="AP626" s="35" t="str">
        <f t="shared" si="95"/>
        <v>FITS BITCH</v>
      </c>
      <c r="AQ626" s="35" t="str">
        <f t="shared" si="95"/>
        <v>no</v>
      </c>
      <c r="AR626" s="35" t="str">
        <f t="shared" si="96"/>
        <v>FITS BITCH</v>
      </c>
      <c r="AS626" s="35" t="b">
        <f t="shared" si="97"/>
        <v>0</v>
      </c>
      <c r="AT626" s="20" t="str">
        <f t="shared" si="98"/>
        <v/>
      </c>
      <c r="AU626" s="20" t="str">
        <f t="shared" si="99"/>
        <v/>
      </c>
      <c r="AV626" s="20"/>
      <c r="AW626" s="20"/>
      <c r="AX626" s="20"/>
    </row>
    <row r="627" spans="31:50">
      <c r="AE627" s="26">
        <f>Data!A622</f>
        <v>42061</v>
      </c>
      <c r="AF627" s="35">
        <f>Data!B622</f>
        <v>89.19</v>
      </c>
      <c r="AG627" s="35">
        <f>Data!F622</f>
        <v>1426287</v>
      </c>
      <c r="AH627" s="35">
        <f>Data!C622</f>
        <v>89.25</v>
      </c>
      <c r="AI627" s="35">
        <f>Data!D622</f>
        <v>88.61</v>
      </c>
      <c r="AJ627" s="35">
        <f>Data!E622</f>
        <v>88.84</v>
      </c>
      <c r="AK627" s="35">
        <f>Data!F622</f>
        <v>1426287</v>
      </c>
      <c r="AL627" s="35">
        <f t="shared" si="93"/>
        <v>88.84</v>
      </c>
      <c r="AM627" s="35">
        <f t="shared" si="101"/>
        <v>0</v>
      </c>
      <c r="AN627" s="35">
        <f t="shared" si="100"/>
        <v>-27.319676895323315</v>
      </c>
      <c r="AO627" s="35" t="str">
        <f t="shared" si="94"/>
        <v>FITS BITCH</v>
      </c>
      <c r="AP627" s="35" t="str">
        <f t="shared" si="95"/>
        <v>no</v>
      </c>
      <c r="AQ627" s="35" t="str">
        <f t="shared" si="95"/>
        <v>no</v>
      </c>
      <c r="AR627" s="35" t="str">
        <f t="shared" si="96"/>
        <v>FITS BITCH</v>
      </c>
      <c r="AS627" s="35" t="str">
        <f t="shared" si="97"/>
        <v>no</v>
      </c>
      <c r="AT627" s="20" t="str">
        <f t="shared" si="98"/>
        <v/>
      </c>
      <c r="AU627" s="20" t="str">
        <f t="shared" si="99"/>
        <v/>
      </c>
      <c r="AV627" s="20"/>
      <c r="AW627" s="20"/>
      <c r="AX627" s="20"/>
    </row>
    <row r="628" spans="31:50">
      <c r="AE628" s="26">
        <f>Data!A623</f>
        <v>42060</v>
      </c>
      <c r="AF628" s="35">
        <f>Data!B623</f>
        <v>89.33</v>
      </c>
      <c r="AG628" s="35">
        <f>Data!F623</f>
        <v>1617915</v>
      </c>
      <c r="AH628" s="35">
        <f>Data!C623</f>
        <v>89.7</v>
      </c>
      <c r="AI628" s="35">
        <f>Data!D623</f>
        <v>88.79</v>
      </c>
      <c r="AJ628" s="35">
        <f>Data!E623</f>
        <v>89.07</v>
      </c>
      <c r="AK628" s="35">
        <f>Data!F623</f>
        <v>1617915</v>
      </c>
      <c r="AL628" s="35">
        <f t="shared" si="93"/>
        <v>89.07</v>
      </c>
      <c r="AM628" s="35">
        <f t="shared" si="101"/>
        <v>0.25822386886717164</v>
      </c>
      <c r="AN628" s="35">
        <f t="shared" si="100"/>
        <v>11.844132726379321</v>
      </c>
      <c r="AO628" s="35" t="str">
        <f t="shared" si="94"/>
        <v>no</v>
      </c>
      <c r="AP628" s="35" t="str">
        <f t="shared" si="95"/>
        <v>FITS BITCH</v>
      </c>
      <c r="AQ628" s="35" t="str">
        <f t="shared" si="95"/>
        <v>FITS BITCH</v>
      </c>
      <c r="AR628" s="35" t="str">
        <f t="shared" si="96"/>
        <v>FITS BITCH</v>
      </c>
      <c r="AS628" s="35" t="str">
        <f t="shared" si="97"/>
        <v>no</v>
      </c>
      <c r="AT628" s="20" t="str">
        <f t="shared" si="98"/>
        <v/>
      </c>
      <c r="AU628" s="20" t="str">
        <f t="shared" si="99"/>
        <v/>
      </c>
      <c r="AV628" s="20"/>
      <c r="AW628" s="20"/>
      <c r="AX628" s="20"/>
    </row>
    <row r="629" spans="31:50">
      <c r="AE629" s="26">
        <f>Data!A624</f>
        <v>42059</v>
      </c>
      <c r="AF629" s="35">
        <f>Data!B624</f>
        <v>89.17</v>
      </c>
      <c r="AG629" s="35">
        <f>Data!F624</f>
        <v>1418717</v>
      </c>
      <c r="AH629" s="35">
        <f>Data!C624</f>
        <v>89.38</v>
      </c>
      <c r="AI629" s="35">
        <f>Data!D624</f>
        <v>88.51</v>
      </c>
      <c r="AJ629" s="35">
        <f>Data!E624</f>
        <v>89.26</v>
      </c>
      <c r="AK629" s="35">
        <f>Data!F624</f>
        <v>1418717</v>
      </c>
      <c r="AL629" s="35">
        <f t="shared" si="93"/>
        <v>89.26</v>
      </c>
      <c r="AM629" s="35">
        <f t="shared" si="101"/>
        <v>0.21286130405558135</v>
      </c>
      <c r="AN629" s="35">
        <f t="shared" si="100"/>
        <v>-14.040714250974649</v>
      </c>
      <c r="AO629" s="35" t="str">
        <f t="shared" si="94"/>
        <v>FITS BITCH</v>
      </c>
      <c r="AP629" s="35" t="str">
        <f t="shared" si="95"/>
        <v>FITS BITCH</v>
      </c>
      <c r="AQ629" s="35" t="str">
        <f t="shared" si="95"/>
        <v>FITS BITCH</v>
      </c>
      <c r="AR629" s="35" t="str">
        <f t="shared" si="96"/>
        <v>no</v>
      </c>
      <c r="AS629" s="35" t="str">
        <f t="shared" si="97"/>
        <v>FITS BITCH</v>
      </c>
      <c r="AT629" s="20" t="str">
        <f t="shared" si="98"/>
        <v/>
      </c>
      <c r="AU629" s="20" t="str">
        <f t="shared" si="99"/>
        <v>BEARISH</v>
      </c>
      <c r="AV629" s="20"/>
      <c r="AW629" s="20"/>
      <c r="AX629" s="20"/>
    </row>
    <row r="630" spans="31:50">
      <c r="AE630" s="26">
        <f>Data!A625</f>
        <v>42058</v>
      </c>
      <c r="AF630" s="35">
        <f>Data!B625</f>
        <v>88.73</v>
      </c>
      <c r="AG630" s="35">
        <f>Data!F625</f>
        <v>1801431</v>
      </c>
      <c r="AH630" s="35">
        <f>Data!C625</f>
        <v>89.24</v>
      </c>
      <c r="AI630" s="35">
        <f>Data!D625</f>
        <v>88.23</v>
      </c>
      <c r="AJ630" s="35">
        <f>Data!E625</f>
        <v>89.17</v>
      </c>
      <c r="AK630" s="35">
        <f>Data!F625</f>
        <v>1801431</v>
      </c>
      <c r="AL630" s="35">
        <f t="shared" si="93"/>
        <v>89.17</v>
      </c>
      <c r="AM630" s="35">
        <f t="shared" si="101"/>
        <v>-0.10093080632500102</v>
      </c>
      <c r="AN630" s="35">
        <f t="shared" si="100"/>
        <v>21.244999114592787</v>
      </c>
      <c r="AO630" s="35" t="str">
        <f t="shared" si="94"/>
        <v>no</v>
      </c>
      <c r="AP630" s="35" t="str">
        <f t="shared" si="95"/>
        <v>FITS BITCH</v>
      </c>
      <c r="AQ630" s="35" t="str">
        <f t="shared" si="95"/>
        <v>FITS BITCH</v>
      </c>
      <c r="AR630" s="35" t="str">
        <f t="shared" si="96"/>
        <v>no</v>
      </c>
      <c r="AS630" s="35" t="str">
        <f t="shared" si="97"/>
        <v>FITS BITCH</v>
      </c>
      <c r="AT630" s="20" t="str">
        <f t="shared" si="98"/>
        <v/>
      </c>
      <c r="AU630" s="20" t="str">
        <f t="shared" si="99"/>
        <v/>
      </c>
      <c r="AV630" s="20"/>
      <c r="AW630" s="20"/>
      <c r="AX630" s="20"/>
    </row>
    <row r="631" spans="31:50">
      <c r="AE631" s="26">
        <f>Data!A626</f>
        <v>42055</v>
      </c>
      <c r="AF631" s="35">
        <f>Data!B626</f>
        <v>87.81</v>
      </c>
      <c r="AG631" s="35">
        <f>Data!F626</f>
        <v>2010949</v>
      </c>
      <c r="AH631" s="35">
        <f>Data!C626</f>
        <v>88.75</v>
      </c>
      <c r="AI631" s="35">
        <f>Data!D626</f>
        <v>87.04</v>
      </c>
      <c r="AJ631" s="35">
        <f>Data!E626</f>
        <v>88.68</v>
      </c>
      <c r="AK631" s="35">
        <f>Data!F626</f>
        <v>2010949</v>
      </c>
      <c r="AL631" s="35">
        <f t="shared" si="93"/>
        <v>88.68</v>
      </c>
      <c r="AM631" s="35">
        <f t="shared" si="101"/>
        <v>-0.55254848894902442</v>
      </c>
      <c r="AN631" s="35">
        <f t="shared" si="100"/>
        <v>10.418861940307785</v>
      </c>
      <c r="AO631" s="35" t="str">
        <f t="shared" si="94"/>
        <v>no</v>
      </c>
      <c r="AP631" s="35" t="str">
        <f t="shared" si="95"/>
        <v>FITS BITCH</v>
      </c>
      <c r="AQ631" s="35" t="str">
        <f t="shared" si="95"/>
        <v>FITS BITCH</v>
      </c>
      <c r="AR631" s="35" t="str">
        <f t="shared" si="96"/>
        <v>no</v>
      </c>
      <c r="AS631" s="35" t="str">
        <f t="shared" si="97"/>
        <v>FITS BITCH</v>
      </c>
      <c r="AT631" s="20" t="str">
        <f t="shared" si="98"/>
        <v/>
      </c>
      <c r="AU631" s="20" t="str">
        <f t="shared" si="99"/>
        <v/>
      </c>
      <c r="AV631" s="20"/>
      <c r="AW631" s="20"/>
      <c r="AX631" s="20"/>
    </row>
    <row r="632" spans="31:50">
      <c r="AE632" s="26">
        <f>Data!A627</f>
        <v>42054</v>
      </c>
      <c r="AF632" s="35">
        <f>Data!B627</f>
        <v>87.61</v>
      </c>
      <c r="AG632" s="35">
        <f>Data!F627</f>
        <v>1568519</v>
      </c>
      <c r="AH632" s="35">
        <f>Data!C627</f>
        <v>87.83</v>
      </c>
      <c r="AI632" s="35">
        <f>Data!D627</f>
        <v>86.86</v>
      </c>
      <c r="AJ632" s="35">
        <f>Data!E627</f>
        <v>87.73</v>
      </c>
      <c r="AK632" s="35">
        <f>Data!F627</f>
        <v>1568519</v>
      </c>
      <c r="AL632" s="35">
        <f t="shared" si="93"/>
        <v>87.73</v>
      </c>
      <c r="AM632" s="35">
        <f t="shared" si="101"/>
        <v>-1.0828678901174089</v>
      </c>
      <c r="AN632" s="35">
        <f t="shared" si="100"/>
        <v>-28.206862651966603</v>
      </c>
      <c r="AO632" s="35" t="str">
        <f t="shared" si="94"/>
        <v>FITS BITCH</v>
      </c>
      <c r="AP632" s="35" t="str">
        <f t="shared" si="95"/>
        <v>FITS BITCH</v>
      </c>
      <c r="AQ632" s="35" t="str">
        <f t="shared" si="95"/>
        <v>FITS BITCH</v>
      </c>
      <c r="AR632" s="35" t="b">
        <f t="shared" si="96"/>
        <v>0</v>
      </c>
      <c r="AS632" s="35" t="str">
        <f t="shared" si="97"/>
        <v>FITS BITCH</v>
      </c>
      <c r="AT632" s="20" t="str">
        <f t="shared" si="98"/>
        <v/>
      </c>
      <c r="AU632" s="20" t="str">
        <f t="shared" si="99"/>
        <v>BEARISH</v>
      </c>
      <c r="AV632" s="20"/>
      <c r="AW632" s="20"/>
      <c r="AX632" s="20"/>
    </row>
    <row r="633" spans="31:50">
      <c r="AE633" s="26">
        <f>Data!A628</f>
        <v>42053</v>
      </c>
      <c r="AF633" s="35">
        <f>Data!B628</f>
        <v>86.6</v>
      </c>
      <c r="AG633" s="35">
        <f>Data!F628</f>
        <v>1764197</v>
      </c>
      <c r="AH633" s="35">
        <f>Data!C628</f>
        <v>87.73</v>
      </c>
      <c r="AI633" s="35">
        <f>Data!D628</f>
        <v>86.6</v>
      </c>
      <c r="AJ633" s="35">
        <f>Data!E628</f>
        <v>87.59</v>
      </c>
      <c r="AK633" s="35">
        <f>Data!F628</f>
        <v>1764197</v>
      </c>
      <c r="AL633" s="35">
        <f t="shared" si="93"/>
        <v>87.59</v>
      </c>
      <c r="AM633" s="35">
        <f t="shared" si="101"/>
        <v>-0.15983559767096767</v>
      </c>
      <c r="AN633" s="35">
        <f t="shared" si="100"/>
        <v>11.091618453041242</v>
      </c>
      <c r="AO633" s="35" t="str">
        <f t="shared" si="94"/>
        <v>no</v>
      </c>
      <c r="AP633" s="35" t="str">
        <f t="shared" si="95"/>
        <v>no</v>
      </c>
      <c r="AQ633" s="35" t="str">
        <f t="shared" si="95"/>
        <v>FITS BITCH</v>
      </c>
      <c r="AR633" s="35" t="str">
        <f t="shared" si="96"/>
        <v>FITS BITCH</v>
      </c>
      <c r="AS633" s="35" t="str">
        <f t="shared" si="97"/>
        <v>FITS BITCH</v>
      </c>
      <c r="AT633" s="20" t="str">
        <f t="shared" si="98"/>
        <v/>
      </c>
      <c r="AU633" s="20" t="str">
        <f t="shared" si="99"/>
        <v/>
      </c>
      <c r="AV633" s="20"/>
      <c r="AW633" s="20"/>
      <c r="AX633" s="20"/>
    </row>
    <row r="634" spans="31:50">
      <c r="AE634" s="26">
        <f>Data!A629</f>
        <v>42052</v>
      </c>
      <c r="AF634" s="35">
        <f>Data!B629</f>
        <v>87.76</v>
      </c>
      <c r="AG634" s="35">
        <f>Data!F629</f>
        <v>3990945</v>
      </c>
      <c r="AH634" s="35">
        <f>Data!C629</f>
        <v>88.07</v>
      </c>
      <c r="AI634" s="35">
        <f>Data!D629</f>
        <v>86.54</v>
      </c>
      <c r="AJ634" s="35">
        <f>Data!E629</f>
        <v>87.11</v>
      </c>
      <c r="AK634" s="35">
        <f>Data!F629</f>
        <v>3990945</v>
      </c>
      <c r="AL634" s="35">
        <f t="shared" si="93"/>
        <v>87.11</v>
      </c>
      <c r="AM634" s="35">
        <f t="shared" si="101"/>
        <v>-0.55102743657445064</v>
      </c>
      <c r="AN634" s="35">
        <f t="shared" si="100"/>
        <v>55.795005944707334</v>
      </c>
      <c r="AO634" s="35" t="str">
        <f t="shared" si="94"/>
        <v>no</v>
      </c>
      <c r="AP634" s="35" t="str">
        <f t="shared" si="95"/>
        <v>no</v>
      </c>
      <c r="AQ634" s="35" t="str">
        <f t="shared" si="95"/>
        <v>no</v>
      </c>
      <c r="AR634" s="35" t="str">
        <f t="shared" si="96"/>
        <v>FITS BITCH</v>
      </c>
      <c r="AS634" s="35" t="str">
        <f t="shared" si="97"/>
        <v>no</v>
      </c>
      <c r="AT634" s="20" t="str">
        <f t="shared" si="98"/>
        <v/>
      </c>
      <c r="AU634" s="20" t="str">
        <f t="shared" si="99"/>
        <v/>
      </c>
      <c r="AV634" s="20"/>
      <c r="AW634" s="20"/>
      <c r="AX634" s="20"/>
    </row>
    <row r="635" spans="31:50">
      <c r="AE635" s="26">
        <f>Data!A630</f>
        <v>42048</v>
      </c>
      <c r="AF635" s="35">
        <f>Data!B630</f>
        <v>87.95</v>
      </c>
      <c r="AG635" s="35">
        <f>Data!F630</f>
        <v>1936987</v>
      </c>
      <c r="AH635" s="35">
        <f>Data!C630</f>
        <v>88.75</v>
      </c>
      <c r="AI635" s="35">
        <f>Data!D630</f>
        <v>87.78</v>
      </c>
      <c r="AJ635" s="35">
        <f>Data!E630</f>
        <v>88.75</v>
      </c>
      <c r="AK635" s="35">
        <f>Data!F630</f>
        <v>1936987</v>
      </c>
      <c r="AL635" s="35">
        <f t="shared" si="93"/>
        <v>88.75</v>
      </c>
      <c r="AM635" s="35">
        <f t="shared" si="101"/>
        <v>1.8478873239436626</v>
      </c>
      <c r="AN635" s="35">
        <f t="shared" si="100"/>
        <v>-106.03881182475669</v>
      </c>
      <c r="AO635" s="35" t="str">
        <f t="shared" si="94"/>
        <v>FITS BITCH</v>
      </c>
      <c r="AP635" s="35" t="str">
        <f t="shared" si="95"/>
        <v>FITS BITCH</v>
      </c>
      <c r="AQ635" s="35" t="str">
        <f t="shared" si="95"/>
        <v>FITS BITCH</v>
      </c>
      <c r="AR635" s="35" t="str">
        <f t="shared" si="96"/>
        <v>no</v>
      </c>
      <c r="AS635" s="35" t="str">
        <f t="shared" si="97"/>
        <v>FITS BITCH</v>
      </c>
      <c r="AT635" s="20" t="str">
        <f t="shared" si="98"/>
        <v/>
      </c>
      <c r="AU635" s="20" t="str">
        <f t="shared" si="99"/>
        <v>BEARISH</v>
      </c>
      <c r="AV635" s="20"/>
      <c r="AW635" s="20"/>
      <c r="AX635" s="20"/>
    </row>
    <row r="636" spans="31:50">
      <c r="AE636" s="26">
        <f>Data!A631</f>
        <v>42047</v>
      </c>
      <c r="AF636" s="35">
        <f>Data!B631</f>
        <v>87.2</v>
      </c>
      <c r="AG636" s="35">
        <f>Data!F631</f>
        <v>1872978</v>
      </c>
      <c r="AH636" s="35">
        <f>Data!C631</f>
        <v>87.79</v>
      </c>
      <c r="AI636" s="35">
        <f>Data!D631</f>
        <v>86.98</v>
      </c>
      <c r="AJ636" s="35">
        <f>Data!E631</f>
        <v>87.74</v>
      </c>
      <c r="AK636" s="35">
        <f>Data!F631</f>
        <v>1872978</v>
      </c>
      <c r="AL636" s="35">
        <f t="shared" si="93"/>
        <v>87.74</v>
      </c>
      <c r="AM636" s="35">
        <f t="shared" si="101"/>
        <v>-1.1511283337132496</v>
      </c>
      <c r="AN636" s="35">
        <f t="shared" si="100"/>
        <v>-3.417498764000432</v>
      </c>
      <c r="AO636" s="35" t="str">
        <f t="shared" si="94"/>
        <v>no</v>
      </c>
      <c r="AP636" s="35" t="str">
        <f t="shared" si="95"/>
        <v>FITS BITCH</v>
      </c>
      <c r="AQ636" s="35" t="str">
        <f t="shared" si="95"/>
        <v>FITS BITCH</v>
      </c>
      <c r="AR636" s="35" t="str">
        <f t="shared" si="96"/>
        <v>no</v>
      </c>
      <c r="AS636" s="35" t="str">
        <f t="shared" si="97"/>
        <v>FITS BITCH</v>
      </c>
      <c r="AT636" s="20" t="str">
        <f t="shared" si="98"/>
        <v/>
      </c>
      <c r="AU636" s="20" t="str">
        <f t="shared" si="99"/>
        <v/>
      </c>
      <c r="AV636" s="20"/>
      <c r="AW636" s="20"/>
      <c r="AX636" s="20"/>
    </row>
    <row r="637" spans="31:50">
      <c r="AE637" s="26">
        <f>Data!A632</f>
        <v>42046</v>
      </c>
      <c r="AF637" s="35">
        <f>Data!B632</f>
        <v>86.71</v>
      </c>
      <c r="AG637" s="35">
        <f>Data!F632</f>
        <v>1816225</v>
      </c>
      <c r="AH637" s="35">
        <f>Data!C632</f>
        <v>87.23</v>
      </c>
      <c r="AI637" s="35">
        <f>Data!D632</f>
        <v>86.3</v>
      </c>
      <c r="AJ637" s="35">
        <f>Data!E632</f>
        <v>86.82</v>
      </c>
      <c r="AK637" s="35">
        <f>Data!F632</f>
        <v>1816225</v>
      </c>
      <c r="AL637" s="35">
        <f t="shared" si="93"/>
        <v>86.82</v>
      </c>
      <c r="AM637" s="35">
        <f t="shared" si="101"/>
        <v>-1.059663671964987</v>
      </c>
      <c r="AN637" s="35">
        <f t="shared" si="100"/>
        <v>-3.1247780423680984</v>
      </c>
      <c r="AO637" s="35" t="str">
        <f t="shared" si="94"/>
        <v>no</v>
      </c>
      <c r="AP637" s="35" t="str">
        <f t="shared" si="95"/>
        <v>FITS BITCH</v>
      </c>
      <c r="AQ637" s="35" t="str">
        <f t="shared" si="95"/>
        <v>FITS BITCH</v>
      </c>
      <c r="AR637" s="35" t="str">
        <f t="shared" si="96"/>
        <v>no</v>
      </c>
      <c r="AS637" s="35" t="str">
        <f t="shared" si="97"/>
        <v>FITS BITCH</v>
      </c>
      <c r="AT637" s="20" t="str">
        <f t="shared" si="98"/>
        <v/>
      </c>
      <c r="AU637" s="20" t="str">
        <f t="shared" si="99"/>
        <v/>
      </c>
      <c r="AV637" s="20"/>
      <c r="AW637" s="20"/>
      <c r="AX637" s="20"/>
    </row>
    <row r="638" spans="31:50">
      <c r="AE638" s="26">
        <f>Data!A633</f>
        <v>42045</v>
      </c>
      <c r="AF638" s="35">
        <f>Data!B633</f>
        <v>86.19</v>
      </c>
      <c r="AG638" s="35">
        <f>Data!F633</f>
        <v>2552171</v>
      </c>
      <c r="AH638" s="35">
        <f>Data!C633</f>
        <v>86.75</v>
      </c>
      <c r="AI638" s="35">
        <f>Data!D633</f>
        <v>85.65</v>
      </c>
      <c r="AJ638" s="35">
        <f>Data!E633</f>
        <v>86.52</v>
      </c>
      <c r="AK638" s="35">
        <f>Data!F633</f>
        <v>2552171</v>
      </c>
      <c r="AL638" s="35">
        <f t="shared" si="93"/>
        <v>86.52</v>
      </c>
      <c r="AM638" s="35">
        <f t="shared" si="101"/>
        <v>-0.34674063800277066</v>
      </c>
      <c r="AN638" s="35">
        <f t="shared" si="100"/>
        <v>28.836077206425433</v>
      </c>
      <c r="AO638" s="35" t="str">
        <f t="shared" si="94"/>
        <v>no</v>
      </c>
      <c r="AP638" s="35" t="str">
        <f t="shared" si="95"/>
        <v>FITS BITCH</v>
      </c>
      <c r="AQ638" s="35" t="str">
        <f t="shared" si="95"/>
        <v>no</v>
      </c>
      <c r="AR638" s="35" t="str">
        <f t="shared" si="96"/>
        <v>no</v>
      </c>
      <c r="AS638" s="35" t="str">
        <f t="shared" si="97"/>
        <v>FITS BITCH</v>
      </c>
      <c r="AT638" s="20" t="str">
        <f t="shared" si="98"/>
        <v/>
      </c>
      <c r="AU638" s="20" t="str">
        <f t="shared" si="99"/>
        <v/>
      </c>
      <c r="AV638" s="20"/>
      <c r="AW638" s="20"/>
      <c r="AX638" s="20"/>
    </row>
    <row r="639" spans="31:50">
      <c r="AE639" s="26">
        <f>Data!A634</f>
        <v>42044</v>
      </c>
      <c r="AF639" s="35">
        <f>Data!B634</f>
        <v>86.01</v>
      </c>
      <c r="AG639" s="35">
        <f>Data!F634</f>
        <v>1700893</v>
      </c>
      <c r="AH639" s="35">
        <f>Data!C634</f>
        <v>86.49</v>
      </c>
      <c r="AI639" s="35">
        <f>Data!D634</f>
        <v>85.74</v>
      </c>
      <c r="AJ639" s="35">
        <f>Data!E634</f>
        <v>86.01</v>
      </c>
      <c r="AK639" s="35">
        <f>Data!F634</f>
        <v>1700893</v>
      </c>
      <c r="AL639" s="35">
        <f t="shared" si="93"/>
        <v>86.01</v>
      </c>
      <c r="AM639" s="35">
        <f t="shared" si="101"/>
        <v>-0.5929543076386361</v>
      </c>
      <c r="AN639" s="35">
        <f t="shared" si="100"/>
        <v>-50.048886085132928</v>
      </c>
      <c r="AO639" s="35" t="str">
        <f t="shared" si="94"/>
        <v>FITS BITCH</v>
      </c>
      <c r="AP639" s="35" t="str">
        <f t="shared" si="95"/>
        <v>no</v>
      </c>
      <c r="AQ639" s="35" t="str">
        <f t="shared" si="95"/>
        <v>no</v>
      </c>
      <c r="AR639" s="35" t="str">
        <f t="shared" si="96"/>
        <v>FITS BITCH</v>
      </c>
      <c r="AS639" s="35" t="str">
        <f t="shared" si="97"/>
        <v>no</v>
      </c>
      <c r="AT639" s="20" t="str">
        <f t="shared" si="98"/>
        <v/>
      </c>
      <c r="AU639" s="20" t="str">
        <f t="shared" si="99"/>
        <v/>
      </c>
      <c r="AV639" s="20"/>
      <c r="AW639" s="20"/>
      <c r="AX639" s="20"/>
    </row>
    <row r="640" spans="31:50">
      <c r="AE640" s="26">
        <f>Data!A635</f>
        <v>42041</v>
      </c>
      <c r="AF640" s="35">
        <f>Data!B635</f>
        <v>87.15</v>
      </c>
      <c r="AG640" s="35">
        <f>Data!F635</f>
        <v>2391236</v>
      </c>
      <c r="AH640" s="35">
        <f>Data!C635</f>
        <v>87.35</v>
      </c>
      <c r="AI640" s="35">
        <f>Data!D635</f>
        <v>86.23</v>
      </c>
      <c r="AJ640" s="35">
        <f>Data!E635</f>
        <v>86.44</v>
      </c>
      <c r="AK640" s="35">
        <f>Data!F635</f>
        <v>2391236</v>
      </c>
      <c r="AL640" s="35">
        <f t="shared" si="93"/>
        <v>86.44</v>
      </c>
      <c r="AM640" s="35">
        <f t="shared" si="101"/>
        <v>0.49745488199906601</v>
      </c>
      <c r="AN640" s="35">
        <f t="shared" si="100"/>
        <v>28.869714239832454</v>
      </c>
      <c r="AO640" s="35" t="str">
        <f t="shared" si="94"/>
        <v>no</v>
      </c>
      <c r="AP640" s="35" t="str">
        <f t="shared" si="95"/>
        <v>FITS BITCH</v>
      </c>
      <c r="AQ640" s="35" t="str">
        <f t="shared" si="95"/>
        <v>FITS BITCH</v>
      </c>
      <c r="AR640" s="35" t="str">
        <f t="shared" si="96"/>
        <v>FITS BITCH</v>
      </c>
      <c r="AS640" s="35" t="str">
        <f t="shared" si="97"/>
        <v>no</v>
      </c>
      <c r="AT640" s="20" t="str">
        <f t="shared" si="98"/>
        <v/>
      </c>
      <c r="AU640" s="20" t="str">
        <f t="shared" si="99"/>
        <v/>
      </c>
      <c r="AV640" s="20"/>
      <c r="AW640" s="20"/>
      <c r="AX640" s="20"/>
    </row>
    <row r="641" spans="31:50">
      <c r="AE641" s="26">
        <f>Data!A636</f>
        <v>42040</v>
      </c>
      <c r="AF641" s="35">
        <f>Data!B636</f>
        <v>86.43</v>
      </c>
      <c r="AG641" s="35">
        <f>Data!F636</f>
        <v>2151327</v>
      </c>
      <c r="AH641" s="35">
        <f>Data!C636</f>
        <v>87.19</v>
      </c>
      <c r="AI641" s="35">
        <f>Data!D636</f>
        <v>85.89</v>
      </c>
      <c r="AJ641" s="35">
        <f>Data!E636</f>
        <v>87.17</v>
      </c>
      <c r="AK641" s="35">
        <f>Data!F636</f>
        <v>2151327</v>
      </c>
      <c r="AL641" s="35">
        <f t="shared" si="93"/>
        <v>87.17</v>
      </c>
      <c r="AM641" s="35">
        <f t="shared" si="101"/>
        <v>0.83744407479637939</v>
      </c>
      <c r="AN641" s="35">
        <f t="shared" si="100"/>
        <v>-11.151675221851445</v>
      </c>
      <c r="AO641" s="35" t="str">
        <f t="shared" si="94"/>
        <v>FITS BITCH</v>
      </c>
      <c r="AP641" s="35" t="str">
        <f t="shared" si="95"/>
        <v>FITS BITCH</v>
      </c>
      <c r="AQ641" s="35" t="str">
        <f t="shared" si="95"/>
        <v>FITS BITCH</v>
      </c>
      <c r="AR641" s="35" t="str">
        <f t="shared" si="96"/>
        <v>FITS BITCH</v>
      </c>
      <c r="AS641" s="35" t="str">
        <f t="shared" si="97"/>
        <v>FITS BITCH</v>
      </c>
      <c r="AT641" s="20" t="str">
        <f t="shared" si="98"/>
        <v>BULLISH</v>
      </c>
      <c r="AU641" s="20" t="str">
        <f t="shared" si="99"/>
        <v>BEARISH</v>
      </c>
      <c r="AV641" s="20"/>
      <c r="AW641" s="20"/>
      <c r="AX641" s="20"/>
    </row>
    <row r="642" spans="31:50">
      <c r="AE642" s="26">
        <f>Data!A637</f>
        <v>42039</v>
      </c>
      <c r="AF642" s="35">
        <f>Data!B637</f>
        <v>87.14</v>
      </c>
      <c r="AG642" s="35">
        <f>Data!F637</f>
        <v>3659204</v>
      </c>
      <c r="AH642" s="35">
        <f>Data!C637</f>
        <v>87.18</v>
      </c>
      <c r="AI642" s="35">
        <f>Data!D637</f>
        <v>85.67</v>
      </c>
      <c r="AJ642" s="35">
        <f>Data!E637</f>
        <v>86.58</v>
      </c>
      <c r="AK642" s="35">
        <f>Data!F637</f>
        <v>3659204</v>
      </c>
      <c r="AL642" s="35">
        <f t="shared" si="93"/>
        <v>86.58</v>
      </c>
      <c r="AM642" s="35">
        <f t="shared" si="101"/>
        <v>-0.68145068145068544</v>
      </c>
      <c r="AN642" s="35">
        <f t="shared" si="100"/>
        <v>41.207787267394771</v>
      </c>
      <c r="AO642" s="35" t="str">
        <f t="shared" si="94"/>
        <v>no</v>
      </c>
      <c r="AP642" s="35" t="str">
        <f t="shared" si="95"/>
        <v>FITS BITCH</v>
      </c>
      <c r="AQ642" s="35" t="str">
        <f t="shared" si="95"/>
        <v>FITS BITCH</v>
      </c>
      <c r="AR642" s="35" t="str">
        <f t="shared" si="96"/>
        <v>no</v>
      </c>
      <c r="AS642" s="35" t="str">
        <f t="shared" si="97"/>
        <v>FITS BITCH</v>
      </c>
      <c r="AT642" s="20" t="str">
        <f t="shared" si="98"/>
        <v/>
      </c>
      <c r="AU642" s="20" t="str">
        <f t="shared" si="99"/>
        <v/>
      </c>
      <c r="AV642" s="20"/>
      <c r="AW642" s="20"/>
      <c r="AX642" s="20"/>
    </row>
    <row r="643" spans="31:50">
      <c r="AE643" s="26">
        <f>Data!A638</f>
        <v>42038</v>
      </c>
      <c r="AF643" s="35">
        <f>Data!B638</f>
        <v>84.18</v>
      </c>
      <c r="AG643" s="35">
        <f>Data!F638</f>
        <v>3448977</v>
      </c>
      <c r="AH643" s="35">
        <f>Data!C638</f>
        <v>85.36</v>
      </c>
      <c r="AI643" s="35">
        <f>Data!D638</f>
        <v>83.51</v>
      </c>
      <c r="AJ643" s="35">
        <f>Data!E638</f>
        <v>85.14</v>
      </c>
      <c r="AK643" s="35">
        <f>Data!F638</f>
        <v>3448977</v>
      </c>
      <c r="AL643" s="35">
        <f t="shared" si="93"/>
        <v>85.14</v>
      </c>
      <c r="AM643" s="35">
        <f t="shared" si="101"/>
        <v>-1.6913319238900608</v>
      </c>
      <c r="AN643" s="35">
        <f t="shared" si="100"/>
        <v>-6.0953436337789437</v>
      </c>
      <c r="AO643" s="35" t="str">
        <f t="shared" si="94"/>
        <v>no</v>
      </c>
      <c r="AP643" s="35" t="str">
        <f t="shared" si="95"/>
        <v>FITS BITCH</v>
      </c>
      <c r="AQ643" s="35" t="str">
        <f t="shared" si="95"/>
        <v>FITS BITCH</v>
      </c>
      <c r="AR643" s="35" t="str">
        <f t="shared" si="96"/>
        <v>no</v>
      </c>
      <c r="AS643" s="35" t="str">
        <f t="shared" si="97"/>
        <v>FITS BITCH</v>
      </c>
      <c r="AT643" s="20" t="str">
        <f t="shared" si="98"/>
        <v/>
      </c>
      <c r="AU643" s="20" t="str">
        <f t="shared" si="99"/>
        <v/>
      </c>
      <c r="AV643" s="20"/>
      <c r="AW643" s="20"/>
      <c r="AX643" s="20"/>
    </row>
    <row r="644" spans="31:50">
      <c r="AE644" s="26">
        <f>Data!A639</f>
        <v>42037</v>
      </c>
      <c r="AF644" s="35">
        <f>Data!B639</f>
        <v>81.819999999999993</v>
      </c>
      <c r="AG644" s="35">
        <f>Data!F639</f>
        <v>2810151</v>
      </c>
      <c r="AH644" s="35">
        <f>Data!C639</f>
        <v>83.5</v>
      </c>
      <c r="AI644" s="35">
        <f>Data!D639</f>
        <v>81.709999999999994</v>
      </c>
      <c r="AJ644" s="35">
        <f>Data!E639</f>
        <v>83.44</v>
      </c>
      <c r="AK644" s="35">
        <f>Data!F639</f>
        <v>2810151</v>
      </c>
      <c r="AL644" s="35">
        <f t="shared" si="93"/>
        <v>83.44</v>
      </c>
      <c r="AM644" s="35">
        <f t="shared" si="101"/>
        <v>-2.0373921380632822</v>
      </c>
      <c r="AN644" s="35">
        <f t="shared" si="100"/>
        <v>-22.732799767699316</v>
      </c>
      <c r="AO644" s="35" t="str">
        <f t="shared" si="94"/>
        <v>FITS BITCH</v>
      </c>
      <c r="AP644" s="35" t="str">
        <f t="shared" si="95"/>
        <v>no</v>
      </c>
      <c r="AQ644" s="35" t="str">
        <f t="shared" si="95"/>
        <v>no</v>
      </c>
      <c r="AR644" s="35" t="str">
        <f t="shared" si="96"/>
        <v>FITS BITCH</v>
      </c>
      <c r="AS644" s="35" t="str">
        <f t="shared" si="97"/>
        <v>FITS BITCH</v>
      </c>
      <c r="AT644" s="20" t="str">
        <f t="shared" si="98"/>
        <v/>
      </c>
      <c r="AU644" s="20" t="str">
        <f t="shared" si="99"/>
        <v/>
      </c>
      <c r="AV644" s="20"/>
      <c r="AW644" s="20"/>
      <c r="AX644" s="20"/>
    </row>
    <row r="645" spans="31:50">
      <c r="AE645" s="26">
        <f>Data!A640</f>
        <v>42034</v>
      </c>
      <c r="AF645" s="35">
        <f>Data!B640</f>
        <v>83.96</v>
      </c>
      <c r="AG645" s="35">
        <f>Data!F640</f>
        <v>4076699</v>
      </c>
      <c r="AH645" s="35">
        <f>Data!C640</f>
        <v>84.24</v>
      </c>
      <c r="AI645" s="35">
        <f>Data!D640</f>
        <v>82.47</v>
      </c>
      <c r="AJ645" s="35">
        <f>Data!E640</f>
        <v>82.53</v>
      </c>
      <c r="AK645" s="35">
        <f>Data!F640</f>
        <v>4076699</v>
      </c>
      <c r="AL645" s="35">
        <f t="shared" si="93"/>
        <v>82.53</v>
      </c>
      <c r="AM645" s="35">
        <f t="shared" si="101"/>
        <v>-1.1026293469041519</v>
      </c>
      <c r="AN645" s="35">
        <f t="shared" si="100"/>
        <v>31.067979264596186</v>
      </c>
      <c r="AO645" s="35" t="str">
        <f t="shared" si="94"/>
        <v>no</v>
      </c>
      <c r="AP645" s="35" t="str">
        <f t="shared" si="95"/>
        <v>no</v>
      </c>
      <c r="AQ645" s="35" t="str">
        <f t="shared" si="95"/>
        <v>no</v>
      </c>
      <c r="AR645" s="35" t="str">
        <f t="shared" si="96"/>
        <v>FITS BITCH</v>
      </c>
      <c r="AS645" s="35" t="str">
        <f t="shared" si="97"/>
        <v>no</v>
      </c>
      <c r="AT645" s="20" t="str">
        <f t="shared" si="98"/>
        <v/>
      </c>
      <c r="AU645" s="20" t="str">
        <f t="shared" si="99"/>
        <v/>
      </c>
      <c r="AV645" s="20"/>
      <c r="AW645" s="20"/>
      <c r="AX645" s="20"/>
    </row>
    <row r="646" spans="31:50">
      <c r="AE646" s="26">
        <f>Data!A641</f>
        <v>42033</v>
      </c>
      <c r="AF646" s="35">
        <f>Data!B641</f>
        <v>84.45</v>
      </c>
      <c r="AG646" s="35">
        <f>Data!F641</f>
        <v>2968940</v>
      </c>
      <c r="AH646" s="35">
        <f>Data!C641</f>
        <v>84.82</v>
      </c>
      <c r="AI646" s="35">
        <f>Data!D641</f>
        <v>83.5</v>
      </c>
      <c r="AJ646" s="35">
        <f>Data!E641</f>
        <v>84.35</v>
      </c>
      <c r="AK646" s="35">
        <f>Data!F641</f>
        <v>2968940</v>
      </c>
      <c r="AL646" s="35">
        <f t="shared" ref="AL646:AL709" si="102">AJ646</f>
        <v>84.35</v>
      </c>
      <c r="AM646" s="35">
        <f t="shared" si="101"/>
        <v>2.1576763485477097</v>
      </c>
      <c r="AN646" s="35">
        <f t="shared" si="100"/>
        <v>-37.311599426057782</v>
      </c>
      <c r="AO646" s="35" t="str">
        <f t="shared" si="94"/>
        <v>FITS BITCH</v>
      </c>
      <c r="AP646" s="35" t="str">
        <f t="shared" si="95"/>
        <v>no</v>
      </c>
      <c r="AQ646" s="35" t="str">
        <f t="shared" si="95"/>
        <v>no</v>
      </c>
      <c r="AR646" s="35" t="str">
        <f t="shared" si="96"/>
        <v>FITS BITCH</v>
      </c>
      <c r="AS646" s="35" t="str">
        <f t="shared" si="97"/>
        <v>no</v>
      </c>
      <c r="AT646" s="20" t="str">
        <f t="shared" si="98"/>
        <v/>
      </c>
      <c r="AU646" s="20" t="str">
        <f t="shared" si="99"/>
        <v/>
      </c>
      <c r="AV646" s="20"/>
      <c r="AW646" s="20"/>
      <c r="AX646" s="20"/>
    </row>
    <row r="647" spans="31:50">
      <c r="AE647" s="26">
        <f>Data!A642</f>
        <v>42032</v>
      </c>
      <c r="AF647" s="35">
        <f>Data!B642</f>
        <v>85.86</v>
      </c>
      <c r="AG647" s="35">
        <f>Data!F642</f>
        <v>2136996</v>
      </c>
      <c r="AH647" s="35">
        <f>Data!C642</f>
        <v>86.3</v>
      </c>
      <c r="AI647" s="35">
        <f>Data!D642</f>
        <v>84.46</v>
      </c>
      <c r="AJ647" s="35">
        <f>Data!E642</f>
        <v>84.53</v>
      </c>
      <c r="AK647" s="35">
        <f>Data!F642</f>
        <v>2136996</v>
      </c>
      <c r="AL647" s="35">
        <f t="shared" si="102"/>
        <v>84.53</v>
      </c>
      <c r="AM647" s="35">
        <f t="shared" si="101"/>
        <v>0.21294215071573031</v>
      </c>
      <c r="AN647" s="35">
        <f t="shared" si="100"/>
        <v>-38.930536135771895</v>
      </c>
      <c r="AO647" s="35" t="str">
        <f t="shared" si="94"/>
        <v>FITS BITCH</v>
      </c>
      <c r="AP647" s="35" t="str">
        <f t="shared" si="95"/>
        <v>no</v>
      </c>
      <c r="AQ647" s="35" t="str">
        <f t="shared" si="95"/>
        <v>no</v>
      </c>
      <c r="AR647" s="35" t="str">
        <f t="shared" si="96"/>
        <v>FITS BITCH</v>
      </c>
      <c r="AS647" s="35" t="str">
        <f t="shared" si="97"/>
        <v>no</v>
      </c>
      <c r="AT647" s="20" t="str">
        <f t="shared" si="98"/>
        <v/>
      </c>
      <c r="AU647" s="20" t="str">
        <f t="shared" si="99"/>
        <v/>
      </c>
      <c r="AV647" s="20"/>
      <c r="AW647" s="20"/>
      <c r="AX647" s="20"/>
    </row>
    <row r="648" spans="31:50">
      <c r="AE648" s="26">
        <f>Data!A643</f>
        <v>42031</v>
      </c>
      <c r="AF648" s="35">
        <f>Data!B643</f>
        <v>85.71</v>
      </c>
      <c r="AG648" s="35">
        <f>Data!F643</f>
        <v>1697276</v>
      </c>
      <c r="AH648" s="35">
        <f>Data!C643</f>
        <v>86.44</v>
      </c>
      <c r="AI648" s="35">
        <f>Data!D643</f>
        <v>84.78</v>
      </c>
      <c r="AJ648" s="35">
        <f>Data!E643</f>
        <v>85.63</v>
      </c>
      <c r="AK648" s="35">
        <f>Data!F643</f>
        <v>1697276</v>
      </c>
      <c r="AL648" s="35">
        <f t="shared" si="102"/>
        <v>85.63</v>
      </c>
      <c r="AM648" s="35">
        <f t="shared" si="101"/>
        <v>1.2845965199112395</v>
      </c>
      <c r="AN648" s="35">
        <f t="shared" si="100"/>
        <v>-25.90739514374798</v>
      </c>
      <c r="AO648" s="35" t="str">
        <f t="shared" si="94"/>
        <v>FITS BITCH</v>
      </c>
      <c r="AP648" s="35" t="str">
        <f t="shared" si="95"/>
        <v>no</v>
      </c>
      <c r="AQ648" s="35" t="str">
        <f t="shared" si="95"/>
        <v>no</v>
      </c>
      <c r="AR648" s="35" t="str">
        <f t="shared" si="96"/>
        <v>FITS BITCH</v>
      </c>
      <c r="AS648" s="35" t="str">
        <f t="shared" si="97"/>
        <v>no</v>
      </c>
      <c r="AT648" s="20" t="str">
        <f t="shared" si="98"/>
        <v/>
      </c>
      <c r="AU648" s="20" t="str">
        <f t="shared" si="99"/>
        <v/>
      </c>
      <c r="AV648" s="20"/>
      <c r="AW648" s="20"/>
      <c r="AX648" s="20"/>
    </row>
    <row r="649" spans="31:50">
      <c r="AE649" s="26">
        <f>Data!A644</f>
        <v>42030</v>
      </c>
      <c r="AF649" s="35">
        <f>Data!B644</f>
        <v>86.25</v>
      </c>
      <c r="AG649" s="35">
        <f>Data!F644</f>
        <v>1527596</v>
      </c>
      <c r="AH649" s="35">
        <f>Data!C644</f>
        <v>86.89</v>
      </c>
      <c r="AI649" s="35">
        <f>Data!D644</f>
        <v>85.49</v>
      </c>
      <c r="AJ649" s="35">
        <f>Data!E644</f>
        <v>86.57</v>
      </c>
      <c r="AK649" s="35">
        <f>Data!F644</f>
        <v>1527596</v>
      </c>
      <c r="AL649" s="35">
        <f t="shared" si="102"/>
        <v>86.57</v>
      </c>
      <c r="AM649" s="35">
        <f t="shared" si="101"/>
        <v>1.0858264987871062</v>
      </c>
      <c r="AN649" s="35">
        <f t="shared" si="100"/>
        <v>-11.107648880986858</v>
      </c>
      <c r="AO649" s="35" t="str">
        <f t="shared" ref="AO649:AO712" si="103">IF(AN649&lt;-8,"FITS BITCH",IF(AN649&gt;-8,"no"))</f>
        <v>FITS BITCH</v>
      </c>
      <c r="AP649" s="35" t="str">
        <f t="shared" ref="AP649:AQ712" si="104">IF(AH650&lt;AH649,"FITS BITCH",IF(AH650&gt;AH649,"no"))</f>
        <v>no</v>
      </c>
      <c r="AQ649" s="35" t="str">
        <f t="shared" si="104"/>
        <v>no</v>
      </c>
      <c r="AR649" s="35" t="str">
        <f t="shared" ref="AR649:AR712" si="105">IF(AJ649&lt;AH650,"FITS BITCH",IF(AJ649&gt;AH650,"no"))</f>
        <v>FITS BITCH</v>
      </c>
      <c r="AS649" s="35" t="str">
        <f t="shared" ref="AS649:AS712" si="106">IF(AJ649&gt;AJ650,"FITS BITCH",IF(AJ649&lt;AJ650,"no"))</f>
        <v>no</v>
      </c>
      <c r="AT649" s="20" t="str">
        <f t="shared" ref="AT649:AT712" si="107">IF(AND($AO649="FITS BITCH",$AP649="FITS BITCH",$AR649="FITS BITCH"),"BULLISH","")</f>
        <v/>
      </c>
      <c r="AU649" s="20" t="str">
        <f t="shared" ref="AU649:AU712" si="108">IF(AND($AO649="FITS BITCH",$AQ649="FITS BITCH",$AS649="FITS BITCH"),"BEARISH","")</f>
        <v/>
      </c>
      <c r="AV649" s="20"/>
      <c r="AW649" s="20"/>
      <c r="AX649" s="20"/>
    </row>
    <row r="650" spans="31:50">
      <c r="AE650" s="26">
        <f>Data!A645</f>
        <v>42027</v>
      </c>
      <c r="AF650" s="35">
        <f>Data!B645</f>
        <v>86.65</v>
      </c>
      <c r="AG650" s="35">
        <f>Data!F645</f>
        <v>2088011</v>
      </c>
      <c r="AH650" s="35">
        <f>Data!C645</f>
        <v>87.18</v>
      </c>
      <c r="AI650" s="35">
        <f>Data!D645</f>
        <v>86.39</v>
      </c>
      <c r="AJ650" s="35">
        <f>Data!E645</f>
        <v>86.85</v>
      </c>
      <c r="AK650" s="35">
        <f>Data!F645</f>
        <v>2088011</v>
      </c>
      <c r="AL650" s="35">
        <f t="shared" si="102"/>
        <v>86.85</v>
      </c>
      <c r="AM650" s="35">
        <f t="shared" si="101"/>
        <v>0.32239493379389889</v>
      </c>
      <c r="AN650" s="35">
        <f t="shared" ref="AN650:AN713" si="109">(AK650-AK649)/AK650*100</f>
        <v>26.83965745391188</v>
      </c>
      <c r="AO650" s="35" t="str">
        <f t="shared" si="103"/>
        <v>no</v>
      </c>
      <c r="AP650" s="35" t="str">
        <f t="shared" si="104"/>
        <v>FITS BITCH</v>
      </c>
      <c r="AQ650" s="35" t="str">
        <f t="shared" si="104"/>
        <v>FITS BITCH</v>
      </c>
      <c r="AR650" s="35" t="str">
        <f t="shared" si="105"/>
        <v>no</v>
      </c>
      <c r="AS650" s="35" t="str">
        <f t="shared" si="106"/>
        <v>FITS BITCH</v>
      </c>
      <c r="AT650" s="20" t="str">
        <f t="shared" si="107"/>
        <v/>
      </c>
      <c r="AU650" s="20" t="str">
        <f t="shared" si="108"/>
        <v/>
      </c>
      <c r="AV650" s="20"/>
      <c r="AW650" s="20"/>
      <c r="AX650" s="20"/>
    </row>
    <row r="651" spans="31:50">
      <c r="AE651" s="26">
        <f>Data!A646</f>
        <v>42026</v>
      </c>
      <c r="AF651" s="35">
        <f>Data!B646</f>
        <v>85</v>
      </c>
      <c r="AG651" s="35">
        <f>Data!F646</f>
        <v>1980007</v>
      </c>
      <c r="AH651" s="35">
        <f>Data!C646</f>
        <v>86.79</v>
      </c>
      <c r="AI651" s="35">
        <f>Data!D646</f>
        <v>84</v>
      </c>
      <c r="AJ651" s="35">
        <f>Data!E646</f>
        <v>86.61</v>
      </c>
      <c r="AK651" s="35">
        <f>Data!F646</f>
        <v>1980007</v>
      </c>
      <c r="AL651" s="35">
        <f t="shared" si="102"/>
        <v>86.61</v>
      </c>
      <c r="AM651" s="35">
        <f t="shared" si="101"/>
        <v>-0.27710426047799896</v>
      </c>
      <c r="AN651" s="35">
        <f t="shared" si="109"/>
        <v>-5.4547281903548832</v>
      </c>
      <c r="AO651" s="35" t="str">
        <f t="shared" si="103"/>
        <v>no</v>
      </c>
      <c r="AP651" s="35" t="str">
        <f t="shared" si="104"/>
        <v>FITS BITCH</v>
      </c>
      <c r="AQ651" s="35" t="str">
        <f t="shared" si="104"/>
        <v>no</v>
      </c>
      <c r="AR651" s="35" t="str">
        <f t="shared" si="105"/>
        <v>no</v>
      </c>
      <c r="AS651" s="35" t="str">
        <f t="shared" si="106"/>
        <v>FITS BITCH</v>
      </c>
      <c r="AT651" s="20" t="str">
        <f t="shared" si="107"/>
        <v/>
      </c>
      <c r="AU651" s="20" t="str">
        <f t="shared" si="108"/>
        <v/>
      </c>
      <c r="AV651" s="20"/>
      <c r="AW651" s="20"/>
      <c r="AX651" s="20"/>
    </row>
    <row r="652" spans="31:50">
      <c r="AE652" s="26">
        <f>Data!A647</f>
        <v>42025</v>
      </c>
      <c r="AF652" s="35">
        <f>Data!B647</f>
        <v>84.56</v>
      </c>
      <c r="AG652" s="35">
        <f>Data!F647</f>
        <v>1729877</v>
      </c>
      <c r="AH652" s="35">
        <f>Data!C647</f>
        <v>85.15</v>
      </c>
      <c r="AI652" s="35">
        <f>Data!D647</f>
        <v>84.1</v>
      </c>
      <c r="AJ652" s="35">
        <f>Data!E647</f>
        <v>84.56</v>
      </c>
      <c r="AK652" s="35">
        <f>Data!F647</f>
        <v>1729877</v>
      </c>
      <c r="AL652" s="35">
        <f t="shared" si="102"/>
        <v>84.56</v>
      </c>
      <c r="AM652" s="35">
        <f t="shared" si="101"/>
        <v>-2.4243140964995238</v>
      </c>
      <c r="AN652" s="35">
        <f t="shared" si="109"/>
        <v>-14.459409541834479</v>
      </c>
      <c r="AO652" s="35" t="str">
        <f t="shared" si="103"/>
        <v>FITS BITCH</v>
      </c>
      <c r="AP652" s="35" t="str">
        <f t="shared" si="104"/>
        <v>no</v>
      </c>
      <c r="AQ652" s="35" t="str">
        <f t="shared" si="104"/>
        <v>FITS BITCH</v>
      </c>
      <c r="AR652" s="35" t="str">
        <f t="shared" si="105"/>
        <v>FITS BITCH</v>
      </c>
      <c r="AS652" s="35" t="str">
        <f t="shared" si="106"/>
        <v>no</v>
      </c>
      <c r="AT652" s="20" t="str">
        <f t="shared" si="107"/>
        <v/>
      </c>
      <c r="AU652" s="20" t="str">
        <f t="shared" si="108"/>
        <v/>
      </c>
      <c r="AV652" s="20"/>
      <c r="AW652" s="20"/>
      <c r="AX652" s="20"/>
    </row>
    <row r="653" spans="31:50">
      <c r="AE653" s="26">
        <f>Data!A648</f>
        <v>42024</v>
      </c>
      <c r="AF653" s="35">
        <f>Data!B648</f>
        <v>84.83</v>
      </c>
      <c r="AG653" s="35">
        <f>Data!F648</f>
        <v>1572181</v>
      </c>
      <c r="AH653" s="35">
        <f>Data!C648</f>
        <v>85.22</v>
      </c>
      <c r="AI653" s="35">
        <f>Data!D648</f>
        <v>83.79</v>
      </c>
      <c r="AJ653" s="35">
        <f>Data!E648</f>
        <v>84.97</v>
      </c>
      <c r="AK653" s="35">
        <f>Data!F648</f>
        <v>1572181</v>
      </c>
      <c r="AL653" s="35">
        <f t="shared" si="102"/>
        <v>84.97</v>
      </c>
      <c r="AM653" s="35">
        <f t="shared" si="101"/>
        <v>0.48252324349770104</v>
      </c>
      <c r="AN653" s="35">
        <f t="shared" si="109"/>
        <v>-10.030397263419417</v>
      </c>
      <c r="AO653" s="35" t="str">
        <f t="shared" si="103"/>
        <v>FITS BITCH</v>
      </c>
      <c r="AP653" s="35" t="str">
        <f t="shared" si="104"/>
        <v>FITS BITCH</v>
      </c>
      <c r="AQ653" s="35" t="str">
        <f t="shared" si="104"/>
        <v>FITS BITCH</v>
      </c>
      <c r="AR653" s="35" t="str">
        <f t="shared" si="105"/>
        <v>no</v>
      </c>
      <c r="AS653" s="35" t="str">
        <f t="shared" si="106"/>
        <v>FITS BITCH</v>
      </c>
      <c r="AT653" s="20" t="str">
        <f t="shared" si="107"/>
        <v/>
      </c>
      <c r="AU653" s="20" t="str">
        <f t="shared" si="108"/>
        <v>BEARISH</v>
      </c>
      <c r="AV653" s="20"/>
      <c r="AW653" s="20"/>
      <c r="AX653" s="20"/>
    </row>
    <row r="654" spans="31:50">
      <c r="AE654" s="26">
        <f>Data!A649</f>
        <v>42020</v>
      </c>
      <c r="AF654" s="35">
        <f>Data!B649</f>
        <v>83.56</v>
      </c>
      <c r="AG654" s="35">
        <f>Data!F649</f>
        <v>2261450</v>
      </c>
      <c r="AH654" s="35">
        <f>Data!C649</f>
        <v>84.64</v>
      </c>
      <c r="AI654" s="35">
        <f>Data!D649</f>
        <v>83.16</v>
      </c>
      <c r="AJ654" s="35">
        <f>Data!E649</f>
        <v>84.57</v>
      </c>
      <c r="AK654" s="35">
        <f>Data!F649</f>
        <v>2261450</v>
      </c>
      <c r="AL654" s="35">
        <f t="shared" si="102"/>
        <v>84.57</v>
      </c>
      <c r="AM654" s="35">
        <f t="shared" si="101"/>
        <v>-0.47298096251626548</v>
      </c>
      <c r="AN654" s="35">
        <f t="shared" si="109"/>
        <v>30.479073161025006</v>
      </c>
      <c r="AO654" s="35" t="str">
        <f t="shared" si="103"/>
        <v>no</v>
      </c>
      <c r="AP654" s="35" t="str">
        <f t="shared" si="104"/>
        <v>FITS BITCH</v>
      </c>
      <c r="AQ654" s="35" t="str">
        <f t="shared" si="104"/>
        <v>no</v>
      </c>
      <c r="AR654" s="35" t="str">
        <f t="shared" si="105"/>
        <v>no</v>
      </c>
      <c r="AS654" s="35" t="str">
        <f t="shared" si="106"/>
        <v>FITS BITCH</v>
      </c>
      <c r="AT654" s="20" t="str">
        <f t="shared" si="107"/>
        <v/>
      </c>
      <c r="AU654" s="20" t="str">
        <f t="shared" si="108"/>
        <v/>
      </c>
      <c r="AV654" s="20"/>
      <c r="AW654" s="20"/>
      <c r="AX654" s="20"/>
    </row>
    <row r="655" spans="31:50">
      <c r="AE655" s="26">
        <f>Data!A650</f>
        <v>42019</v>
      </c>
      <c r="AF655" s="35">
        <f>Data!B650</f>
        <v>83.87</v>
      </c>
      <c r="AG655" s="35">
        <f>Data!F650</f>
        <v>1434838</v>
      </c>
      <c r="AH655" s="35">
        <f>Data!C650</f>
        <v>84.34</v>
      </c>
      <c r="AI655" s="35">
        <f>Data!D650</f>
        <v>83.33</v>
      </c>
      <c r="AJ655" s="35">
        <f>Data!E650</f>
        <v>83.7</v>
      </c>
      <c r="AK655" s="35">
        <f>Data!F650</f>
        <v>1434838</v>
      </c>
      <c r="AL655" s="35">
        <f t="shared" si="102"/>
        <v>83.7</v>
      </c>
      <c r="AM655" s="35">
        <f t="shared" si="101"/>
        <v>-1.0394265232974793</v>
      </c>
      <c r="AN655" s="35">
        <f t="shared" si="109"/>
        <v>-57.610127415081003</v>
      </c>
      <c r="AO655" s="35" t="str">
        <f t="shared" si="103"/>
        <v>FITS BITCH</v>
      </c>
      <c r="AP655" s="35" t="str">
        <f t="shared" si="104"/>
        <v>FITS BITCH</v>
      </c>
      <c r="AQ655" s="35" t="str">
        <f t="shared" si="104"/>
        <v>FITS BITCH</v>
      </c>
      <c r="AR655" s="35" t="str">
        <f t="shared" si="105"/>
        <v>FITS BITCH</v>
      </c>
      <c r="AS655" s="35" t="str">
        <f t="shared" si="106"/>
        <v>no</v>
      </c>
      <c r="AT655" s="20" t="str">
        <f t="shared" si="107"/>
        <v>BULLISH</v>
      </c>
      <c r="AU655" s="20" t="str">
        <f t="shared" si="108"/>
        <v/>
      </c>
      <c r="AV655" s="20"/>
      <c r="AW655" s="20"/>
      <c r="AX655" s="20"/>
    </row>
    <row r="656" spans="31:50">
      <c r="AE656" s="26">
        <f>Data!A651</f>
        <v>42018</v>
      </c>
      <c r="AF656" s="35">
        <f>Data!B651</f>
        <v>83.08</v>
      </c>
      <c r="AG656" s="35">
        <f>Data!F651</f>
        <v>1792204</v>
      </c>
      <c r="AH656" s="35">
        <f>Data!C651</f>
        <v>83.99</v>
      </c>
      <c r="AI656" s="35">
        <f>Data!D651</f>
        <v>82.97</v>
      </c>
      <c r="AJ656" s="35">
        <f>Data!E651</f>
        <v>83.74</v>
      </c>
      <c r="AK656" s="35">
        <f>Data!F651</f>
        <v>1792204</v>
      </c>
      <c r="AL656" s="35">
        <f t="shared" si="102"/>
        <v>83.74</v>
      </c>
      <c r="AM656" s="35">
        <f t="shared" si="101"/>
        <v>4.7766897539995273E-2</v>
      </c>
      <c r="AN656" s="35">
        <f t="shared" si="109"/>
        <v>19.940029148467474</v>
      </c>
      <c r="AO656" s="35" t="str">
        <f t="shared" si="103"/>
        <v>no</v>
      </c>
      <c r="AP656" s="35" t="str">
        <f t="shared" si="104"/>
        <v>no</v>
      </c>
      <c r="AQ656" s="35" t="str">
        <f t="shared" si="104"/>
        <v>no</v>
      </c>
      <c r="AR656" s="35" t="str">
        <f t="shared" si="105"/>
        <v>FITS BITCH</v>
      </c>
      <c r="AS656" s="35" t="str">
        <f t="shared" si="106"/>
        <v>no</v>
      </c>
      <c r="AT656" s="20" t="str">
        <f t="shared" si="107"/>
        <v/>
      </c>
      <c r="AU656" s="20" t="str">
        <f t="shared" si="108"/>
        <v/>
      </c>
      <c r="AV656" s="20"/>
      <c r="AW656" s="20"/>
      <c r="AX656" s="20"/>
    </row>
    <row r="657" spans="31:50">
      <c r="AE657" s="26">
        <f>Data!A652</f>
        <v>42017</v>
      </c>
      <c r="AF657" s="35">
        <f>Data!B652</f>
        <v>84.8</v>
      </c>
      <c r="AG657" s="35">
        <f>Data!F652</f>
        <v>1924069</v>
      </c>
      <c r="AH657" s="35">
        <f>Data!C652</f>
        <v>85.5</v>
      </c>
      <c r="AI657" s="35">
        <f>Data!D652</f>
        <v>83.29</v>
      </c>
      <c r="AJ657" s="35">
        <f>Data!E652</f>
        <v>83.98</v>
      </c>
      <c r="AK657" s="35">
        <f>Data!F652</f>
        <v>1924069</v>
      </c>
      <c r="AL657" s="35">
        <f t="shared" si="102"/>
        <v>83.98</v>
      </c>
      <c r="AM657" s="35">
        <f t="shared" si="101"/>
        <v>0.28578232912599316</v>
      </c>
      <c r="AN657" s="35">
        <f t="shared" si="109"/>
        <v>6.8534444450796723</v>
      </c>
      <c r="AO657" s="35" t="str">
        <f t="shared" si="103"/>
        <v>no</v>
      </c>
      <c r="AP657" s="35" t="str">
        <f t="shared" si="104"/>
        <v>FITS BITCH</v>
      </c>
      <c r="AQ657" s="35" t="str">
        <f t="shared" si="104"/>
        <v>no</v>
      </c>
      <c r="AR657" s="35" t="str">
        <f t="shared" si="105"/>
        <v>FITS BITCH</v>
      </c>
      <c r="AS657" s="35" t="str">
        <f t="shared" si="106"/>
        <v>no</v>
      </c>
      <c r="AT657" s="20" t="str">
        <f t="shared" si="107"/>
        <v/>
      </c>
      <c r="AU657" s="20" t="str">
        <f t="shared" si="108"/>
        <v/>
      </c>
      <c r="AV657" s="20"/>
      <c r="AW657" s="20"/>
      <c r="AX657" s="20"/>
    </row>
    <row r="658" spans="31:50">
      <c r="AE658" s="26">
        <f>Data!A653</f>
        <v>42016</v>
      </c>
      <c r="AF658" s="35">
        <f>Data!B653</f>
        <v>84.72</v>
      </c>
      <c r="AG658" s="35">
        <f>Data!F653</f>
        <v>1326100</v>
      </c>
      <c r="AH658" s="35">
        <f>Data!C653</f>
        <v>85.04</v>
      </c>
      <c r="AI658" s="35">
        <f>Data!D653</f>
        <v>83.81</v>
      </c>
      <c r="AJ658" s="35">
        <f>Data!E653</f>
        <v>84.14</v>
      </c>
      <c r="AK658" s="35">
        <f>Data!F653</f>
        <v>1326100</v>
      </c>
      <c r="AL658" s="35">
        <f t="shared" si="102"/>
        <v>84.14</v>
      </c>
      <c r="AM658" s="35">
        <f t="shared" si="101"/>
        <v>0.19015925837888825</v>
      </c>
      <c r="AN658" s="35">
        <f t="shared" si="109"/>
        <v>-45.092300731468214</v>
      </c>
      <c r="AO658" s="35" t="str">
        <f t="shared" si="103"/>
        <v>FITS BITCH</v>
      </c>
      <c r="AP658" s="35" t="str">
        <f t="shared" si="104"/>
        <v>no</v>
      </c>
      <c r="AQ658" s="35" t="str">
        <f t="shared" si="104"/>
        <v>no</v>
      </c>
      <c r="AR658" s="35" t="str">
        <f t="shared" si="105"/>
        <v>FITS BITCH</v>
      </c>
      <c r="AS658" s="35" t="str">
        <f t="shared" si="106"/>
        <v>no</v>
      </c>
      <c r="AT658" s="20" t="str">
        <f t="shared" si="107"/>
        <v/>
      </c>
      <c r="AU658" s="20" t="str">
        <f t="shared" si="108"/>
        <v/>
      </c>
      <c r="AV658" s="20"/>
      <c r="AW658" s="20"/>
      <c r="AX658" s="20"/>
    </row>
    <row r="659" spans="31:50">
      <c r="AE659" s="26">
        <f>Data!A654</f>
        <v>42013</v>
      </c>
      <c r="AF659" s="35">
        <f>Data!B654</f>
        <v>85.05</v>
      </c>
      <c r="AG659" s="35">
        <f>Data!F654</f>
        <v>1751626</v>
      </c>
      <c r="AH659" s="35">
        <f>Data!C654</f>
        <v>85.19</v>
      </c>
      <c r="AI659" s="35">
        <f>Data!D654</f>
        <v>84.11</v>
      </c>
      <c r="AJ659" s="35">
        <f>Data!E654</f>
        <v>84.56</v>
      </c>
      <c r="AK659" s="35">
        <f>Data!F654</f>
        <v>1751626</v>
      </c>
      <c r="AL659" s="35">
        <f t="shared" si="102"/>
        <v>84.56</v>
      </c>
      <c r="AM659" s="35">
        <f t="shared" si="101"/>
        <v>0.49668874172185634</v>
      </c>
      <c r="AN659" s="35">
        <f t="shared" si="109"/>
        <v>24.293199575708513</v>
      </c>
      <c r="AO659" s="35" t="str">
        <f t="shared" si="103"/>
        <v>no</v>
      </c>
      <c r="AP659" s="35" t="str">
        <f t="shared" si="104"/>
        <v>FITS BITCH</v>
      </c>
      <c r="AQ659" s="35" t="str">
        <f t="shared" si="104"/>
        <v>FITS BITCH</v>
      </c>
      <c r="AR659" s="35" t="str">
        <f t="shared" si="105"/>
        <v>FITS BITCH</v>
      </c>
      <c r="AS659" s="35" t="str">
        <f t="shared" si="106"/>
        <v>no</v>
      </c>
      <c r="AT659" s="20" t="str">
        <f t="shared" si="107"/>
        <v/>
      </c>
      <c r="AU659" s="20" t="str">
        <f t="shared" si="108"/>
        <v/>
      </c>
      <c r="AV659" s="20"/>
      <c r="AW659" s="20"/>
      <c r="AX659" s="20"/>
    </row>
    <row r="660" spans="31:50">
      <c r="AE660" s="26">
        <f>Data!A655</f>
        <v>42012</v>
      </c>
      <c r="AF660" s="35">
        <f>Data!B655</f>
        <v>83.96</v>
      </c>
      <c r="AG660" s="35">
        <f>Data!F655</f>
        <v>3358749</v>
      </c>
      <c r="AH660" s="35">
        <f>Data!C655</f>
        <v>85.18</v>
      </c>
      <c r="AI660" s="35">
        <f>Data!D655</f>
        <v>83.64</v>
      </c>
      <c r="AJ660" s="35">
        <f>Data!E655</f>
        <v>85.17</v>
      </c>
      <c r="AK660" s="35">
        <f>Data!F655</f>
        <v>3358749</v>
      </c>
      <c r="AL660" s="35">
        <f t="shared" si="102"/>
        <v>85.17</v>
      </c>
      <c r="AM660" s="35">
        <f t="shared" si="101"/>
        <v>0.71621462956439996</v>
      </c>
      <c r="AN660" s="35">
        <f t="shared" si="109"/>
        <v>47.848856821393923</v>
      </c>
      <c r="AO660" s="35" t="str">
        <f t="shared" si="103"/>
        <v>no</v>
      </c>
      <c r="AP660" s="35" t="str">
        <f t="shared" si="104"/>
        <v>FITS BITCH</v>
      </c>
      <c r="AQ660" s="35" t="str">
        <f t="shared" si="104"/>
        <v>FITS BITCH</v>
      </c>
      <c r="AR660" s="35" t="str">
        <f t="shared" si="105"/>
        <v>no</v>
      </c>
      <c r="AS660" s="35" t="str">
        <f t="shared" si="106"/>
        <v>FITS BITCH</v>
      </c>
      <c r="AT660" s="20" t="str">
        <f t="shared" si="107"/>
        <v/>
      </c>
      <c r="AU660" s="20" t="str">
        <f t="shared" si="108"/>
        <v/>
      </c>
      <c r="AV660" s="20"/>
      <c r="AW660" s="20"/>
      <c r="AX660" s="20"/>
    </row>
    <row r="661" spans="31:50">
      <c r="AE661" s="26">
        <f>Data!A656</f>
        <v>42011</v>
      </c>
      <c r="AF661" s="35">
        <f>Data!B656</f>
        <v>82.22</v>
      </c>
      <c r="AG661" s="35">
        <f>Data!F656</f>
        <v>2078972</v>
      </c>
      <c r="AH661" s="35">
        <f>Data!C656</f>
        <v>83.32</v>
      </c>
      <c r="AI661" s="35">
        <f>Data!D656</f>
        <v>81.8</v>
      </c>
      <c r="AJ661" s="35">
        <f>Data!E656</f>
        <v>83.26</v>
      </c>
      <c r="AK661" s="35">
        <f>Data!F656</f>
        <v>2078972</v>
      </c>
      <c r="AL661" s="35">
        <f t="shared" si="102"/>
        <v>83.26</v>
      </c>
      <c r="AM661" s="35">
        <f t="shared" si="101"/>
        <v>-2.2940187364881055</v>
      </c>
      <c r="AN661" s="35">
        <f t="shared" si="109"/>
        <v>-61.558164323521439</v>
      </c>
      <c r="AO661" s="35" t="str">
        <f t="shared" si="103"/>
        <v>FITS BITCH</v>
      </c>
      <c r="AP661" s="35" t="str">
        <f t="shared" si="104"/>
        <v>no</v>
      </c>
      <c r="AQ661" s="35" t="str">
        <f t="shared" si="104"/>
        <v>no</v>
      </c>
      <c r="AR661" s="35" t="str">
        <f t="shared" si="105"/>
        <v>FITS BITCH</v>
      </c>
      <c r="AS661" s="35" t="str">
        <f t="shared" si="106"/>
        <v>FITS BITCH</v>
      </c>
      <c r="AT661" s="20" t="str">
        <f t="shared" si="107"/>
        <v/>
      </c>
      <c r="AU661" s="20" t="str">
        <f t="shared" si="108"/>
        <v/>
      </c>
      <c r="AV661" s="20"/>
      <c r="AW661" s="20"/>
      <c r="AX661" s="20"/>
    </row>
    <row r="662" spans="31:50">
      <c r="AE662" s="26">
        <f>Data!A657</f>
        <v>42010</v>
      </c>
      <c r="AF662" s="35">
        <f>Data!B657</f>
        <v>83.3</v>
      </c>
      <c r="AG662" s="35">
        <f>Data!F657</f>
        <v>2569709</v>
      </c>
      <c r="AH662" s="35">
        <f>Data!C657</f>
        <v>83.74</v>
      </c>
      <c r="AI662" s="35">
        <f>Data!D657</f>
        <v>81.96</v>
      </c>
      <c r="AJ662" s="35">
        <f>Data!E657</f>
        <v>82.54</v>
      </c>
      <c r="AK662" s="35">
        <f>Data!F657</f>
        <v>2569709</v>
      </c>
      <c r="AL662" s="35">
        <f t="shared" si="102"/>
        <v>82.54</v>
      </c>
      <c r="AM662" s="35">
        <f t="shared" si="101"/>
        <v>-0.87230433729100898</v>
      </c>
      <c r="AN662" s="35">
        <f t="shared" si="109"/>
        <v>19.096987246415839</v>
      </c>
      <c r="AO662" s="35" t="str">
        <f t="shared" si="103"/>
        <v>no</v>
      </c>
      <c r="AP662" s="35" t="str">
        <f t="shared" si="104"/>
        <v>no</v>
      </c>
      <c r="AQ662" s="35" t="str">
        <f t="shared" si="104"/>
        <v>no</v>
      </c>
      <c r="AR662" s="35" t="str">
        <f t="shared" si="105"/>
        <v>FITS BITCH</v>
      </c>
      <c r="AS662" s="35" t="str">
        <f t="shared" si="106"/>
        <v>no</v>
      </c>
      <c r="AT662" s="20" t="str">
        <f t="shared" si="107"/>
        <v/>
      </c>
      <c r="AU662" s="20" t="str">
        <f t="shared" si="108"/>
        <v/>
      </c>
      <c r="AV662" s="20"/>
      <c r="AW662" s="20"/>
      <c r="AX662" s="20"/>
    </row>
    <row r="663" spans="31:50">
      <c r="AE663" s="26">
        <f>Data!A658</f>
        <v>42009</v>
      </c>
      <c r="AF663" s="35">
        <f>Data!B658</f>
        <v>83.25</v>
      </c>
      <c r="AG663" s="35">
        <f>Data!F658</f>
        <v>3273231</v>
      </c>
      <c r="AH663" s="35">
        <f>Data!C658</f>
        <v>84.44</v>
      </c>
      <c r="AI663" s="35">
        <f>Data!D658</f>
        <v>82.95</v>
      </c>
      <c r="AJ663" s="35">
        <f>Data!E658</f>
        <v>83.23</v>
      </c>
      <c r="AK663" s="35">
        <f>Data!F658</f>
        <v>3273231</v>
      </c>
      <c r="AL663" s="35">
        <f t="shared" si="102"/>
        <v>83.23</v>
      </c>
      <c r="AM663" s="35">
        <f t="shared" si="101"/>
        <v>0.82902799471344191</v>
      </c>
      <c r="AN663" s="35">
        <f t="shared" si="109"/>
        <v>21.493197394256622</v>
      </c>
      <c r="AO663" s="35" t="str">
        <f t="shared" si="103"/>
        <v>no</v>
      </c>
      <c r="AP663" s="35" t="str">
        <f t="shared" si="104"/>
        <v>FITS BITCH</v>
      </c>
      <c r="AQ663" s="35" t="str">
        <f t="shared" si="104"/>
        <v>FITS BITCH</v>
      </c>
      <c r="AR663" s="35" t="str">
        <f t="shared" si="105"/>
        <v>FITS BITCH</v>
      </c>
      <c r="AS663" s="35" t="str">
        <f t="shared" si="106"/>
        <v>no</v>
      </c>
      <c r="AT663" s="20" t="str">
        <f t="shared" si="107"/>
        <v/>
      </c>
      <c r="AU663" s="20" t="str">
        <f t="shared" si="108"/>
        <v/>
      </c>
      <c r="AV663" s="20"/>
      <c r="AW663" s="20"/>
      <c r="AX663" s="20"/>
    </row>
    <row r="664" spans="31:50">
      <c r="AE664" s="26">
        <f>Data!A659</f>
        <v>42006</v>
      </c>
      <c r="AF664" s="35">
        <f>Data!B659</f>
        <v>82.98</v>
      </c>
      <c r="AG664" s="35">
        <f>Data!F659</f>
        <v>1872279</v>
      </c>
      <c r="AH664" s="35">
        <f>Data!C659</f>
        <v>84.18</v>
      </c>
      <c r="AI664" s="35">
        <f>Data!D659</f>
        <v>82.52</v>
      </c>
      <c r="AJ664" s="35">
        <f>Data!E659</f>
        <v>83.29</v>
      </c>
      <c r="AK664" s="35">
        <f>Data!F659</f>
        <v>1872279</v>
      </c>
      <c r="AL664" s="35">
        <f t="shared" si="102"/>
        <v>83.29</v>
      </c>
      <c r="AM664" s="35">
        <f t="shared" si="101"/>
        <v>7.2037459478931767E-2</v>
      </c>
      <c r="AN664" s="35">
        <f t="shared" si="109"/>
        <v>-74.826027531153201</v>
      </c>
      <c r="AO664" s="35" t="str">
        <f t="shared" si="103"/>
        <v>FITS BITCH</v>
      </c>
      <c r="AP664" s="35" t="str">
        <f t="shared" si="104"/>
        <v>no</v>
      </c>
      <c r="AQ664" s="35" t="str">
        <f t="shared" si="104"/>
        <v>no</v>
      </c>
      <c r="AR664" s="35" t="str">
        <f t="shared" si="105"/>
        <v>FITS BITCH</v>
      </c>
      <c r="AS664" s="35" t="str">
        <f t="shared" si="106"/>
        <v>no</v>
      </c>
      <c r="AT664" s="20" t="str">
        <f t="shared" si="107"/>
        <v/>
      </c>
      <c r="AU664" s="20" t="str">
        <f t="shared" si="108"/>
        <v/>
      </c>
      <c r="AV664" s="20"/>
      <c r="AW664" s="20"/>
      <c r="AX664" s="20"/>
    </row>
    <row r="665" spans="31:50">
      <c r="AE665" s="26">
        <f>Data!A660</f>
        <v>42004</v>
      </c>
      <c r="AF665" s="35">
        <f>Data!B660</f>
        <v>84.38</v>
      </c>
      <c r="AG665" s="35">
        <f>Data!F660</f>
        <v>1805520</v>
      </c>
      <c r="AH665" s="35">
        <f>Data!C660</f>
        <v>84.87</v>
      </c>
      <c r="AI665" s="35">
        <f>Data!D660</f>
        <v>83.36</v>
      </c>
      <c r="AJ665" s="35">
        <f>Data!E660</f>
        <v>83.37</v>
      </c>
      <c r="AK665" s="35">
        <f>Data!F660</f>
        <v>1805520</v>
      </c>
      <c r="AL665" s="35">
        <f t="shared" si="102"/>
        <v>83.37</v>
      </c>
      <c r="AM665" s="35">
        <f t="shared" si="101"/>
        <v>9.595777857742388E-2</v>
      </c>
      <c r="AN665" s="35">
        <f t="shared" si="109"/>
        <v>-3.6974943506579825</v>
      </c>
      <c r="AO665" s="35" t="str">
        <f t="shared" si="103"/>
        <v>no</v>
      </c>
      <c r="AP665" s="35" t="str">
        <f t="shared" si="104"/>
        <v>no</v>
      </c>
      <c r="AQ665" s="35" t="str">
        <f t="shared" si="104"/>
        <v>no</v>
      </c>
      <c r="AR665" s="35" t="str">
        <f t="shared" si="105"/>
        <v>FITS BITCH</v>
      </c>
      <c r="AS665" s="35" t="str">
        <f t="shared" si="106"/>
        <v>no</v>
      </c>
      <c r="AT665" s="20" t="str">
        <f t="shared" si="107"/>
        <v/>
      </c>
      <c r="AU665" s="20" t="str">
        <f t="shared" si="108"/>
        <v/>
      </c>
      <c r="AV665" s="20"/>
      <c r="AW665" s="20"/>
      <c r="AX665" s="20"/>
    </row>
    <row r="666" spans="31:50">
      <c r="AE666" s="26">
        <f>Data!A661</f>
        <v>42003</v>
      </c>
      <c r="AF666" s="35">
        <f>Data!B661</f>
        <v>84.74</v>
      </c>
      <c r="AG666" s="35">
        <f>Data!F661</f>
        <v>1427678</v>
      </c>
      <c r="AH666" s="35">
        <f>Data!C661</f>
        <v>84.91</v>
      </c>
      <c r="AI666" s="35">
        <f>Data!D661</f>
        <v>84.01</v>
      </c>
      <c r="AJ666" s="35">
        <f>Data!E661</f>
        <v>84.11</v>
      </c>
      <c r="AK666" s="35">
        <f>Data!F661</f>
        <v>1427678</v>
      </c>
      <c r="AL666" s="35">
        <f t="shared" si="102"/>
        <v>84.11</v>
      </c>
      <c r="AM666" s="35">
        <f t="shared" si="101"/>
        <v>0.8798002615622339</v>
      </c>
      <c r="AN666" s="35">
        <f t="shared" si="109"/>
        <v>-26.465491518395606</v>
      </c>
      <c r="AO666" s="35" t="str">
        <f t="shared" si="103"/>
        <v>FITS BITCH</v>
      </c>
      <c r="AP666" s="35" t="str">
        <f t="shared" si="104"/>
        <v>no</v>
      </c>
      <c r="AQ666" s="35" t="str">
        <f t="shared" si="104"/>
        <v>no</v>
      </c>
      <c r="AR666" s="35" t="str">
        <f t="shared" si="105"/>
        <v>FITS BITCH</v>
      </c>
      <c r="AS666" s="35" t="str">
        <f t="shared" si="106"/>
        <v>no</v>
      </c>
      <c r="AT666" s="20" t="str">
        <f t="shared" si="107"/>
        <v/>
      </c>
      <c r="AU666" s="20" t="str">
        <f t="shared" si="108"/>
        <v/>
      </c>
      <c r="AV666" s="20"/>
      <c r="AW666" s="20"/>
      <c r="AX666" s="20"/>
    </row>
    <row r="667" spans="31:50">
      <c r="AE667" s="26">
        <f>Data!A662</f>
        <v>42002</v>
      </c>
      <c r="AF667" s="35">
        <f>Data!B662</f>
        <v>85.02</v>
      </c>
      <c r="AG667" s="35">
        <f>Data!F662</f>
        <v>1242621</v>
      </c>
      <c r="AH667" s="35">
        <f>Data!C662</f>
        <v>85.24</v>
      </c>
      <c r="AI667" s="35">
        <f>Data!D662</f>
        <v>84.82</v>
      </c>
      <c r="AJ667" s="35">
        <f>Data!E662</f>
        <v>84.87</v>
      </c>
      <c r="AK667" s="35">
        <f>Data!F662</f>
        <v>1242621</v>
      </c>
      <c r="AL667" s="35">
        <f t="shared" si="102"/>
        <v>84.87</v>
      </c>
      <c r="AM667" s="35">
        <f t="shared" si="101"/>
        <v>0.89548721574172863</v>
      </c>
      <c r="AN667" s="35">
        <f t="shared" si="109"/>
        <v>-14.892473248078053</v>
      </c>
      <c r="AO667" s="35" t="str">
        <f t="shared" si="103"/>
        <v>FITS BITCH</v>
      </c>
      <c r="AP667" s="35" t="str">
        <f t="shared" si="104"/>
        <v>no</v>
      </c>
      <c r="AQ667" s="35" t="str">
        <f t="shared" si="104"/>
        <v>no</v>
      </c>
      <c r="AR667" s="35" t="str">
        <f t="shared" si="105"/>
        <v>FITS BITCH</v>
      </c>
      <c r="AS667" s="35" t="str">
        <f t="shared" si="106"/>
        <v>no</v>
      </c>
      <c r="AT667" s="20" t="str">
        <f t="shared" si="107"/>
        <v/>
      </c>
      <c r="AU667" s="20" t="str">
        <f t="shared" si="108"/>
        <v/>
      </c>
      <c r="AV667" s="20"/>
      <c r="AW667" s="20"/>
      <c r="AX667" s="20"/>
    </row>
    <row r="668" spans="31:50">
      <c r="AE668" s="26">
        <f>Data!A663</f>
        <v>41999</v>
      </c>
      <c r="AF668" s="35">
        <f>Data!B663</f>
        <v>85.57</v>
      </c>
      <c r="AG668" s="35">
        <f>Data!F663</f>
        <v>1006527</v>
      </c>
      <c r="AH668" s="35">
        <f>Data!C663</f>
        <v>85.91</v>
      </c>
      <c r="AI668" s="35">
        <f>Data!D663</f>
        <v>85.13</v>
      </c>
      <c r="AJ668" s="35">
        <f>Data!E663</f>
        <v>85.2</v>
      </c>
      <c r="AK668" s="35">
        <f>Data!F663</f>
        <v>1006527</v>
      </c>
      <c r="AL668" s="35">
        <f t="shared" si="102"/>
        <v>85.2</v>
      </c>
      <c r="AM668" s="35">
        <f t="shared" si="101"/>
        <v>0.38732394366196982</v>
      </c>
      <c r="AN668" s="35">
        <f t="shared" si="109"/>
        <v>-23.456300725166837</v>
      </c>
      <c r="AO668" s="35" t="str">
        <f t="shared" si="103"/>
        <v>FITS BITCH</v>
      </c>
      <c r="AP668" s="35" t="str">
        <f t="shared" si="104"/>
        <v>FITS BITCH</v>
      </c>
      <c r="AQ668" s="35" t="str">
        <f t="shared" si="104"/>
        <v>FITS BITCH</v>
      </c>
      <c r="AR668" s="35" t="str">
        <f t="shared" si="105"/>
        <v>FITS BITCH</v>
      </c>
      <c r="AS668" s="35" t="str">
        <f t="shared" si="106"/>
        <v>no</v>
      </c>
      <c r="AT668" s="20" t="str">
        <f t="shared" si="107"/>
        <v>BULLISH</v>
      </c>
      <c r="AU668" s="20" t="str">
        <f t="shared" si="108"/>
        <v/>
      </c>
      <c r="AV668" s="20"/>
      <c r="AW668" s="20"/>
      <c r="AX668" s="20"/>
    </row>
    <row r="669" spans="31:50">
      <c r="AE669" s="26">
        <f>Data!A664</f>
        <v>41997</v>
      </c>
      <c r="AF669" s="35">
        <f>Data!B664</f>
        <v>85.13</v>
      </c>
      <c r="AG669" s="35">
        <f>Data!F664</f>
        <v>1060288</v>
      </c>
      <c r="AH669" s="35">
        <f>Data!C664</f>
        <v>85.61</v>
      </c>
      <c r="AI669" s="35">
        <f>Data!D664</f>
        <v>85.03</v>
      </c>
      <c r="AJ669" s="35">
        <f>Data!E664</f>
        <v>85.24</v>
      </c>
      <c r="AK669" s="35">
        <f>Data!F664</f>
        <v>1060288</v>
      </c>
      <c r="AL669" s="35">
        <f t="shared" si="102"/>
        <v>85.24</v>
      </c>
      <c r="AM669" s="35">
        <f t="shared" si="101"/>
        <v>4.6926325668690809E-2</v>
      </c>
      <c r="AN669" s="35">
        <f t="shared" si="109"/>
        <v>5.0704148306875112</v>
      </c>
      <c r="AO669" s="35" t="str">
        <f t="shared" si="103"/>
        <v>no</v>
      </c>
      <c r="AP669" s="35" t="str">
        <f t="shared" si="104"/>
        <v>no</v>
      </c>
      <c r="AQ669" s="35" t="str">
        <f t="shared" si="104"/>
        <v>no</v>
      </c>
      <c r="AR669" s="35" t="str">
        <f t="shared" si="105"/>
        <v>FITS BITCH</v>
      </c>
      <c r="AS669" s="35" t="str">
        <f t="shared" si="106"/>
        <v>FITS BITCH</v>
      </c>
      <c r="AT669" s="20" t="str">
        <f t="shared" si="107"/>
        <v/>
      </c>
      <c r="AU669" s="20" t="str">
        <f t="shared" si="108"/>
        <v/>
      </c>
      <c r="AV669" s="20"/>
      <c r="AW669" s="20"/>
      <c r="AX669" s="20"/>
    </row>
    <row r="670" spans="31:50">
      <c r="AE670" s="26">
        <f>Data!A665</f>
        <v>41996</v>
      </c>
      <c r="AF670" s="35">
        <f>Data!B665</f>
        <v>86.31</v>
      </c>
      <c r="AG670" s="35">
        <f>Data!F665</f>
        <v>2343955</v>
      </c>
      <c r="AH670" s="35">
        <f>Data!C665</f>
        <v>86.47</v>
      </c>
      <c r="AI670" s="35">
        <f>Data!D665</f>
        <v>85.14</v>
      </c>
      <c r="AJ670" s="35">
        <f>Data!E665</f>
        <v>85.17</v>
      </c>
      <c r="AK670" s="35">
        <f>Data!F665</f>
        <v>2343955</v>
      </c>
      <c r="AL670" s="35">
        <f t="shared" si="102"/>
        <v>85.17</v>
      </c>
      <c r="AM670" s="35">
        <f t="shared" si="101"/>
        <v>-8.2188564048365831E-2</v>
      </c>
      <c r="AN670" s="35">
        <f t="shared" si="109"/>
        <v>54.765001887834877</v>
      </c>
      <c r="AO670" s="35" t="str">
        <f t="shared" si="103"/>
        <v>no</v>
      </c>
      <c r="AP670" s="35" t="str">
        <f t="shared" si="104"/>
        <v>FITS BITCH</v>
      </c>
      <c r="AQ670" s="35" t="str">
        <f t="shared" si="104"/>
        <v>FITS BITCH</v>
      </c>
      <c r="AR670" s="35" t="str">
        <f t="shared" si="105"/>
        <v>FITS BITCH</v>
      </c>
      <c r="AS670" s="35" t="str">
        <f t="shared" si="106"/>
        <v>no</v>
      </c>
      <c r="AT670" s="20" t="str">
        <f t="shared" si="107"/>
        <v/>
      </c>
      <c r="AU670" s="20" t="str">
        <f t="shared" si="108"/>
        <v/>
      </c>
      <c r="AV670" s="20"/>
      <c r="AW670" s="20"/>
      <c r="AX670" s="20"/>
    </row>
    <row r="671" spans="31:50">
      <c r="AE671" s="26">
        <f>Data!A666</f>
        <v>41995</v>
      </c>
      <c r="AF671" s="35">
        <f>Data!B666</f>
        <v>84.72</v>
      </c>
      <c r="AG671" s="35">
        <f>Data!F666</f>
        <v>1672130</v>
      </c>
      <c r="AH671" s="35">
        <f>Data!C666</f>
        <v>85.72</v>
      </c>
      <c r="AI671" s="35">
        <f>Data!D666</f>
        <v>84.61</v>
      </c>
      <c r="AJ671" s="35">
        <f>Data!E666</f>
        <v>85.7</v>
      </c>
      <c r="AK671" s="35">
        <f>Data!F666</f>
        <v>1672130</v>
      </c>
      <c r="AL671" s="35">
        <f t="shared" si="102"/>
        <v>85.7</v>
      </c>
      <c r="AM671" s="35">
        <f t="shared" si="101"/>
        <v>0.61843640606767925</v>
      </c>
      <c r="AN671" s="35">
        <f t="shared" si="109"/>
        <v>-40.177797180841203</v>
      </c>
      <c r="AO671" s="35" t="str">
        <f t="shared" si="103"/>
        <v>FITS BITCH</v>
      </c>
      <c r="AP671" s="35" t="str">
        <f t="shared" si="104"/>
        <v>no</v>
      </c>
      <c r="AQ671" s="35" t="str">
        <f t="shared" si="104"/>
        <v>no</v>
      </c>
      <c r="AR671" s="35" t="str">
        <f t="shared" si="105"/>
        <v>FITS BITCH</v>
      </c>
      <c r="AS671" s="35" t="str">
        <f t="shared" si="106"/>
        <v>FITS BITCH</v>
      </c>
      <c r="AT671" s="20" t="str">
        <f t="shared" si="107"/>
        <v/>
      </c>
      <c r="AU671" s="20" t="str">
        <f t="shared" si="108"/>
        <v/>
      </c>
      <c r="AV671" s="20"/>
      <c r="AW671" s="20"/>
      <c r="AX671" s="20"/>
    </row>
    <row r="672" spans="31:50">
      <c r="AE672" s="26">
        <f>Data!A667</f>
        <v>41992</v>
      </c>
      <c r="AF672" s="35">
        <f>Data!B667</f>
        <v>85.45</v>
      </c>
      <c r="AG672" s="35">
        <f>Data!F667</f>
        <v>4230483</v>
      </c>
      <c r="AH672" s="35">
        <f>Data!C667</f>
        <v>86.15</v>
      </c>
      <c r="AI672" s="35">
        <f>Data!D667</f>
        <v>84.66</v>
      </c>
      <c r="AJ672" s="35">
        <f>Data!E667</f>
        <v>84.71</v>
      </c>
      <c r="AK672" s="35">
        <f>Data!F667</f>
        <v>4230483</v>
      </c>
      <c r="AL672" s="35">
        <f t="shared" si="102"/>
        <v>84.71</v>
      </c>
      <c r="AM672" s="35">
        <f t="shared" si="101"/>
        <v>-1.1686931885255687</v>
      </c>
      <c r="AN672" s="35">
        <f t="shared" si="109"/>
        <v>60.474253176292159</v>
      </c>
      <c r="AO672" s="35" t="str">
        <f t="shared" si="103"/>
        <v>no</v>
      </c>
      <c r="AP672" s="35" t="str">
        <f t="shared" si="104"/>
        <v>FITS BITCH</v>
      </c>
      <c r="AQ672" s="35" t="str">
        <f t="shared" si="104"/>
        <v>no</v>
      </c>
      <c r="AR672" s="35" t="str">
        <f t="shared" si="105"/>
        <v>FITS BITCH</v>
      </c>
      <c r="AS672" s="35" t="str">
        <f t="shared" si="106"/>
        <v>no</v>
      </c>
      <c r="AT672" s="20" t="str">
        <f t="shared" si="107"/>
        <v/>
      </c>
      <c r="AU672" s="20" t="str">
        <f t="shared" si="108"/>
        <v/>
      </c>
      <c r="AV672" s="20"/>
      <c r="AW672" s="20"/>
      <c r="AX672" s="20"/>
    </row>
    <row r="673" spans="31:50">
      <c r="AE673" s="26">
        <f>Data!A668</f>
        <v>41991</v>
      </c>
      <c r="AF673" s="35">
        <f>Data!B668</f>
        <v>85.87</v>
      </c>
      <c r="AG673" s="35">
        <f>Data!F668</f>
        <v>3535524</v>
      </c>
      <c r="AH673" s="35">
        <f>Data!C668</f>
        <v>85.94</v>
      </c>
      <c r="AI673" s="35">
        <f>Data!D668</f>
        <v>85.03</v>
      </c>
      <c r="AJ673" s="35">
        <f>Data!E668</f>
        <v>85.68</v>
      </c>
      <c r="AK673" s="35">
        <f>Data!F668</f>
        <v>3535524</v>
      </c>
      <c r="AL673" s="35">
        <f t="shared" si="102"/>
        <v>85.68</v>
      </c>
      <c r="AM673" s="35">
        <f t="shared" si="101"/>
        <v>1.1321195144724709</v>
      </c>
      <c r="AN673" s="35">
        <f t="shared" si="109"/>
        <v>-19.656463935756058</v>
      </c>
      <c r="AO673" s="35" t="str">
        <f t="shared" si="103"/>
        <v>FITS BITCH</v>
      </c>
      <c r="AP673" s="35" t="str">
        <f t="shared" si="104"/>
        <v>FITS BITCH</v>
      </c>
      <c r="AQ673" s="35" t="str">
        <f t="shared" si="104"/>
        <v>FITS BITCH</v>
      </c>
      <c r="AR673" s="35" t="str">
        <f t="shared" si="105"/>
        <v>no</v>
      </c>
      <c r="AS673" s="35" t="str">
        <f t="shared" si="106"/>
        <v>FITS BITCH</v>
      </c>
      <c r="AT673" s="20" t="str">
        <f t="shared" si="107"/>
        <v/>
      </c>
      <c r="AU673" s="20" t="str">
        <f t="shared" si="108"/>
        <v>BEARISH</v>
      </c>
      <c r="AV673" s="20"/>
      <c r="AW673" s="20"/>
      <c r="AX673" s="20"/>
    </row>
    <row r="674" spans="31:50">
      <c r="AE674" s="26">
        <f>Data!A669</f>
        <v>41990</v>
      </c>
      <c r="AF674" s="35">
        <f>Data!B669</f>
        <v>82.62</v>
      </c>
      <c r="AG674" s="35">
        <f>Data!F669</f>
        <v>1906227</v>
      </c>
      <c r="AH674" s="35">
        <f>Data!C669</f>
        <v>84.86</v>
      </c>
      <c r="AI674" s="35">
        <f>Data!D669</f>
        <v>82.62</v>
      </c>
      <c r="AJ674" s="35">
        <f>Data!E669</f>
        <v>84.68</v>
      </c>
      <c r="AK674" s="35">
        <f>Data!F669</f>
        <v>1906227</v>
      </c>
      <c r="AL674" s="35">
        <f t="shared" si="102"/>
        <v>84.68</v>
      </c>
      <c r="AM674" s="35">
        <f t="shared" si="101"/>
        <v>-1.1809163911195086</v>
      </c>
      <c r="AN674" s="35">
        <f t="shared" si="109"/>
        <v>-85.472349305722773</v>
      </c>
      <c r="AO674" s="35" t="str">
        <f t="shared" si="103"/>
        <v>FITS BITCH</v>
      </c>
      <c r="AP674" s="35" t="str">
        <f t="shared" si="104"/>
        <v>FITS BITCH</v>
      </c>
      <c r="AQ674" s="35" t="str">
        <f t="shared" si="104"/>
        <v>FITS BITCH</v>
      </c>
      <c r="AR674" s="35" t="str">
        <f t="shared" si="105"/>
        <v>no</v>
      </c>
      <c r="AS674" s="35" t="str">
        <f t="shared" si="106"/>
        <v>FITS BITCH</v>
      </c>
      <c r="AT674" s="20" t="str">
        <f t="shared" si="107"/>
        <v/>
      </c>
      <c r="AU674" s="20" t="str">
        <f t="shared" si="108"/>
        <v>BEARISH</v>
      </c>
      <c r="AV674" s="20"/>
      <c r="AW674" s="20"/>
      <c r="AX674" s="20"/>
    </row>
    <row r="675" spans="31:50">
      <c r="AE675" s="26">
        <f>Data!A670</f>
        <v>41989</v>
      </c>
      <c r="AF675" s="35">
        <f>Data!B670</f>
        <v>82.77</v>
      </c>
      <c r="AG675" s="35">
        <f>Data!F670</f>
        <v>1989960</v>
      </c>
      <c r="AH675" s="35">
        <f>Data!C670</f>
        <v>84.07</v>
      </c>
      <c r="AI675" s="35">
        <f>Data!D670</f>
        <v>82.43</v>
      </c>
      <c r="AJ675" s="35">
        <f>Data!E670</f>
        <v>82.91</v>
      </c>
      <c r="AK675" s="35">
        <f>Data!F670</f>
        <v>1989960</v>
      </c>
      <c r="AL675" s="35">
        <f t="shared" si="102"/>
        <v>82.91</v>
      </c>
      <c r="AM675" s="35">
        <f t="shared" si="101"/>
        <v>-2.1348450126643472</v>
      </c>
      <c r="AN675" s="35">
        <f t="shared" si="109"/>
        <v>4.207773020563228</v>
      </c>
      <c r="AO675" s="35" t="str">
        <f t="shared" si="103"/>
        <v>no</v>
      </c>
      <c r="AP675" s="35" t="str">
        <f t="shared" si="104"/>
        <v>FITS BITCH</v>
      </c>
      <c r="AQ675" s="35" t="str">
        <f t="shared" si="104"/>
        <v>FITS BITCH</v>
      </c>
      <c r="AR675" s="35" t="str">
        <f t="shared" si="105"/>
        <v>FITS BITCH</v>
      </c>
      <c r="AS675" s="35" t="str">
        <f t="shared" si="106"/>
        <v>FITS BITCH</v>
      </c>
      <c r="AT675" s="20" t="str">
        <f t="shared" si="107"/>
        <v/>
      </c>
      <c r="AU675" s="20" t="str">
        <f t="shared" si="108"/>
        <v/>
      </c>
      <c r="AV675" s="20"/>
      <c r="AW675" s="20"/>
      <c r="AX675" s="20"/>
    </row>
    <row r="676" spans="31:50">
      <c r="AE676" s="26">
        <f>Data!A671</f>
        <v>41988</v>
      </c>
      <c r="AF676" s="35">
        <f>Data!B671</f>
        <v>82.81</v>
      </c>
      <c r="AG676" s="35">
        <f>Data!F671</f>
        <v>1848890</v>
      </c>
      <c r="AH676" s="35">
        <f>Data!C671</f>
        <v>83.42</v>
      </c>
      <c r="AI676" s="35">
        <f>Data!D671</f>
        <v>82.04</v>
      </c>
      <c r="AJ676" s="35">
        <f>Data!E671</f>
        <v>82.78</v>
      </c>
      <c r="AK676" s="35">
        <f>Data!F671</f>
        <v>1848890</v>
      </c>
      <c r="AL676" s="35">
        <f t="shared" si="102"/>
        <v>82.78</v>
      </c>
      <c r="AM676" s="35">
        <f t="shared" si="101"/>
        <v>-0.15704276395264008</v>
      </c>
      <c r="AN676" s="35">
        <f t="shared" si="109"/>
        <v>-7.6299833954426717</v>
      </c>
      <c r="AO676" s="35" t="str">
        <f t="shared" si="103"/>
        <v>no</v>
      </c>
      <c r="AP676" s="35" t="str">
        <f t="shared" si="104"/>
        <v>no</v>
      </c>
      <c r="AQ676" s="35" t="str">
        <f t="shared" si="104"/>
        <v>no</v>
      </c>
      <c r="AR676" s="35" t="str">
        <f t="shared" si="105"/>
        <v>FITS BITCH</v>
      </c>
      <c r="AS676" s="35" t="str">
        <f t="shared" si="106"/>
        <v>FITS BITCH</v>
      </c>
      <c r="AT676" s="20" t="str">
        <f t="shared" si="107"/>
        <v/>
      </c>
      <c r="AU676" s="20" t="str">
        <f t="shared" si="108"/>
        <v/>
      </c>
      <c r="AV676" s="20"/>
      <c r="AW676" s="20"/>
      <c r="AX676" s="20"/>
    </row>
    <row r="677" spans="31:50">
      <c r="AE677" s="26">
        <f>Data!A672</f>
        <v>41985</v>
      </c>
      <c r="AF677" s="35">
        <f>Data!B672</f>
        <v>83.47</v>
      </c>
      <c r="AG677" s="35">
        <f>Data!F672</f>
        <v>2415621</v>
      </c>
      <c r="AH677" s="35">
        <f>Data!C672</f>
        <v>84.65</v>
      </c>
      <c r="AI677" s="35">
        <f>Data!D672</f>
        <v>82.5</v>
      </c>
      <c r="AJ677" s="35">
        <f>Data!E672</f>
        <v>82.5</v>
      </c>
      <c r="AK677" s="35">
        <f>Data!F672</f>
        <v>2415621</v>
      </c>
      <c r="AL677" s="35">
        <f t="shared" si="102"/>
        <v>82.5</v>
      </c>
      <c r="AM677" s="35">
        <f t="shared" si="101"/>
        <v>-0.3393939393939408</v>
      </c>
      <c r="AN677" s="35">
        <f t="shared" si="109"/>
        <v>23.461089301674392</v>
      </c>
      <c r="AO677" s="35" t="str">
        <f t="shared" si="103"/>
        <v>no</v>
      </c>
      <c r="AP677" s="35" t="str">
        <f t="shared" si="104"/>
        <v>no</v>
      </c>
      <c r="AQ677" s="35" t="str">
        <f t="shared" si="104"/>
        <v>no</v>
      </c>
      <c r="AR677" s="35" t="str">
        <f t="shared" si="105"/>
        <v>FITS BITCH</v>
      </c>
      <c r="AS677" s="35" t="str">
        <f t="shared" si="106"/>
        <v>no</v>
      </c>
      <c r="AT677" s="20" t="str">
        <f t="shared" si="107"/>
        <v/>
      </c>
      <c r="AU677" s="20" t="str">
        <f t="shared" si="108"/>
        <v/>
      </c>
      <c r="AV677" s="20"/>
      <c r="AW677" s="20"/>
      <c r="AX677" s="20"/>
    </row>
    <row r="678" spans="31:50">
      <c r="AE678" s="26">
        <f>Data!A673</f>
        <v>41984</v>
      </c>
      <c r="AF678" s="35">
        <f>Data!B673</f>
        <v>85.53</v>
      </c>
      <c r="AG678" s="35">
        <f>Data!F673</f>
        <v>1976754</v>
      </c>
      <c r="AH678" s="35">
        <f>Data!C673</f>
        <v>85.57</v>
      </c>
      <c r="AI678" s="35">
        <f>Data!D673</f>
        <v>84.43</v>
      </c>
      <c r="AJ678" s="35">
        <f>Data!E673</f>
        <v>84.6</v>
      </c>
      <c r="AK678" s="35">
        <f>Data!F673</f>
        <v>1976754</v>
      </c>
      <c r="AL678" s="35">
        <f t="shared" si="102"/>
        <v>84.6</v>
      </c>
      <c r="AM678" s="35">
        <f t="shared" si="101"/>
        <v>2.4822695035460929</v>
      </c>
      <c r="AN678" s="35">
        <f t="shared" si="109"/>
        <v>-22.201396835418063</v>
      </c>
      <c r="AO678" s="35" t="str">
        <f t="shared" si="103"/>
        <v>FITS BITCH</v>
      </c>
      <c r="AP678" s="35" t="str">
        <f t="shared" si="104"/>
        <v>FITS BITCH</v>
      </c>
      <c r="AQ678" s="35" t="str">
        <f t="shared" si="104"/>
        <v>FITS BITCH</v>
      </c>
      <c r="AR678" s="35" t="str">
        <f t="shared" si="105"/>
        <v>FITS BITCH</v>
      </c>
      <c r="AS678" s="35" t="str">
        <f t="shared" si="106"/>
        <v>FITS BITCH</v>
      </c>
      <c r="AT678" s="20" t="str">
        <f t="shared" si="107"/>
        <v>BULLISH</v>
      </c>
      <c r="AU678" s="20" t="str">
        <f t="shared" si="108"/>
        <v>BEARISH</v>
      </c>
      <c r="AV678" s="20"/>
      <c r="AW678" s="20"/>
      <c r="AX678" s="20"/>
    </row>
    <row r="679" spans="31:50">
      <c r="AE679" s="26">
        <f>Data!A674</f>
        <v>41983</v>
      </c>
      <c r="AF679" s="35">
        <f>Data!B674</f>
        <v>84.56</v>
      </c>
      <c r="AG679" s="35">
        <f>Data!F674</f>
        <v>2024896</v>
      </c>
      <c r="AH679" s="35">
        <f>Data!C674</f>
        <v>85.54</v>
      </c>
      <c r="AI679" s="35">
        <f>Data!D674</f>
        <v>83.98</v>
      </c>
      <c r="AJ679" s="35">
        <f>Data!E674</f>
        <v>84.13</v>
      </c>
      <c r="AK679" s="35">
        <f>Data!F674</f>
        <v>2024896</v>
      </c>
      <c r="AL679" s="35">
        <f t="shared" si="102"/>
        <v>84.13</v>
      </c>
      <c r="AM679" s="35">
        <f t="shared" si="101"/>
        <v>-0.55865921787709372</v>
      </c>
      <c r="AN679" s="35">
        <f t="shared" si="109"/>
        <v>2.3775048200006319</v>
      </c>
      <c r="AO679" s="35" t="str">
        <f t="shared" si="103"/>
        <v>no</v>
      </c>
      <c r="AP679" s="35" t="str">
        <f t="shared" si="104"/>
        <v>no</v>
      </c>
      <c r="AQ679" s="35" t="str">
        <f t="shared" si="104"/>
        <v>no</v>
      </c>
      <c r="AR679" s="35" t="str">
        <f t="shared" si="105"/>
        <v>FITS BITCH</v>
      </c>
      <c r="AS679" s="35" t="str">
        <f t="shared" si="106"/>
        <v>no</v>
      </c>
      <c r="AT679" s="20" t="str">
        <f t="shared" si="107"/>
        <v/>
      </c>
      <c r="AU679" s="20" t="str">
        <f t="shared" si="108"/>
        <v/>
      </c>
      <c r="AV679" s="20"/>
      <c r="AW679" s="20"/>
      <c r="AX679" s="20"/>
    </row>
    <row r="680" spans="31:50">
      <c r="AE680" s="26">
        <f>Data!A675</f>
        <v>41982</v>
      </c>
      <c r="AF680" s="35">
        <f>Data!B675</f>
        <v>85.18</v>
      </c>
      <c r="AG680" s="35">
        <f>Data!F675</f>
        <v>1943754</v>
      </c>
      <c r="AH680" s="35">
        <f>Data!C675</f>
        <v>85.55</v>
      </c>
      <c r="AI680" s="35">
        <f>Data!D675</f>
        <v>84.36</v>
      </c>
      <c r="AJ680" s="35">
        <f>Data!E675</f>
        <v>85.26</v>
      </c>
      <c r="AK680" s="35">
        <f>Data!F675</f>
        <v>1943754</v>
      </c>
      <c r="AL680" s="35">
        <f t="shared" si="102"/>
        <v>85.26</v>
      </c>
      <c r="AM680" s="35">
        <f t="shared" si="101"/>
        <v>1.3253577292986274</v>
      </c>
      <c r="AN680" s="35">
        <f t="shared" si="109"/>
        <v>-4.1744994479754123</v>
      </c>
      <c r="AO680" s="35" t="str">
        <f t="shared" si="103"/>
        <v>no</v>
      </c>
      <c r="AP680" s="35" t="str">
        <f t="shared" si="104"/>
        <v>no</v>
      </c>
      <c r="AQ680" s="35" t="str">
        <f t="shared" si="104"/>
        <v>no</v>
      </c>
      <c r="AR680" s="35" t="str">
        <f t="shared" si="105"/>
        <v>FITS BITCH</v>
      </c>
      <c r="AS680" s="35" t="str">
        <f t="shared" si="106"/>
        <v>no</v>
      </c>
      <c r="AT680" s="20" t="str">
        <f t="shared" si="107"/>
        <v/>
      </c>
      <c r="AU680" s="20" t="str">
        <f t="shared" si="108"/>
        <v/>
      </c>
      <c r="AV680" s="20"/>
      <c r="AW680" s="20"/>
      <c r="AX680" s="20"/>
    </row>
    <row r="681" spans="31:50">
      <c r="AE681" s="26">
        <f>Data!A676</f>
        <v>41981</v>
      </c>
      <c r="AF681" s="35">
        <f>Data!B676</f>
        <v>85.36</v>
      </c>
      <c r="AG681" s="35">
        <f>Data!F676</f>
        <v>1674151</v>
      </c>
      <c r="AH681" s="35">
        <f>Data!C676</f>
        <v>86.01</v>
      </c>
      <c r="AI681" s="35">
        <f>Data!D676</f>
        <v>85.05</v>
      </c>
      <c r="AJ681" s="35">
        <f>Data!E676</f>
        <v>85.59</v>
      </c>
      <c r="AK681" s="35">
        <f>Data!F676</f>
        <v>1674151</v>
      </c>
      <c r="AL681" s="35">
        <f t="shared" si="102"/>
        <v>85.59</v>
      </c>
      <c r="AM681" s="35">
        <f t="shared" si="101"/>
        <v>0.38555906063792295</v>
      </c>
      <c r="AN681" s="35">
        <f t="shared" si="109"/>
        <v>-16.10386398837381</v>
      </c>
      <c r="AO681" s="35" t="str">
        <f t="shared" si="103"/>
        <v>FITS BITCH</v>
      </c>
      <c r="AP681" s="35" t="str">
        <f t="shared" si="104"/>
        <v>FITS BITCH</v>
      </c>
      <c r="AQ681" s="35" t="str">
        <f t="shared" si="104"/>
        <v>no</v>
      </c>
      <c r="AR681" s="35" t="str">
        <f t="shared" si="105"/>
        <v>FITS BITCH</v>
      </c>
      <c r="AS681" s="35" t="str">
        <f t="shared" si="106"/>
        <v>no</v>
      </c>
      <c r="AT681" s="20" t="str">
        <f t="shared" si="107"/>
        <v>BULLISH</v>
      </c>
      <c r="AU681" s="20" t="str">
        <f t="shared" si="108"/>
        <v/>
      </c>
      <c r="AV681" s="20"/>
      <c r="AW681" s="20"/>
      <c r="AX681" s="20"/>
    </row>
    <row r="682" spans="31:50">
      <c r="AE682" s="26">
        <f>Data!A677</f>
        <v>41978</v>
      </c>
      <c r="AF682" s="35">
        <f>Data!B677</f>
        <v>85.79</v>
      </c>
      <c r="AG682" s="35">
        <f>Data!F677</f>
        <v>1792105</v>
      </c>
      <c r="AH682" s="35">
        <f>Data!C677</f>
        <v>85.92</v>
      </c>
      <c r="AI682" s="35">
        <f>Data!D677</f>
        <v>85.11</v>
      </c>
      <c r="AJ682" s="35">
        <f>Data!E677</f>
        <v>85.82</v>
      </c>
      <c r="AK682" s="35">
        <f>Data!F677</f>
        <v>1792105</v>
      </c>
      <c r="AL682" s="35">
        <f t="shared" si="102"/>
        <v>85.82</v>
      </c>
      <c r="AM682" s="35">
        <f t="shared" si="101"/>
        <v>0.26800279655090864</v>
      </c>
      <c r="AN682" s="35">
        <f t="shared" si="109"/>
        <v>6.5818688079102499</v>
      </c>
      <c r="AO682" s="35" t="str">
        <f t="shared" si="103"/>
        <v>no</v>
      </c>
      <c r="AP682" s="35" t="str">
        <f t="shared" si="104"/>
        <v>no</v>
      </c>
      <c r="AQ682" s="35" t="str">
        <f t="shared" si="104"/>
        <v>no</v>
      </c>
      <c r="AR682" s="35" t="str">
        <f t="shared" si="105"/>
        <v>FITS BITCH</v>
      </c>
      <c r="AS682" s="35" t="str">
        <f t="shared" si="106"/>
        <v>no</v>
      </c>
      <c r="AT682" s="20" t="str">
        <f t="shared" si="107"/>
        <v/>
      </c>
      <c r="AU682" s="20" t="str">
        <f t="shared" si="108"/>
        <v/>
      </c>
      <c r="AV682" s="20"/>
      <c r="AW682" s="20"/>
      <c r="AX682" s="20"/>
    </row>
    <row r="683" spans="31:50">
      <c r="AE683" s="26">
        <f>Data!A678</f>
        <v>41977</v>
      </c>
      <c r="AF683" s="35">
        <f>Data!B678</f>
        <v>86.06</v>
      </c>
      <c r="AG683" s="35">
        <f>Data!F678</f>
        <v>1553066</v>
      </c>
      <c r="AH683" s="35">
        <f>Data!C678</f>
        <v>86.42</v>
      </c>
      <c r="AI683" s="35">
        <f>Data!D678</f>
        <v>85.73</v>
      </c>
      <c r="AJ683" s="35">
        <f>Data!E678</f>
        <v>86.06</v>
      </c>
      <c r="AK683" s="35">
        <f>Data!F678</f>
        <v>1553066</v>
      </c>
      <c r="AL683" s="35">
        <f t="shared" si="102"/>
        <v>86.06</v>
      </c>
      <c r="AM683" s="35">
        <f t="shared" si="101"/>
        <v>0.278875203346513</v>
      </c>
      <c r="AN683" s="35">
        <f t="shared" si="109"/>
        <v>-15.391425734643601</v>
      </c>
      <c r="AO683" s="35" t="str">
        <f t="shared" si="103"/>
        <v>FITS BITCH</v>
      </c>
      <c r="AP683" s="35" t="str">
        <f t="shared" si="104"/>
        <v>FITS BITCH</v>
      </c>
      <c r="AQ683" s="35" t="str">
        <f t="shared" si="104"/>
        <v>FITS BITCH</v>
      </c>
      <c r="AR683" s="35" t="str">
        <f t="shared" si="105"/>
        <v>no</v>
      </c>
      <c r="AS683" s="35" t="str">
        <f t="shared" si="106"/>
        <v>FITS BITCH</v>
      </c>
      <c r="AT683" s="20" t="str">
        <f t="shared" si="107"/>
        <v/>
      </c>
      <c r="AU683" s="20" t="str">
        <f t="shared" si="108"/>
        <v>BEARISH</v>
      </c>
      <c r="AV683" s="20"/>
      <c r="AW683" s="20"/>
      <c r="AX683" s="20"/>
    </row>
    <row r="684" spans="31:50">
      <c r="AE684" s="26">
        <f>Data!A679</f>
        <v>41976</v>
      </c>
      <c r="AF684" s="35">
        <f>Data!B679</f>
        <v>85.49</v>
      </c>
      <c r="AG684" s="35">
        <f>Data!F679</f>
        <v>1878416</v>
      </c>
      <c r="AH684" s="35">
        <f>Data!C679</f>
        <v>86</v>
      </c>
      <c r="AI684" s="35">
        <f>Data!D679</f>
        <v>84.99</v>
      </c>
      <c r="AJ684" s="35">
        <f>Data!E679</f>
        <v>85.94</v>
      </c>
      <c r="AK684" s="35">
        <f>Data!F679</f>
        <v>1878416</v>
      </c>
      <c r="AL684" s="35">
        <f t="shared" si="102"/>
        <v>85.94</v>
      </c>
      <c r="AM684" s="35">
        <f t="shared" si="101"/>
        <v>-0.13963230160577678</v>
      </c>
      <c r="AN684" s="35">
        <f t="shared" si="109"/>
        <v>17.320444459587225</v>
      </c>
      <c r="AO684" s="35" t="str">
        <f t="shared" si="103"/>
        <v>no</v>
      </c>
      <c r="AP684" s="35" t="str">
        <f t="shared" si="104"/>
        <v>no</v>
      </c>
      <c r="AQ684" s="35" t="str">
        <f t="shared" si="104"/>
        <v>no</v>
      </c>
      <c r="AR684" s="35" t="str">
        <f t="shared" si="105"/>
        <v>FITS BITCH</v>
      </c>
      <c r="AS684" s="35" t="str">
        <f t="shared" si="106"/>
        <v>FITS BITCH</v>
      </c>
      <c r="AT684" s="20" t="str">
        <f t="shared" si="107"/>
        <v/>
      </c>
      <c r="AU684" s="20" t="str">
        <f t="shared" si="108"/>
        <v/>
      </c>
      <c r="AV684" s="20"/>
      <c r="AW684" s="20"/>
      <c r="AX684" s="20"/>
    </row>
    <row r="685" spans="31:50">
      <c r="AE685" s="26">
        <f>Data!A680</f>
        <v>41975</v>
      </c>
      <c r="AF685" s="35">
        <f>Data!B680</f>
        <v>86.45</v>
      </c>
      <c r="AG685" s="35">
        <f>Data!F680</f>
        <v>1676123</v>
      </c>
      <c r="AH685" s="35">
        <f>Data!C680</f>
        <v>86.54</v>
      </c>
      <c r="AI685" s="35">
        <f>Data!D680</f>
        <v>85.62</v>
      </c>
      <c r="AJ685" s="35">
        <f>Data!E680</f>
        <v>85.8</v>
      </c>
      <c r="AK685" s="35">
        <f>Data!F680</f>
        <v>1676123</v>
      </c>
      <c r="AL685" s="35">
        <f t="shared" si="102"/>
        <v>85.8</v>
      </c>
      <c r="AM685" s="35">
        <f t="shared" si="101"/>
        <v>-0.16317016317016383</v>
      </c>
      <c r="AN685" s="35">
        <f t="shared" si="109"/>
        <v>-12.069102327215843</v>
      </c>
      <c r="AO685" s="35" t="str">
        <f t="shared" si="103"/>
        <v>FITS BITCH</v>
      </c>
      <c r="AP685" s="35" t="str">
        <f t="shared" si="104"/>
        <v>FITS BITCH</v>
      </c>
      <c r="AQ685" s="35" t="str">
        <f t="shared" si="104"/>
        <v>FITS BITCH</v>
      </c>
      <c r="AR685" s="35" t="str">
        <f t="shared" si="105"/>
        <v>FITS BITCH</v>
      </c>
      <c r="AS685" s="35" t="str">
        <f t="shared" si="106"/>
        <v>no</v>
      </c>
      <c r="AT685" s="20" t="str">
        <f t="shared" si="107"/>
        <v>BULLISH</v>
      </c>
      <c r="AU685" s="20" t="str">
        <f t="shared" si="108"/>
        <v/>
      </c>
      <c r="AV685" s="20"/>
      <c r="AW685" s="20"/>
      <c r="AX685" s="20"/>
    </row>
    <row r="686" spans="31:50">
      <c r="AE686" s="26">
        <f>Data!A681</f>
        <v>41974</v>
      </c>
      <c r="AF686" s="35">
        <f>Data!B681</f>
        <v>85.18</v>
      </c>
      <c r="AG686" s="35">
        <f>Data!F681</f>
        <v>2054985</v>
      </c>
      <c r="AH686" s="35">
        <f>Data!C681</f>
        <v>86.5</v>
      </c>
      <c r="AI686" s="35">
        <f>Data!D681</f>
        <v>85</v>
      </c>
      <c r="AJ686" s="35">
        <f>Data!E681</f>
        <v>86.07</v>
      </c>
      <c r="AK686" s="35">
        <f>Data!F681</f>
        <v>2054985</v>
      </c>
      <c r="AL686" s="35">
        <f t="shared" si="102"/>
        <v>86.07</v>
      </c>
      <c r="AM686" s="35">
        <f t="shared" ref="AM686:AM749" si="110">(AL686-AL685)/AL686*100</f>
        <v>0.3136981526664297</v>
      </c>
      <c r="AN686" s="35">
        <f t="shared" si="109"/>
        <v>18.436241627067837</v>
      </c>
      <c r="AO686" s="35" t="str">
        <f t="shared" si="103"/>
        <v>no</v>
      </c>
      <c r="AP686" s="35" t="str">
        <f t="shared" si="104"/>
        <v>FITS BITCH</v>
      </c>
      <c r="AQ686" s="35" t="str">
        <f t="shared" si="104"/>
        <v>FITS BITCH</v>
      </c>
      <c r="AR686" s="35" t="str">
        <f t="shared" si="105"/>
        <v>FITS BITCH</v>
      </c>
      <c r="AS686" s="35" t="str">
        <f t="shared" si="106"/>
        <v>FITS BITCH</v>
      </c>
      <c r="AT686" s="20" t="str">
        <f t="shared" si="107"/>
        <v/>
      </c>
      <c r="AU686" s="20" t="str">
        <f t="shared" si="108"/>
        <v/>
      </c>
      <c r="AV686" s="20"/>
      <c r="AW686" s="20"/>
      <c r="AX686" s="20"/>
    </row>
    <row r="687" spans="31:50">
      <c r="AE687" s="26">
        <f>Data!A682</f>
        <v>41971</v>
      </c>
      <c r="AF687" s="35">
        <f>Data!B682</f>
        <v>85.26</v>
      </c>
      <c r="AG687" s="35">
        <f>Data!F682</f>
        <v>1267266</v>
      </c>
      <c r="AH687" s="35">
        <f>Data!C682</f>
        <v>86.26</v>
      </c>
      <c r="AI687" s="35">
        <f>Data!D682</f>
        <v>84.81</v>
      </c>
      <c r="AJ687" s="35">
        <f>Data!E682</f>
        <v>85.64</v>
      </c>
      <c r="AK687" s="35">
        <f>Data!F682</f>
        <v>1267266</v>
      </c>
      <c r="AL687" s="35">
        <f t="shared" si="102"/>
        <v>85.64</v>
      </c>
      <c r="AM687" s="35">
        <f t="shared" si="110"/>
        <v>-0.50210182157869299</v>
      </c>
      <c r="AN687" s="35">
        <f t="shared" si="109"/>
        <v>-62.158931116277081</v>
      </c>
      <c r="AO687" s="35" t="str">
        <f t="shared" si="103"/>
        <v>FITS BITCH</v>
      </c>
      <c r="AP687" s="35" t="str">
        <f t="shared" si="104"/>
        <v>FITS BITCH</v>
      </c>
      <c r="AQ687" s="35" t="str">
        <f t="shared" si="104"/>
        <v>FITS BITCH</v>
      </c>
      <c r="AR687" s="35" t="str">
        <f t="shared" si="105"/>
        <v>no</v>
      </c>
      <c r="AS687" s="35" t="str">
        <f t="shared" si="106"/>
        <v>FITS BITCH</v>
      </c>
      <c r="AT687" s="20" t="str">
        <f t="shared" si="107"/>
        <v/>
      </c>
      <c r="AU687" s="20" t="str">
        <f t="shared" si="108"/>
        <v>BEARISH</v>
      </c>
      <c r="AV687" s="20"/>
      <c r="AW687" s="20"/>
      <c r="AX687" s="20"/>
    </row>
    <row r="688" spans="31:50">
      <c r="AE688" s="26">
        <f>Data!A683</f>
        <v>41969</v>
      </c>
      <c r="AF688" s="35">
        <f>Data!B683</f>
        <v>84.72</v>
      </c>
      <c r="AG688" s="35">
        <f>Data!F683</f>
        <v>1997058</v>
      </c>
      <c r="AH688" s="35">
        <f>Data!C683</f>
        <v>84.96</v>
      </c>
      <c r="AI688" s="35">
        <f>Data!D683</f>
        <v>84.36</v>
      </c>
      <c r="AJ688" s="35">
        <f>Data!E683</f>
        <v>84.86</v>
      </c>
      <c r="AK688" s="35">
        <f>Data!F683</f>
        <v>1997058</v>
      </c>
      <c r="AL688" s="35">
        <f t="shared" si="102"/>
        <v>84.86</v>
      </c>
      <c r="AM688" s="35">
        <f t="shared" si="110"/>
        <v>-0.91916097101107841</v>
      </c>
      <c r="AN688" s="35">
        <f t="shared" si="109"/>
        <v>36.543355275610423</v>
      </c>
      <c r="AO688" s="35" t="str">
        <f t="shared" si="103"/>
        <v>no</v>
      </c>
      <c r="AP688" s="35" t="str">
        <f t="shared" si="104"/>
        <v>no</v>
      </c>
      <c r="AQ688" s="35" t="str">
        <f t="shared" si="104"/>
        <v>no</v>
      </c>
      <c r="AR688" s="35" t="str">
        <f t="shared" si="105"/>
        <v>FITS BITCH</v>
      </c>
      <c r="AS688" s="35" t="str">
        <f t="shared" si="106"/>
        <v>FITS BITCH</v>
      </c>
      <c r="AT688" s="20" t="str">
        <f t="shared" si="107"/>
        <v/>
      </c>
      <c r="AU688" s="20" t="str">
        <f t="shared" si="108"/>
        <v/>
      </c>
      <c r="AV688" s="20"/>
      <c r="AW688" s="20"/>
      <c r="AX688" s="20"/>
    </row>
    <row r="689" spans="31:50">
      <c r="AE689" s="26">
        <f>Data!A684</f>
        <v>41968</v>
      </c>
      <c r="AF689" s="35">
        <f>Data!B684</f>
        <v>84.69</v>
      </c>
      <c r="AG689" s="35">
        <f>Data!F684</f>
        <v>1852610</v>
      </c>
      <c r="AH689" s="35">
        <f>Data!C684</f>
        <v>85.07</v>
      </c>
      <c r="AI689" s="35">
        <f>Data!D684</f>
        <v>84.49</v>
      </c>
      <c r="AJ689" s="35">
        <f>Data!E684</f>
        <v>84.52</v>
      </c>
      <c r="AK689" s="35">
        <f>Data!F684</f>
        <v>1852610</v>
      </c>
      <c r="AL689" s="35">
        <f t="shared" si="102"/>
        <v>84.52</v>
      </c>
      <c r="AM689" s="35">
        <f t="shared" si="110"/>
        <v>-0.40227165168007972</v>
      </c>
      <c r="AN689" s="35">
        <f t="shared" si="109"/>
        <v>-7.7969999082375674</v>
      </c>
      <c r="AO689" s="35" t="str">
        <f t="shared" si="103"/>
        <v>no</v>
      </c>
      <c r="AP689" s="35" t="str">
        <f t="shared" si="104"/>
        <v>FITS BITCH</v>
      </c>
      <c r="AQ689" s="35" t="str">
        <f t="shared" si="104"/>
        <v>FITS BITCH</v>
      </c>
      <c r="AR689" s="35" t="str">
        <f t="shared" si="105"/>
        <v>FITS BITCH</v>
      </c>
      <c r="AS689" s="35" t="str">
        <f t="shared" si="106"/>
        <v>no</v>
      </c>
      <c r="AT689" s="20" t="str">
        <f t="shared" si="107"/>
        <v/>
      </c>
      <c r="AU689" s="20" t="str">
        <f t="shared" si="108"/>
        <v/>
      </c>
      <c r="AV689" s="20"/>
      <c r="AW689" s="20"/>
      <c r="AX689" s="20"/>
    </row>
    <row r="690" spans="31:50">
      <c r="AE690" s="26">
        <f>Data!A685</f>
        <v>41967</v>
      </c>
      <c r="AF690" s="35">
        <f>Data!B685</f>
        <v>84.51</v>
      </c>
      <c r="AG690" s="35">
        <f>Data!F685</f>
        <v>2295447</v>
      </c>
      <c r="AH690" s="35">
        <f>Data!C685</f>
        <v>84.92</v>
      </c>
      <c r="AI690" s="35">
        <f>Data!D685</f>
        <v>84.43</v>
      </c>
      <c r="AJ690" s="35">
        <f>Data!E685</f>
        <v>84.78</v>
      </c>
      <c r="AK690" s="35">
        <f>Data!F685</f>
        <v>2295447</v>
      </c>
      <c r="AL690" s="35">
        <f t="shared" si="102"/>
        <v>84.78</v>
      </c>
      <c r="AM690" s="35">
        <f t="shared" si="110"/>
        <v>0.30667610285445279</v>
      </c>
      <c r="AN690" s="35">
        <f t="shared" si="109"/>
        <v>19.291972326087251</v>
      </c>
      <c r="AO690" s="35" t="str">
        <f t="shared" si="103"/>
        <v>no</v>
      </c>
      <c r="AP690" s="35" t="str">
        <f t="shared" si="104"/>
        <v>no</v>
      </c>
      <c r="AQ690" s="35" t="str">
        <f t="shared" si="104"/>
        <v>FITS BITCH</v>
      </c>
      <c r="AR690" s="35" t="str">
        <f t="shared" si="105"/>
        <v>FITS BITCH</v>
      </c>
      <c r="AS690" s="35" t="str">
        <f t="shared" si="106"/>
        <v>FITS BITCH</v>
      </c>
      <c r="AT690" s="20" t="str">
        <f t="shared" si="107"/>
        <v/>
      </c>
      <c r="AU690" s="20" t="str">
        <f t="shared" si="108"/>
        <v/>
      </c>
      <c r="AV690" s="20"/>
      <c r="AW690" s="20"/>
      <c r="AX690" s="20"/>
    </row>
    <row r="691" spans="31:50">
      <c r="AE691" s="26">
        <f>Data!A686</f>
        <v>41964</v>
      </c>
      <c r="AF691" s="35">
        <f>Data!B686</f>
        <v>85.22</v>
      </c>
      <c r="AG691" s="35">
        <f>Data!F686</f>
        <v>2692005</v>
      </c>
      <c r="AH691" s="35">
        <f>Data!C686</f>
        <v>85.22</v>
      </c>
      <c r="AI691" s="35">
        <f>Data!D686</f>
        <v>83.81</v>
      </c>
      <c r="AJ691" s="35">
        <f>Data!E686</f>
        <v>84.14</v>
      </c>
      <c r="AK691" s="35">
        <f>Data!F686</f>
        <v>2692005</v>
      </c>
      <c r="AL691" s="35">
        <f t="shared" si="102"/>
        <v>84.14</v>
      </c>
      <c r="AM691" s="35">
        <f t="shared" si="110"/>
        <v>-0.76063703351556999</v>
      </c>
      <c r="AN691" s="35">
        <f t="shared" si="109"/>
        <v>14.730953322895015</v>
      </c>
      <c r="AO691" s="35" t="str">
        <f t="shared" si="103"/>
        <v>no</v>
      </c>
      <c r="AP691" s="35" t="str">
        <f t="shared" si="104"/>
        <v>FITS BITCH</v>
      </c>
      <c r="AQ691" s="35" t="str">
        <f t="shared" si="104"/>
        <v>FITS BITCH</v>
      </c>
      <c r="AR691" s="35" t="str">
        <f t="shared" si="105"/>
        <v>FITS BITCH</v>
      </c>
      <c r="AS691" s="35" t="str">
        <f t="shared" si="106"/>
        <v>FITS BITCH</v>
      </c>
      <c r="AT691" s="20" t="str">
        <f t="shared" si="107"/>
        <v/>
      </c>
      <c r="AU691" s="20" t="str">
        <f t="shared" si="108"/>
        <v/>
      </c>
      <c r="AV691" s="20"/>
      <c r="AW691" s="20"/>
      <c r="AX691" s="20"/>
    </row>
    <row r="692" spans="31:50">
      <c r="AE692" s="26">
        <f>Data!A687</f>
        <v>41963</v>
      </c>
      <c r="AF692" s="35">
        <f>Data!B687</f>
        <v>84.28</v>
      </c>
      <c r="AG692" s="35">
        <f>Data!F687</f>
        <v>2507416</v>
      </c>
      <c r="AH692" s="35">
        <f>Data!C687</f>
        <v>84.42</v>
      </c>
      <c r="AI692" s="35">
        <f>Data!D687</f>
        <v>83.6</v>
      </c>
      <c r="AJ692" s="35">
        <f>Data!E687</f>
        <v>84.12</v>
      </c>
      <c r="AK692" s="35">
        <f>Data!F687</f>
        <v>2507416</v>
      </c>
      <c r="AL692" s="35">
        <f t="shared" si="102"/>
        <v>84.12</v>
      </c>
      <c r="AM692" s="35">
        <f t="shared" si="110"/>
        <v>-2.3775558725625319E-2</v>
      </c>
      <c r="AN692" s="35">
        <f t="shared" si="109"/>
        <v>-7.3617221873035819</v>
      </c>
      <c r="AO692" s="35" t="str">
        <f t="shared" si="103"/>
        <v>no</v>
      </c>
      <c r="AP692" s="35" t="str">
        <f t="shared" si="104"/>
        <v>no</v>
      </c>
      <c r="AQ692" s="35" t="str">
        <f t="shared" si="104"/>
        <v>no</v>
      </c>
      <c r="AR692" s="35" t="str">
        <f t="shared" si="105"/>
        <v>FITS BITCH</v>
      </c>
      <c r="AS692" s="35" t="str">
        <f t="shared" si="106"/>
        <v>no</v>
      </c>
      <c r="AT692" s="20" t="str">
        <f t="shared" si="107"/>
        <v/>
      </c>
      <c r="AU692" s="20" t="str">
        <f t="shared" si="108"/>
        <v/>
      </c>
      <c r="AV692" s="20"/>
      <c r="AW692" s="20"/>
      <c r="AX692" s="20"/>
    </row>
    <row r="693" spans="31:50">
      <c r="AE693" s="26">
        <f>Data!A688</f>
        <v>41962</v>
      </c>
      <c r="AF693" s="35">
        <f>Data!B688</f>
        <v>84.79</v>
      </c>
      <c r="AG693" s="35">
        <f>Data!F688</f>
        <v>2362385</v>
      </c>
      <c r="AH693" s="35">
        <f>Data!C688</f>
        <v>84.79</v>
      </c>
      <c r="AI693" s="35">
        <f>Data!D688</f>
        <v>84.06</v>
      </c>
      <c r="AJ693" s="35">
        <f>Data!E688</f>
        <v>84.27</v>
      </c>
      <c r="AK693" s="35">
        <f>Data!F688</f>
        <v>2362385</v>
      </c>
      <c r="AL693" s="35">
        <f t="shared" si="102"/>
        <v>84.27</v>
      </c>
      <c r="AM693" s="35">
        <f t="shared" si="110"/>
        <v>0.17799928800283787</v>
      </c>
      <c r="AN693" s="35">
        <f t="shared" si="109"/>
        <v>-6.1391771451308736</v>
      </c>
      <c r="AO693" s="35" t="str">
        <f t="shared" si="103"/>
        <v>no</v>
      </c>
      <c r="AP693" s="35" t="str">
        <f t="shared" si="104"/>
        <v>no</v>
      </c>
      <c r="AQ693" s="35" t="str">
        <f t="shared" si="104"/>
        <v>no</v>
      </c>
      <c r="AR693" s="35" t="str">
        <f t="shared" si="105"/>
        <v>FITS BITCH</v>
      </c>
      <c r="AS693" s="35" t="str">
        <f t="shared" si="106"/>
        <v>no</v>
      </c>
      <c r="AT693" s="20" t="str">
        <f t="shared" si="107"/>
        <v/>
      </c>
      <c r="AU693" s="20" t="str">
        <f t="shared" si="108"/>
        <v/>
      </c>
      <c r="AV693" s="20"/>
      <c r="AW693" s="20"/>
      <c r="AX693" s="20"/>
    </row>
    <row r="694" spans="31:50">
      <c r="AE694" s="26">
        <f>Data!A689</f>
        <v>41961</v>
      </c>
      <c r="AF694" s="35">
        <f>Data!B689</f>
        <v>84.85</v>
      </c>
      <c r="AG694" s="35">
        <f>Data!F689</f>
        <v>1807257</v>
      </c>
      <c r="AH694" s="35">
        <f>Data!C689</f>
        <v>85.12</v>
      </c>
      <c r="AI694" s="35">
        <f>Data!D689</f>
        <v>84.45</v>
      </c>
      <c r="AJ694" s="35">
        <f>Data!E689</f>
        <v>84.75</v>
      </c>
      <c r="AK694" s="35">
        <f>Data!F689</f>
        <v>1807257</v>
      </c>
      <c r="AL694" s="35">
        <f t="shared" si="102"/>
        <v>84.75</v>
      </c>
      <c r="AM694" s="35">
        <f t="shared" si="110"/>
        <v>0.56637168141593386</v>
      </c>
      <c r="AN694" s="35">
        <f t="shared" si="109"/>
        <v>-30.716605330619828</v>
      </c>
      <c r="AO694" s="35" t="str">
        <f t="shared" si="103"/>
        <v>FITS BITCH</v>
      </c>
      <c r="AP694" s="35" t="str">
        <f t="shared" si="104"/>
        <v>FITS BITCH</v>
      </c>
      <c r="AQ694" s="35" t="str">
        <f t="shared" si="104"/>
        <v>no</v>
      </c>
      <c r="AR694" s="35" t="str">
        <f t="shared" si="105"/>
        <v>FITS BITCH</v>
      </c>
      <c r="AS694" s="35" t="str">
        <f t="shared" si="106"/>
        <v>no</v>
      </c>
      <c r="AT694" s="20" t="str">
        <f t="shared" si="107"/>
        <v>BULLISH</v>
      </c>
      <c r="AU694" s="20" t="str">
        <f t="shared" si="108"/>
        <v/>
      </c>
      <c r="AV694" s="20"/>
      <c r="AW694" s="20"/>
      <c r="AX694" s="20"/>
    </row>
    <row r="695" spans="31:50">
      <c r="AE695" s="26">
        <f>Data!A690</f>
        <v>41960</v>
      </c>
      <c r="AF695" s="35">
        <f>Data!B690</f>
        <v>84.7</v>
      </c>
      <c r="AG695" s="35">
        <f>Data!F690</f>
        <v>1531819</v>
      </c>
      <c r="AH695" s="35">
        <f>Data!C690</f>
        <v>85.08</v>
      </c>
      <c r="AI695" s="35">
        <f>Data!D690</f>
        <v>84.54</v>
      </c>
      <c r="AJ695" s="35">
        <f>Data!E690</f>
        <v>84.84</v>
      </c>
      <c r="AK695" s="35">
        <f>Data!F690</f>
        <v>1531819</v>
      </c>
      <c r="AL695" s="35">
        <f t="shared" si="102"/>
        <v>84.84</v>
      </c>
      <c r="AM695" s="35">
        <f t="shared" si="110"/>
        <v>0.10608203677511009</v>
      </c>
      <c r="AN695" s="35">
        <f t="shared" si="109"/>
        <v>-17.98110612285133</v>
      </c>
      <c r="AO695" s="35" t="str">
        <f t="shared" si="103"/>
        <v>FITS BITCH</v>
      </c>
      <c r="AP695" s="35" t="str">
        <f t="shared" si="104"/>
        <v>no</v>
      </c>
      <c r="AQ695" s="35" t="str">
        <f t="shared" si="104"/>
        <v>FITS BITCH</v>
      </c>
      <c r="AR695" s="35" t="str">
        <f t="shared" si="105"/>
        <v>FITS BITCH</v>
      </c>
      <c r="AS695" s="35" t="str">
        <f t="shared" si="106"/>
        <v>FITS BITCH</v>
      </c>
      <c r="AT695" s="20" t="str">
        <f t="shared" si="107"/>
        <v/>
      </c>
      <c r="AU695" s="20" t="str">
        <f t="shared" si="108"/>
        <v>BEARISH</v>
      </c>
      <c r="AV695" s="20"/>
      <c r="AW695" s="20"/>
      <c r="AX695" s="20"/>
    </row>
    <row r="696" spans="31:50">
      <c r="AE696" s="26">
        <f>Data!A691</f>
        <v>41957</v>
      </c>
      <c r="AF696" s="35">
        <f>Data!B691</f>
        <v>85.41</v>
      </c>
      <c r="AG696" s="35">
        <f>Data!F691</f>
        <v>1853091</v>
      </c>
      <c r="AH696" s="35">
        <f>Data!C691</f>
        <v>85.53</v>
      </c>
      <c r="AI696" s="35">
        <f>Data!D691</f>
        <v>84.46</v>
      </c>
      <c r="AJ696" s="35">
        <f>Data!E691</f>
        <v>84.75</v>
      </c>
      <c r="AK696" s="35">
        <f>Data!F691</f>
        <v>1853091</v>
      </c>
      <c r="AL696" s="35">
        <f t="shared" si="102"/>
        <v>84.75</v>
      </c>
      <c r="AM696" s="35">
        <f t="shared" si="110"/>
        <v>-0.10619469026549075</v>
      </c>
      <c r="AN696" s="35">
        <f t="shared" si="109"/>
        <v>17.337087061563626</v>
      </c>
      <c r="AO696" s="35" t="str">
        <f t="shared" si="103"/>
        <v>no</v>
      </c>
      <c r="AP696" s="35" t="str">
        <f t="shared" si="104"/>
        <v>no</v>
      </c>
      <c r="AQ696" s="35" t="str">
        <f t="shared" si="104"/>
        <v>no</v>
      </c>
      <c r="AR696" s="35" t="str">
        <f t="shared" si="105"/>
        <v>FITS BITCH</v>
      </c>
      <c r="AS696" s="35" t="str">
        <f t="shared" si="106"/>
        <v>no</v>
      </c>
      <c r="AT696" s="20" t="str">
        <f t="shared" si="107"/>
        <v/>
      </c>
      <c r="AU696" s="20" t="str">
        <f t="shared" si="108"/>
        <v/>
      </c>
      <c r="AV696" s="20"/>
      <c r="AW696" s="20"/>
      <c r="AX696" s="20"/>
    </row>
    <row r="697" spans="31:50">
      <c r="AE697" s="26">
        <f>Data!A692</f>
        <v>41956</v>
      </c>
      <c r="AF697" s="35">
        <f>Data!B692</f>
        <v>85.43</v>
      </c>
      <c r="AG697" s="35">
        <f>Data!F692</f>
        <v>1451594</v>
      </c>
      <c r="AH697" s="35">
        <f>Data!C692</f>
        <v>85.89</v>
      </c>
      <c r="AI697" s="35">
        <f>Data!D692</f>
        <v>84.98</v>
      </c>
      <c r="AJ697" s="35">
        <f>Data!E692</f>
        <v>85.41</v>
      </c>
      <c r="AK697" s="35">
        <f>Data!F692</f>
        <v>1451594</v>
      </c>
      <c r="AL697" s="35">
        <f t="shared" si="102"/>
        <v>85.41</v>
      </c>
      <c r="AM697" s="35">
        <f t="shared" si="110"/>
        <v>0.77274323849665916</v>
      </c>
      <c r="AN697" s="35">
        <f t="shared" si="109"/>
        <v>-27.659042404418866</v>
      </c>
      <c r="AO697" s="35" t="str">
        <f t="shared" si="103"/>
        <v>FITS BITCH</v>
      </c>
      <c r="AP697" s="35" t="str">
        <f t="shared" si="104"/>
        <v>FITS BITCH</v>
      </c>
      <c r="AQ697" s="35" t="str">
        <f t="shared" si="104"/>
        <v>FITS BITCH</v>
      </c>
      <c r="AR697" s="35" t="str">
        <f t="shared" si="105"/>
        <v>FITS BITCH</v>
      </c>
      <c r="AS697" s="35" t="str">
        <f t="shared" si="106"/>
        <v>FITS BITCH</v>
      </c>
      <c r="AT697" s="20" t="str">
        <f t="shared" si="107"/>
        <v>BULLISH</v>
      </c>
      <c r="AU697" s="20" t="str">
        <f t="shared" si="108"/>
        <v>BEARISH</v>
      </c>
      <c r="AV697" s="20"/>
      <c r="AW697" s="20"/>
      <c r="AX697" s="20"/>
    </row>
    <row r="698" spans="31:50">
      <c r="AE698" s="26">
        <f>Data!A693</f>
        <v>41955</v>
      </c>
      <c r="AF698" s="35">
        <f>Data!B693</f>
        <v>84.77</v>
      </c>
      <c r="AG698" s="35">
        <f>Data!F693</f>
        <v>1514639</v>
      </c>
      <c r="AH698" s="35">
        <f>Data!C693</f>
        <v>85.54</v>
      </c>
      <c r="AI698" s="35">
        <f>Data!D693</f>
        <v>84.63</v>
      </c>
      <c r="AJ698" s="35">
        <f>Data!E693</f>
        <v>85.2</v>
      </c>
      <c r="AK698" s="35">
        <f>Data!F693</f>
        <v>1514639</v>
      </c>
      <c r="AL698" s="35">
        <f t="shared" si="102"/>
        <v>85.2</v>
      </c>
      <c r="AM698" s="35">
        <f t="shared" si="110"/>
        <v>-0.24647887323942927</v>
      </c>
      <c r="AN698" s="35">
        <f t="shared" si="109"/>
        <v>4.1623779659707694</v>
      </c>
      <c r="AO698" s="35" t="str">
        <f t="shared" si="103"/>
        <v>no</v>
      </c>
      <c r="AP698" s="35" t="str">
        <f t="shared" si="104"/>
        <v>FITS BITCH</v>
      </c>
      <c r="AQ698" s="35" t="str">
        <f t="shared" si="104"/>
        <v>no</v>
      </c>
      <c r="AR698" s="35" t="str">
        <f t="shared" si="105"/>
        <v>FITS BITCH</v>
      </c>
      <c r="AS698" s="35" t="str">
        <f t="shared" si="106"/>
        <v>FITS BITCH</v>
      </c>
      <c r="AT698" s="20" t="str">
        <f t="shared" si="107"/>
        <v/>
      </c>
      <c r="AU698" s="20" t="str">
        <f t="shared" si="108"/>
        <v/>
      </c>
      <c r="AV698" s="20"/>
      <c r="AW698" s="20"/>
      <c r="AX698" s="20"/>
    </row>
    <row r="699" spans="31:50">
      <c r="AE699" s="26">
        <f>Data!A694</f>
        <v>41954</v>
      </c>
      <c r="AF699" s="35">
        <f>Data!B694</f>
        <v>85.09</v>
      </c>
      <c r="AG699" s="35">
        <f>Data!F694</f>
        <v>1267082</v>
      </c>
      <c r="AH699" s="35">
        <f>Data!C694</f>
        <v>85.32</v>
      </c>
      <c r="AI699" s="35">
        <f>Data!D694</f>
        <v>84.64</v>
      </c>
      <c r="AJ699" s="35">
        <f>Data!E694</f>
        <v>84.95</v>
      </c>
      <c r="AK699" s="35">
        <f>Data!F694</f>
        <v>1267082</v>
      </c>
      <c r="AL699" s="35">
        <f t="shared" si="102"/>
        <v>84.95</v>
      </c>
      <c r="AM699" s="35">
        <f t="shared" si="110"/>
        <v>-0.29429075927015891</v>
      </c>
      <c r="AN699" s="35">
        <f t="shared" si="109"/>
        <v>-19.537567418683242</v>
      </c>
      <c r="AO699" s="35" t="str">
        <f t="shared" si="103"/>
        <v>FITS BITCH</v>
      </c>
      <c r="AP699" s="35" t="str">
        <f t="shared" si="104"/>
        <v>FITS BITCH</v>
      </c>
      <c r="AQ699" s="35" t="str">
        <f t="shared" si="104"/>
        <v>FITS BITCH</v>
      </c>
      <c r="AR699" s="35" t="str">
        <f t="shared" si="105"/>
        <v>FITS BITCH</v>
      </c>
      <c r="AS699" s="35" t="str">
        <f t="shared" si="106"/>
        <v>no</v>
      </c>
      <c r="AT699" s="20" t="str">
        <f t="shared" si="107"/>
        <v>BULLISH</v>
      </c>
      <c r="AU699" s="20" t="str">
        <f t="shared" si="108"/>
        <v/>
      </c>
      <c r="AV699" s="20"/>
      <c r="AW699" s="20"/>
      <c r="AX699" s="20"/>
    </row>
    <row r="700" spans="31:50">
      <c r="AE700" s="26">
        <f>Data!A695</f>
        <v>41953</v>
      </c>
      <c r="AF700" s="35">
        <f>Data!B695</f>
        <v>84.31</v>
      </c>
      <c r="AG700" s="35">
        <f>Data!F695</f>
        <v>1611442</v>
      </c>
      <c r="AH700" s="35">
        <f>Data!C695</f>
        <v>85.28</v>
      </c>
      <c r="AI700" s="35">
        <f>Data!D695</f>
        <v>84.06</v>
      </c>
      <c r="AJ700" s="35">
        <f>Data!E695</f>
        <v>85.12</v>
      </c>
      <c r="AK700" s="35">
        <f>Data!F695</f>
        <v>1611442</v>
      </c>
      <c r="AL700" s="35">
        <f t="shared" si="102"/>
        <v>85.12</v>
      </c>
      <c r="AM700" s="35">
        <f t="shared" si="110"/>
        <v>0.19971804511278393</v>
      </c>
      <c r="AN700" s="35">
        <f t="shared" si="109"/>
        <v>21.369680075361075</v>
      </c>
      <c r="AO700" s="35" t="str">
        <f t="shared" si="103"/>
        <v>no</v>
      </c>
      <c r="AP700" s="35" t="str">
        <f t="shared" si="104"/>
        <v>FITS BITCH</v>
      </c>
      <c r="AQ700" s="35" t="str">
        <f t="shared" si="104"/>
        <v>FITS BITCH</v>
      </c>
      <c r="AR700" s="35" t="str">
        <f t="shared" si="105"/>
        <v>no</v>
      </c>
      <c r="AS700" s="35" t="str">
        <f t="shared" si="106"/>
        <v>FITS BITCH</v>
      </c>
      <c r="AT700" s="20" t="str">
        <f t="shared" si="107"/>
        <v/>
      </c>
      <c r="AU700" s="20" t="str">
        <f t="shared" si="108"/>
        <v/>
      </c>
      <c r="AV700" s="20"/>
      <c r="AW700" s="20"/>
      <c r="AX700" s="20"/>
    </row>
    <row r="701" spans="31:50">
      <c r="AE701" s="26">
        <f>Data!A696</f>
        <v>41950</v>
      </c>
      <c r="AF701" s="35">
        <f>Data!B696</f>
        <v>84.87</v>
      </c>
      <c r="AG701" s="35">
        <f>Data!F696</f>
        <v>2441261</v>
      </c>
      <c r="AH701" s="35">
        <f>Data!C696</f>
        <v>84.98</v>
      </c>
      <c r="AI701" s="35">
        <f>Data!D696</f>
        <v>83.68</v>
      </c>
      <c r="AJ701" s="35">
        <f>Data!E696</f>
        <v>84.38</v>
      </c>
      <c r="AK701" s="35">
        <f>Data!F696</f>
        <v>2441261</v>
      </c>
      <c r="AL701" s="35">
        <f t="shared" si="102"/>
        <v>84.38</v>
      </c>
      <c r="AM701" s="35">
        <f t="shared" si="110"/>
        <v>-0.87698506755156336</v>
      </c>
      <c r="AN701" s="35">
        <f t="shared" si="109"/>
        <v>33.991408538456156</v>
      </c>
      <c r="AO701" s="35" t="str">
        <f t="shared" si="103"/>
        <v>no</v>
      </c>
      <c r="AP701" s="35" t="str">
        <f t="shared" si="104"/>
        <v>no</v>
      </c>
      <c r="AQ701" s="35" t="str">
        <f t="shared" si="104"/>
        <v>no</v>
      </c>
      <c r="AR701" s="35" t="str">
        <f t="shared" si="105"/>
        <v>FITS BITCH</v>
      </c>
      <c r="AS701" s="35" t="str">
        <f t="shared" si="106"/>
        <v>no</v>
      </c>
      <c r="AT701" s="20" t="str">
        <f t="shared" si="107"/>
        <v/>
      </c>
      <c r="AU701" s="20" t="str">
        <f t="shared" si="108"/>
        <v/>
      </c>
      <c r="AV701" s="20"/>
      <c r="AW701" s="20"/>
      <c r="AX701" s="20"/>
    </row>
    <row r="702" spans="31:50">
      <c r="AE702" s="26">
        <f>Data!A697</f>
        <v>41949</v>
      </c>
      <c r="AF702" s="35">
        <f>Data!B697</f>
        <v>84.66</v>
      </c>
      <c r="AG702" s="35">
        <f>Data!F697</f>
        <v>2126487</v>
      </c>
      <c r="AH702" s="35">
        <f>Data!C697</f>
        <v>85.1</v>
      </c>
      <c r="AI702" s="35">
        <f>Data!D697</f>
        <v>84.15</v>
      </c>
      <c r="AJ702" s="35">
        <f>Data!E697</f>
        <v>84.74</v>
      </c>
      <c r="AK702" s="35">
        <f>Data!F697</f>
        <v>2126487</v>
      </c>
      <c r="AL702" s="35">
        <f t="shared" si="102"/>
        <v>84.74</v>
      </c>
      <c r="AM702" s="35">
        <f t="shared" si="110"/>
        <v>0.42482888836440819</v>
      </c>
      <c r="AN702" s="35">
        <f t="shared" si="109"/>
        <v>-14.802535825518801</v>
      </c>
      <c r="AO702" s="35" t="str">
        <f t="shared" si="103"/>
        <v>FITS BITCH</v>
      </c>
      <c r="AP702" s="35" t="str">
        <f t="shared" si="104"/>
        <v>FITS BITCH</v>
      </c>
      <c r="AQ702" s="35" t="str">
        <f t="shared" si="104"/>
        <v>FITS BITCH</v>
      </c>
      <c r="AR702" s="35" t="str">
        <f t="shared" si="105"/>
        <v>no</v>
      </c>
      <c r="AS702" s="35" t="str">
        <f t="shared" si="106"/>
        <v>FITS BITCH</v>
      </c>
      <c r="AT702" s="20" t="str">
        <f t="shared" si="107"/>
        <v/>
      </c>
      <c r="AU702" s="20" t="str">
        <f t="shared" si="108"/>
        <v>BEARISH</v>
      </c>
      <c r="AV702" s="20"/>
      <c r="AW702" s="20"/>
      <c r="AX702" s="20"/>
    </row>
    <row r="703" spans="31:50">
      <c r="AE703" s="26">
        <f>Data!A698</f>
        <v>41948</v>
      </c>
      <c r="AF703" s="35">
        <f>Data!B698</f>
        <v>83.78</v>
      </c>
      <c r="AG703" s="35">
        <f>Data!F698</f>
        <v>2325867</v>
      </c>
      <c r="AH703" s="35">
        <f>Data!C698</f>
        <v>84.38</v>
      </c>
      <c r="AI703" s="35">
        <f>Data!D698</f>
        <v>83.33</v>
      </c>
      <c r="AJ703" s="35">
        <f>Data!E698</f>
        <v>84.3</v>
      </c>
      <c r="AK703" s="35">
        <f>Data!F698</f>
        <v>2325867</v>
      </c>
      <c r="AL703" s="35">
        <f t="shared" si="102"/>
        <v>84.3</v>
      </c>
      <c r="AM703" s="35">
        <f t="shared" si="110"/>
        <v>-0.52194543297745877</v>
      </c>
      <c r="AN703" s="35">
        <f t="shared" si="109"/>
        <v>8.5722872374043746</v>
      </c>
      <c r="AO703" s="35" t="str">
        <f t="shared" si="103"/>
        <v>no</v>
      </c>
      <c r="AP703" s="35" t="str">
        <f t="shared" si="104"/>
        <v>FITS BITCH</v>
      </c>
      <c r="AQ703" s="35" t="str">
        <f t="shared" si="104"/>
        <v>FITS BITCH</v>
      </c>
      <c r="AR703" s="35" t="str">
        <f t="shared" si="105"/>
        <v>no</v>
      </c>
      <c r="AS703" s="35" t="str">
        <f t="shared" si="106"/>
        <v>FITS BITCH</v>
      </c>
      <c r="AT703" s="20" t="str">
        <f t="shared" si="107"/>
        <v/>
      </c>
      <c r="AU703" s="20" t="str">
        <f t="shared" si="108"/>
        <v/>
      </c>
      <c r="AV703" s="20"/>
      <c r="AW703" s="20"/>
      <c r="AX703" s="20"/>
    </row>
    <row r="704" spans="31:50">
      <c r="AE704" s="26">
        <f>Data!A699</f>
        <v>41947</v>
      </c>
      <c r="AF704" s="35">
        <f>Data!B699</f>
        <v>82.35</v>
      </c>
      <c r="AG704" s="35">
        <f>Data!F699</f>
        <v>2508301</v>
      </c>
      <c r="AH704" s="35">
        <f>Data!C699</f>
        <v>83.36</v>
      </c>
      <c r="AI704" s="35">
        <f>Data!D699</f>
        <v>82</v>
      </c>
      <c r="AJ704" s="35">
        <f>Data!E699</f>
        <v>83.15</v>
      </c>
      <c r="AK704" s="35">
        <f>Data!F699</f>
        <v>2508301</v>
      </c>
      <c r="AL704" s="35">
        <f t="shared" si="102"/>
        <v>83.15</v>
      </c>
      <c r="AM704" s="35">
        <f t="shared" si="110"/>
        <v>-1.3830426939266283</v>
      </c>
      <c r="AN704" s="35">
        <f t="shared" si="109"/>
        <v>7.273210033405082</v>
      </c>
      <c r="AO704" s="35" t="str">
        <f t="shared" si="103"/>
        <v>no</v>
      </c>
      <c r="AP704" s="35" t="str">
        <f t="shared" si="104"/>
        <v>FITS BITCH</v>
      </c>
      <c r="AQ704" s="35" t="str">
        <f t="shared" si="104"/>
        <v>FITS BITCH</v>
      </c>
      <c r="AR704" s="35" t="str">
        <f t="shared" si="105"/>
        <v>no</v>
      </c>
      <c r="AS704" s="35" t="str">
        <f t="shared" si="106"/>
        <v>FITS BITCH</v>
      </c>
      <c r="AT704" s="20" t="str">
        <f t="shared" si="107"/>
        <v/>
      </c>
      <c r="AU704" s="20" t="str">
        <f t="shared" si="108"/>
        <v/>
      </c>
      <c r="AV704" s="20"/>
      <c r="AW704" s="20"/>
      <c r="AX704" s="20"/>
    </row>
    <row r="705" spans="31:50">
      <c r="AE705" s="26">
        <f>Data!A700</f>
        <v>41946</v>
      </c>
      <c r="AF705" s="35">
        <f>Data!B700</f>
        <v>81.5</v>
      </c>
      <c r="AG705" s="35">
        <f>Data!F700</f>
        <v>2707632</v>
      </c>
      <c r="AH705" s="35">
        <f>Data!C700</f>
        <v>82.47</v>
      </c>
      <c r="AI705" s="35">
        <f>Data!D700</f>
        <v>81.48</v>
      </c>
      <c r="AJ705" s="35">
        <f>Data!E700</f>
        <v>81.739999999999995</v>
      </c>
      <c r="AK705" s="35">
        <f>Data!F700</f>
        <v>2707632</v>
      </c>
      <c r="AL705" s="35">
        <f t="shared" si="102"/>
        <v>81.739999999999995</v>
      </c>
      <c r="AM705" s="35">
        <f t="shared" si="110"/>
        <v>-1.7249816491314056</v>
      </c>
      <c r="AN705" s="35">
        <f t="shared" si="109"/>
        <v>7.3618202178139427</v>
      </c>
      <c r="AO705" s="35" t="str">
        <f t="shared" si="103"/>
        <v>no</v>
      </c>
      <c r="AP705" s="35" t="str">
        <f t="shared" si="104"/>
        <v>FITS BITCH</v>
      </c>
      <c r="AQ705" s="35" t="str">
        <f t="shared" si="104"/>
        <v>FITS BITCH</v>
      </c>
      <c r="AR705" s="35" t="str">
        <f t="shared" si="105"/>
        <v>FITS BITCH</v>
      </c>
      <c r="AS705" s="35" t="str">
        <f t="shared" si="106"/>
        <v>no</v>
      </c>
      <c r="AT705" s="20" t="str">
        <f t="shared" si="107"/>
        <v/>
      </c>
      <c r="AU705" s="20" t="str">
        <f t="shared" si="108"/>
        <v/>
      </c>
      <c r="AV705" s="20"/>
      <c r="AW705" s="20"/>
      <c r="AX705" s="20"/>
    </row>
    <row r="706" spans="31:50">
      <c r="AE706" s="26">
        <f>Data!A701</f>
        <v>41943</v>
      </c>
      <c r="AF706" s="35">
        <f>Data!B701</f>
        <v>80.61</v>
      </c>
      <c r="AG706" s="35">
        <f>Data!F701</f>
        <v>3712308</v>
      </c>
      <c r="AH706" s="35">
        <f>Data!C701</f>
        <v>81.99</v>
      </c>
      <c r="AI706" s="35">
        <f>Data!D701</f>
        <v>79.86</v>
      </c>
      <c r="AJ706" s="35">
        <f>Data!E701</f>
        <v>81.78</v>
      </c>
      <c r="AK706" s="35">
        <f>Data!F701</f>
        <v>3712308</v>
      </c>
      <c r="AL706" s="35">
        <f t="shared" si="102"/>
        <v>81.78</v>
      </c>
      <c r="AM706" s="35">
        <f t="shared" si="110"/>
        <v>4.8911714355595812E-2</v>
      </c>
      <c r="AN706" s="35">
        <f t="shared" si="109"/>
        <v>27.063379439421514</v>
      </c>
      <c r="AO706" s="35" t="str">
        <f t="shared" si="103"/>
        <v>no</v>
      </c>
      <c r="AP706" s="35" t="str">
        <f t="shared" si="104"/>
        <v>FITS BITCH</v>
      </c>
      <c r="AQ706" s="35" t="str">
        <f t="shared" si="104"/>
        <v>FITS BITCH</v>
      </c>
      <c r="AR706" s="35" t="str">
        <f t="shared" si="105"/>
        <v>no</v>
      </c>
      <c r="AS706" s="35" t="str">
        <f t="shared" si="106"/>
        <v>FITS BITCH</v>
      </c>
      <c r="AT706" s="20" t="str">
        <f t="shared" si="107"/>
        <v/>
      </c>
      <c r="AU706" s="20" t="str">
        <f t="shared" si="108"/>
        <v/>
      </c>
      <c r="AV706" s="20"/>
      <c r="AW706" s="20"/>
      <c r="AX706" s="20"/>
    </row>
    <row r="707" spans="31:50">
      <c r="AE707" s="26">
        <f>Data!A702</f>
        <v>41942</v>
      </c>
      <c r="AF707" s="35">
        <f>Data!B702</f>
        <v>77.89</v>
      </c>
      <c r="AG707" s="35">
        <f>Data!F702</f>
        <v>2113807</v>
      </c>
      <c r="AH707" s="35">
        <f>Data!C702</f>
        <v>79.39</v>
      </c>
      <c r="AI707" s="35">
        <f>Data!D702</f>
        <v>77.3</v>
      </c>
      <c r="AJ707" s="35">
        <f>Data!E702</f>
        <v>78.95</v>
      </c>
      <c r="AK707" s="35">
        <f>Data!F702</f>
        <v>2113807</v>
      </c>
      <c r="AL707" s="35">
        <f t="shared" si="102"/>
        <v>78.95</v>
      </c>
      <c r="AM707" s="35">
        <f t="shared" si="110"/>
        <v>-3.5845471817606054</v>
      </c>
      <c r="AN707" s="35">
        <f t="shared" si="109"/>
        <v>-75.621899255703099</v>
      </c>
      <c r="AO707" s="35" t="str">
        <f t="shared" si="103"/>
        <v>FITS BITCH</v>
      </c>
      <c r="AP707" s="35" t="str">
        <f t="shared" si="104"/>
        <v>FITS BITCH</v>
      </c>
      <c r="AQ707" s="35" t="str">
        <f t="shared" si="104"/>
        <v>FITS BITCH</v>
      </c>
      <c r="AR707" s="35" t="str">
        <f t="shared" si="105"/>
        <v>no</v>
      </c>
      <c r="AS707" s="35" t="str">
        <f t="shared" si="106"/>
        <v>FITS BITCH</v>
      </c>
      <c r="AT707" s="20" t="str">
        <f t="shared" si="107"/>
        <v/>
      </c>
      <c r="AU707" s="20" t="str">
        <f t="shared" si="108"/>
        <v>BEARISH</v>
      </c>
      <c r="AV707" s="20"/>
      <c r="AW707" s="20"/>
      <c r="AX707" s="20"/>
    </row>
    <row r="708" spans="31:50">
      <c r="AE708" s="26">
        <f>Data!A703</f>
        <v>41941</v>
      </c>
      <c r="AF708" s="35">
        <f>Data!B703</f>
        <v>77.09</v>
      </c>
      <c r="AG708" s="35">
        <f>Data!F703</f>
        <v>1357079</v>
      </c>
      <c r="AH708" s="35">
        <f>Data!C703</f>
        <v>78.099999999999994</v>
      </c>
      <c r="AI708" s="35">
        <f>Data!D703</f>
        <v>76.930000000000007</v>
      </c>
      <c r="AJ708" s="35">
        <f>Data!E703</f>
        <v>77.92</v>
      </c>
      <c r="AK708" s="35">
        <f>Data!F703</f>
        <v>1357079</v>
      </c>
      <c r="AL708" s="35">
        <f t="shared" si="102"/>
        <v>77.92</v>
      </c>
      <c r="AM708" s="35">
        <f t="shared" si="110"/>
        <v>-1.321868583162219</v>
      </c>
      <c r="AN708" s="35">
        <f t="shared" si="109"/>
        <v>-55.761528989837728</v>
      </c>
      <c r="AO708" s="35" t="str">
        <f t="shared" si="103"/>
        <v>FITS BITCH</v>
      </c>
      <c r="AP708" s="35" t="str">
        <f t="shared" si="104"/>
        <v>FITS BITCH</v>
      </c>
      <c r="AQ708" s="35" t="str">
        <f t="shared" si="104"/>
        <v>FITS BITCH</v>
      </c>
      <c r="AR708" s="35" t="str">
        <f t="shared" si="105"/>
        <v>no</v>
      </c>
      <c r="AS708" s="35" t="str">
        <f t="shared" si="106"/>
        <v>FITS BITCH</v>
      </c>
      <c r="AT708" s="20" t="str">
        <f t="shared" si="107"/>
        <v/>
      </c>
      <c r="AU708" s="20" t="str">
        <f t="shared" si="108"/>
        <v>BEARISH</v>
      </c>
      <c r="AV708" s="20"/>
      <c r="AW708" s="20"/>
      <c r="AX708" s="20"/>
    </row>
    <row r="709" spans="31:50">
      <c r="AE709" s="26">
        <f>Data!A704</f>
        <v>41940</v>
      </c>
      <c r="AF709" s="35">
        <f>Data!B704</f>
        <v>76.94</v>
      </c>
      <c r="AG709" s="35">
        <f>Data!F704</f>
        <v>2314789</v>
      </c>
      <c r="AH709" s="35">
        <f>Data!C704</f>
        <v>77.319999999999993</v>
      </c>
      <c r="AI709" s="35">
        <f>Data!D704</f>
        <v>76.22</v>
      </c>
      <c r="AJ709" s="35">
        <f>Data!E704</f>
        <v>77.260000000000005</v>
      </c>
      <c r="AK709" s="35">
        <f>Data!F704</f>
        <v>2314789</v>
      </c>
      <c r="AL709" s="35">
        <f t="shared" si="102"/>
        <v>77.260000000000005</v>
      </c>
      <c r="AM709" s="35">
        <f t="shared" si="110"/>
        <v>-0.85425834843385529</v>
      </c>
      <c r="AN709" s="35">
        <f t="shared" si="109"/>
        <v>41.373533397644451</v>
      </c>
      <c r="AO709" s="35" t="str">
        <f t="shared" si="103"/>
        <v>no</v>
      </c>
      <c r="AP709" s="35" t="str">
        <f t="shared" si="104"/>
        <v>FITS BITCH</v>
      </c>
      <c r="AQ709" s="35" t="str">
        <f t="shared" si="104"/>
        <v>FITS BITCH</v>
      </c>
      <c r="AR709" s="35" t="str">
        <f t="shared" si="105"/>
        <v>no</v>
      </c>
      <c r="AS709" s="35" t="str">
        <f t="shared" si="106"/>
        <v>FITS BITCH</v>
      </c>
      <c r="AT709" s="20" t="str">
        <f t="shared" si="107"/>
        <v/>
      </c>
      <c r="AU709" s="20" t="str">
        <f t="shared" si="108"/>
        <v/>
      </c>
      <c r="AV709" s="20"/>
      <c r="AW709" s="20"/>
      <c r="AX709" s="20"/>
    </row>
    <row r="710" spans="31:50">
      <c r="AE710" s="26">
        <f>Data!A705</f>
        <v>41939</v>
      </c>
      <c r="AF710" s="35">
        <f>Data!B705</f>
        <v>76.25</v>
      </c>
      <c r="AG710" s="35">
        <f>Data!F705</f>
        <v>1103391</v>
      </c>
      <c r="AH710" s="35">
        <f>Data!C705</f>
        <v>76.599999999999994</v>
      </c>
      <c r="AI710" s="35">
        <f>Data!D705</f>
        <v>75.95</v>
      </c>
      <c r="AJ710" s="35">
        <f>Data!E705</f>
        <v>76.47</v>
      </c>
      <c r="AK710" s="35">
        <f>Data!F705</f>
        <v>1103391</v>
      </c>
      <c r="AL710" s="35">
        <f t="shared" ref="AL710:AL773" si="111">AJ710</f>
        <v>76.47</v>
      </c>
      <c r="AM710" s="35">
        <f t="shared" si="110"/>
        <v>-1.0330848698836226</v>
      </c>
      <c r="AN710" s="35">
        <f t="shared" si="109"/>
        <v>-109.78864246672305</v>
      </c>
      <c r="AO710" s="35" t="str">
        <f t="shared" si="103"/>
        <v>FITS BITCH</v>
      </c>
      <c r="AP710" s="35" t="str">
        <f t="shared" si="104"/>
        <v>FITS BITCH</v>
      </c>
      <c r="AQ710" s="35" t="str">
        <f t="shared" si="104"/>
        <v>FITS BITCH</v>
      </c>
      <c r="AR710" s="35" t="str">
        <f t="shared" si="105"/>
        <v>no</v>
      </c>
      <c r="AS710" s="35" t="str">
        <f t="shared" si="106"/>
        <v>FITS BITCH</v>
      </c>
      <c r="AT710" s="20" t="str">
        <f t="shared" si="107"/>
        <v/>
      </c>
      <c r="AU710" s="20" t="str">
        <f t="shared" si="108"/>
        <v>BEARISH</v>
      </c>
      <c r="AV710" s="20"/>
      <c r="AW710" s="20"/>
      <c r="AX710" s="20"/>
    </row>
    <row r="711" spans="31:50">
      <c r="AE711" s="26">
        <f>Data!A706</f>
        <v>41936</v>
      </c>
      <c r="AF711" s="35">
        <f>Data!B706</f>
        <v>75.78</v>
      </c>
      <c r="AG711" s="35">
        <f>Data!F706</f>
        <v>1131834</v>
      </c>
      <c r="AH711" s="35">
        <f>Data!C706</f>
        <v>76.25</v>
      </c>
      <c r="AI711" s="35">
        <f>Data!D706</f>
        <v>75.47</v>
      </c>
      <c r="AJ711" s="35">
        <f>Data!E706</f>
        <v>76.2</v>
      </c>
      <c r="AK711" s="35">
        <f>Data!F706</f>
        <v>1131834</v>
      </c>
      <c r="AL711" s="35">
        <f t="shared" si="111"/>
        <v>76.2</v>
      </c>
      <c r="AM711" s="35">
        <f t="shared" si="110"/>
        <v>-0.35433070866141209</v>
      </c>
      <c r="AN711" s="35">
        <f t="shared" si="109"/>
        <v>2.5130010231182309</v>
      </c>
      <c r="AO711" s="35" t="str">
        <f t="shared" si="103"/>
        <v>no</v>
      </c>
      <c r="AP711" s="35" t="str">
        <f t="shared" si="104"/>
        <v>FITS BITCH</v>
      </c>
      <c r="AQ711" s="35" t="str">
        <f t="shared" si="104"/>
        <v>FITS BITCH</v>
      </c>
      <c r="AR711" s="35" t="b">
        <f t="shared" si="105"/>
        <v>0</v>
      </c>
      <c r="AS711" s="35" t="str">
        <f t="shared" si="106"/>
        <v>FITS BITCH</v>
      </c>
      <c r="AT711" s="20" t="str">
        <f t="shared" si="107"/>
        <v/>
      </c>
      <c r="AU711" s="20" t="str">
        <f t="shared" si="108"/>
        <v/>
      </c>
      <c r="AV711" s="20"/>
      <c r="AW711" s="20"/>
      <c r="AX711" s="20"/>
    </row>
    <row r="712" spans="31:50">
      <c r="AE712" s="26">
        <f>Data!A707</f>
        <v>41935</v>
      </c>
      <c r="AF712" s="35">
        <f>Data!B707</f>
        <v>75.75</v>
      </c>
      <c r="AG712" s="35">
        <f>Data!F707</f>
        <v>1462300</v>
      </c>
      <c r="AH712" s="35">
        <f>Data!C707</f>
        <v>76.2</v>
      </c>
      <c r="AI712" s="35">
        <f>Data!D707</f>
        <v>75.22</v>
      </c>
      <c r="AJ712" s="35">
        <f>Data!E707</f>
        <v>75.44</v>
      </c>
      <c r="AK712" s="35">
        <f>Data!F707</f>
        <v>1462300</v>
      </c>
      <c r="AL712" s="35">
        <f t="shared" si="111"/>
        <v>75.44</v>
      </c>
      <c r="AM712" s="35">
        <f t="shared" si="110"/>
        <v>-1.0074231177094448</v>
      </c>
      <c r="AN712" s="35">
        <f t="shared" si="109"/>
        <v>22.599056281200845</v>
      </c>
      <c r="AO712" s="35" t="str">
        <f t="shared" si="103"/>
        <v>no</v>
      </c>
      <c r="AP712" s="35" t="str">
        <f t="shared" si="104"/>
        <v>FITS BITCH</v>
      </c>
      <c r="AQ712" s="35" t="str">
        <f t="shared" si="104"/>
        <v>FITS BITCH</v>
      </c>
      <c r="AR712" s="35" t="str">
        <f t="shared" si="105"/>
        <v>no</v>
      </c>
      <c r="AS712" s="35" t="str">
        <f t="shared" si="106"/>
        <v>FITS BITCH</v>
      </c>
      <c r="AT712" s="20" t="str">
        <f t="shared" si="107"/>
        <v/>
      </c>
      <c r="AU712" s="20" t="str">
        <f t="shared" si="108"/>
        <v/>
      </c>
      <c r="AV712" s="20"/>
      <c r="AW712" s="20"/>
      <c r="AX712" s="20"/>
    </row>
    <row r="713" spans="31:50">
      <c r="AE713" s="26">
        <f>Data!A708</f>
        <v>41934</v>
      </c>
      <c r="AF713" s="35">
        <f>Data!B708</f>
        <v>75.010000000000005</v>
      </c>
      <c r="AG713" s="35">
        <f>Data!F708</f>
        <v>1416149</v>
      </c>
      <c r="AH713" s="35">
        <f>Data!C708</f>
        <v>75.180000000000007</v>
      </c>
      <c r="AI713" s="35">
        <f>Data!D708</f>
        <v>74.56</v>
      </c>
      <c r="AJ713" s="35">
        <f>Data!E708</f>
        <v>74.61</v>
      </c>
      <c r="AK713" s="35">
        <f>Data!F708</f>
        <v>1416149</v>
      </c>
      <c r="AL713" s="35">
        <f t="shared" si="111"/>
        <v>74.61</v>
      </c>
      <c r="AM713" s="35">
        <f t="shared" si="110"/>
        <v>-1.112451414019566</v>
      </c>
      <c r="AN713" s="35">
        <f t="shared" si="109"/>
        <v>-3.258908490561375</v>
      </c>
      <c r="AO713" s="35" t="str">
        <f t="shared" ref="AO713:AO776" si="112">IF(AN713&lt;-8,"FITS BITCH",IF(AN713&gt;-8,"no"))</f>
        <v>no</v>
      </c>
      <c r="AP713" s="35" t="str">
        <f t="shared" ref="AP713:AQ776" si="113">IF(AH714&lt;AH713,"FITS BITCH",IF(AH714&gt;AH713,"no"))</f>
        <v>FITS BITCH</v>
      </c>
      <c r="AQ713" s="35" t="str">
        <f t="shared" si="113"/>
        <v>FITS BITCH</v>
      </c>
      <c r="AR713" s="35" t="str">
        <f t="shared" ref="AR713:AR776" si="114">IF(AJ713&lt;AH714,"FITS BITCH",IF(AJ713&gt;AH714,"no"))</f>
        <v>FITS BITCH</v>
      </c>
      <c r="AS713" s="35" t="str">
        <f t="shared" ref="AS713:AS776" si="115">IF(AJ713&gt;AJ714,"FITS BITCH",IF(AJ713&lt;AJ714,"no"))</f>
        <v>no</v>
      </c>
      <c r="AT713" s="20" t="str">
        <f t="shared" ref="AT713:AT776" si="116">IF(AND($AO713="FITS BITCH",$AP713="FITS BITCH",$AR713="FITS BITCH"),"BULLISH","")</f>
        <v/>
      </c>
      <c r="AU713" s="20" t="str">
        <f t="shared" ref="AU713:AU776" si="117">IF(AND($AO713="FITS BITCH",$AQ713="FITS BITCH",$AS713="FITS BITCH"),"BEARISH","")</f>
        <v/>
      </c>
      <c r="AV713" s="20"/>
      <c r="AW713" s="20"/>
      <c r="AX713" s="20"/>
    </row>
    <row r="714" spans="31:50">
      <c r="AE714" s="26">
        <f>Data!A709</f>
        <v>41933</v>
      </c>
      <c r="AF714" s="35">
        <f>Data!B709</f>
        <v>73.63</v>
      </c>
      <c r="AG714" s="35">
        <f>Data!F709</f>
        <v>1565250</v>
      </c>
      <c r="AH714" s="35">
        <f>Data!C709</f>
        <v>74.89</v>
      </c>
      <c r="AI714" s="35">
        <f>Data!D709</f>
        <v>73.25</v>
      </c>
      <c r="AJ714" s="35">
        <f>Data!E709</f>
        <v>74.8</v>
      </c>
      <c r="AK714" s="35">
        <f>Data!F709</f>
        <v>1565250</v>
      </c>
      <c r="AL714" s="35">
        <f t="shared" si="111"/>
        <v>74.8</v>
      </c>
      <c r="AM714" s="35">
        <f t="shared" si="110"/>
        <v>0.25401069518716274</v>
      </c>
      <c r="AN714" s="35">
        <f t="shared" ref="AN714:AN777" si="118">(AK714-AK713)/AK714*100</f>
        <v>9.5256987701645102</v>
      </c>
      <c r="AO714" s="35" t="str">
        <f t="shared" si="112"/>
        <v>no</v>
      </c>
      <c r="AP714" s="35" t="str">
        <f t="shared" si="113"/>
        <v>FITS BITCH</v>
      </c>
      <c r="AQ714" s="35" t="str">
        <f t="shared" si="113"/>
        <v>FITS BITCH</v>
      </c>
      <c r="AR714" s="35" t="str">
        <f t="shared" si="114"/>
        <v>no</v>
      </c>
      <c r="AS714" s="35" t="str">
        <f t="shared" si="115"/>
        <v>FITS BITCH</v>
      </c>
      <c r="AT714" s="20" t="str">
        <f t="shared" si="116"/>
        <v/>
      </c>
      <c r="AU714" s="20" t="str">
        <f t="shared" si="117"/>
        <v/>
      </c>
      <c r="AV714" s="20"/>
      <c r="AW714" s="20"/>
      <c r="AX714" s="20"/>
    </row>
    <row r="715" spans="31:50">
      <c r="AE715" s="26">
        <f>Data!A710</f>
        <v>41932</v>
      </c>
      <c r="AF715" s="35">
        <f>Data!B710</f>
        <v>72.540000000000006</v>
      </c>
      <c r="AG715" s="35">
        <f>Data!F710</f>
        <v>2125360</v>
      </c>
      <c r="AH715" s="35">
        <f>Data!C710</f>
        <v>73.39</v>
      </c>
      <c r="AI715" s="35">
        <f>Data!D710</f>
        <v>72.349999999999994</v>
      </c>
      <c r="AJ715" s="35">
        <f>Data!E710</f>
        <v>73.349999999999994</v>
      </c>
      <c r="AK715" s="35">
        <f>Data!F710</f>
        <v>2125360</v>
      </c>
      <c r="AL715" s="35">
        <f t="shared" si="111"/>
        <v>73.349999999999994</v>
      </c>
      <c r="AM715" s="35">
        <f t="shared" si="110"/>
        <v>-1.9768234492160912</v>
      </c>
      <c r="AN715" s="35">
        <f t="shared" si="118"/>
        <v>26.35365302819287</v>
      </c>
      <c r="AO715" s="35" t="str">
        <f t="shared" si="112"/>
        <v>no</v>
      </c>
      <c r="AP715" s="35" t="str">
        <f t="shared" si="113"/>
        <v>FITS BITCH</v>
      </c>
      <c r="AQ715" s="35" t="str">
        <f t="shared" si="113"/>
        <v>FITS BITCH</v>
      </c>
      <c r="AR715" s="35" t="str">
        <f t="shared" si="114"/>
        <v>no</v>
      </c>
      <c r="AS715" s="35" t="str">
        <f t="shared" si="115"/>
        <v>FITS BITCH</v>
      </c>
      <c r="AT715" s="20" t="str">
        <f t="shared" si="116"/>
        <v/>
      </c>
      <c r="AU715" s="20" t="str">
        <f t="shared" si="117"/>
        <v/>
      </c>
      <c r="AV715" s="20"/>
      <c r="AW715" s="20"/>
      <c r="AX715" s="20"/>
    </row>
    <row r="716" spans="31:50">
      <c r="AE716" s="26">
        <f>Data!A711</f>
        <v>41929</v>
      </c>
      <c r="AF716" s="35">
        <f>Data!B711</f>
        <v>72.510000000000005</v>
      </c>
      <c r="AG716" s="35">
        <f>Data!F711</f>
        <v>1700389</v>
      </c>
      <c r="AH716" s="35">
        <f>Data!C711</f>
        <v>72.98</v>
      </c>
      <c r="AI716" s="35">
        <f>Data!D711</f>
        <v>71.510000000000005</v>
      </c>
      <c r="AJ716" s="35">
        <f>Data!E711</f>
        <v>72.680000000000007</v>
      </c>
      <c r="AK716" s="35">
        <f>Data!F711</f>
        <v>1700389</v>
      </c>
      <c r="AL716" s="35">
        <f t="shared" si="111"/>
        <v>72.680000000000007</v>
      </c>
      <c r="AM716" s="35">
        <f t="shared" si="110"/>
        <v>-0.92184920198127052</v>
      </c>
      <c r="AN716" s="35">
        <f t="shared" si="118"/>
        <v>-24.992575228374214</v>
      </c>
      <c r="AO716" s="35" t="str">
        <f t="shared" si="112"/>
        <v>FITS BITCH</v>
      </c>
      <c r="AP716" s="35" t="str">
        <f t="shared" si="113"/>
        <v>FITS BITCH</v>
      </c>
      <c r="AQ716" s="35" t="str">
        <f t="shared" si="113"/>
        <v>FITS BITCH</v>
      </c>
      <c r="AR716" s="35" t="str">
        <f t="shared" si="114"/>
        <v>no</v>
      </c>
      <c r="AS716" s="35" t="str">
        <f t="shared" si="115"/>
        <v>FITS BITCH</v>
      </c>
      <c r="AT716" s="20" t="str">
        <f t="shared" si="116"/>
        <v/>
      </c>
      <c r="AU716" s="20" t="str">
        <f t="shared" si="117"/>
        <v>BEARISH</v>
      </c>
      <c r="AV716" s="20"/>
      <c r="AW716" s="20"/>
      <c r="AX716" s="20"/>
    </row>
    <row r="717" spans="31:50">
      <c r="AE717" s="26">
        <f>Data!A712</f>
        <v>41928</v>
      </c>
      <c r="AF717" s="35">
        <f>Data!B712</f>
        <v>70.790000000000006</v>
      </c>
      <c r="AG717" s="35">
        <f>Data!F712</f>
        <v>2179303</v>
      </c>
      <c r="AH717" s="35">
        <f>Data!C712</f>
        <v>72.150000000000006</v>
      </c>
      <c r="AI717" s="35">
        <f>Data!D712</f>
        <v>70.69</v>
      </c>
      <c r="AJ717" s="35">
        <f>Data!E712</f>
        <v>71.63</v>
      </c>
      <c r="AK717" s="35">
        <f>Data!F712</f>
        <v>2179303</v>
      </c>
      <c r="AL717" s="35">
        <f t="shared" si="111"/>
        <v>71.63</v>
      </c>
      <c r="AM717" s="35">
        <f t="shared" si="110"/>
        <v>-1.4658662571548393</v>
      </c>
      <c r="AN717" s="35">
        <f t="shared" si="118"/>
        <v>21.975558240409892</v>
      </c>
      <c r="AO717" s="35" t="str">
        <f t="shared" si="112"/>
        <v>no</v>
      </c>
      <c r="AP717" s="35" t="str">
        <f t="shared" si="113"/>
        <v>no</v>
      </c>
      <c r="AQ717" s="35" t="str">
        <f t="shared" si="113"/>
        <v>FITS BITCH</v>
      </c>
      <c r="AR717" s="35" t="str">
        <f t="shared" si="114"/>
        <v>FITS BITCH</v>
      </c>
      <c r="AS717" s="35" t="str">
        <f t="shared" si="115"/>
        <v>no</v>
      </c>
      <c r="AT717" s="20" t="str">
        <f t="shared" si="116"/>
        <v/>
      </c>
      <c r="AU717" s="20" t="str">
        <f t="shared" si="117"/>
        <v/>
      </c>
      <c r="AV717" s="20"/>
      <c r="AW717" s="20"/>
      <c r="AX717" s="20"/>
    </row>
    <row r="718" spans="31:50">
      <c r="AE718" s="26">
        <f>Data!A713</f>
        <v>41927</v>
      </c>
      <c r="AF718" s="35">
        <f>Data!B713</f>
        <v>72</v>
      </c>
      <c r="AG718" s="35">
        <f>Data!F713</f>
        <v>2482932</v>
      </c>
      <c r="AH718" s="35">
        <f>Data!C713</f>
        <v>72.34</v>
      </c>
      <c r="AI718" s="35">
        <f>Data!D713</f>
        <v>70.5</v>
      </c>
      <c r="AJ718" s="35">
        <f>Data!E713</f>
        <v>71.78</v>
      </c>
      <c r="AK718" s="35">
        <f>Data!F713</f>
        <v>2482932</v>
      </c>
      <c r="AL718" s="35">
        <f t="shared" si="111"/>
        <v>71.78</v>
      </c>
      <c r="AM718" s="35">
        <f t="shared" si="110"/>
        <v>0.20897185845640248</v>
      </c>
      <c r="AN718" s="35">
        <f t="shared" si="118"/>
        <v>12.228647421677275</v>
      </c>
      <c r="AO718" s="35" t="str">
        <f t="shared" si="112"/>
        <v>no</v>
      </c>
      <c r="AP718" s="35" t="str">
        <f t="shared" si="113"/>
        <v>no</v>
      </c>
      <c r="AQ718" s="35" t="str">
        <f t="shared" si="113"/>
        <v>no</v>
      </c>
      <c r="AR718" s="35" t="str">
        <f t="shared" si="114"/>
        <v>FITS BITCH</v>
      </c>
      <c r="AS718" s="35" t="str">
        <f t="shared" si="115"/>
        <v>no</v>
      </c>
      <c r="AT718" s="20" t="str">
        <f t="shared" si="116"/>
        <v/>
      </c>
      <c r="AU718" s="20" t="str">
        <f t="shared" si="117"/>
        <v/>
      </c>
      <c r="AV718" s="20"/>
      <c r="AW718" s="20"/>
      <c r="AX718" s="20"/>
    </row>
    <row r="719" spans="31:50">
      <c r="AE719" s="26">
        <f>Data!A714</f>
        <v>41926</v>
      </c>
      <c r="AF719" s="35">
        <f>Data!B714</f>
        <v>72.56</v>
      </c>
      <c r="AG719" s="35">
        <f>Data!F714</f>
        <v>2088129</v>
      </c>
      <c r="AH719" s="35">
        <f>Data!C714</f>
        <v>72.98</v>
      </c>
      <c r="AI719" s="35">
        <f>Data!D714</f>
        <v>72.25</v>
      </c>
      <c r="AJ719" s="35">
        <f>Data!E714</f>
        <v>72.64</v>
      </c>
      <c r="AK719" s="35">
        <f>Data!F714</f>
        <v>2088129</v>
      </c>
      <c r="AL719" s="35">
        <f t="shared" si="111"/>
        <v>72.64</v>
      </c>
      <c r="AM719" s="35">
        <f t="shared" si="110"/>
        <v>1.183920704845814</v>
      </c>
      <c r="AN719" s="35">
        <f t="shared" si="118"/>
        <v>-18.907021548956028</v>
      </c>
      <c r="AO719" s="35" t="str">
        <f t="shared" si="112"/>
        <v>FITS BITCH</v>
      </c>
      <c r="AP719" s="35" t="str">
        <f t="shared" si="113"/>
        <v>no</v>
      </c>
      <c r="AQ719" s="35" t="str">
        <f t="shared" si="113"/>
        <v>FITS BITCH</v>
      </c>
      <c r="AR719" s="35" t="str">
        <f t="shared" si="114"/>
        <v>FITS BITCH</v>
      </c>
      <c r="AS719" s="35" t="str">
        <f t="shared" si="115"/>
        <v>FITS BITCH</v>
      </c>
      <c r="AT719" s="20" t="str">
        <f t="shared" si="116"/>
        <v/>
      </c>
      <c r="AU719" s="20" t="str">
        <f t="shared" si="117"/>
        <v>BEARISH</v>
      </c>
      <c r="AV719" s="20"/>
      <c r="AW719" s="20"/>
      <c r="AX719" s="20"/>
    </row>
    <row r="720" spans="31:50">
      <c r="AE720" s="26">
        <f>Data!A715</f>
        <v>41925</v>
      </c>
      <c r="AF720" s="35">
        <f>Data!B715</f>
        <v>72.819999999999993</v>
      </c>
      <c r="AG720" s="35">
        <f>Data!F715</f>
        <v>2058736</v>
      </c>
      <c r="AH720" s="35">
        <f>Data!C715</f>
        <v>73.12</v>
      </c>
      <c r="AI720" s="35">
        <f>Data!D715</f>
        <v>71.930000000000007</v>
      </c>
      <c r="AJ720" s="35">
        <f>Data!E715</f>
        <v>71.95</v>
      </c>
      <c r="AK720" s="35">
        <f>Data!F715</f>
        <v>2058736</v>
      </c>
      <c r="AL720" s="35">
        <f t="shared" si="111"/>
        <v>71.95</v>
      </c>
      <c r="AM720" s="35">
        <f t="shared" si="110"/>
        <v>-0.95899930507296405</v>
      </c>
      <c r="AN720" s="35">
        <f t="shared" si="118"/>
        <v>-1.4277206985256974</v>
      </c>
      <c r="AO720" s="35" t="str">
        <f t="shared" si="112"/>
        <v>no</v>
      </c>
      <c r="AP720" s="35" t="str">
        <f t="shared" si="113"/>
        <v>no</v>
      </c>
      <c r="AQ720" s="35" t="str">
        <f t="shared" si="113"/>
        <v>no</v>
      </c>
      <c r="AR720" s="35" t="str">
        <f t="shared" si="114"/>
        <v>FITS BITCH</v>
      </c>
      <c r="AS720" s="35" t="str">
        <f t="shared" si="115"/>
        <v>no</v>
      </c>
      <c r="AT720" s="20" t="str">
        <f t="shared" si="116"/>
        <v/>
      </c>
      <c r="AU720" s="20" t="str">
        <f t="shared" si="117"/>
        <v/>
      </c>
      <c r="AV720" s="20"/>
      <c r="AW720" s="20"/>
      <c r="AX720" s="20"/>
    </row>
    <row r="721" spans="31:50">
      <c r="AE721" s="26">
        <f>Data!A716</f>
        <v>41922</v>
      </c>
      <c r="AF721" s="35">
        <f>Data!B716</f>
        <v>73.25</v>
      </c>
      <c r="AG721" s="35">
        <f>Data!F716</f>
        <v>2395942</v>
      </c>
      <c r="AH721" s="35">
        <f>Data!C716</f>
        <v>73.819999999999993</v>
      </c>
      <c r="AI721" s="35">
        <f>Data!D716</f>
        <v>72.650000000000006</v>
      </c>
      <c r="AJ721" s="35">
        <f>Data!E716</f>
        <v>72.66</v>
      </c>
      <c r="AK721" s="35">
        <f>Data!F716</f>
        <v>2395942</v>
      </c>
      <c r="AL721" s="35">
        <f t="shared" si="111"/>
        <v>72.66</v>
      </c>
      <c r="AM721" s="35">
        <f t="shared" si="110"/>
        <v>0.97715386732726928</v>
      </c>
      <c r="AN721" s="35">
        <f t="shared" si="118"/>
        <v>14.074046867578597</v>
      </c>
      <c r="AO721" s="35" t="str">
        <f t="shared" si="112"/>
        <v>no</v>
      </c>
      <c r="AP721" s="35" t="str">
        <f t="shared" si="113"/>
        <v>no</v>
      </c>
      <c r="AQ721" s="35" t="str">
        <f t="shared" si="113"/>
        <v>no</v>
      </c>
      <c r="AR721" s="35" t="str">
        <f t="shared" si="114"/>
        <v>FITS BITCH</v>
      </c>
      <c r="AS721" s="35" t="str">
        <f t="shared" si="115"/>
        <v>no</v>
      </c>
      <c r="AT721" s="20" t="str">
        <f t="shared" si="116"/>
        <v/>
      </c>
      <c r="AU721" s="20" t="str">
        <f t="shared" si="117"/>
        <v/>
      </c>
      <c r="AV721" s="20"/>
      <c r="AW721" s="20"/>
      <c r="AX721" s="20"/>
    </row>
    <row r="722" spans="31:50">
      <c r="AE722" s="26">
        <f>Data!A717</f>
        <v>41921</v>
      </c>
      <c r="AF722" s="35">
        <f>Data!B717</f>
        <v>74.8</v>
      </c>
      <c r="AG722" s="35">
        <f>Data!F717</f>
        <v>1972846</v>
      </c>
      <c r="AH722" s="35">
        <f>Data!C717</f>
        <v>74.95</v>
      </c>
      <c r="AI722" s="35">
        <f>Data!D717</f>
        <v>73.16</v>
      </c>
      <c r="AJ722" s="35">
        <f>Data!E717</f>
        <v>73.19</v>
      </c>
      <c r="AK722" s="35">
        <f>Data!F717</f>
        <v>1972846</v>
      </c>
      <c r="AL722" s="35">
        <f t="shared" si="111"/>
        <v>73.19</v>
      </c>
      <c r="AM722" s="35">
        <f t="shared" si="110"/>
        <v>0.72414264243749304</v>
      </c>
      <c r="AN722" s="35">
        <f t="shared" si="118"/>
        <v>-21.445971961318826</v>
      </c>
      <c r="AO722" s="35" t="str">
        <f t="shared" si="112"/>
        <v>FITS BITCH</v>
      </c>
      <c r="AP722" s="35" t="str">
        <f t="shared" si="113"/>
        <v>no</v>
      </c>
      <c r="AQ722" s="35" t="str">
        <f t="shared" si="113"/>
        <v>no</v>
      </c>
      <c r="AR722" s="35" t="str">
        <f t="shared" si="114"/>
        <v>FITS BITCH</v>
      </c>
      <c r="AS722" s="35" t="str">
        <f t="shared" si="115"/>
        <v>no</v>
      </c>
      <c r="AT722" s="20" t="str">
        <f t="shared" si="116"/>
        <v/>
      </c>
      <c r="AU722" s="20" t="str">
        <f t="shared" si="117"/>
        <v/>
      </c>
      <c r="AV722" s="20"/>
      <c r="AW722" s="20"/>
      <c r="AX722" s="20"/>
    </row>
    <row r="723" spans="31:50">
      <c r="AE723" s="26">
        <f>Data!A718</f>
        <v>41920</v>
      </c>
      <c r="AF723" s="35">
        <f>Data!B718</f>
        <v>73.5</v>
      </c>
      <c r="AG723" s="35">
        <f>Data!F718</f>
        <v>2078845</v>
      </c>
      <c r="AH723" s="35">
        <f>Data!C718</f>
        <v>74.98</v>
      </c>
      <c r="AI723" s="35">
        <f>Data!D718</f>
        <v>73.260000000000005</v>
      </c>
      <c r="AJ723" s="35">
        <f>Data!E718</f>
        <v>74.78</v>
      </c>
      <c r="AK723" s="35">
        <f>Data!F718</f>
        <v>2078845</v>
      </c>
      <c r="AL723" s="35">
        <f t="shared" si="111"/>
        <v>74.78</v>
      </c>
      <c r="AM723" s="35">
        <f t="shared" si="110"/>
        <v>2.1262369617544845</v>
      </c>
      <c r="AN723" s="35">
        <f t="shared" si="118"/>
        <v>5.0989371501963827</v>
      </c>
      <c r="AO723" s="35" t="str">
        <f t="shared" si="112"/>
        <v>no</v>
      </c>
      <c r="AP723" s="35" t="str">
        <f t="shared" si="113"/>
        <v>FITS BITCH</v>
      </c>
      <c r="AQ723" s="35" t="str">
        <f t="shared" si="113"/>
        <v>no</v>
      </c>
      <c r="AR723" s="35" t="str">
        <f t="shared" si="114"/>
        <v>no</v>
      </c>
      <c r="AS723" s="35" t="str">
        <f t="shared" si="115"/>
        <v>FITS BITCH</v>
      </c>
      <c r="AT723" s="20" t="str">
        <f t="shared" si="116"/>
        <v/>
      </c>
      <c r="AU723" s="20" t="str">
        <f t="shared" si="117"/>
        <v/>
      </c>
      <c r="AV723" s="20"/>
      <c r="AW723" s="20"/>
      <c r="AX723" s="20"/>
    </row>
    <row r="724" spans="31:50">
      <c r="AE724" s="26">
        <f>Data!A719</f>
        <v>41919</v>
      </c>
      <c r="AF724" s="35">
        <f>Data!B719</f>
        <v>74.34</v>
      </c>
      <c r="AG724" s="35">
        <f>Data!F719</f>
        <v>2233272</v>
      </c>
      <c r="AH724" s="35">
        <f>Data!C719</f>
        <v>74.5</v>
      </c>
      <c r="AI724" s="35">
        <f>Data!D719</f>
        <v>73.48</v>
      </c>
      <c r="AJ724" s="35">
        <f>Data!E719</f>
        <v>73.52</v>
      </c>
      <c r="AK724" s="35">
        <f>Data!F719</f>
        <v>2233272</v>
      </c>
      <c r="AL724" s="35">
        <f t="shared" si="111"/>
        <v>73.52</v>
      </c>
      <c r="AM724" s="35">
        <f t="shared" si="110"/>
        <v>-1.7138193688792234</v>
      </c>
      <c r="AN724" s="35">
        <f t="shared" si="118"/>
        <v>6.9148316909001677</v>
      </c>
      <c r="AO724" s="35" t="str">
        <f t="shared" si="112"/>
        <v>no</v>
      </c>
      <c r="AP724" s="35" t="str">
        <f t="shared" si="113"/>
        <v>no</v>
      </c>
      <c r="AQ724" s="35" t="str">
        <f t="shared" si="113"/>
        <v>no</v>
      </c>
      <c r="AR724" s="35" t="str">
        <f t="shared" si="114"/>
        <v>FITS BITCH</v>
      </c>
      <c r="AS724" s="35" t="str">
        <f t="shared" si="115"/>
        <v>no</v>
      </c>
      <c r="AT724" s="20" t="str">
        <f t="shared" si="116"/>
        <v/>
      </c>
      <c r="AU724" s="20" t="str">
        <f t="shared" si="117"/>
        <v/>
      </c>
      <c r="AV724" s="20"/>
      <c r="AW724" s="20"/>
      <c r="AX724" s="20"/>
    </row>
    <row r="725" spans="31:50">
      <c r="AE725" s="26">
        <f>Data!A720</f>
        <v>41918</v>
      </c>
      <c r="AF725" s="35">
        <f>Data!B720</f>
        <v>74.959999999999994</v>
      </c>
      <c r="AG725" s="35">
        <f>Data!F720</f>
        <v>2919471</v>
      </c>
      <c r="AH725" s="35">
        <f>Data!C720</f>
        <v>75.040000000000006</v>
      </c>
      <c r="AI725" s="35">
        <f>Data!D720</f>
        <v>74.290000000000006</v>
      </c>
      <c r="AJ725" s="35">
        <f>Data!E720</f>
        <v>74.52</v>
      </c>
      <c r="AK725" s="35">
        <f>Data!F720</f>
        <v>2919471</v>
      </c>
      <c r="AL725" s="35">
        <f t="shared" si="111"/>
        <v>74.52</v>
      </c>
      <c r="AM725" s="35">
        <f t="shared" si="110"/>
        <v>1.3419216317767042</v>
      </c>
      <c r="AN725" s="35">
        <f t="shared" si="118"/>
        <v>23.504223881655271</v>
      </c>
      <c r="AO725" s="35" t="str">
        <f t="shared" si="112"/>
        <v>no</v>
      </c>
      <c r="AP725" s="35" t="b">
        <f t="shared" si="113"/>
        <v>0</v>
      </c>
      <c r="AQ725" s="35" t="str">
        <f t="shared" si="113"/>
        <v>FITS BITCH</v>
      </c>
      <c r="AR725" s="35" t="str">
        <f t="shared" si="114"/>
        <v>FITS BITCH</v>
      </c>
      <c r="AS725" s="35" t="str">
        <f t="shared" si="115"/>
        <v>no</v>
      </c>
      <c r="AT725" s="20" t="str">
        <f t="shared" si="116"/>
        <v/>
      </c>
      <c r="AU725" s="20" t="str">
        <f t="shared" si="117"/>
        <v/>
      </c>
      <c r="AV725" s="20"/>
      <c r="AW725" s="20"/>
      <c r="AX725" s="20"/>
    </row>
    <row r="726" spans="31:50">
      <c r="AE726" s="26">
        <f>Data!A721</f>
        <v>41915</v>
      </c>
      <c r="AF726" s="35">
        <f>Data!B721</f>
        <v>73.56</v>
      </c>
      <c r="AG726" s="35">
        <f>Data!F721</f>
        <v>4475419</v>
      </c>
      <c r="AH726" s="35">
        <f>Data!C721</f>
        <v>75.040000000000006</v>
      </c>
      <c r="AI726" s="35">
        <f>Data!D721</f>
        <v>73.55</v>
      </c>
      <c r="AJ726" s="35">
        <f>Data!E721</f>
        <v>74.849999999999994</v>
      </c>
      <c r="AK726" s="35">
        <f>Data!F721</f>
        <v>4475419</v>
      </c>
      <c r="AL726" s="35">
        <f t="shared" si="111"/>
        <v>74.849999999999994</v>
      </c>
      <c r="AM726" s="35">
        <f t="shared" si="110"/>
        <v>0.44088176352705183</v>
      </c>
      <c r="AN726" s="35">
        <f t="shared" si="118"/>
        <v>34.76653247438955</v>
      </c>
      <c r="AO726" s="35" t="str">
        <f t="shared" si="112"/>
        <v>no</v>
      </c>
      <c r="AP726" s="35" t="str">
        <f t="shared" si="113"/>
        <v>FITS BITCH</v>
      </c>
      <c r="AQ726" s="35" t="str">
        <f t="shared" si="113"/>
        <v>FITS BITCH</v>
      </c>
      <c r="AR726" s="35" t="str">
        <f t="shared" si="114"/>
        <v>no</v>
      </c>
      <c r="AS726" s="35" t="str">
        <f t="shared" si="115"/>
        <v>FITS BITCH</v>
      </c>
      <c r="AT726" s="20" t="str">
        <f t="shared" si="116"/>
        <v/>
      </c>
      <c r="AU726" s="20" t="str">
        <f t="shared" si="117"/>
        <v/>
      </c>
      <c r="AV726" s="20"/>
      <c r="AW726" s="20"/>
      <c r="AX726" s="20"/>
    </row>
    <row r="727" spans="31:50">
      <c r="AE727" s="26">
        <f>Data!A722</f>
        <v>41914</v>
      </c>
      <c r="AF727" s="35">
        <f>Data!B722</f>
        <v>71.709999999999994</v>
      </c>
      <c r="AG727" s="35">
        <f>Data!F722</f>
        <v>3007958</v>
      </c>
      <c r="AH727" s="35">
        <f>Data!C722</f>
        <v>72.63</v>
      </c>
      <c r="AI727" s="35">
        <f>Data!D722</f>
        <v>71.510000000000005</v>
      </c>
      <c r="AJ727" s="35">
        <f>Data!E722</f>
        <v>72.5</v>
      </c>
      <c r="AK727" s="35">
        <f>Data!F722</f>
        <v>3007958</v>
      </c>
      <c r="AL727" s="35">
        <f t="shared" si="111"/>
        <v>72.5</v>
      </c>
      <c r="AM727" s="35">
        <f t="shared" si="110"/>
        <v>-3.2413793103448199</v>
      </c>
      <c r="AN727" s="35">
        <f t="shared" si="118"/>
        <v>-48.785953793237802</v>
      </c>
      <c r="AO727" s="35" t="str">
        <f t="shared" si="112"/>
        <v>FITS BITCH</v>
      </c>
      <c r="AP727" s="35" t="str">
        <f t="shared" si="113"/>
        <v>no</v>
      </c>
      <c r="AQ727" s="35" t="str">
        <f t="shared" si="113"/>
        <v>FITS BITCH</v>
      </c>
      <c r="AR727" s="35" t="str">
        <f t="shared" si="114"/>
        <v>FITS BITCH</v>
      </c>
      <c r="AS727" s="35" t="str">
        <f t="shared" si="115"/>
        <v>FITS BITCH</v>
      </c>
      <c r="AT727" s="20" t="str">
        <f t="shared" si="116"/>
        <v/>
      </c>
      <c r="AU727" s="20" t="str">
        <f t="shared" si="117"/>
        <v>BEARISH</v>
      </c>
      <c r="AV727" s="20"/>
      <c r="AW727" s="20"/>
      <c r="AX727" s="20"/>
    </row>
    <row r="728" spans="31:50">
      <c r="AE728" s="26">
        <f>Data!A723</f>
        <v>41913</v>
      </c>
      <c r="AF728" s="35">
        <f>Data!B723</f>
        <v>73.03</v>
      </c>
      <c r="AG728" s="35">
        <f>Data!F723</f>
        <v>3540258</v>
      </c>
      <c r="AH728" s="35">
        <f>Data!C723</f>
        <v>73.08</v>
      </c>
      <c r="AI728" s="35">
        <f>Data!D723</f>
        <v>71.41</v>
      </c>
      <c r="AJ728" s="35">
        <f>Data!E723</f>
        <v>71.42</v>
      </c>
      <c r="AK728" s="35">
        <f>Data!F723</f>
        <v>3540258</v>
      </c>
      <c r="AL728" s="35">
        <f t="shared" si="111"/>
        <v>71.42</v>
      </c>
      <c r="AM728" s="35">
        <f t="shared" si="110"/>
        <v>-1.5121814617754106</v>
      </c>
      <c r="AN728" s="35">
        <f t="shared" si="118"/>
        <v>15.035627346933472</v>
      </c>
      <c r="AO728" s="35" t="str">
        <f t="shared" si="112"/>
        <v>no</v>
      </c>
      <c r="AP728" s="35" t="str">
        <f t="shared" si="113"/>
        <v>no</v>
      </c>
      <c r="AQ728" s="35" t="str">
        <f t="shared" si="113"/>
        <v>no</v>
      </c>
      <c r="AR728" s="35" t="str">
        <f t="shared" si="114"/>
        <v>FITS BITCH</v>
      </c>
      <c r="AS728" s="35" t="str">
        <f t="shared" si="115"/>
        <v>no</v>
      </c>
      <c r="AT728" s="20" t="str">
        <f t="shared" si="116"/>
        <v/>
      </c>
      <c r="AU728" s="20" t="str">
        <f t="shared" si="117"/>
        <v/>
      </c>
      <c r="AV728" s="20"/>
      <c r="AW728" s="20"/>
      <c r="AX728" s="20"/>
    </row>
    <row r="729" spans="31:50">
      <c r="AE729" s="26">
        <f>Data!A724</f>
        <v>41912</v>
      </c>
      <c r="AF729" s="35">
        <f>Data!B724</f>
        <v>83.34</v>
      </c>
      <c r="AG729" s="35">
        <f>Data!F724</f>
        <v>2358037</v>
      </c>
      <c r="AH729" s="35">
        <f>Data!C724</f>
        <v>83.45</v>
      </c>
      <c r="AI729" s="35">
        <f>Data!D724</f>
        <v>82.7</v>
      </c>
      <c r="AJ729" s="35">
        <f>Data!E724</f>
        <v>83.08</v>
      </c>
      <c r="AK729" s="35">
        <f>Data!F724</f>
        <v>2358037</v>
      </c>
      <c r="AL729" s="35">
        <f t="shared" si="111"/>
        <v>83.08</v>
      </c>
      <c r="AM729" s="35">
        <f t="shared" si="110"/>
        <v>14.034665382763597</v>
      </c>
      <c r="AN729" s="35">
        <f t="shared" si="118"/>
        <v>-50.135812118300095</v>
      </c>
      <c r="AO729" s="35" t="str">
        <f t="shared" si="112"/>
        <v>FITS BITCH</v>
      </c>
      <c r="AP729" s="35" t="str">
        <f t="shared" si="113"/>
        <v>FITS BITCH</v>
      </c>
      <c r="AQ729" s="35" t="str">
        <f t="shared" si="113"/>
        <v>FITS BITCH</v>
      </c>
      <c r="AR729" s="35" t="str">
        <f t="shared" si="114"/>
        <v>no</v>
      </c>
      <c r="AS729" s="35" t="str">
        <f t="shared" si="115"/>
        <v>FITS BITCH</v>
      </c>
      <c r="AT729" s="20" t="str">
        <f t="shared" si="116"/>
        <v/>
      </c>
      <c r="AU729" s="20" t="str">
        <f t="shared" si="117"/>
        <v>BEARISH</v>
      </c>
      <c r="AV729" s="20"/>
      <c r="AW729" s="20"/>
      <c r="AX729" s="20"/>
    </row>
    <row r="730" spans="31:50">
      <c r="AE730" s="26">
        <f>Data!A725</f>
        <v>41911</v>
      </c>
      <c r="AF730" s="35">
        <f>Data!B725</f>
        <v>82.06</v>
      </c>
      <c r="AG730" s="35">
        <f>Data!F725</f>
        <v>1689400</v>
      </c>
      <c r="AH730" s="35">
        <f>Data!C725</f>
        <v>82.91</v>
      </c>
      <c r="AI730" s="35">
        <f>Data!D725</f>
        <v>81.91</v>
      </c>
      <c r="AJ730" s="35">
        <f>Data!E725</f>
        <v>82.81</v>
      </c>
      <c r="AK730" s="35">
        <f>Data!F725</f>
        <v>1689400</v>
      </c>
      <c r="AL730" s="35">
        <f t="shared" si="111"/>
        <v>82.81</v>
      </c>
      <c r="AM730" s="35">
        <f t="shared" si="110"/>
        <v>-0.32604757879482676</v>
      </c>
      <c r="AN730" s="35">
        <f t="shared" si="118"/>
        <v>-39.578371019296796</v>
      </c>
      <c r="AO730" s="35" t="str">
        <f t="shared" si="112"/>
        <v>FITS BITCH</v>
      </c>
      <c r="AP730" s="35" t="str">
        <f t="shared" si="113"/>
        <v>FITS BITCH</v>
      </c>
      <c r="AQ730" s="35" t="str">
        <f t="shared" si="113"/>
        <v>FITS BITCH</v>
      </c>
      <c r="AR730" s="35" t="str">
        <f t="shared" si="114"/>
        <v>no</v>
      </c>
      <c r="AS730" s="35" t="str">
        <f t="shared" si="115"/>
        <v>FITS BITCH</v>
      </c>
      <c r="AT730" s="20" t="str">
        <f t="shared" si="116"/>
        <v/>
      </c>
      <c r="AU730" s="20" t="str">
        <f t="shared" si="117"/>
        <v>BEARISH</v>
      </c>
      <c r="AV730" s="20"/>
      <c r="AW730" s="20"/>
      <c r="AX730" s="20"/>
    </row>
    <row r="731" spans="31:50">
      <c r="AE731" s="26">
        <f>Data!A726</f>
        <v>41908</v>
      </c>
      <c r="AF731" s="35">
        <f>Data!B726</f>
        <v>82.24</v>
      </c>
      <c r="AG731" s="35">
        <f>Data!F726</f>
        <v>1663719</v>
      </c>
      <c r="AH731" s="35">
        <f>Data!C726</f>
        <v>82.76</v>
      </c>
      <c r="AI731" s="35">
        <f>Data!D726</f>
        <v>81.8</v>
      </c>
      <c r="AJ731" s="35">
        <f>Data!E726</f>
        <v>82.59</v>
      </c>
      <c r="AK731" s="35">
        <f>Data!F726</f>
        <v>1663719</v>
      </c>
      <c r="AL731" s="35">
        <f t="shared" si="111"/>
        <v>82.59</v>
      </c>
      <c r="AM731" s="35">
        <f t="shared" si="110"/>
        <v>-0.26637607458529949</v>
      </c>
      <c r="AN731" s="35">
        <f t="shared" si="118"/>
        <v>-1.5435899932620833</v>
      </c>
      <c r="AO731" s="35" t="str">
        <f t="shared" si="112"/>
        <v>no</v>
      </c>
      <c r="AP731" s="35" t="str">
        <f t="shared" si="113"/>
        <v>no</v>
      </c>
      <c r="AQ731" s="35" t="str">
        <f t="shared" si="113"/>
        <v>no</v>
      </c>
      <c r="AR731" s="35" t="str">
        <f t="shared" si="114"/>
        <v>FITS BITCH</v>
      </c>
      <c r="AS731" s="35" t="str">
        <f t="shared" si="115"/>
        <v>FITS BITCH</v>
      </c>
      <c r="AT731" s="20" t="str">
        <f t="shared" si="116"/>
        <v/>
      </c>
      <c r="AU731" s="20" t="str">
        <f t="shared" si="117"/>
        <v/>
      </c>
      <c r="AV731" s="20"/>
      <c r="AW731" s="20"/>
      <c r="AX731" s="20"/>
    </row>
    <row r="732" spans="31:50">
      <c r="AE732" s="26">
        <f>Data!A727</f>
        <v>41907</v>
      </c>
      <c r="AF732" s="35">
        <f>Data!B727</f>
        <v>83.61</v>
      </c>
      <c r="AG732" s="35">
        <f>Data!F727</f>
        <v>1731590</v>
      </c>
      <c r="AH732" s="35">
        <f>Data!C727</f>
        <v>83.61</v>
      </c>
      <c r="AI732" s="35">
        <f>Data!D727</f>
        <v>82.32</v>
      </c>
      <c r="AJ732" s="35">
        <f>Data!E727</f>
        <v>82.36</v>
      </c>
      <c r="AK732" s="35">
        <f>Data!F727</f>
        <v>1731590</v>
      </c>
      <c r="AL732" s="35">
        <f t="shared" si="111"/>
        <v>82.36</v>
      </c>
      <c r="AM732" s="35">
        <f t="shared" si="110"/>
        <v>-0.2792617775619281</v>
      </c>
      <c r="AN732" s="35">
        <f t="shared" si="118"/>
        <v>3.9195768051328543</v>
      </c>
      <c r="AO732" s="35" t="str">
        <f t="shared" si="112"/>
        <v>no</v>
      </c>
      <c r="AP732" s="35" t="str">
        <f t="shared" si="113"/>
        <v>no</v>
      </c>
      <c r="AQ732" s="35" t="str">
        <f t="shared" si="113"/>
        <v>no</v>
      </c>
      <c r="AR732" s="35" t="str">
        <f t="shared" si="114"/>
        <v>FITS BITCH</v>
      </c>
      <c r="AS732" s="35" t="str">
        <f t="shared" si="115"/>
        <v>no</v>
      </c>
      <c r="AT732" s="20" t="str">
        <f t="shared" si="116"/>
        <v/>
      </c>
      <c r="AU732" s="20" t="str">
        <f t="shared" si="117"/>
        <v/>
      </c>
      <c r="AV732" s="20"/>
      <c r="AW732" s="20"/>
      <c r="AX732" s="20"/>
    </row>
    <row r="733" spans="31:50">
      <c r="AE733" s="26">
        <f>Data!A728</f>
        <v>41906</v>
      </c>
      <c r="AF733" s="35">
        <f>Data!B728</f>
        <v>82.52</v>
      </c>
      <c r="AG733" s="35">
        <f>Data!F728</f>
        <v>1356148</v>
      </c>
      <c r="AH733" s="35">
        <f>Data!C728</f>
        <v>84.06</v>
      </c>
      <c r="AI733" s="35">
        <f>Data!D728</f>
        <v>82.39</v>
      </c>
      <c r="AJ733" s="35">
        <f>Data!E728</f>
        <v>83.93</v>
      </c>
      <c r="AK733" s="35">
        <f>Data!F728</f>
        <v>1356148</v>
      </c>
      <c r="AL733" s="35">
        <f t="shared" si="111"/>
        <v>83.93</v>
      </c>
      <c r="AM733" s="35">
        <f t="shared" si="110"/>
        <v>1.8706064577624297</v>
      </c>
      <c r="AN733" s="35">
        <f t="shared" si="118"/>
        <v>-27.684441521131912</v>
      </c>
      <c r="AO733" s="35" t="str">
        <f t="shared" si="112"/>
        <v>FITS BITCH</v>
      </c>
      <c r="AP733" s="35" t="str">
        <f t="shared" si="113"/>
        <v>FITS BITCH</v>
      </c>
      <c r="AQ733" s="35" t="str">
        <f t="shared" si="113"/>
        <v>no</v>
      </c>
      <c r="AR733" s="35" t="str">
        <f t="shared" si="114"/>
        <v>no</v>
      </c>
      <c r="AS733" s="35" t="str">
        <f t="shared" si="115"/>
        <v>FITS BITCH</v>
      </c>
      <c r="AT733" s="20" t="str">
        <f t="shared" si="116"/>
        <v/>
      </c>
      <c r="AU733" s="20" t="str">
        <f t="shared" si="117"/>
        <v/>
      </c>
      <c r="AV733" s="20"/>
      <c r="AW733" s="20"/>
      <c r="AX733" s="20"/>
    </row>
    <row r="734" spans="31:50">
      <c r="AE734" s="26">
        <f>Data!A729</f>
        <v>41905</v>
      </c>
      <c r="AF734" s="35">
        <f>Data!B729</f>
        <v>82.94</v>
      </c>
      <c r="AG734" s="35">
        <f>Data!F729</f>
        <v>1247456</v>
      </c>
      <c r="AH734" s="35">
        <f>Data!C729</f>
        <v>83.09</v>
      </c>
      <c r="AI734" s="35">
        <f>Data!D729</f>
        <v>82.59</v>
      </c>
      <c r="AJ734" s="35">
        <f>Data!E729</f>
        <v>82.61</v>
      </c>
      <c r="AK734" s="35">
        <f>Data!F729</f>
        <v>1247456</v>
      </c>
      <c r="AL734" s="35">
        <f t="shared" si="111"/>
        <v>82.61</v>
      </c>
      <c r="AM734" s="35">
        <f t="shared" si="110"/>
        <v>-1.5978695073235776</v>
      </c>
      <c r="AN734" s="35">
        <f t="shared" si="118"/>
        <v>-8.7130928866428956</v>
      </c>
      <c r="AO734" s="35" t="str">
        <f t="shared" si="112"/>
        <v>FITS BITCH</v>
      </c>
      <c r="AP734" s="35" t="str">
        <f t="shared" si="113"/>
        <v>no</v>
      </c>
      <c r="AQ734" s="35" t="str">
        <f t="shared" si="113"/>
        <v>no</v>
      </c>
      <c r="AR734" s="35" t="str">
        <f t="shared" si="114"/>
        <v>FITS BITCH</v>
      </c>
      <c r="AS734" s="35" t="str">
        <f t="shared" si="115"/>
        <v>no</v>
      </c>
      <c r="AT734" s="20" t="str">
        <f t="shared" si="116"/>
        <v/>
      </c>
      <c r="AU734" s="20" t="str">
        <f t="shared" si="117"/>
        <v/>
      </c>
      <c r="AV734" s="20"/>
      <c r="AW734" s="20"/>
      <c r="AX734" s="20"/>
    </row>
    <row r="735" spans="31:50">
      <c r="AE735" s="26">
        <f>Data!A730</f>
        <v>41904</v>
      </c>
      <c r="AF735" s="35">
        <f>Data!B730</f>
        <v>83.42</v>
      </c>
      <c r="AG735" s="35">
        <f>Data!F730</f>
        <v>1243157</v>
      </c>
      <c r="AH735" s="35">
        <f>Data!C730</f>
        <v>83.77</v>
      </c>
      <c r="AI735" s="35">
        <f>Data!D730</f>
        <v>82.77</v>
      </c>
      <c r="AJ735" s="35">
        <f>Data!E730</f>
        <v>83.09</v>
      </c>
      <c r="AK735" s="35">
        <f>Data!F730</f>
        <v>1243157</v>
      </c>
      <c r="AL735" s="35">
        <f t="shared" si="111"/>
        <v>83.09</v>
      </c>
      <c r="AM735" s="35">
        <f t="shared" si="110"/>
        <v>0.57768684558912498</v>
      </c>
      <c r="AN735" s="35">
        <f t="shared" si="118"/>
        <v>-0.34581311934051773</v>
      </c>
      <c r="AO735" s="35" t="str">
        <f t="shared" si="112"/>
        <v>no</v>
      </c>
      <c r="AP735" s="35" t="str">
        <f t="shared" si="113"/>
        <v>no</v>
      </c>
      <c r="AQ735" s="35" t="str">
        <f t="shared" si="113"/>
        <v>no</v>
      </c>
      <c r="AR735" s="35" t="str">
        <f t="shared" si="114"/>
        <v>FITS BITCH</v>
      </c>
      <c r="AS735" s="35" t="str">
        <f t="shared" si="115"/>
        <v>no</v>
      </c>
      <c r="AT735" s="20" t="str">
        <f t="shared" si="116"/>
        <v/>
      </c>
      <c r="AU735" s="20" t="str">
        <f t="shared" si="117"/>
        <v/>
      </c>
      <c r="AV735" s="20"/>
      <c r="AW735" s="20"/>
      <c r="AX735" s="20"/>
    </row>
    <row r="736" spans="31:50">
      <c r="AE736" s="26">
        <f>Data!A731</f>
        <v>41901</v>
      </c>
      <c r="AF736" s="35">
        <f>Data!B731</f>
        <v>84.55</v>
      </c>
      <c r="AG736" s="35">
        <f>Data!F731</f>
        <v>2367344</v>
      </c>
      <c r="AH736" s="35">
        <f>Data!C731</f>
        <v>84.68</v>
      </c>
      <c r="AI736" s="35">
        <f>Data!D731</f>
        <v>83.56</v>
      </c>
      <c r="AJ736" s="35">
        <f>Data!E731</f>
        <v>83.88</v>
      </c>
      <c r="AK736" s="35">
        <f>Data!F731</f>
        <v>2367344</v>
      </c>
      <c r="AL736" s="35">
        <f t="shared" si="111"/>
        <v>83.88</v>
      </c>
      <c r="AM736" s="35">
        <f t="shared" si="110"/>
        <v>0.94182164997614704</v>
      </c>
      <c r="AN736" s="35">
        <f t="shared" si="118"/>
        <v>47.487268432471161</v>
      </c>
      <c r="AO736" s="35" t="str">
        <f t="shared" si="112"/>
        <v>no</v>
      </c>
      <c r="AP736" s="35" t="str">
        <f t="shared" si="113"/>
        <v>FITS BITCH</v>
      </c>
      <c r="AQ736" s="35" t="str">
        <f t="shared" si="113"/>
        <v>FITS BITCH</v>
      </c>
      <c r="AR736" s="35" t="str">
        <f t="shared" si="114"/>
        <v>FITS BITCH</v>
      </c>
      <c r="AS736" s="35" t="str">
        <f t="shared" si="115"/>
        <v>no</v>
      </c>
      <c r="AT736" s="20" t="str">
        <f t="shared" si="116"/>
        <v/>
      </c>
      <c r="AU736" s="20" t="str">
        <f t="shared" si="117"/>
        <v/>
      </c>
      <c r="AV736" s="20"/>
      <c r="AW736" s="20"/>
      <c r="AX736" s="20"/>
    </row>
    <row r="737" spans="31:50">
      <c r="AE737" s="26">
        <f>Data!A732</f>
        <v>41900</v>
      </c>
      <c r="AF737" s="35">
        <f>Data!B732</f>
        <v>83.49</v>
      </c>
      <c r="AG737" s="35">
        <f>Data!F732</f>
        <v>1611840</v>
      </c>
      <c r="AH737" s="35">
        <f>Data!C732</f>
        <v>84.31</v>
      </c>
      <c r="AI737" s="35">
        <f>Data!D732</f>
        <v>83.31</v>
      </c>
      <c r="AJ737" s="35">
        <f>Data!E732</f>
        <v>84.19</v>
      </c>
      <c r="AK737" s="35">
        <f>Data!F732</f>
        <v>1611840</v>
      </c>
      <c r="AL737" s="35">
        <f t="shared" si="111"/>
        <v>84.19</v>
      </c>
      <c r="AM737" s="35">
        <f t="shared" si="110"/>
        <v>0.36821475234588702</v>
      </c>
      <c r="AN737" s="35">
        <f t="shared" si="118"/>
        <v>-46.872146118721467</v>
      </c>
      <c r="AO737" s="35" t="str">
        <f t="shared" si="112"/>
        <v>FITS BITCH</v>
      </c>
      <c r="AP737" s="35" t="str">
        <f t="shared" si="113"/>
        <v>FITS BITCH</v>
      </c>
      <c r="AQ737" s="35" t="str">
        <f t="shared" si="113"/>
        <v>FITS BITCH</v>
      </c>
      <c r="AR737" s="35" t="str">
        <f t="shared" si="114"/>
        <v>no</v>
      </c>
      <c r="AS737" s="35" t="str">
        <f t="shared" si="115"/>
        <v>FITS BITCH</v>
      </c>
      <c r="AT737" s="20" t="str">
        <f t="shared" si="116"/>
        <v/>
      </c>
      <c r="AU737" s="20" t="str">
        <f t="shared" si="117"/>
        <v>BEARISH</v>
      </c>
      <c r="AV737" s="20"/>
      <c r="AW737" s="20"/>
      <c r="AX737" s="20"/>
    </row>
    <row r="738" spans="31:50">
      <c r="AE738" s="26">
        <f>Data!A733</f>
        <v>41899</v>
      </c>
      <c r="AF738" s="35">
        <f>Data!B733</f>
        <v>83.47</v>
      </c>
      <c r="AG738" s="35">
        <f>Data!F733</f>
        <v>1426796</v>
      </c>
      <c r="AH738" s="35">
        <f>Data!C733</f>
        <v>83.51</v>
      </c>
      <c r="AI738" s="35">
        <f>Data!D733</f>
        <v>82.81</v>
      </c>
      <c r="AJ738" s="35">
        <f>Data!E733</f>
        <v>83.35</v>
      </c>
      <c r="AK738" s="35">
        <f>Data!F733</f>
        <v>1426796</v>
      </c>
      <c r="AL738" s="35">
        <f t="shared" si="111"/>
        <v>83.35</v>
      </c>
      <c r="AM738" s="35">
        <f t="shared" si="110"/>
        <v>-1.0077984403119418</v>
      </c>
      <c r="AN738" s="35">
        <f t="shared" si="118"/>
        <v>-12.969198119422817</v>
      </c>
      <c r="AO738" s="35" t="str">
        <f t="shared" si="112"/>
        <v>FITS BITCH</v>
      </c>
      <c r="AP738" s="35" t="str">
        <f t="shared" si="113"/>
        <v>no</v>
      </c>
      <c r="AQ738" s="35" t="str">
        <f t="shared" si="113"/>
        <v>FITS BITCH</v>
      </c>
      <c r="AR738" s="35" t="str">
        <f t="shared" si="114"/>
        <v>FITS BITCH</v>
      </c>
      <c r="AS738" s="35" t="str">
        <f t="shared" si="115"/>
        <v>no</v>
      </c>
      <c r="AT738" s="20" t="str">
        <f t="shared" si="116"/>
        <v/>
      </c>
      <c r="AU738" s="20" t="str">
        <f t="shared" si="117"/>
        <v/>
      </c>
      <c r="AV738" s="20"/>
      <c r="AW738" s="20"/>
      <c r="AX738" s="20"/>
    </row>
    <row r="739" spans="31:50">
      <c r="AE739" s="26">
        <f>Data!A734</f>
        <v>41898</v>
      </c>
      <c r="AF739" s="35">
        <f>Data!B734</f>
        <v>82.56</v>
      </c>
      <c r="AG739" s="35">
        <f>Data!F734</f>
        <v>1389454</v>
      </c>
      <c r="AH739" s="35">
        <f>Data!C734</f>
        <v>83.56</v>
      </c>
      <c r="AI739" s="35">
        <f>Data!D734</f>
        <v>82.56</v>
      </c>
      <c r="AJ739" s="35">
        <f>Data!E734</f>
        <v>83.41</v>
      </c>
      <c r="AK739" s="35">
        <f>Data!F734</f>
        <v>1389454</v>
      </c>
      <c r="AL739" s="35">
        <f t="shared" si="111"/>
        <v>83.41</v>
      </c>
      <c r="AM739" s="35">
        <f t="shared" si="110"/>
        <v>7.1933820884788724E-2</v>
      </c>
      <c r="AN739" s="35">
        <f t="shared" si="118"/>
        <v>-2.68753049759114</v>
      </c>
      <c r="AO739" s="35" t="str">
        <f t="shared" si="112"/>
        <v>no</v>
      </c>
      <c r="AP739" s="35" t="str">
        <f t="shared" si="113"/>
        <v>no</v>
      </c>
      <c r="AQ739" s="35" t="str">
        <f t="shared" si="113"/>
        <v>FITS BITCH</v>
      </c>
      <c r="AR739" s="35" t="str">
        <f t="shared" si="114"/>
        <v>FITS BITCH</v>
      </c>
      <c r="AS739" s="35" t="str">
        <f t="shared" si="115"/>
        <v>no</v>
      </c>
      <c r="AT739" s="20" t="str">
        <f t="shared" si="116"/>
        <v/>
      </c>
      <c r="AU739" s="20" t="str">
        <f t="shared" si="117"/>
        <v/>
      </c>
      <c r="AV739" s="20"/>
      <c r="AW739" s="20"/>
      <c r="AX739" s="20"/>
    </row>
    <row r="740" spans="31:50">
      <c r="AE740" s="26">
        <f>Data!A735</f>
        <v>41897</v>
      </c>
      <c r="AF740" s="35">
        <f>Data!B735</f>
        <v>82.94</v>
      </c>
      <c r="AG740" s="35">
        <f>Data!F735</f>
        <v>1240043</v>
      </c>
      <c r="AH740" s="35">
        <f>Data!C735</f>
        <v>83.61</v>
      </c>
      <c r="AI740" s="35">
        <f>Data!D735</f>
        <v>82.55</v>
      </c>
      <c r="AJ740" s="35">
        <f>Data!E735</f>
        <v>83.46</v>
      </c>
      <c r="AK740" s="35">
        <f>Data!F735</f>
        <v>1240043</v>
      </c>
      <c r="AL740" s="35">
        <f t="shared" si="111"/>
        <v>83.46</v>
      </c>
      <c r="AM740" s="35">
        <f t="shared" si="110"/>
        <v>5.9908938413607907E-2</v>
      </c>
      <c r="AN740" s="35">
        <f t="shared" si="118"/>
        <v>-12.048856370303287</v>
      </c>
      <c r="AO740" s="35" t="str">
        <f t="shared" si="112"/>
        <v>FITS BITCH</v>
      </c>
      <c r="AP740" s="35" t="str">
        <f t="shared" si="113"/>
        <v>FITS BITCH</v>
      </c>
      <c r="AQ740" s="35" t="str">
        <f t="shared" si="113"/>
        <v>FITS BITCH</v>
      </c>
      <c r="AR740" s="35" t="str">
        <f t="shared" si="114"/>
        <v>no</v>
      </c>
      <c r="AS740" s="35" t="str">
        <f t="shared" si="115"/>
        <v>FITS BITCH</v>
      </c>
      <c r="AT740" s="20" t="str">
        <f t="shared" si="116"/>
        <v/>
      </c>
      <c r="AU740" s="20" t="str">
        <f t="shared" si="117"/>
        <v>BEARISH</v>
      </c>
      <c r="AV740" s="20"/>
      <c r="AW740" s="20"/>
      <c r="AX740" s="20"/>
    </row>
    <row r="741" spans="31:50">
      <c r="AE741" s="26">
        <f>Data!A736</f>
        <v>41894</v>
      </c>
      <c r="AF741" s="35">
        <f>Data!B736</f>
        <v>83.26</v>
      </c>
      <c r="AG741" s="35">
        <f>Data!F736</f>
        <v>1689940</v>
      </c>
      <c r="AH741" s="35">
        <f>Data!C736</f>
        <v>83.38</v>
      </c>
      <c r="AI741" s="35">
        <f>Data!D736</f>
        <v>82.33</v>
      </c>
      <c r="AJ741" s="35">
        <f>Data!E736</f>
        <v>83.02</v>
      </c>
      <c r="AK741" s="35">
        <f>Data!F736</f>
        <v>1689940</v>
      </c>
      <c r="AL741" s="35">
        <f t="shared" si="111"/>
        <v>83.02</v>
      </c>
      <c r="AM741" s="35">
        <f t="shared" si="110"/>
        <v>-0.52999277282582236</v>
      </c>
      <c r="AN741" s="35">
        <f t="shared" si="118"/>
        <v>26.622069422583049</v>
      </c>
      <c r="AO741" s="35" t="str">
        <f t="shared" si="112"/>
        <v>no</v>
      </c>
      <c r="AP741" s="35" t="str">
        <f t="shared" si="113"/>
        <v>no</v>
      </c>
      <c r="AQ741" s="35" t="str">
        <f t="shared" si="113"/>
        <v>no</v>
      </c>
      <c r="AR741" s="35" t="str">
        <f t="shared" si="114"/>
        <v>FITS BITCH</v>
      </c>
      <c r="AS741" s="35" t="str">
        <f t="shared" si="115"/>
        <v>no</v>
      </c>
      <c r="AT741" s="20" t="str">
        <f t="shared" si="116"/>
        <v/>
      </c>
      <c r="AU741" s="20" t="str">
        <f t="shared" si="117"/>
        <v/>
      </c>
      <c r="AV741" s="20"/>
      <c r="AW741" s="20"/>
      <c r="AX741" s="20"/>
    </row>
    <row r="742" spans="31:50">
      <c r="AE742" s="26">
        <f>Data!A737</f>
        <v>41893</v>
      </c>
      <c r="AF742" s="35">
        <f>Data!B737</f>
        <v>83.3</v>
      </c>
      <c r="AG742" s="35">
        <f>Data!F737</f>
        <v>1346780</v>
      </c>
      <c r="AH742" s="35">
        <f>Data!C737</f>
        <v>83.41</v>
      </c>
      <c r="AI742" s="35">
        <f>Data!D737</f>
        <v>82.69</v>
      </c>
      <c r="AJ742" s="35">
        <f>Data!E737</f>
        <v>83.2</v>
      </c>
      <c r="AK742" s="35">
        <f>Data!F737</f>
        <v>1346780</v>
      </c>
      <c r="AL742" s="35">
        <f t="shared" si="111"/>
        <v>83.2</v>
      </c>
      <c r="AM742" s="35">
        <f t="shared" si="110"/>
        <v>0.21634615384616204</v>
      </c>
      <c r="AN742" s="35">
        <f t="shared" si="118"/>
        <v>-25.480033858536661</v>
      </c>
      <c r="AO742" s="35" t="str">
        <f t="shared" si="112"/>
        <v>FITS BITCH</v>
      </c>
      <c r="AP742" s="35" t="str">
        <f t="shared" si="113"/>
        <v>no</v>
      </c>
      <c r="AQ742" s="35" t="str">
        <f t="shared" si="113"/>
        <v>no</v>
      </c>
      <c r="AR742" s="35" t="str">
        <f t="shared" si="114"/>
        <v>FITS BITCH</v>
      </c>
      <c r="AS742" s="35" t="str">
        <f t="shared" si="115"/>
        <v>no</v>
      </c>
      <c r="AT742" s="20" t="str">
        <f t="shared" si="116"/>
        <v/>
      </c>
      <c r="AU742" s="20" t="str">
        <f t="shared" si="117"/>
        <v/>
      </c>
      <c r="AV742" s="20"/>
      <c r="AW742" s="20"/>
      <c r="AX742" s="20"/>
    </row>
    <row r="743" spans="31:50">
      <c r="AE743" s="26">
        <f>Data!A738</f>
        <v>41892</v>
      </c>
      <c r="AF743" s="35">
        <f>Data!B738</f>
        <v>83.32</v>
      </c>
      <c r="AG743" s="35">
        <f>Data!F738</f>
        <v>1279510</v>
      </c>
      <c r="AH743" s="35">
        <f>Data!C738</f>
        <v>83.65</v>
      </c>
      <c r="AI743" s="35">
        <f>Data!D738</f>
        <v>82.92</v>
      </c>
      <c r="AJ743" s="35">
        <f>Data!E738</f>
        <v>83.61</v>
      </c>
      <c r="AK743" s="35">
        <f>Data!F738</f>
        <v>1279510</v>
      </c>
      <c r="AL743" s="35">
        <f t="shared" si="111"/>
        <v>83.61</v>
      </c>
      <c r="AM743" s="35">
        <f t="shared" si="110"/>
        <v>0.49037196507594377</v>
      </c>
      <c r="AN743" s="35">
        <f t="shared" si="118"/>
        <v>-5.257481379590625</v>
      </c>
      <c r="AO743" s="35" t="str">
        <f t="shared" si="112"/>
        <v>no</v>
      </c>
      <c r="AP743" s="35" t="str">
        <f t="shared" si="113"/>
        <v>no</v>
      </c>
      <c r="AQ743" s="35" t="str">
        <f t="shared" si="113"/>
        <v>no</v>
      </c>
      <c r="AR743" s="35" t="str">
        <f t="shared" si="114"/>
        <v>FITS BITCH</v>
      </c>
      <c r="AS743" s="35" t="b">
        <f t="shared" si="115"/>
        <v>0</v>
      </c>
      <c r="AT743" s="20" t="str">
        <f t="shared" si="116"/>
        <v/>
      </c>
      <c r="AU743" s="20" t="str">
        <f t="shared" si="117"/>
        <v/>
      </c>
      <c r="AV743" s="20"/>
      <c r="AW743" s="20"/>
      <c r="AX743" s="20"/>
    </row>
    <row r="744" spans="31:50">
      <c r="AE744" s="26">
        <f>Data!A739</f>
        <v>41891</v>
      </c>
      <c r="AF744" s="35">
        <f>Data!B739</f>
        <v>83.85</v>
      </c>
      <c r="AG744" s="35">
        <f>Data!F739</f>
        <v>1001746</v>
      </c>
      <c r="AH744" s="35">
        <f>Data!C739</f>
        <v>84.05</v>
      </c>
      <c r="AI744" s="35">
        <f>Data!D739</f>
        <v>83.45</v>
      </c>
      <c r="AJ744" s="35">
        <f>Data!E739</f>
        <v>83.61</v>
      </c>
      <c r="AK744" s="35">
        <f>Data!F739</f>
        <v>1001746</v>
      </c>
      <c r="AL744" s="35">
        <f t="shared" si="111"/>
        <v>83.61</v>
      </c>
      <c r="AM744" s="35">
        <f t="shared" si="110"/>
        <v>0</v>
      </c>
      <c r="AN744" s="35">
        <f t="shared" si="118"/>
        <v>-27.72798693481182</v>
      </c>
      <c r="AO744" s="35" t="str">
        <f t="shared" si="112"/>
        <v>FITS BITCH</v>
      </c>
      <c r="AP744" s="35" t="str">
        <f t="shared" si="113"/>
        <v>no</v>
      </c>
      <c r="AQ744" s="35" t="str">
        <f t="shared" si="113"/>
        <v>no</v>
      </c>
      <c r="AR744" s="35" t="str">
        <f t="shared" si="114"/>
        <v>FITS BITCH</v>
      </c>
      <c r="AS744" s="35" t="str">
        <f t="shared" si="115"/>
        <v>no</v>
      </c>
      <c r="AT744" s="20" t="str">
        <f t="shared" si="116"/>
        <v/>
      </c>
      <c r="AU744" s="20" t="str">
        <f t="shared" si="117"/>
        <v/>
      </c>
      <c r="AV744" s="20"/>
      <c r="AW744" s="20"/>
      <c r="AX744" s="20"/>
    </row>
    <row r="745" spans="31:50">
      <c r="AE745" s="26">
        <f>Data!A740</f>
        <v>41890</v>
      </c>
      <c r="AF745" s="35">
        <f>Data!B740</f>
        <v>83.91</v>
      </c>
      <c r="AG745" s="35">
        <f>Data!F740</f>
        <v>860554</v>
      </c>
      <c r="AH745" s="35">
        <f>Data!C740</f>
        <v>84.48</v>
      </c>
      <c r="AI745" s="35">
        <f>Data!D740</f>
        <v>83.74</v>
      </c>
      <c r="AJ745" s="35">
        <f>Data!E740</f>
        <v>84.09</v>
      </c>
      <c r="AK745" s="35">
        <f>Data!F740</f>
        <v>860554</v>
      </c>
      <c r="AL745" s="35">
        <f t="shared" si="111"/>
        <v>84.09</v>
      </c>
      <c r="AM745" s="35">
        <f t="shared" si="110"/>
        <v>0.57081698180521334</v>
      </c>
      <c r="AN745" s="35">
        <f t="shared" si="118"/>
        <v>-16.407105190377361</v>
      </c>
      <c r="AO745" s="35" t="str">
        <f t="shared" si="112"/>
        <v>FITS BITCH</v>
      </c>
      <c r="AP745" s="35" t="str">
        <f t="shared" si="113"/>
        <v>FITS BITCH</v>
      </c>
      <c r="AQ745" s="35" t="str">
        <f t="shared" si="113"/>
        <v>FITS BITCH</v>
      </c>
      <c r="AR745" s="35" t="str">
        <f t="shared" si="114"/>
        <v>FITS BITCH</v>
      </c>
      <c r="AS745" s="35" t="str">
        <f t="shared" si="115"/>
        <v>no</v>
      </c>
      <c r="AT745" s="20" t="str">
        <f t="shared" si="116"/>
        <v>BULLISH</v>
      </c>
      <c r="AU745" s="20" t="str">
        <f t="shared" si="117"/>
        <v/>
      </c>
      <c r="AV745" s="20"/>
      <c r="AW745" s="20"/>
      <c r="AX745" s="20"/>
    </row>
    <row r="746" spans="31:50">
      <c r="AE746" s="26">
        <f>Data!A741</f>
        <v>41887</v>
      </c>
      <c r="AF746" s="35">
        <f>Data!B741</f>
        <v>83.69</v>
      </c>
      <c r="AG746" s="35">
        <f>Data!F741</f>
        <v>1200956</v>
      </c>
      <c r="AH746" s="35">
        <f>Data!C741</f>
        <v>84.37</v>
      </c>
      <c r="AI746" s="35">
        <f>Data!D741</f>
        <v>83.62</v>
      </c>
      <c r="AJ746" s="35">
        <f>Data!E741</f>
        <v>84.34</v>
      </c>
      <c r="AK746" s="35">
        <f>Data!F741</f>
        <v>1200956</v>
      </c>
      <c r="AL746" s="35">
        <f t="shared" si="111"/>
        <v>84.34</v>
      </c>
      <c r="AM746" s="35">
        <f t="shared" si="110"/>
        <v>0.29641925539483044</v>
      </c>
      <c r="AN746" s="35">
        <f t="shared" si="118"/>
        <v>28.344252412244913</v>
      </c>
      <c r="AO746" s="35" t="str">
        <f t="shared" si="112"/>
        <v>no</v>
      </c>
      <c r="AP746" s="35" t="str">
        <f t="shared" si="113"/>
        <v>no</v>
      </c>
      <c r="AQ746" s="35" t="str">
        <f t="shared" si="113"/>
        <v>no</v>
      </c>
      <c r="AR746" s="35" t="str">
        <f t="shared" si="114"/>
        <v>FITS BITCH</v>
      </c>
      <c r="AS746" s="35" t="str">
        <f t="shared" si="115"/>
        <v>FITS BITCH</v>
      </c>
      <c r="AT746" s="20" t="str">
        <f t="shared" si="116"/>
        <v/>
      </c>
      <c r="AU746" s="20" t="str">
        <f t="shared" si="117"/>
        <v/>
      </c>
      <c r="AV746" s="20"/>
      <c r="AW746" s="20"/>
      <c r="AX746" s="20"/>
    </row>
    <row r="747" spans="31:50">
      <c r="AE747" s="26">
        <f>Data!A742</f>
        <v>41886</v>
      </c>
      <c r="AF747" s="35">
        <f>Data!B742</f>
        <v>83.67</v>
      </c>
      <c r="AG747" s="35">
        <f>Data!F742</f>
        <v>883660</v>
      </c>
      <c r="AH747" s="35">
        <f>Data!C742</f>
        <v>84.44</v>
      </c>
      <c r="AI747" s="35">
        <f>Data!D742</f>
        <v>83.63</v>
      </c>
      <c r="AJ747" s="35">
        <f>Data!E742</f>
        <v>83.81</v>
      </c>
      <c r="AK747" s="35">
        <f>Data!F742</f>
        <v>883660</v>
      </c>
      <c r="AL747" s="35">
        <f t="shared" si="111"/>
        <v>83.81</v>
      </c>
      <c r="AM747" s="35">
        <f t="shared" si="110"/>
        <v>-0.63238277055244141</v>
      </c>
      <c r="AN747" s="35">
        <f t="shared" si="118"/>
        <v>-35.907023063169092</v>
      </c>
      <c r="AO747" s="35" t="str">
        <f t="shared" si="112"/>
        <v>FITS BITCH</v>
      </c>
      <c r="AP747" s="35" t="str">
        <f t="shared" si="113"/>
        <v>FITS BITCH</v>
      </c>
      <c r="AQ747" s="35" t="str">
        <f t="shared" si="113"/>
        <v>FITS BITCH</v>
      </c>
      <c r="AR747" s="35" t="str">
        <f t="shared" si="114"/>
        <v>FITS BITCH</v>
      </c>
      <c r="AS747" s="35" t="str">
        <f t="shared" si="115"/>
        <v>FITS BITCH</v>
      </c>
      <c r="AT747" s="20" t="str">
        <f t="shared" si="116"/>
        <v>BULLISH</v>
      </c>
      <c r="AU747" s="20" t="str">
        <f t="shared" si="117"/>
        <v>BEARISH</v>
      </c>
      <c r="AV747" s="20"/>
      <c r="AW747" s="20"/>
      <c r="AX747" s="20"/>
    </row>
    <row r="748" spans="31:50">
      <c r="AE748" s="26">
        <f>Data!A743</f>
        <v>41885</v>
      </c>
      <c r="AF748" s="35">
        <f>Data!B743</f>
        <v>84.09</v>
      </c>
      <c r="AG748" s="35">
        <f>Data!F743</f>
        <v>1064745</v>
      </c>
      <c r="AH748" s="35">
        <f>Data!C743</f>
        <v>84.16</v>
      </c>
      <c r="AI748" s="35">
        <f>Data!D743</f>
        <v>83.6</v>
      </c>
      <c r="AJ748" s="35">
        <f>Data!E743</f>
        <v>83.78</v>
      </c>
      <c r="AK748" s="35">
        <f>Data!F743</f>
        <v>1064745</v>
      </c>
      <c r="AL748" s="35">
        <f t="shared" si="111"/>
        <v>83.78</v>
      </c>
      <c r="AM748" s="35">
        <f t="shared" si="110"/>
        <v>-3.5808068751493359E-2</v>
      </c>
      <c r="AN748" s="35">
        <f t="shared" si="118"/>
        <v>17.007358569422728</v>
      </c>
      <c r="AO748" s="35" t="str">
        <f t="shared" si="112"/>
        <v>no</v>
      </c>
      <c r="AP748" s="35" t="str">
        <f t="shared" si="113"/>
        <v>FITS BITCH</v>
      </c>
      <c r="AQ748" s="35" t="str">
        <f t="shared" si="113"/>
        <v>FITS BITCH</v>
      </c>
      <c r="AR748" s="35" t="str">
        <f t="shared" si="114"/>
        <v>FITS BITCH</v>
      </c>
      <c r="AS748" s="35" t="str">
        <f t="shared" si="115"/>
        <v>FITS BITCH</v>
      </c>
      <c r="AT748" s="20" t="str">
        <f t="shared" si="116"/>
        <v/>
      </c>
      <c r="AU748" s="20" t="str">
        <f t="shared" si="117"/>
        <v/>
      </c>
      <c r="AV748" s="20"/>
      <c r="AW748" s="20"/>
      <c r="AX748" s="20"/>
    </row>
    <row r="749" spans="31:50">
      <c r="AE749" s="26">
        <f>Data!A744</f>
        <v>41884</v>
      </c>
      <c r="AF749" s="35">
        <f>Data!B744</f>
        <v>83.68</v>
      </c>
      <c r="AG749" s="35">
        <f>Data!F744</f>
        <v>1207029</v>
      </c>
      <c r="AH749" s="35">
        <f>Data!C744</f>
        <v>83.94</v>
      </c>
      <c r="AI749" s="35">
        <f>Data!D744</f>
        <v>83.27</v>
      </c>
      <c r="AJ749" s="35">
        <f>Data!E744</f>
        <v>83.69</v>
      </c>
      <c r="AK749" s="35">
        <f>Data!F744</f>
        <v>1207029</v>
      </c>
      <c r="AL749" s="35">
        <f t="shared" si="111"/>
        <v>83.69</v>
      </c>
      <c r="AM749" s="35">
        <f t="shared" si="110"/>
        <v>-0.10753972995579331</v>
      </c>
      <c r="AN749" s="35">
        <f t="shared" si="118"/>
        <v>11.787952070745607</v>
      </c>
      <c r="AO749" s="35" t="str">
        <f t="shared" si="112"/>
        <v>no</v>
      </c>
      <c r="AP749" s="35" t="str">
        <f t="shared" si="113"/>
        <v>no</v>
      </c>
      <c r="AQ749" s="35" t="str">
        <f t="shared" si="113"/>
        <v>FITS BITCH</v>
      </c>
      <c r="AR749" s="35" t="str">
        <f t="shared" si="114"/>
        <v>FITS BITCH</v>
      </c>
      <c r="AS749" s="35" t="str">
        <f t="shared" si="115"/>
        <v>FITS BITCH</v>
      </c>
      <c r="AT749" s="20" t="str">
        <f t="shared" si="116"/>
        <v/>
      </c>
      <c r="AU749" s="20" t="str">
        <f t="shared" si="117"/>
        <v/>
      </c>
      <c r="AV749" s="20"/>
      <c r="AW749" s="20"/>
      <c r="AX749" s="20"/>
    </row>
    <row r="750" spans="31:50">
      <c r="AE750" s="26">
        <f>Data!A745</f>
        <v>41880</v>
      </c>
      <c r="AF750" s="35">
        <f>Data!B745</f>
        <v>83.95</v>
      </c>
      <c r="AG750" s="35">
        <f>Data!F745</f>
        <v>1556882</v>
      </c>
      <c r="AH750" s="35">
        <f>Data!C745</f>
        <v>83.95</v>
      </c>
      <c r="AI750" s="35">
        <f>Data!D745</f>
        <v>82.91</v>
      </c>
      <c r="AJ750" s="35">
        <f>Data!E745</f>
        <v>83.48</v>
      </c>
      <c r="AK750" s="35">
        <f>Data!F745</f>
        <v>1556882</v>
      </c>
      <c r="AL750" s="35">
        <f t="shared" si="111"/>
        <v>83.48</v>
      </c>
      <c r="AM750" s="35">
        <f t="shared" ref="AM750:AM813" si="119">(AL750-AL749)/AL750*100</f>
        <v>-0.25155725922375871</v>
      </c>
      <c r="AN750" s="35">
        <f t="shared" si="118"/>
        <v>22.471388326154454</v>
      </c>
      <c r="AO750" s="35" t="str">
        <f t="shared" si="112"/>
        <v>no</v>
      </c>
      <c r="AP750" s="35" t="str">
        <f t="shared" si="113"/>
        <v>FITS BITCH</v>
      </c>
      <c r="AQ750" s="35" t="str">
        <f t="shared" si="113"/>
        <v>no</v>
      </c>
      <c r="AR750" s="35" t="str">
        <f t="shared" si="114"/>
        <v>FITS BITCH</v>
      </c>
      <c r="AS750" s="35" t="str">
        <f t="shared" si="115"/>
        <v>no</v>
      </c>
      <c r="AT750" s="20" t="str">
        <f t="shared" si="116"/>
        <v/>
      </c>
      <c r="AU750" s="20" t="str">
        <f t="shared" si="117"/>
        <v/>
      </c>
      <c r="AV750" s="20"/>
      <c r="AW750" s="20"/>
      <c r="AX750" s="20"/>
    </row>
    <row r="751" spans="31:50">
      <c r="AE751" s="26">
        <f>Data!A746</f>
        <v>41879</v>
      </c>
      <c r="AF751" s="35">
        <f>Data!B746</f>
        <v>83.03</v>
      </c>
      <c r="AG751" s="35">
        <f>Data!F746</f>
        <v>832293</v>
      </c>
      <c r="AH751" s="35">
        <f>Data!C746</f>
        <v>83.72</v>
      </c>
      <c r="AI751" s="35">
        <f>Data!D746</f>
        <v>83.03</v>
      </c>
      <c r="AJ751" s="35">
        <f>Data!E746</f>
        <v>83.5</v>
      </c>
      <c r="AK751" s="35">
        <f>Data!F746</f>
        <v>832293</v>
      </c>
      <c r="AL751" s="35">
        <f t="shared" si="111"/>
        <v>83.5</v>
      </c>
      <c r="AM751" s="35">
        <f t="shared" si="119"/>
        <v>2.3952095808378468E-2</v>
      </c>
      <c r="AN751" s="35">
        <f t="shared" si="118"/>
        <v>-87.059364911155086</v>
      </c>
      <c r="AO751" s="35" t="str">
        <f t="shared" si="112"/>
        <v>FITS BITCH</v>
      </c>
      <c r="AP751" s="35" t="str">
        <f t="shared" si="113"/>
        <v>no</v>
      </c>
      <c r="AQ751" s="35" t="str">
        <f t="shared" si="113"/>
        <v>no</v>
      </c>
      <c r="AR751" s="35" t="str">
        <f t="shared" si="114"/>
        <v>FITS BITCH</v>
      </c>
      <c r="AS751" s="35" t="str">
        <f t="shared" si="115"/>
        <v>no</v>
      </c>
      <c r="AT751" s="20" t="str">
        <f t="shared" si="116"/>
        <v/>
      </c>
      <c r="AU751" s="20" t="str">
        <f t="shared" si="117"/>
        <v/>
      </c>
      <c r="AV751" s="20"/>
      <c r="AW751" s="20"/>
      <c r="AX751" s="20"/>
    </row>
    <row r="752" spans="31:50">
      <c r="AE752" s="26">
        <f>Data!A747</f>
        <v>41878</v>
      </c>
      <c r="AF752" s="35">
        <f>Data!B747</f>
        <v>83.75</v>
      </c>
      <c r="AG752" s="35">
        <f>Data!F747</f>
        <v>863274</v>
      </c>
      <c r="AH752" s="35">
        <f>Data!C747</f>
        <v>83.97</v>
      </c>
      <c r="AI752" s="35">
        <f>Data!D747</f>
        <v>83.43</v>
      </c>
      <c r="AJ752" s="35">
        <f>Data!E747</f>
        <v>83.67</v>
      </c>
      <c r="AK752" s="35">
        <f>Data!F747</f>
        <v>863274</v>
      </c>
      <c r="AL752" s="35">
        <f t="shared" si="111"/>
        <v>83.67</v>
      </c>
      <c r="AM752" s="35">
        <f t="shared" si="119"/>
        <v>0.20317915620891802</v>
      </c>
      <c r="AN752" s="35">
        <f t="shared" si="118"/>
        <v>3.5887794605189081</v>
      </c>
      <c r="AO752" s="35" t="str">
        <f t="shared" si="112"/>
        <v>no</v>
      </c>
      <c r="AP752" s="35" t="str">
        <f t="shared" si="113"/>
        <v>no</v>
      </c>
      <c r="AQ752" s="35" t="str">
        <f t="shared" si="113"/>
        <v>FITS BITCH</v>
      </c>
      <c r="AR752" s="35" t="str">
        <f t="shared" si="114"/>
        <v>FITS BITCH</v>
      </c>
      <c r="AS752" s="35" t="str">
        <f t="shared" si="115"/>
        <v>no</v>
      </c>
      <c r="AT752" s="20" t="str">
        <f t="shared" si="116"/>
        <v/>
      </c>
      <c r="AU752" s="20" t="str">
        <f t="shared" si="117"/>
        <v/>
      </c>
      <c r="AV752" s="20"/>
      <c r="AW752" s="20"/>
      <c r="AX752" s="20"/>
    </row>
    <row r="753" spans="31:50">
      <c r="AE753" s="26">
        <f>Data!A748</f>
        <v>41877</v>
      </c>
      <c r="AF753" s="35">
        <f>Data!B748</f>
        <v>83.6</v>
      </c>
      <c r="AG753" s="35">
        <f>Data!F748</f>
        <v>1068826</v>
      </c>
      <c r="AH753" s="35">
        <f>Data!C748</f>
        <v>84.23</v>
      </c>
      <c r="AI753" s="35">
        <f>Data!D748</f>
        <v>83.42</v>
      </c>
      <c r="AJ753" s="35">
        <f>Data!E748</f>
        <v>83.82</v>
      </c>
      <c r="AK753" s="35">
        <f>Data!F748</f>
        <v>1068826</v>
      </c>
      <c r="AL753" s="35">
        <f t="shared" si="111"/>
        <v>83.82</v>
      </c>
      <c r="AM753" s="35">
        <f t="shared" si="119"/>
        <v>0.17895490336434203</v>
      </c>
      <c r="AN753" s="35">
        <f t="shared" si="118"/>
        <v>19.231568094339021</v>
      </c>
      <c r="AO753" s="35" t="str">
        <f t="shared" si="112"/>
        <v>no</v>
      </c>
      <c r="AP753" s="35" t="str">
        <f t="shared" si="113"/>
        <v>FITS BITCH</v>
      </c>
      <c r="AQ753" s="35" t="str">
        <f t="shared" si="113"/>
        <v>FITS BITCH</v>
      </c>
      <c r="AR753" s="35" t="str">
        <f t="shared" si="114"/>
        <v>FITS BITCH</v>
      </c>
      <c r="AS753" s="35" t="str">
        <f t="shared" si="115"/>
        <v>FITS BITCH</v>
      </c>
      <c r="AT753" s="20" t="str">
        <f t="shared" si="116"/>
        <v/>
      </c>
      <c r="AU753" s="20" t="str">
        <f t="shared" si="117"/>
        <v/>
      </c>
      <c r="AV753" s="20"/>
      <c r="AW753" s="20"/>
      <c r="AX753" s="20"/>
    </row>
    <row r="754" spans="31:50">
      <c r="AE754" s="26">
        <f>Data!A749</f>
        <v>41876</v>
      </c>
      <c r="AF754" s="35">
        <f>Data!B749</f>
        <v>83.63</v>
      </c>
      <c r="AG754" s="35">
        <f>Data!F749</f>
        <v>845332</v>
      </c>
      <c r="AH754" s="35">
        <f>Data!C749</f>
        <v>83.94</v>
      </c>
      <c r="AI754" s="35">
        <f>Data!D749</f>
        <v>83.27</v>
      </c>
      <c r="AJ754" s="35">
        <f>Data!E749</f>
        <v>83.62</v>
      </c>
      <c r="AK754" s="35">
        <f>Data!F749</f>
        <v>845332</v>
      </c>
      <c r="AL754" s="35">
        <f t="shared" si="111"/>
        <v>83.62</v>
      </c>
      <c r="AM754" s="35">
        <f t="shared" si="119"/>
        <v>-0.23917723032765922</v>
      </c>
      <c r="AN754" s="35">
        <f t="shared" si="118"/>
        <v>-26.438606370041594</v>
      </c>
      <c r="AO754" s="35" t="str">
        <f t="shared" si="112"/>
        <v>FITS BITCH</v>
      </c>
      <c r="AP754" s="35" t="str">
        <f t="shared" si="113"/>
        <v>no</v>
      </c>
      <c r="AQ754" s="35" t="str">
        <f t="shared" si="113"/>
        <v>no</v>
      </c>
      <c r="AR754" s="35" t="str">
        <f t="shared" si="114"/>
        <v>FITS BITCH</v>
      </c>
      <c r="AS754" s="35" t="str">
        <f t="shared" si="115"/>
        <v>FITS BITCH</v>
      </c>
      <c r="AT754" s="20" t="str">
        <f t="shared" si="116"/>
        <v/>
      </c>
      <c r="AU754" s="20" t="str">
        <f t="shared" si="117"/>
        <v/>
      </c>
      <c r="AV754" s="20"/>
      <c r="AW754" s="20"/>
      <c r="AX754" s="20"/>
    </row>
    <row r="755" spans="31:50">
      <c r="AE755" s="26">
        <f>Data!A750</f>
        <v>41873</v>
      </c>
      <c r="AF755" s="35">
        <f>Data!B750</f>
        <v>84.05</v>
      </c>
      <c r="AG755" s="35">
        <f>Data!F750</f>
        <v>914519</v>
      </c>
      <c r="AH755" s="35">
        <f>Data!C750</f>
        <v>84.2</v>
      </c>
      <c r="AI755" s="35">
        <f>Data!D750</f>
        <v>83.28</v>
      </c>
      <c r="AJ755" s="35">
        <f>Data!E750</f>
        <v>83.49</v>
      </c>
      <c r="AK755" s="35">
        <f>Data!F750</f>
        <v>914519</v>
      </c>
      <c r="AL755" s="35">
        <f t="shared" si="111"/>
        <v>83.49</v>
      </c>
      <c r="AM755" s="35">
        <f t="shared" si="119"/>
        <v>-0.15570727033178783</v>
      </c>
      <c r="AN755" s="35">
        <f t="shared" si="118"/>
        <v>7.5653977664761483</v>
      </c>
      <c r="AO755" s="35" t="str">
        <f t="shared" si="112"/>
        <v>no</v>
      </c>
      <c r="AP755" s="35" t="str">
        <f t="shared" si="113"/>
        <v>FITS BITCH</v>
      </c>
      <c r="AQ755" s="35" t="str">
        <f t="shared" si="113"/>
        <v>FITS BITCH</v>
      </c>
      <c r="AR755" s="35" t="str">
        <f t="shared" si="114"/>
        <v>FITS BITCH</v>
      </c>
      <c r="AS755" s="35" t="str">
        <f t="shared" si="115"/>
        <v>no</v>
      </c>
      <c r="AT755" s="20" t="str">
        <f t="shared" si="116"/>
        <v/>
      </c>
      <c r="AU755" s="20" t="str">
        <f t="shared" si="117"/>
        <v/>
      </c>
      <c r="AV755" s="20"/>
      <c r="AW755" s="20"/>
      <c r="AX755" s="20"/>
    </row>
    <row r="756" spans="31:50">
      <c r="AE756" s="26">
        <f>Data!A751</f>
        <v>41872</v>
      </c>
      <c r="AF756" s="35">
        <f>Data!B751</f>
        <v>83.57</v>
      </c>
      <c r="AG756" s="35">
        <f>Data!F751</f>
        <v>810956</v>
      </c>
      <c r="AH756" s="35">
        <f>Data!C751</f>
        <v>84.07</v>
      </c>
      <c r="AI756" s="35">
        <f>Data!D751</f>
        <v>83.27</v>
      </c>
      <c r="AJ756" s="35">
        <f>Data!E751</f>
        <v>83.89</v>
      </c>
      <c r="AK756" s="35">
        <f>Data!F751</f>
        <v>810956</v>
      </c>
      <c r="AL756" s="35">
        <f t="shared" si="111"/>
        <v>83.89</v>
      </c>
      <c r="AM756" s="35">
        <f t="shared" si="119"/>
        <v>0.47681487662415745</v>
      </c>
      <c r="AN756" s="35">
        <f t="shared" si="118"/>
        <v>-12.770483232135899</v>
      </c>
      <c r="AO756" s="35" t="str">
        <f t="shared" si="112"/>
        <v>FITS BITCH</v>
      </c>
      <c r="AP756" s="35" t="str">
        <f t="shared" si="113"/>
        <v>FITS BITCH</v>
      </c>
      <c r="AQ756" s="35" t="str">
        <f t="shared" si="113"/>
        <v>FITS BITCH</v>
      </c>
      <c r="AR756" s="35" t="str">
        <f t="shared" si="114"/>
        <v>no</v>
      </c>
      <c r="AS756" s="35" t="str">
        <f t="shared" si="115"/>
        <v>FITS BITCH</v>
      </c>
      <c r="AT756" s="20" t="str">
        <f t="shared" si="116"/>
        <v/>
      </c>
      <c r="AU756" s="20" t="str">
        <f t="shared" si="117"/>
        <v>BEARISH</v>
      </c>
      <c r="AV756" s="20"/>
      <c r="AW756" s="20"/>
      <c r="AX756" s="20"/>
    </row>
    <row r="757" spans="31:50">
      <c r="AE757" s="26">
        <f>Data!A752</f>
        <v>41871</v>
      </c>
      <c r="AF757" s="35">
        <f>Data!B752</f>
        <v>83.36</v>
      </c>
      <c r="AG757" s="35">
        <f>Data!F752</f>
        <v>1078073</v>
      </c>
      <c r="AH757" s="35">
        <f>Data!C752</f>
        <v>83.68</v>
      </c>
      <c r="AI757" s="35">
        <f>Data!D752</f>
        <v>82.79</v>
      </c>
      <c r="AJ757" s="35">
        <f>Data!E752</f>
        <v>83.57</v>
      </c>
      <c r="AK757" s="35">
        <f>Data!F752</f>
        <v>1078073</v>
      </c>
      <c r="AL757" s="35">
        <f t="shared" si="111"/>
        <v>83.57</v>
      </c>
      <c r="AM757" s="35">
        <f t="shared" si="119"/>
        <v>-0.38291252841929807</v>
      </c>
      <c r="AN757" s="35">
        <f t="shared" si="118"/>
        <v>24.777264619371785</v>
      </c>
      <c r="AO757" s="35" t="str">
        <f t="shared" si="112"/>
        <v>no</v>
      </c>
      <c r="AP757" s="35" t="str">
        <f t="shared" si="113"/>
        <v>FITS BITCH</v>
      </c>
      <c r="AQ757" s="35" t="str">
        <f t="shared" si="113"/>
        <v>no</v>
      </c>
      <c r="AR757" s="35" t="str">
        <f t="shared" si="114"/>
        <v>no</v>
      </c>
      <c r="AS757" s="35" t="str">
        <f t="shared" si="115"/>
        <v>FITS BITCH</v>
      </c>
      <c r="AT757" s="20" t="str">
        <f t="shared" si="116"/>
        <v/>
      </c>
      <c r="AU757" s="20" t="str">
        <f t="shared" si="117"/>
        <v/>
      </c>
      <c r="AV757" s="20"/>
      <c r="AW757" s="20"/>
      <c r="AX757" s="20"/>
    </row>
    <row r="758" spans="31:50">
      <c r="AE758" s="26">
        <f>Data!A753</f>
        <v>41870</v>
      </c>
      <c r="AF758" s="35">
        <f>Data!B753</f>
        <v>83.01</v>
      </c>
      <c r="AG758" s="35">
        <f>Data!F753</f>
        <v>841192</v>
      </c>
      <c r="AH758" s="35">
        <f>Data!C753</f>
        <v>83.55</v>
      </c>
      <c r="AI758" s="35">
        <f>Data!D753</f>
        <v>82.95</v>
      </c>
      <c r="AJ758" s="35">
        <f>Data!E753</f>
        <v>83.43</v>
      </c>
      <c r="AK758" s="35">
        <f>Data!F753</f>
        <v>841192</v>
      </c>
      <c r="AL758" s="35">
        <f t="shared" si="111"/>
        <v>83.43</v>
      </c>
      <c r="AM758" s="35">
        <f t="shared" si="119"/>
        <v>-0.16780534579885695</v>
      </c>
      <c r="AN758" s="35">
        <f t="shared" si="118"/>
        <v>-28.160158441830163</v>
      </c>
      <c r="AO758" s="35" t="str">
        <f t="shared" si="112"/>
        <v>FITS BITCH</v>
      </c>
      <c r="AP758" s="35" t="str">
        <f t="shared" si="113"/>
        <v>FITS BITCH</v>
      </c>
      <c r="AQ758" s="35" t="str">
        <f t="shared" si="113"/>
        <v>FITS BITCH</v>
      </c>
      <c r="AR758" s="35" t="str">
        <f t="shared" si="114"/>
        <v>no</v>
      </c>
      <c r="AS758" s="35" t="str">
        <f t="shared" si="115"/>
        <v>FITS BITCH</v>
      </c>
      <c r="AT758" s="20" t="str">
        <f t="shared" si="116"/>
        <v/>
      </c>
      <c r="AU758" s="20" t="str">
        <f t="shared" si="117"/>
        <v>BEARISH</v>
      </c>
      <c r="AV758" s="20"/>
      <c r="AW758" s="20"/>
      <c r="AX758" s="20"/>
    </row>
    <row r="759" spans="31:50">
      <c r="AE759" s="26">
        <f>Data!A754</f>
        <v>41869</v>
      </c>
      <c r="AF759" s="35">
        <f>Data!B754</f>
        <v>82.62</v>
      </c>
      <c r="AG759" s="35">
        <f>Data!F754</f>
        <v>941475</v>
      </c>
      <c r="AH759" s="35">
        <f>Data!C754</f>
        <v>83.33</v>
      </c>
      <c r="AI759" s="35">
        <f>Data!D754</f>
        <v>82.5</v>
      </c>
      <c r="AJ759" s="35">
        <f>Data!E754</f>
        <v>83.25</v>
      </c>
      <c r="AK759" s="35">
        <f>Data!F754</f>
        <v>941475</v>
      </c>
      <c r="AL759" s="35">
        <f t="shared" si="111"/>
        <v>83.25</v>
      </c>
      <c r="AM759" s="35">
        <f t="shared" si="119"/>
        <v>-0.21621621621622442</v>
      </c>
      <c r="AN759" s="35">
        <f t="shared" si="118"/>
        <v>10.651690167025146</v>
      </c>
      <c r="AO759" s="35" t="str">
        <f t="shared" si="112"/>
        <v>no</v>
      </c>
      <c r="AP759" s="35" t="str">
        <f t="shared" si="113"/>
        <v>FITS BITCH</v>
      </c>
      <c r="AQ759" s="35" t="str">
        <f t="shared" si="113"/>
        <v>FITS BITCH</v>
      </c>
      <c r="AR759" s="35" t="str">
        <f t="shared" si="114"/>
        <v>no</v>
      </c>
      <c r="AS759" s="35" t="str">
        <f t="shared" si="115"/>
        <v>FITS BITCH</v>
      </c>
      <c r="AT759" s="20" t="str">
        <f t="shared" si="116"/>
        <v/>
      </c>
      <c r="AU759" s="20" t="str">
        <f t="shared" si="117"/>
        <v/>
      </c>
      <c r="AV759" s="20"/>
      <c r="AW759" s="20"/>
      <c r="AX759" s="20"/>
    </row>
    <row r="760" spans="31:50">
      <c r="AE760" s="26">
        <f>Data!A755</f>
        <v>41866</v>
      </c>
      <c r="AF760" s="35">
        <f>Data!B755</f>
        <v>83.14</v>
      </c>
      <c r="AG760" s="35">
        <f>Data!F755</f>
        <v>1655207</v>
      </c>
      <c r="AH760" s="35">
        <f>Data!C755</f>
        <v>83.15</v>
      </c>
      <c r="AI760" s="35">
        <f>Data!D755</f>
        <v>81.67</v>
      </c>
      <c r="AJ760" s="35">
        <f>Data!E755</f>
        <v>82.27</v>
      </c>
      <c r="AK760" s="35">
        <f>Data!F755</f>
        <v>1655207</v>
      </c>
      <c r="AL760" s="35">
        <f t="shared" si="111"/>
        <v>82.27</v>
      </c>
      <c r="AM760" s="35">
        <f t="shared" si="119"/>
        <v>-1.1911997082776273</v>
      </c>
      <c r="AN760" s="35">
        <f t="shared" si="118"/>
        <v>43.120407296489198</v>
      </c>
      <c r="AO760" s="35" t="str">
        <f t="shared" si="112"/>
        <v>no</v>
      </c>
      <c r="AP760" s="35" t="str">
        <f t="shared" si="113"/>
        <v>no</v>
      </c>
      <c r="AQ760" s="35" t="str">
        <f t="shared" si="113"/>
        <v>no</v>
      </c>
      <c r="AR760" s="35" t="str">
        <f t="shared" si="114"/>
        <v>FITS BITCH</v>
      </c>
      <c r="AS760" s="35" t="str">
        <f t="shared" si="115"/>
        <v>no</v>
      </c>
      <c r="AT760" s="20" t="str">
        <f t="shared" si="116"/>
        <v/>
      </c>
      <c r="AU760" s="20" t="str">
        <f t="shared" si="117"/>
        <v/>
      </c>
      <c r="AV760" s="20"/>
      <c r="AW760" s="20"/>
      <c r="AX760" s="20"/>
    </row>
    <row r="761" spans="31:50">
      <c r="AE761" s="26">
        <f>Data!A756</f>
        <v>41865</v>
      </c>
      <c r="AF761" s="35">
        <f>Data!B756</f>
        <v>83.78</v>
      </c>
      <c r="AG761" s="35">
        <f>Data!F756</f>
        <v>795070</v>
      </c>
      <c r="AH761" s="35">
        <f>Data!C756</f>
        <v>83.78</v>
      </c>
      <c r="AI761" s="35">
        <f>Data!D756</f>
        <v>81.69</v>
      </c>
      <c r="AJ761" s="35">
        <f>Data!E756</f>
        <v>82.39</v>
      </c>
      <c r="AK761" s="35">
        <f>Data!F756</f>
        <v>795070</v>
      </c>
      <c r="AL761" s="35">
        <f t="shared" si="111"/>
        <v>82.39</v>
      </c>
      <c r="AM761" s="35">
        <f t="shared" si="119"/>
        <v>0.14564874377959042</v>
      </c>
      <c r="AN761" s="35">
        <f t="shared" si="118"/>
        <v>-108.18380771504397</v>
      </c>
      <c r="AO761" s="35" t="str">
        <f t="shared" si="112"/>
        <v>FITS BITCH</v>
      </c>
      <c r="AP761" s="35" t="str">
        <f t="shared" si="113"/>
        <v>FITS BITCH</v>
      </c>
      <c r="AQ761" s="35" t="str">
        <f t="shared" si="113"/>
        <v>FITS BITCH</v>
      </c>
      <c r="AR761" s="35" t="str">
        <f t="shared" si="114"/>
        <v>no</v>
      </c>
      <c r="AS761" s="35" t="str">
        <f t="shared" si="115"/>
        <v>FITS BITCH</v>
      </c>
      <c r="AT761" s="20" t="str">
        <f t="shared" si="116"/>
        <v/>
      </c>
      <c r="AU761" s="20" t="str">
        <f t="shared" si="117"/>
        <v>BEARISH</v>
      </c>
      <c r="AV761" s="20"/>
      <c r="AW761" s="20"/>
      <c r="AX761" s="20"/>
    </row>
    <row r="762" spans="31:50">
      <c r="AE762" s="26">
        <f>Data!A757</f>
        <v>41864</v>
      </c>
      <c r="AF762" s="35">
        <f>Data!B757</f>
        <v>81.739999999999995</v>
      </c>
      <c r="AG762" s="35">
        <f>Data!F757</f>
        <v>1059058</v>
      </c>
      <c r="AH762" s="35">
        <f>Data!C757</f>
        <v>82.07</v>
      </c>
      <c r="AI762" s="35">
        <f>Data!D757</f>
        <v>81.17</v>
      </c>
      <c r="AJ762" s="35">
        <f>Data!E757</f>
        <v>82</v>
      </c>
      <c r="AK762" s="35">
        <f>Data!F757</f>
        <v>1059058</v>
      </c>
      <c r="AL762" s="35">
        <f t="shared" si="111"/>
        <v>82</v>
      </c>
      <c r="AM762" s="35">
        <f t="shared" si="119"/>
        <v>-0.47560975609756168</v>
      </c>
      <c r="AN762" s="35">
        <f t="shared" si="118"/>
        <v>24.926680125167838</v>
      </c>
      <c r="AO762" s="35" t="str">
        <f t="shared" si="112"/>
        <v>no</v>
      </c>
      <c r="AP762" s="35" t="str">
        <f t="shared" si="113"/>
        <v>FITS BITCH</v>
      </c>
      <c r="AQ762" s="35" t="str">
        <f t="shared" si="113"/>
        <v>FITS BITCH</v>
      </c>
      <c r="AR762" s="35" t="str">
        <f t="shared" si="114"/>
        <v>no</v>
      </c>
      <c r="AS762" s="35" t="str">
        <f t="shared" si="115"/>
        <v>FITS BITCH</v>
      </c>
      <c r="AT762" s="20" t="str">
        <f t="shared" si="116"/>
        <v/>
      </c>
      <c r="AU762" s="20" t="str">
        <f t="shared" si="117"/>
        <v/>
      </c>
      <c r="AV762" s="20"/>
      <c r="AW762" s="20"/>
      <c r="AX762" s="20"/>
    </row>
    <row r="763" spans="31:50">
      <c r="AE763" s="26">
        <f>Data!A758</f>
        <v>41863</v>
      </c>
      <c r="AF763" s="35">
        <f>Data!B758</f>
        <v>81.11</v>
      </c>
      <c r="AG763" s="35">
        <f>Data!F758</f>
        <v>1023057</v>
      </c>
      <c r="AH763" s="35">
        <f>Data!C758</f>
        <v>81.680000000000007</v>
      </c>
      <c r="AI763" s="35">
        <f>Data!D758</f>
        <v>80.930000000000007</v>
      </c>
      <c r="AJ763" s="35">
        <f>Data!E758</f>
        <v>81.27</v>
      </c>
      <c r="AK763" s="35">
        <f>Data!F758</f>
        <v>1023057</v>
      </c>
      <c r="AL763" s="35">
        <f t="shared" si="111"/>
        <v>81.27</v>
      </c>
      <c r="AM763" s="35">
        <f t="shared" si="119"/>
        <v>-0.89824043312415891</v>
      </c>
      <c r="AN763" s="35">
        <f t="shared" si="118"/>
        <v>-3.5189632640214574</v>
      </c>
      <c r="AO763" s="35" t="str">
        <f t="shared" si="112"/>
        <v>no</v>
      </c>
      <c r="AP763" s="35" t="str">
        <f t="shared" si="113"/>
        <v>no</v>
      </c>
      <c r="AQ763" s="35" t="str">
        <f t="shared" si="113"/>
        <v>no</v>
      </c>
      <c r="AR763" s="35" t="str">
        <f t="shared" si="114"/>
        <v>FITS BITCH</v>
      </c>
      <c r="AS763" s="35" t="str">
        <f t="shared" si="115"/>
        <v>no</v>
      </c>
      <c r="AT763" s="20" t="str">
        <f t="shared" si="116"/>
        <v/>
      </c>
      <c r="AU763" s="20" t="str">
        <f t="shared" si="117"/>
        <v/>
      </c>
      <c r="AV763" s="20"/>
      <c r="AW763" s="20"/>
      <c r="AX763" s="20"/>
    </row>
    <row r="764" spans="31:50">
      <c r="AE764" s="26">
        <f>Data!A759</f>
        <v>41862</v>
      </c>
      <c r="AF764" s="35">
        <f>Data!B759</f>
        <v>81.209999999999994</v>
      </c>
      <c r="AG764" s="35">
        <f>Data!F759</f>
        <v>983637</v>
      </c>
      <c r="AH764" s="35">
        <f>Data!C759</f>
        <v>81.739999999999995</v>
      </c>
      <c r="AI764" s="35">
        <f>Data!D759</f>
        <v>81.16</v>
      </c>
      <c r="AJ764" s="35">
        <f>Data!E759</f>
        <v>81.34</v>
      </c>
      <c r="AK764" s="35">
        <f>Data!F759</f>
        <v>983637</v>
      </c>
      <c r="AL764" s="35">
        <f t="shared" si="111"/>
        <v>81.34</v>
      </c>
      <c r="AM764" s="35">
        <f t="shared" si="119"/>
        <v>8.6058519793468624E-2</v>
      </c>
      <c r="AN764" s="35">
        <f t="shared" si="118"/>
        <v>-4.0075759655238672</v>
      </c>
      <c r="AO764" s="35" t="str">
        <f t="shared" si="112"/>
        <v>no</v>
      </c>
      <c r="AP764" s="35" t="str">
        <f t="shared" si="113"/>
        <v>FITS BITCH</v>
      </c>
      <c r="AQ764" s="35" t="str">
        <f t="shared" si="113"/>
        <v>FITS BITCH</v>
      </c>
      <c r="AR764" s="35" t="str">
        <f t="shared" si="114"/>
        <v>no</v>
      </c>
      <c r="AS764" s="35" t="str">
        <f t="shared" si="115"/>
        <v>FITS BITCH</v>
      </c>
      <c r="AT764" s="20" t="str">
        <f t="shared" si="116"/>
        <v/>
      </c>
      <c r="AU764" s="20" t="str">
        <f t="shared" si="117"/>
        <v/>
      </c>
      <c r="AV764" s="20"/>
      <c r="AW764" s="20"/>
      <c r="AX764" s="20"/>
    </row>
    <row r="765" spans="31:50">
      <c r="AE765" s="26">
        <f>Data!A760</f>
        <v>41859</v>
      </c>
      <c r="AF765" s="35">
        <f>Data!B760</f>
        <v>80.2</v>
      </c>
      <c r="AG765" s="35">
        <f>Data!F760</f>
        <v>1285203</v>
      </c>
      <c r="AH765" s="35">
        <f>Data!C760</f>
        <v>81.28</v>
      </c>
      <c r="AI765" s="35">
        <f>Data!D760</f>
        <v>80.2</v>
      </c>
      <c r="AJ765" s="35">
        <f>Data!E760</f>
        <v>81.12</v>
      </c>
      <c r="AK765" s="35">
        <f>Data!F760</f>
        <v>1285203</v>
      </c>
      <c r="AL765" s="35">
        <f t="shared" si="111"/>
        <v>81.12</v>
      </c>
      <c r="AM765" s="35">
        <f t="shared" si="119"/>
        <v>-0.27120315581853899</v>
      </c>
      <c r="AN765" s="35">
        <f t="shared" si="118"/>
        <v>23.46446436866394</v>
      </c>
      <c r="AO765" s="35" t="str">
        <f t="shared" si="112"/>
        <v>no</v>
      </c>
      <c r="AP765" s="35" t="str">
        <f t="shared" si="113"/>
        <v>FITS BITCH</v>
      </c>
      <c r="AQ765" s="35" t="str">
        <f t="shared" si="113"/>
        <v>FITS BITCH</v>
      </c>
      <c r="AR765" s="35" t="str">
        <f t="shared" si="114"/>
        <v>no</v>
      </c>
      <c r="AS765" s="35" t="str">
        <f t="shared" si="115"/>
        <v>FITS BITCH</v>
      </c>
      <c r="AT765" s="20" t="str">
        <f t="shared" si="116"/>
        <v/>
      </c>
      <c r="AU765" s="20" t="str">
        <f t="shared" si="117"/>
        <v/>
      </c>
      <c r="AV765" s="20"/>
      <c r="AW765" s="20"/>
      <c r="AX765" s="20"/>
    </row>
    <row r="766" spans="31:50">
      <c r="AE766" s="26">
        <f>Data!A761</f>
        <v>41858</v>
      </c>
      <c r="AF766" s="35">
        <f>Data!B761</f>
        <v>80.680000000000007</v>
      </c>
      <c r="AG766" s="35">
        <f>Data!F761</f>
        <v>1320666</v>
      </c>
      <c r="AH766" s="35">
        <f>Data!C761</f>
        <v>80.97</v>
      </c>
      <c r="AI766" s="35">
        <f>Data!D761</f>
        <v>79.81</v>
      </c>
      <c r="AJ766" s="35">
        <f>Data!E761</f>
        <v>80.069999999999993</v>
      </c>
      <c r="AK766" s="35">
        <f>Data!F761</f>
        <v>1320666</v>
      </c>
      <c r="AL766" s="35">
        <f t="shared" si="111"/>
        <v>80.069999999999993</v>
      </c>
      <c r="AM766" s="35">
        <f t="shared" si="119"/>
        <v>-1.3113525665043229</v>
      </c>
      <c r="AN766" s="35">
        <f t="shared" si="118"/>
        <v>2.685236085429624</v>
      </c>
      <c r="AO766" s="35" t="str">
        <f t="shared" si="112"/>
        <v>no</v>
      </c>
      <c r="AP766" s="35" t="str">
        <f t="shared" si="113"/>
        <v>FITS BITCH</v>
      </c>
      <c r="AQ766" s="35" t="str">
        <f t="shared" si="113"/>
        <v>no</v>
      </c>
      <c r="AR766" s="35" t="str">
        <f t="shared" si="114"/>
        <v>FITS BITCH</v>
      </c>
      <c r="AS766" s="35" t="str">
        <f t="shared" si="115"/>
        <v>no</v>
      </c>
      <c r="AT766" s="20" t="str">
        <f t="shared" si="116"/>
        <v/>
      </c>
      <c r="AU766" s="20" t="str">
        <f t="shared" si="117"/>
        <v/>
      </c>
      <c r="AV766" s="20"/>
      <c r="AW766" s="20"/>
      <c r="AX766" s="20"/>
    </row>
    <row r="767" spans="31:50">
      <c r="AE767" s="26">
        <f>Data!A762</f>
        <v>41857</v>
      </c>
      <c r="AF767" s="35">
        <f>Data!B762</f>
        <v>80.42</v>
      </c>
      <c r="AG767" s="35">
        <f>Data!F762</f>
        <v>1039691</v>
      </c>
      <c r="AH767" s="35">
        <f>Data!C762</f>
        <v>80.67</v>
      </c>
      <c r="AI767" s="35">
        <f>Data!D762</f>
        <v>80.14</v>
      </c>
      <c r="AJ767" s="35">
        <f>Data!E762</f>
        <v>80.36</v>
      </c>
      <c r="AK767" s="35">
        <f>Data!F762</f>
        <v>1039691</v>
      </c>
      <c r="AL767" s="35">
        <f t="shared" si="111"/>
        <v>80.36</v>
      </c>
      <c r="AM767" s="35">
        <f t="shared" si="119"/>
        <v>0.36087605774017706</v>
      </c>
      <c r="AN767" s="35">
        <f t="shared" si="118"/>
        <v>-27.024856423687421</v>
      </c>
      <c r="AO767" s="35" t="str">
        <f t="shared" si="112"/>
        <v>FITS BITCH</v>
      </c>
      <c r="AP767" s="35" t="str">
        <f t="shared" si="113"/>
        <v>no</v>
      </c>
      <c r="AQ767" s="35" t="str">
        <f t="shared" si="113"/>
        <v>no</v>
      </c>
      <c r="AR767" s="35" t="str">
        <f t="shared" si="114"/>
        <v>FITS BITCH</v>
      </c>
      <c r="AS767" s="35" t="str">
        <f t="shared" si="115"/>
        <v>no</v>
      </c>
      <c r="AT767" s="20" t="str">
        <f t="shared" si="116"/>
        <v/>
      </c>
      <c r="AU767" s="20" t="str">
        <f t="shared" si="117"/>
        <v/>
      </c>
      <c r="AV767" s="20"/>
      <c r="AW767" s="20"/>
      <c r="AX767" s="20"/>
    </row>
    <row r="768" spans="31:50">
      <c r="AE768" s="26">
        <f>Data!A763</f>
        <v>41856</v>
      </c>
      <c r="AF768" s="35">
        <f>Data!B763</f>
        <v>81.23</v>
      </c>
      <c r="AG768" s="35">
        <f>Data!F763</f>
        <v>1537227</v>
      </c>
      <c r="AH768" s="35">
        <f>Data!C763</f>
        <v>81.23</v>
      </c>
      <c r="AI768" s="35">
        <f>Data!D763</f>
        <v>80.16</v>
      </c>
      <c r="AJ768" s="35">
        <f>Data!E763</f>
        <v>80.48</v>
      </c>
      <c r="AK768" s="35">
        <f>Data!F763</f>
        <v>1537227</v>
      </c>
      <c r="AL768" s="35">
        <f t="shared" si="111"/>
        <v>80.48</v>
      </c>
      <c r="AM768" s="35">
        <f t="shared" si="119"/>
        <v>0.14910536779324618</v>
      </c>
      <c r="AN768" s="35">
        <f t="shared" si="118"/>
        <v>32.365811945795905</v>
      </c>
      <c r="AO768" s="35" t="str">
        <f t="shared" si="112"/>
        <v>no</v>
      </c>
      <c r="AP768" s="35" t="str">
        <f t="shared" si="113"/>
        <v>no</v>
      </c>
      <c r="AQ768" s="35" t="str">
        <f t="shared" si="113"/>
        <v>no</v>
      </c>
      <c r="AR768" s="35" t="str">
        <f t="shared" si="114"/>
        <v>FITS BITCH</v>
      </c>
      <c r="AS768" s="35" t="str">
        <f t="shared" si="115"/>
        <v>no</v>
      </c>
      <c r="AT768" s="20" t="str">
        <f t="shared" si="116"/>
        <v/>
      </c>
      <c r="AU768" s="20" t="str">
        <f t="shared" si="117"/>
        <v/>
      </c>
      <c r="AV768" s="20"/>
      <c r="AW768" s="20"/>
      <c r="AX768" s="20"/>
    </row>
    <row r="769" spans="31:50">
      <c r="AE769" s="26">
        <f>Data!A764</f>
        <v>41855</v>
      </c>
      <c r="AF769" s="35">
        <f>Data!B764</f>
        <v>81.319999999999993</v>
      </c>
      <c r="AG769" s="35">
        <f>Data!F764</f>
        <v>2117064</v>
      </c>
      <c r="AH769" s="35">
        <f>Data!C764</f>
        <v>81.5</v>
      </c>
      <c r="AI769" s="35">
        <f>Data!D764</f>
        <v>80.59</v>
      </c>
      <c r="AJ769" s="35">
        <f>Data!E764</f>
        <v>81.209999999999994</v>
      </c>
      <c r="AK769" s="35">
        <f>Data!F764</f>
        <v>2117064</v>
      </c>
      <c r="AL769" s="35">
        <f t="shared" si="111"/>
        <v>81.209999999999994</v>
      </c>
      <c r="AM769" s="35">
        <f t="shared" si="119"/>
        <v>0.89890407585271492</v>
      </c>
      <c r="AN769" s="35">
        <f t="shared" si="118"/>
        <v>27.388732697736113</v>
      </c>
      <c r="AO769" s="35" t="str">
        <f t="shared" si="112"/>
        <v>no</v>
      </c>
      <c r="AP769" s="35" t="str">
        <f t="shared" si="113"/>
        <v>no</v>
      </c>
      <c r="AQ769" s="35" t="str">
        <f t="shared" si="113"/>
        <v>no</v>
      </c>
      <c r="AR769" s="35" t="str">
        <f t="shared" si="114"/>
        <v>FITS BITCH</v>
      </c>
      <c r="AS769" s="35" t="str">
        <f t="shared" si="115"/>
        <v>no</v>
      </c>
      <c r="AT769" s="20" t="str">
        <f t="shared" si="116"/>
        <v/>
      </c>
      <c r="AU769" s="20" t="str">
        <f t="shared" si="117"/>
        <v/>
      </c>
      <c r="AV769" s="20"/>
      <c r="AW769" s="20"/>
      <c r="AX769" s="20"/>
    </row>
    <row r="770" spans="31:50">
      <c r="AE770" s="26">
        <f>Data!A765</f>
        <v>41852</v>
      </c>
      <c r="AF770" s="35">
        <f>Data!B765</f>
        <v>80.87</v>
      </c>
      <c r="AG770" s="35">
        <f>Data!F765</f>
        <v>1687668</v>
      </c>
      <c r="AH770" s="35">
        <f>Data!C765</f>
        <v>81.83</v>
      </c>
      <c r="AI770" s="35">
        <f>Data!D765</f>
        <v>80.87</v>
      </c>
      <c r="AJ770" s="35">
        <f>Data!E765</f>
        <v>81.540000000000006</v>
      </c>
      <c r="AK770" s="35">
        <f>Data!F765</f>
        <v>1687668</v>
      </c>
      <c r="AL770" s="35">
        <f t="shared" si="111"/>
        <v>81.540000000000006</v>
      </c>
      <c r="AM770" s="35">
        <f t="shared" si="119"/>
        <v>0.40470934510671142</v>
      </c>
      <c r="AN770" s="35">
        <f t="shared" si="118"/>
        <v>-25.443155881370032</v>
      </c>
      <c r="AO770" s="35" t="str">
        <f t="shared" si="112"/>
        <v>FITS BITCH</v>
      </c>
      <c r="AP770" s="35" t="str">
        <f t="shared" si="113"/>
        <v>no</v>
      </c>
      <c r="AQ770" s="35" t="str">
        <f t="shared" si="113"/>
        <v>no</v>
      </c>
      <c r="AR770" s="35" t="str">
        <f t="shared" si="114"/>
        <v>FITS BITCH</v>
      </c>
      <c r="AS770" s="35" t="str">
        <f t="shared" si="115"/>
        <v>FITS BITCH</v>
      </c>
      <c r="AT770" s="20" t="str">
        <f t="shared" si="116"/>
        <v/>
      </c>
      <c r="AU770" s="20" t="str">
        <f t="shared" si="117"/>
        <v/>
      </c>
      <c r="AV770" s="20"/>
      <c r="AW770" s="20"/>
      <c r="AX770" s="20"/>
    </row>
    <row r="771" spans="31:50">
      <c r="AE771" s="26">
        <f>Data!A766</f>
        <v>41851</v>
      </c>
      <c r="AF771" s="35">
        <f>Data!B766</f>
        <v>82.23</v>
      </c>
      <c r="AG771" s="35">
        <f>Data!F766</f>
        <v>1638190</v>
      </c>
      <c r="AH771" s="35">
        <f>Data!C766</f>
        <v>82.5</v>
      </c>
      <c r="AI771" s="35">
        <f>Data!D766</f>
        <v>80.930000000000007</v>
      </c>
      <c r="AJ771" s="35">
        <f>Data!E766</f>
        <v>81.31</v>
      </c>
      <c r="AK771" s="35">
        <f>Data!F766</f>
        <v>1638190</v>
      </c>
      <c r="AL771" s="35">
        <f t="shared" si="111"/>
        <v>81.31</v>
      </c>
      <c r="AM771" s="35">
        <f t="shared" si="119"/>
        <v>-0.28286803591194681</v>
      </c>
      <c r="AN771" s="35">
        <f t="shared" si="118"/>
        <v>-3.0202845823744497</v>
      </c>
      <c r="AO771" s="35" t="str">
        <f t="shared" si="112"/>
        <v>no</v>
      </c>
      <c r="AP771" s="35" t="str">
        <f t="shared" si="113"/>
        <v>FITS BITCH</v>
      </c>
      <c r="AQ771" s="35" t="str">
        <f t="shared" si="113"/>
        <v>no</v>
      </c>
      <c r="AR771" s="35" t="str">
        <f t="shared" si="114"/>
        <v>FITS BITCH</v>
      </c>
      <c r="AS771" s="35" t="str">
        <f t="shared" si="115"/>
        <v>no</v>
      </c>
      <c r="AT771" s="20" t="str">
        <f t="shared" si="116"/>
        <v/>
      </c>
      <c r="AU771" s="20" t="str">
        <f t="shared" si="117"/>
        <v/>
      </c>
      <c r="AV771" s="20"/>
      <c r="AW771" s="20"/>
      <c r="AX771" s="20"/>
    </row>
    <row r="772" spans="31:50">
      <c r="AE772" s="26">
        <f>Data!A767</f>
        <v>41850</v>
      </c>
      <c r="AF772" s="35">
        <f>Data!B767</f>
        <v>82.33</v>
      </c>
      <c r="AG772" s="35">
        <f>Data!F767</f>
        <v>1667184</v>
      </c>
      <c r="AH772" s="35">
        <f>Data!C767</f>
        <v>82.46</v>
      </c>
      <c r="AI772" s="35">
        <f>Data!D767</f>
        <v>81.709999999999994</v>
      </c>
      <c r="AJ772" s="35">
        <f>Data!E767</f>
        <v>82.15</v>
      </c>
      <c r="AK772" s="35">
        <f>Data!F767</f>
        <v>1667184</v>
      </c>
      <c r="AL772" s="35">
        <f t="shared" si="111"/>
        <v>82.15</v>
      </c>
      <c r="AM772" s="35">
        <f t="shared" si="119"/>
        <v>1.0225197808886226</v>
      </c>
      <c r="AN772" s="35">
        <f t="shared" si="118"/>
        <v>1.7391001833031026</v>
      </c>
      <c r="AO772" s="35" t="str">
        <f t="shared" si="112"/>
        <v>no</v>
      </c>
      <c r="AP772" s="35" t="str">
        <f t="shared" si="113"/>
        <v>no</v>
      </c>
      <c r="AQ772" s="35" t="str">
        <f t="shared" si="113"/>
        <v>no</v>
      </c>
      <c r="AR772" s="35" t="str">
        <f t="shared" si="114"/>
        <v>FITS BITCH</v>
      </c>
      <c r="AS772" s="35" t="str">
        <f t="shared" si="115"/>
        <v>FITS BITCH</v>
      </c>
      <c r="AT772" s="20" t="str">
        <f t="shared" si="116"/>
        <v/>
      </c>
      <c r="AU772" s="20" t="str">
        <f t="shared" si="117"/>
        <v/>
      </c>
      <c r="AV772" s="20"/>
      <c r="AW772" s="20"/>
      <c r="AX772" s="20"/>
    </row>
    <row r="773" spans="31:50">
      <c r="AE773" s="26">
        <f>Data!A768</f>
        <v>41849</v>
      </c>
      <c r="AF773" s="35">
        <f>Data!B768</f>
        <v>82.64</v>
      </c>
      <c r="AG773" s="35">
        <f>Data!F768</f>
        <v>1321632</v>
      </c>
      <c r="AH773" s="35">
        <f>Data!C768</f>
        <v>82.69</v>
      </c>
      <c r="AI773" s="35">
        <f>Data!D768</f>
        <v>81.87</v>
      </c>
      <c r="AJ773" s="35">
        <f>Data!E768</f>
        <v>81.87</v>
      </c>
      <c r="AK773" s="35">
        <f>Data!F768</f>
        <v>1321632</v>
      </c>
      <c r="AL773" s="35">
        <f t="shared" si="111"/>
        <v>81.87</v>
      </c>
      <c r="AM773" s="35">
        <f t="shared" si="119"/>
        <v>-0.34200561866373658</v>
      </c>
      <c r="AN773" s="35">
        <f t="shared" si="118"/>
        <v>-26.145856032541587</v>
      </c>
      <c r="AO773" s="35" t="str">
        <f t="shared" si="112"/>
        <v>FITS BITCH</v>
      </c>
      <c r="AP773" s="35" t="str">
        <f t="shared" si="113"/>
        <v>FITS BITCH</v>
      </c>
      <c r="AQ773" s="35" t="str">
        <f t="shared" si="113"/>
        <v>no</v>
      </c>
      <c r="AR773" s="35" t="str">
        <f t="shared" si="114"/>
        <v>FITS BITCH</v>
      </c>
      <c r="AS773" s="35" t="str">
        <f t="shared" si="115"/>
        <v>no</v>
      </c>
      <c r="AT773" s="20" t="str">
        <f t="shared" si="116"/>
        <v>BULLISH</v>
      </c>
      <c r="AU773" s="20" t="str">
        <f t="shared" si="117"/>
        <v/>
      </c>
      <c r="AV773" s="20"/>
      <c r="AW773" s="20"/>
      <c r="AX773" s="20"/>
    </row>
    <row r="774" spans="31:50">
      <c r="AE774" s="26">
        <f>Data!A769</f>
        <v>41848</v>
      </c>
      <c r="AF774" s="35">
        <f>Data!B769</f>
        <v>82.47</v>
      </c>
      <c r="AG774" s="35">
        <f>Data!F769</f>
        <v>882530</v>
      </c>
      <c r="AH774" s="35">
        <f>Data!C769</f>
        <v>82.61</v>
      </c>
      <c r="AI774" s="35">
        <f>Data!D769</f>
        <v>81.91</v>
      </c>
      <c r="AJ774" s="35">
        <f>Data!E769</f>
        <v>82.49</v>
      </c>
      <c r="AK774" s="35">
        <f>Data!F769</f>
        <v>882530</v>
      </c>
      <c r="AL774" s="35">
        <f t="shared" ref="AL774:AL837" si="120">AJ774</f>
        <v>82.49</v>
      </c>
      <c r="AM774" s="35">
        <f t="shared" si="119"/>
        <v>0.75160625530366154</v>
      </c>
      <c r="AN774" s="35">
        <f t="shared" si="118"/>
        <v>-49.754909181557565</v>
      </c>
      <c r="AO774" s="35" t="str">
        <f t="shared" si="112"/>
        <v>FITS BITCH</v>
      </c>
      <c r="AP774" s="35" t="str">
        <f t="shared" si="113"/>
        <v>no</v>
      </c>
      <c r="AQ774" s="35" t="str">
        <f t="shared" si="113"/>
        <v>no</v>
      </c>
      <c r="AR774" s="35" t="str">
        <f t="shared" si="114"/>
        <v>FITS BITCH</v>
      </c>
      <c r="AS774" s="35" t="str">
        <f t="shared" si="115"/>
        <v>no</v>
      </c>
      <c r="AT774" s="20" t="str">
        <f t="shared" si="116"/>
        <v/>
      </c>
      <c r="AU774" s="20" t="str">
        <f t="shared" si="117"/>
        <v/>
      </c>
      <c r="AV774" s="20"/>
      <c r="AW774" s="20"/>
      <c r="AX774" s="20"/>
    </row>
    <row r="775" spans="31:50">
      <c r="AE775" s="26">
        <f>Data!A770</f>
        <v>41845</v>
      </c>
      <c r="AF775" s="35">
        <f>Data!B770</f>
        <v>82.52</v>
      </c>
      <c r="AG775" s="35">
        <f>Data!F770</f>
        <v>1197562</v>
      </c>
      <c r="AH775" s="35">
        <f>Data!C770</f>
        <v>82.62</v>
      </c>
      <c r="AI775" s="35">
        <f>Data!D770</f>
        <v>82.04</v>
      </c>
      <c r="AJ775" s="35">
        <f>Data!E770</f>
        <v>82.61</v>
      </c>
      <c r="AK775" s="35">
        <f>Data!F770</f>
        <v>1197562</v>
      </c>
      <c r="AL775" s="35">
        <f t="shared" si="120"/>
        <v>82.61</v>
      </c>
      <c r="AM775" s="35">
        <f t="shared" si="119"/>
        <v>0.1452608643021481</v>
      </c>
      <c r="AN775" s="35">
        <f t="shared" si="118"/>
        <v>26.306111917378811</v>
      </c>
      <c r="AO775" s="35" t="str">
        <f t="shared" si="112"/>
        <v>no</v>
      </c>
      <c r="AP775" s="35" t="str">
        <f t="shared" si="113"/>
        <v>FITS BITCH</v>
      </c>
      <c r="AQ775" s="35" t="str">
        <f t="shared" si="113"/>
        <v>FITS BITCH</v>
      </c>
      <c r="AR775" s="35" t="str">
        <f t="shared" si="114"/>
        <v>no</v>
      </c>
      <c r="AS775" s="35" t="str">
        <f t="shared" si="115"/>
        <v>FITS BITCH</v>
      </c>
      <c r="AT775" s="20" t="str">
        <f t="shared" si="116"/>
        <v/>
      </c>
      <c r="AU775" s="20" t="str">
        <f t="shared" si="117"/>
        <v/>
      </c>
      <c r="AV775" s="20"/>
      <c r="AW775" s="20"/>
      <c r="AX775" s="20"/>
    </row>
    <row r="776" spans="31:50">
      <c r="AE776" s="26">
        <f>Data!A771</f>
        <v>41844</v>
      </c>
      <c r="AF776" s="35">
        <f>Data!B771</f>
        <v>81.599999999999994</v>
      </c>
      <c r="AG776" s="35">
        <f>Data!F771</f>
        <v>1267638</v>
      </c>
      <c r="AH776" s="35">
        <f>Data!C771</f>
        <v>82.51</v>
      </c>
      <c r="AI776" s="35">
        <f>Data!D771</f>
        <v>81.59</v>
      </c>
      <c r="AJ776" s="35">
        <f>Data!E771</f>
        <v>82.43</v>
      </c>
      <c r="AK776" s="35">
        <f>Data!F771</f>
        <v>1267638</v>
      </c>
      <c r="AL776" s="35">
        <f t="shared" si="120"/>
        <v>82.43</v>
      </c>
      <c r="AM776" s="35">
        <f t="shared" si="119"/>
        <v>-0.21836709935702123</v>
      </c>
      <c r="AN776" s="35">
        <f t="shared" si="118"/>
        <v>5.5280766275545536</v>
      </c>
      <c r="AO776" s="35" t="str">
        <f t="shared" si="112"/>
        <v>no</v>
      </c>
      <c r="AP776" s="35" t="str">
        <f t="shared" si="113"/>
        <v>FITS BITCH</v>
      </c>
      <c r="AQ776" s="35" t="str">
        <f t="shared" si="113"/>
        <v>FITS BITCH</v>
      </c>
      <c r="AR776" s="35" t="str">
        <f t="shared" si="114"/>
        <v>no</v>
      </c>
      <c r="AS776" s="35" t="str">
        <f t="shared" si="115"/>
        <v>FITS BITCH</v>
      </c>
      <c r="AT776" s="20" t="str">
        <f t="shared" si="116"/>
        <v/>
      </c>
      <c r="AU776" s="20" t="str">
        <f t="shared" si="117"/>
        <v/>
      </c>
      <c r="AV776" s="20"/>
      <c r="AW776" s="20"/>
      <c r="AX776" s="20"/>
    </row>
    <row r="777" spans="31:50">
      <c r="AE777" s="26">
        <f>Data!A772</f>
        <v>41843</v>
      </c>
      <c r="AF777" s="35">
        <f>Data!B772</f>
        <v>81.56</v>
      </c>
      <c r="AG777" s="35">
        <f>Data!F772</f>
        <v>1043717</v>
      </c>
      <c r="AH777" s="35">
        <f>Data!C772</f>
        <v>81.88</v>
      </c>
      <c r="AI777" s="35">
        <f>Data!D772</f>
        <v>81.290000000000006</v>
      </c>
      <c r="AJ777" s="35">
        <f>Data!E772</f>
        <v>81.83</v>
      </c>
      <c r="AK777" s="35">
        <f>Data!F772</f>
        <v>1043717</v>
      </c>
      <c r="AL777" s="35">
        <f t="shared" si="120"/>
        <v>81.83</v>
      </c>
      <c r="AM777" s="35">
        <f t="shared" si="119"/>
        <v>-0.73322742270561969</v>
      </c>
      <c r="AN777" s="35">
        <f t="shared" si="118"/>
        <v>-21.454187294065346</v>
      </c>
      <c r="AO777" s="35" t="str">
        <f t="shared" ref="AO777:AO840" si="121">IF(AN777&lt;-8,"FITS BITCH",IF(AN777&gt;-8,"no"))</f>
        <v>FITS BITCH</v>
      </c>
      <c r="AP777" s="35" t="str">
        <f t="shared" ref="AP777:AQ840" si="122">IF(AH778&lt;AH777,"FITS BITCH",IF(AH778&gt;AH777,"no"))</f>
        <v>FITS BITCH</v>
      </c>
      <c r="AQ777" s="35" t="str">
        <f t="shared" si="122"/>
        <v>FITS BITCH</v>
      </c>
      <c r="AR777" s="35" t="str">
        <f t="shared" ref="AR777:AR840" si="123">IF(AJ777&lt;AH778,"FITS BITCH",IF(AJ777&gt;AH778,"no"))</f>
        <v>no</v>
      </c>
      <c r="AS777" s="35" t="str">
        <f t="shared" ref="AS777:AS840" si="124">IF(AJ777&gt;AJ778,"FITS BITCH",IF(AJ777&lt;AJ778,"no"))</f>
        <v>FITS BITCH</v>
      </c>
      <c r="AT777" s="20" t="str">
        <f t="shared" ref="AT777:AT840" si="125">IF(AND($AO777="FITS BITCH",$AP777="FITS BITCH",$AR777="FITS BITCH"),"BULLISH","")</f>
        <v/>
      </c>
      <c r="AU777" s="20" t="str">
        <f t="shared" ref="AU777:AU840" si="126">IF(AND($AO777="FITS BITCH",$AQ777="FITS BITCH",$AS777="FITS BITCH"),"BEARISH","")</f>
        <v>BEARISH</v>
      </c>
      <c r="AV777" s="20"/>
      <c r="AW777" s="20"/>
      <c r="AX777" s="20"/>
    </row>
    <row r="778" spans="31:50">
      <c r="AE778" s="26">
        <f>Data!A773</f>
        <v>41842</v>
      </c>
      <c r="AF778" s="35">
        <f>Data!B773</f>
        <v>81.16</v>
      </c>
      <c r="AG778" s="35">
        <f>Data!F773</f>
        <v>833304</v>
      </c>
      <c r="AH778" s="35">
        <f>Data!C773</f>
        <v>81.78</v>
      </c>
      <c r="AI778" s="35">
        <f>Data!D773</f>
        <v>81.02</v>
      </c>
      <c r="AJ778" s="35">
        <f>Data!E773</f>
        <v>81.680000000000007</v>
      </c>
      <c r="AK778" s="35">
        <f>Data!F773</f>
        <v>833304</v>
      </c>
      <c r="AL778" s="35">
        <f t="shared" si="120"/>
        <v>81.680000000000007</v>
      </c>
      <c r="AM778" s="35">
        <f t="shared" si="119"/>
        <v>-0.18364348677765852</v>
      </c>
      <c r="AN778" s="35">
        <f t="shared" ref="AN778:AN841" si="127">(AK778-AK777)/AK778*100</f>
        <v>-25.250448815798315</v>
      </c>
      <c r="AO778" s="35" t="str">
        <f t="shared" si="121"/>
        <v>FITS BITCH</v>
      </c>
      <c r="AP778" s="35" t="str">
        <f t="shared" si="122"/>
        <v>FITS BITCH</v>
      </c>
      <c r="AQ778" s="35" t="str">
        <f t="shared" si="122"/>
        <v>FITS BITCH</v>
      </c>
      <c r="AR778" s="35" t="str">
        <f t="shared" si="123"/>
        <v>no</v>
      </c>
      <c r="AS778" s="35" t="str">
        <f t="shared" si="124"/>
        <v>FITS BITCH</v>
      </c>
      <c r="AT778" s="20" t="str">
        <f t="shared" si="125"/>
        <v/>
      </c>
      <c r="AU778" s="20" t="str">
        <f t="shared" si="126"/>
        <v>BEARISH</v>
      </c>
      <c r="AV778" s="20"/>
      <c r="AW778" s="20"/>
      <c r="AX778" s="20"/>
    </row>
    <row r="779" spans="31:50">
      <c r="AE779" s="26">
        <f>Data!A774</f>
        <v>41841</v>
      </c>
      <c r="AF779" s="35">
        <f>Data!B774</f>
        <v>80.59</v>
      </c>
      <c r="AG779" s="35">
        <f>Data!F774</f>
        <v>1002535</v>
      </c>
      <c r="AH779" s="35">
        <f>Data!C774</f>
        <v>81.069999999999993</v>
      </c>
      <c r="AI779" s="35">
        <f>Data!D774</f>
        <v>80.41</v>
      </c>
      <c r="AJ779" s="35">
        <f>Data!E774</f>
        <v>80.98</v>
      </c>
      <c r="AK779" s="35">
        <f>Data!F774</f>
        <v>1002535</v>
      </c>
      <c r="AL779" s="35">
        <f t="shared" si="120"/>
        <v>80.98</v>
      </c>
      <c r="AM779" s="35">
        <f t="shared" si="119"/>
        <v>-0.86441096567053932</v>
      </c>
      <c r="AN779" s="35">
        <f t="shared" si="127"/>
        <v>16.880308418159963</v>
      </c>
      <c r="AO779" s="35" t="str">
        <f t="shared" si="121"/>
        <v>no</v>
      </c>
      <c r="AP779" s="35" t="str">
        <f t="shared" si="122"/>
        <v>no</v>
      </c>
      <c r="AQ779" s="35" t="str">
        <f t="shared" si="122"/>
        <v>FITS BITCH</v>
      </c>
      <c r="AR779" s="35" t="str">
        <f t="shared" si="123"/>
        <v>FITS BITCH</v>
      </c>
      <c r="AS779" s="35" t="str">
        <f t="shared" si="124"/>
        <v>no</v>
      </c>
      <c r="AT779" s="20" t="str">
        <f t="shared" si="125"/>
        <v/>
      </c>
      <c r="AU779" s="20" t="str">
        <f t="shared" si="126"/>
        <v/>
      </c>
      <c r="AV779" s="20"/>
      <c r="AW779" s="20"/>
      <c r="AX779" s="20"/>
    </row>
    <row r="780" spans="31:50">
      <c r="AE780" s="26">
        <f>Data!A775</f>
        <v>41838</v>
      </c>
      <c r="AF780" s="35">
        <f>Data!B775</f>
        <v>80.430000000000007</v>
      </c>
      <c r="AG780" s="35">
        <f>Data!F775</f>
        <v>1390601</v>
      </c>
      <c r="AH780" s="35">
        <f>Data!C775</f>
        <v>81.16</v>
      </c>
      <c r="AI780" s="35">
        <f>Data!D775</f>
        <v>80.02</v>
      </c>
      <c r="AJ780" s="35">
        <f>Data!E775</f>
        <v>81.03</v>
      </c>
      <c r="AK780" s="35">
        <f>Data!F775</f>
        <v>1390601</v>
      </c>
      <c r="AL780" s="35">
        <f t="shared" si="120"/>
        <v>81.03</v>
      </c>
      <c r="AM780" s="35">
        <f t="shared" si="119"/>
        <v>6.1705541157592442E-2</v>
      </c>
      <c r="AN780" s="35">
        <f t="shared" si="127"/>
        <v>27.906351282646856</v>
      </c>
      <c r="AO780" s="35" t="str">
        <f t="shared" si="121"/>
        <v>no</v>
      </c>
      <c r="AP780" s="35" t="str">
        <f t="shared" si="122"/>
        <v>FITS BITCH</v>
      </c>
      <c r="AQ780" s="35" t="str">
        <f t="shared" si="122"/>
        <v>FITS BITCH</v>
      </c>
      <c r="AR780" s="35" t="str">
        <f t="shared" si="123"/>
        <v>no</v>
      </c>
      <c r="AS780" s="35" t="str">
        <f t="shared" si="124"/>
        <v>FITS BITCH</v>
      </c>
      <c r="AT780" s="20" t="str">
        <f t="shared" si="125"/>
        <v/>
      </c>
      <c r="AU780" s="20" t="str">
        <f t="shared" si="126"/>
        <v/>
      </c>
      <c r="AV780" s="20"/>
      <c r="AW780" s="20"/>
      <c r="AX780" s="20"/>
    </row>
    <row r="781" spans="31:50">
      <c r="AE781" s="26">
        <f>Data!A776</f>
        <v>41837</v>
      </c>
      <c r="AF781" s="35">
        <f>Data!B776</f>
        <v>80.040000000000006</v>
      </c>
      <c r="AG781" s="35">
        <f>Data!F776</f>
        <v>1066578</v>
      </c>
      <c r="AH781" s="35">
        <f>Data!C776</f>
        <v>80.53</v>
      </c>
      <c r="AI781" s="35">
        <f>Data!D776</f>
        <v>79.86</v>
      </c>
      <c r="AJ781" s="35">
        <f>Data!E776</f>
        <v>79.959999999999994</v>
      </c>
      <c r="AK781" s="35">
        <f>Data!F776</f>
        <v>1066578</v>
      </c>
      <c r="AL781" s="35">
        <f t="shared" si="120"/>
        <v>79.959999999999994</v>
      </c>
      <c r="AM781" s="35">
        <f t="shared" si="119"/>
        <v>-1.3381690845422805</v>
      </c>
      <c r="AN781" s="35">
        <f t="shared" si="127"/>
        <v>-30.379681561029759</v>
      </c>
      <c r="AO781" s="35" t="str">
        <f t="shared" si="121"/>
        <v>FITS BITCH</v>
      </c>
      <c r="AP781" s="35" t="str">
        <f t="shared" si="122"/>
        <v>no</v>
      </c>
      <c r="AQ781" s="35" t="str">
        <f t="shared" si="122"/>
        <v>no</v>
      </c>
      <c r="AR781" s="35" t="str">
        <f t="shared" si="123"/>
        <v>FITS BITCH</v>
      </c>
      <c r="AS781" s="35" t="str">
        <f t="shared" si="124"/>
        <v>no</v>
      </c>
      <c r="AT781" s="20" t="str">
        <f t="shared" si="125"/>
        <v/>
      </c>
      <c r="AU781" s="20" t="str">
        <f t="shared" si="126"/>
        <v/>
      </c>
      <c r="AV781" s="20"/>
      <c r="AW781" s="20"/>
      <c r="AX781" s="20"/>
    </row>
    <row r="782" spans="31:50">
      <c r="AE782" s="26">
        <f>Data!A777</f>
        <v>41836</v>
      </c>
      <c r="AF782" s="35">
        <f>Data!B777</f>
        <v>80.650000000000006</v>
      </c>
      <c r="AG782" s="35">
        <f>Data!F777</f>
        <v>984821</v>
      </c>
      <c r="AH782" s="35">
        <f>Data!C777</f>
        <v>80.680000000000007</v>
      </c>
      <c r="AI782" s="35">
        <f>Data!D777</f>
        <v>80.319999999999993</v>
      </c>
      <c r="AJ782" s="35">
        <f>Data!E777</f>
        <v>80.5</v>
      </c>
      <c r="AK782" s="35">
        <f>Data!F777</f>
        <v>984821</v>
      </c>
      <c r="AL782" s="35">
        <f t="shared" si="120"/>
        <v>80.5</v>
      </c>
      <c r="AM782" s="35">
        <f t="shared" si="119"/>
        <v>0.67080745341615688</v>
      </c>
      <c r="AN782" s="35">
        <f t="shared" si="127"/>
        <v>-8.3017116816152381</v>
      </c>
      <c r="AO782" s="35" t="str">
        <f t="shared" si="121"/>
        <v>FITS BITCH</v>
      </c>
      <c r="AP782" s="35" t="str">
        <f t="shared" si="122"/>
        <v>no</v>
      </c>
      <c r="AQ782" s="35" t="str">
        <f t="shared" si="122"/>
        <v>FITS BITCH</v>
      </c>
      <c r="AR782" s="35" t="str">
        <f t="shared" si="123"/>
        <v>FITS BITCH</v>
      </c>
      <c r="AS782" s="35" t="str">
        <f t="shared" si="124"/>
        <v>FITS BITCH</v>
      </c>
      <c r="AT782" s="20" t="str">
        <f t="shared" si="125"/>
        <v/>
      </c>
      <c r="AU782" s="20" t="str">
        <f t="shared" si="126"/>
        <v>BEARISH</v>
      </c>
      <c r="AV782" s="20"/>
      <c r="AW782" s="20"/>
      <c r="AX782" s="20"/>
    </row>
    <row r="783" spans="31:50">
      <c r="AE783" s="26">
        <f>Data!A778</f>
        <v>41835</v>
      </c>
      <c r="AF783" s="35">
        <f>Data!B778</f>
        <v>80.349999999999994</v>
      </c>
      <c r="AG783" s="35">
        <f>Data!F778</f>
        <v>930275</v>
      </c>
      <c r="AH783" s="35">
        <f>Data!C778</f>
        <v>80.709999999999994</v>
      </c>
      <c r="AI783" s="35">
        <f>Data!D778</f>
        <v>79.89</v>
      </c>
      <c r="AJ783" s="35">
        <f>Data!E778</f>
        <v>80.34</v>
      </c>
      <c r="AK783" s="35">
        <f>Data!F778</f>
        <v>930275</v>
      </c>
      <c r="AL783" s="35">
        <f t="shared" si="120"/>
        <v>80.34</v>
      </c>
      <c r="AM783" s="35">
        <f t="shared" si="119"/>
        <v>-0.19915359721184539</v>
      </c>
      <c r="AN783" s="35">
        <f t="shared" si="127"/>
        <v>-5.8634274811211737</v>
      </c>
      <c r="AO783" s="35" t="str">
        <f t="shared" si="121"/>
        <v>no</v>
      </c>
      <c r="AP783" s="35" t="str">
        <f t="shared" si="122"/>
        <v>FITS BITCH</v>
      </c>
      <c r="AQ783" s="35" t="str">
        <f t="shared" si="122"/>
        <v>no</v>
      </c>
      <c r="AR783" s="35" t="str">
        <f t="shared" si="123"/>
        <v>FITS BITCH</v>
      </c>
      <c r="AS783" s="35" t="b">
        <f t="shared" si="124"/>
        <v>0</v>
      </c>
      <c r="AT783" s="20" t="str">
        <f t="shared" si="125"/>
        <v/>
      </c>
      <c r="AU783" s="20" t="str">
        <f t="shared" si="126"/>
        <v/>
      </c>
      <c r="AV783" s="20"/>
      <c r="AW783" s="20"/>
      <c r="AX783" s="20"/>
    </row>
    <row r="784" spans="31:50">
      <c r="AE784" s="26">
        <f>Data!A779</f>
        <v>41834</v>
      </c>
      <c r="AF784" s="35">
        <f>Data!B779</f>
        <v>80.39</v>
      </c>
      <c r="AG784" s="35">
        <f>Data!F779</f>
        <v>801574</v>
      </c>
      <c r="AH784" s="35">
        <f>Data!C779</f>
        <v>80.5</v>
      </c>
      <c r="AI784" s="35">
        <f>Data!D779</f>
        <v>80.16</v>
      </c>
      <c r="AJ784" s="35">
        <f>Data!E779</f>
        <v>80.34</v>
      </c>
      <c r="AK784" s="35">
        <f>Data!F779</f>
        <v>801574</v>
      </c>
      <c r="AL784" s="35">
        <f t="shared" si="120"/>
        <v>80.34</v>
      </c>
      <c r="AM784" s="35">
        <f t="shared" si="119"/>
        <v>0</v>
      </c>
      <c r="AN784" s="35">
        <f t="shared" si="127"/>
        <v>-16.056034751626175</v>
      </c>
      <c r="AO784" s="35" t="str">
        <f t="shared" si="121"/>
        <v>FITS BITCH</v>
      </c>
      <c r="AP784" s="35" t="str">
        <f t="shared" si="122"/>
        <v>FITS BITCH</v>
      </c>
      <c r="AQ784" s="35" t="str">
        <f t="shared" si="122"/>
        <v>FITS BITCH</v>
      </c>
      <c r="AR784" s="35" t="str">
        <f t="shared" si="123"/>
        <v>no</v>
      </c>
      <c r="AS784" s="35" t="str">
        <f t="shared" si="124"/>
        <v>FITS BITCH</v>
      </c>
      <c r="AT784" s="20" t="str">
        <f t="shared" si="125"/>
        <v/>
      </c>
      <c r="AU784" s="20" t="str">
        <f t="shared" si="126"/>
        <v>BEARISH</v>
      </c>
      <c r="AV784" s="20"/>
      <c r="AW784" s="20"/>
      <c r="AX784" s="20"/>
    </row>
    <row r="785" spans="31:50">
      <c r="AE785" s="26">
        <f>Data!A780</f>
        <v>41831</v>
      </c>
      <c r="AF785" s="35">
        <f>Data!B780</f>
        <v>80.27</v>
      </c>
      <c r="AG785" s="35">
        <f>Data!F780</f>
        <v>1069216</v>
      </c>
      <c r="AH785" s="35">
        <f>Data!C780</f>
        <v>80.3</v>
      </c>
      <c r="AI785" s="35">
        <f>Data!D780</f>
        <v>79.62</v>
      </c>
      <c r="AJ785" s="35">
        <f>Data!E780</f>
        <v>80.13</v>
      </c>
      <c r="AK785" s="35">
        <f>Data!F780</f>
        <v>1069216</v>
      </c>
      <c r="AL785" s="35">
        <f t="shared" si="120"/>
        <v>80.13</v>
      </c>
      <c r="AM785" s="35">
        <f t="shared" si="119"/>
        <v>-0.26207412953950826</v>
      </c>
      <c r="AN785" s="35">
        <f t="shared" si="127"/>
        <v>25.031611947445604</v>
      </c>
      <c r="AO785" s="35" t="str">
        <f t="shared" si="121"/>
        <v>no</v>
      </c>
      <c r="AP785" s="35" t="str">
        <f t="shared" si="122"/>
        <v>no</v>
      </c>
      <c r="AQ785" s="35" t="str">
        <f t="shared" si="122"/>
        <v>no</v>
      </c>
      <c r="AR785" s="35" t="str">
        <f t="shared" si="123"/>
        <v>FITS BITCH</v>
      </c>
      <c r="AS785" s="35" t="str">
        <f t="shared" si="124"/>
        <v>no</v>
      </c>
      <c r="AT785" s="20" t="str">
        <f t="shared" si="125"/>
        <v/>
      </c>
      <c r="AU785" s="20" t="str">
        <f t="shared" si="126"/>
        <v/>
      </c>
      <c r="AV785" s="20"/>
      <c r="AW785" s="20"/>
      <c r="AX785" s="20"/>
    </row>
    <row r="786" spans="31:50">
      <c r="AE786" s="26">
        <f>Data!A781</f>
        <v>41830</v>
      </c>
      <c r="AF786" s="35">
        <f>Data!B781</f>
        <v>80.8</v>
      </c>
      <c r="AG786" s="35">
        <f>Data!F781</f>
        <v>953225</v>
      </c>
      <c r="AH786" s="35">
        <f>Data!C781</f>
        <v>80.8</v>
      </c>
      <c r="AI786" s="35">
        <f>Data!D781</f>
        <v>79.77</v>
      </c>
      <c r="AJ786" s="35">
        <f>Data!E781</f>
        <v>80.14</v>
      </c>
      <c r="AK786" s="35">
        <f>Data!F781</f>
        <v>953225</v>
      </c>
      <c r="AL786" s="35">
        <f t="shared" si="120"/>
        <v>80.14</v>
      </c>
      <c r="AM786" s="35">
        <f t="shared" si="119"/>
        <v>1.2478163214381228E-2</v>
      </c>
      <c r="AN786" s="35">
        <f t="shared" si="127"/>
        <v>-12.168270869941514</v>
      </c>
      <c r="AO786" s="35" t="str">
        <f t="shared" si="121"/>
        <v>FITS BITCH</v>
      </c>
      <c r="AP786" s="35" t="str">
        <f t="shared" si="122"/>
        <v>FITS BITCH</v>
      </c>
      <c r="AQ786" s="35" t="str">
        <f t="shared" si="122"/>
        <v>no</v>
      </c>
      <c r="AR786" s="35" t="str">
        <f t="shared" si="123"/>
        <v>FITS BITCH</v>
      </c>
      <c r="AS786" s="35" t="str">
        <f t="shared" si="124"/>
        <v>no</v>
      </c>
      <c r="AT786" s="20" t="str">
        <f t="shared" si="125"/>
        <v>BULLISH</v>
      </c>
      <c r="AU786" s="20" t="str">
        <f t="shared" si="126"/>
        <v/>
      </c>
      <c r="AV786" s="20"/>
      <c r="AW786" s="20"/>
      <c r="AX786" s="20"/>
    </row>
    <row r="787" spans="31:50">
      <c r="AE787" s="26">
        <f>Data!A782</f>
        <v>41829</v>
      </c>
      <c r="AF787" s="35">
        <f>Data!B782</f>
        <v>80.67</v>
      </c>
      <c r="AG787" s="35">
        <f>Data!F782</f>
        <v>943479</v>
      </c>
      <c r="AH787" s="35">
        <f>Data!C782</f>
        <v>80.72</v>
      </c>
      <c r="AI787" s="35">
        <f>Data!D782</f>
        <v>80.19</v>
      </c>
      <c r="AJ787" s="35">
        <f>Data!E782</f>
        <v>80.47</v>
      </c>
      <c r="AK787" s="35">
        <f>Data!F782</f>
        <v>943479</v>
      </c>
      <c r="AL787" s="35">
        <f t="shared" si="120"/>
        <v>80.47</v>
      </c>
      <c r="AM787" s="35">
        <f t="shared" si="119"/>
        <v>0.41009071703740319</v>
      </c>
      <c r="AN787" s="35">
        <f t="shared" si="127"/>
        <v>-1.0329853658639991</v>
      </c>
      <c r="AO787" s="35" t="str">
        <f t="shared" si="121"/>
        <v>no</v>
      </c>
      <c r="AP787" s="35" t="str">
        <f t="shared" si="122"/>
        <v>no</v>
      </c>
      <c r="AQ787" s="35" t="str">
        <f t="shared" si="122"/>
        <v>FITS BITCH</v>
      </c>
      <c r="AR787" s="35" t="str">
        <f t="shared" si="123"/>
        <v>FITS BITCH</v>
      </c>
      <c r="AS787" s="35" t="b">
        <f t="shared" si="124"/>
        <v>0</v>
      </c>
      <c r="AT787" s="20" t="str">
        <f t="shared" si="125"/>
        <v/>
      </c>
      <c r="AU787" s="20" t="str">
        <f t="shared" si="126"/>
        <v/>
      </c>
      <c r="AV787" s="20"/>
      <c r="AW787" s="20"/>
      <c r="AX787" s="20"/>
    </row>
    <row r="788" spans="31:50">
      <c r="AE788" s="26">
        <f>Data!A783</f>
        <v>41828</v>
      </c>
      <c r="AF788" s="35">
        <f>Data!B783</f>
        <v>80.36</v>
      </c>
      <c r="AG788" s="35">
        <f>Data!F783</f>
        <v>1513432</v>
      </c>
      <c r="AH788" s="35">
        <f>Data!C783</f>
        <v>80.8</v>
      </c>
      <c r="AI788" s="35">
        <f>Data!D783</f>
        <v>80.12</v>
      </c>
      <c r="AJ788" s="35">
        <f>Data!E783</f>
        <v>80.47</v>
      </c>
      <c r="AK788" s="35">
        <f>Data!F783</f>
        <v>1513432</v>
      </c>
      <c r="AL788" s="35">
        <f t="shared" si="120"/>
        <v>80.47</v>
      </c>
      <c r="AM788" s="35">
        <f t="shared" si="119"/>
        <v>0</v>
      </c>
      <c r="AN788" s="35">
        <f t="shared" si="127"/>
        <v>37.65963716903039</v>
      </c>
      <c r="AO788" s="35" t="str">
        <f t="shared" si="121"/>
        <v>no</v>
      </c>
      <c r="AP788" s="35" t="str">
        <f t="shared" si="122"/>
        <v>FITS BITCH</v>
      </c>
      <c r="AQ788" s="35" t="str">
        <f t="shared" si="122"/>
        <v>FITS BITCH</v>
      </c>
      <c r="AR788" s="35" t="str">
        <f t="shared" si="123"/>
        <v>FITS BITCH</v>
      </c>
      <c r="AS788" s="35" t="str">
        <f t="shared" si="124"/>
        <v>FITS BITCH</v>
      </c>
      <c r="AT788" s="20" t="str">
        <f t="shared" si="125"/>
        <v/>
      </c>
      <c r="AU788" s="20" t="str">
        <f t="shared" si="126"/>
        <v/>
      </c>
      <c r="AV788" s="20"/>
      <c r="AW788" s="20"/>
      <c r="AX788" s="20"/>
    </row>
    <row r="789" spans="31:50">
      <c r="AE789" s="26">
        <f>Data!A784</f>
        <v>41827</v>
      </c>
      <c r="AF789" s="35">
        <f>Data!B784</f>
        <v>80.180000000000007</v>
      </c>
      <c r="AG789" s="35">
        <f>Data!F784</f>
        <v>1102109</v>
      </c>
      <c r="AH789" s="35">
        <f>Data!C784</f>
        <v>80.52</v>
      </c>
      <c r="AI789" s="35">
        <f>Data!D784</f>
        <v>80.099999999999994</v>
      </c>
      <c r="AJ789" s="35">
        <f>Data!E784</f>
        <v>80.44</v>
      </c>
      <c r="AK789" s="35">
        <f>Data!F784</f>
        <v>1102109</v>
      </c>
      <c r="AL789" s="35">
        <f t="shared" si="120"/>
        <v>80.44</v>
      </c>
      <c r="AM789" s="35">
        <f t="shared" si="119"/>
        <v>-3.7294878170066062E-2</v>
      </c>
      <c r="AN789" s="35">
        <f t="shared" si="127"/>
        <v>-37.321444612102795</v>
      </c>
      <c r="AO789" s="35" t="str">
        <f t="shared" si="121"/>
        <v>FITS BITCH</v>
      </c>
      <c r="AP789" s="35" t="str">
        <f t="shared" si="122"/>
        <v>no</v>
      </c>
      <c r="AQ789" s="35" t="str">
        <f t="shared" si="122"/>
        <v>FITS BITCH</v>
      </c>
      <c r="AR789" s="35" t="str">
        <f t="shared" si="123"/>
        <v>FITS BITCH</v>
      </c>
      <c r="AS789" s="35" t="str">
        <f t="shared" si="124"/>
        <v>no</v>
      </c>
      <c r="AT789" s="20" t="str">
        <f t="shared" si="125"/>
        <v/>
      </c>
      <c r="AU789" s="20" t="str">
        <f t="shared" si="126"/>
        <v/>
      </c>
      <c r="AV789" s="20"/>
      <c r="AW789" s="20"/>
      <c r="AX789" s="20"/>
    </row>
    <row r="790" spans="31:50">
      <c r="AE790" s="26">
        <f>Data!A785</f>
        <v>41823</v>
      </c>
      <c r="AF790" s="35">
        <f>Data!B785</f>
        <v>80</v>
      </c>
      <c r="AG790" s="35">
        <f>Data!F785</f>
        <v>775450</v>
      </c>
      <c r="AH790" s="35">
        <f>Data!C785</f>
        <v>80.61</v>
      </c>
      <c r="AI790" s="35">
        <f>Data!D785</f>
        <v>80</v>
      </c>
      <c r="AJ790" s="35">
        <f>Data!E785</f>
        <v>80.59</v>
      </c>
      <c r="AK790" s="35">
        <f>Data!F785</f>
        <v>775450</v>
      </c>
      <c r="AL790" s="35">
        <f t="shared" si="120"/>
        <v>80.59</v>
      </c>
      <c r="AM790" s="35">
        <f t="shared" si="119"/>
        <v>0.18612731108078628</v>
      </c>
      <c r="AN790" s="35">
        <f t="shared" si="127"/>
        <v>-42.125088658198464</v>
      </c>
      <c r="AO790" s="35" t="str">
        <f t="shared" si="121"/>
        <v>FITS BITCH</v>
      </c>
      <c r="AP790" s="35" t="str">
        <f t="shared" si="122"/>
        <v>FITS BITCH</v>
      </c>
      <c r="AQ790" s="35" t="str">
        <f t="shared" si="122"/>
        <v>FITS BITCH</v>
      </c>
      <c r="AR790" s="35" t="str">
        <f t="shared" si="123"/>
        <v>no</v>
      </c>
      <c r="AS790" s="35" t="str">
        <f t="shared" si="124"/>
        <v>FITS BITCH</v>
      </c>
      <c r="AT790" s="20" t="str">
        <f t="shared" si="125"/>
        <v/>
      </c>
      <c r="AU790" s="20" t="str">
        <f t="shared" si="126"/>
        <v>BEARISH</v>
      </c>
      <c r="AV790" s="20"/>
      <c r="AW790" s="20"/>
      <c r="AX790" s="20"/>
    </row>
    <row r="791" spans="31:50">
      <c r="AE791" s="26">
        <f>Data!A786</f>
        <v>41822</v>
      </c>
      <c r="AF791" s="35">
        <f>Data!B786</f>
        <v>80.010000000000005</v>
      </c>
      <c r="AG791" s="35">
        <f>Data!F786</f>
        <v>1396946</v>
      </c>
      <c r="AH791" s="35">
        <f>Data!C786</f>
        <v>80.349999999999994</v>
      </c>
      <c r="AI791" s="35">
        <f>Data!D786</f>
        <v>79.61</v>
      </c>
      <c r="AJ791" s="35">
        <f>Data!E786</f>
        <v>80.22</v>
      </c>
      <c r="AK791" s="35">
        <f>Data!F786</f>
        <v>1396946</v>
      </c>
      <c r="AL791" s="35">
        <f t="shared" si="120"/>
        <v>80.22</v>
      </c>
      <c r="AM791" s="35">
        <f t="shared" si="119"/>
        <v>-0.4612316130640795</v>
      </c>
      <c r="AN791" s="35">
        <f t="shared" si="127"/>
        <v>44.4896223619238</v>
      </c>
      <c r="AO791" s="35" t="str">
        <f t="shared" si="121"/>
        <v>no</v>
      </c>
      <c r="AP791" s="35" t="str">
        <f t="shared" si="122"/>
        <v>no</v>
      </c>
      <c r="AQ791" s="35" t="str">
        <f t="shared" si="122"/>
        <v>FITS BITCH</v>
      </c>
      <c r="AR791" s="35" t="str">
        <f t="shared" si="123"/>
        <v>FITS BITCH</v>
      </c>
      <c r="AS791" s="35" t="str">
        <f t="shared" si="124"/>
        <v>no</v>
      </c>
      <c r="AT791" s="20" t="str">
        <f t="shared" si="125"/>
        <v/>
      </c>
      <c r="AU791" s="20" t="str">
        <f t="shared" si="126"/>
        <v/>
      </c>
      <c r="AV791" s="20"/>
      <c r="AW791" s="20"/>
      <c r="AX791" s="20"/>
    </row>
    <row r="792" spans="31:50">
      <c r="AE792" s="26">
        <f>Data!A787</f>
        <v>41821</v>
      </c>
      <c r="AF792" s="35">
        <f>Data!B787</f>
        <v>79.62</v>
      </c>
      <c r="AG792" s="35">
        <f>Data!F787</f>
        <v>1643478</v>
      </c>
      <c r="AH792" s="35">
        <f>Data!C787</f>
        <v>80.56</v>
      </c>
      <c r="AI792" s="35">
        <f>Data!D787</f>
        <v>79.2</v>
      </c>
      <c r="AJ792" s="35">
        <f>Data!E787</f>
        <v>80.37</v>
      </c>
      <c r="AK792" s="35">
        <f>Data!F787</f>
        <v>1643478</v>
      </c>
      <c r="AL792" s="35">
        <f t="shared" si="120"/>
        <v>80.37</v>
      </c>
      <c r="AM792" s="35">
        <f t="shared" si="119"/>
        <v>0.18663680477790928</v>
      </c>
      <c r="AN792" s="35">
        <f t="shared" si="127"/>
        <v>15.0006267196762</v>
      </c>
      <c r="AO792" s="35" t="str">
        <f t="shared" si="121"/>
        <v>no</v>
      </c>
      <c r="AP792" s="35" t="str">
        <f t="shared" si="122"/>
        <v>FITS BITCH</v>
      </c>
      <c r="AQ792" s="35" t="str">
        <f t="shared" si="122"/>
        <v>FITS BITCH</v>
      </c>
      <c r="AR792" s="35" t="str">
        <f t="shared" si="123"/>
        <v>no</v>
      </c>
      <c r="AS792" s="35" t="str">
        <f t="shared" si="124"/>
        <v>FITS BITCH</v>
      </c>
      <c r="AT792" s="20" t="str">
        <f t="shared" si="125"/>
        <v/>
      </c>
      <c r="AU792" s="20" t="str">
        <f t="shared" si="126"/>
        <v/>
      </c>
      <c r="AV792" s="20"/>
      <c r="AW792" s="20"/>
      <c r="AX792" s="20"/>
    </row>
    <row r="793" spans="31:50">
      <c r="AE793" s="26">
        <f>Data!A788</f>
        <v>41820</v>
      </c>
      <c r="AF793" s="35">
        <f>Data!B788</f>
        <v>79.13</v>
      </c>
      <c r="AG793" s="35">
        <f>Data!F788</f>
        <v>1119752</v>
      </c>
      <c r="AH793" s="35">
        <f>Data!C788</f>
        <v>79.489999999999995</v>
      </c>
      <c r="AI793" s="35">
        <f>Data!D788</f>
        <v>78.819999999999993</v>
      </c>
      <c r="AJ793" s="35">
        <f>Data!E788</f>
        <v>79.28</v>
      </c>
      <c r="AK793" s="35">
        <f>Data!F788</f>
        <v>1119752</v>
      </c>
      <c r="AL793" s="35">
        <f t="shared" si="120"/>
        <v>79.28</v>
      </c>
      <c r="AM793" s="35">
        <f t="shared" si="119"/>
        <v>-1.3748738647830516</v>
      </c>
      <c r="AN793" s="35">
        <f t="shared" si="127"/>
        <v>-46.771606570026222</v>
      </c>
      <c r="AO793" s="35" t="str">
        <f t="shared" si="121"/>
        <v>FITS BITCH</v>
      </c>
      <c r="AP793" s="35" t="str">
        <f t="shared" si="122"/>
        <v>no</v>
      </c>
      <c r="AQ793" s="35" t="str">
        <f t="shared" si="122"/>
        <v>no</v>
      </c>
      <c r="AR793" s="35" t="str">
        <f t="shared" si="123"/>
        <v>FITS BITCH</v>
      </c>
      <c r="AS793" s="35" t="str">
        <f t="shared" si="124"/>
        <v>no</v>
      </c>
      <c r="AT793" s="20" t="str">
        <f t="shared" si="125"/>
        <v/>
      </c>
      <c r="AU793" s="20" t="str">
        <f t="shared" si="126"/>
        <v/>
      </c>
      <c r="AV793" s="20"/>
      <c r="AW793" s="20"/>
      <c r="AX793" s="20"/>
    </row>
    <row r="794" spans="31:50">
      <c r="AE794" s="26">
        <f>Data!A789</f>
        <v>41817</v>
      </c>
      <c r="AF794" s="35">
        <f>Data!B789</f>
        <v>79.06</v>
      </c>
      <c r="AG794" s="35">
        <f>Data!F789</f>
        <v>1364310</v>
      </c>
      <c r="AH794" s="35">
        <f>Data!C789</f>
        <v>79.55</v>
      </c>
      <c r="AI794" s="35">
        <f>Data!D789</f>
        <v>78.86</v>
      </c>
      <c r="AJ794" s="35">
        <f>Data!E789</f>
        <v>79.48</v>
      </c>
      <c r="AK794" s="35">
        <f>Data!F789</f>
        <v>1364310</v>
      </c>
      <c r="AL794" s="35">
        <f t="shared" si="120"/>
        <v>79.48</v>
      </c>
      <c r="AM794" s="35">
        <f t="shared" si="119"/>
        <v>0.25163563160543889</v>
      </c>
      <c r="AN794" s="35">
        <f t="shared" si="127"/>
        <v>17.925398186629138</v>
      </c>
      <c r="AO794" s="35" t="str">
        <f t="shared" si="121"/>
        <v>no</v>
      </c>
      <c r="AP794" s="35" t="str">
        <f t="shared" si="122"/>
        <v>FITS BITCH</v>
      </c>
      <c r="AQ794" s="35" t="str">
        <f t="shared" si="122"/>
        <v>FITS BITCH</v>
      </c>
      <c r="AR794" s="35" t="str">
        <f t="shared" si="123"/>
        <v>no</v>
      </c>
      <c r="AS794" s="35" t="str">
        <f t="shared" si="124"/>
        <v>FITS BITCH</v>
      </c>
      <c r="AT794" s="20" t="str">
        <f t="shared" si="125"/>
        <v/>
      </c>
      <c r="AU794" s="20" t="str">
        <f t="shared" si="126"/>
        <v/>
      </c>
      <c r="AV794" s="20"/>
      <c r="AW794" s="20"/>
      <c r="AX794" s="20"/>
    </row>
    <row r="795" spans="31:50">
      <c r="AE795" s="26">
        <f>Data!A790</f>
        <v>41816</v>
      </c>
      <c r="AF795" s="35">
        <f>Data!B790</f>
        <v>79.28</v>
      </c>
      <c r="AG795" s="35">
        <f>Data!F790</f>
        <v>878109</v>
      </c>
      <c r="AH795" s="35">
        <f>Data!C790</f>
        <v>79.28</v>
      </c>
      <c r="AI795" s="35">
        <f>Data!D790</f>
        <v>78.63</v>
      </c>
      <c r="AJ795" s="35">
        <f>Data!E790</f>
        <v>79.11</v>
      </c>
      <c r="AK795" s="35">
        <f>Data!F790</f>
        <v>878109</v>
      </c>
      <c r="AL795" s="35">
        <f t="shared" si="120"/>
        <v>79.11</v>
      </c>
      <c r="AM795" s="35">
        <f t="shared" si="119"/>
        <v>-0.46770319807863048</v>
      </c>
      <c r="AN795" s="35">
        <f t="shared" si="127"/>
        <v>-55.36909426961801</v>
      </c>
      <c r="AO795" s="35" t="str">
        <f t="shared" si="121"/>
        <v>FITS BITCH</v>
      </c>
      <c r="AP795" s="35" t="str">
        <f t="shared" si="122"/>
        <v>no</v>
      </c>
      <c r="AQ795" s="35" t="str">
        <f t="shared" si="122"/>
        <v>FITS BITCH</v>
      </c>
      <c r="AR795" s="35" t="str">
        <f t="shared" si="123"/>
        <v>FITS BITCH</v>
      </c>
      <c r="AS795" s="35" t="str">
        <f t="shared" si="124"/>
        <v>no</v>
      </c>
      <c r="AT795" s="20" t="str">
        <f t="shared" si="125"/>
        <v/>
      </c>
      <c r="AU795" s="20" t="str">
        <f t="shared" si="126"/>
        <v/>
      </c>
      <c r="AV795" s="20"/>
      <c r="AW795" s="20"/>
      <c r="AX795" s="20"/>
    </row>
    <row r="796" spans="31:50">
      <c r="AE796" s="26">
        <f>Data!A791</f>
        <v>41815</v>
      </c>
      <c r="AF796" s="35">
        <f>Data!B791</f>
        <v>78.760000000000005</v>
      </c>
      <c r="AG796" s="35">
        <f>Data!F791</f>
        <v>1038088</v>
      </c>
      <c r="AH796" s="35">
        <f>Data!C791</f>
        <v>79.44</v>
      </c>
      <c r="AI796" s="35">
        <f>Data!D791</f>
        <v>78.61</v>
      </c>
      <c r="AJ796" s="35">
        <f>Data!E791</f>
        <v>79.25</v>
      </c>
      <c r="AK796" s="35">
        <f>Data!F791</f>
        <v>1038088</v>
      </c>
      <c r="AL796" s="35">
        <f t="shared" si="120"/>
        <v>79.25</v>
      </c>
      <c r="AM796" s="35">
        <f t="shared" si="119"/>
        <v>0.17665615141955907</v>
      </c>
      <c r="AN796" s="35">
        <f t="shared" si="127"/>
        <v>15.410928553263306</v>
      </c>
      <c r="AO796" s="35" t="str">
        <f t="shared" si="121"/>
        <v>no</v>
      </c>
      <c r="AP796" s="35" t="str">
        <f t="shared" si="122"/>
        <v>no</v>
      </c>
      <c r="AQ796" s="35" t="str">
        <f t="shared" si="122"/>
        <v>no</v>
      </c>
      <c r="AR796" s="35" t="str">
        <f t="shared" si="123"/>
        <v>FITS BITCH</v>
      </c>
      <c r="AS796" s="35" t="str">
        <f t="shared" si="124"/>
        <v>FITS BITCH</v>
      </c>
      <c r="AT796" s="20" t="str">
        <f t="shared" si="125"/>
        <v/>
      </c>
      <c r="AU796" s="20" t="str">
        <f t="shared" si="126"/>
        <v/>
      </c>
      <c r="AV796" s="20"/>
      <c r="AW796" s="20"/>
      <c r="AX796" s="20"/>
    </row>
    <row r="797" spans="31:50">
      <c r="AE797" s="26">
        <f>Data!A792</f>
        <v>41814</v>
      </c>
      <c r="AF797" s="35">
        <f>Data!B792</f>
        <v>79.150000000000006</v>
      </c>
      <c r="AG797" s="35">
        <f>Data!F792</f>
        <v>1044404</v>
      </c>
      <c r="AH797" s="35">
        <f>Data!C792</f>
        <v>79.63</v>
      </c>
      <c r="AI797" s="35">
        <f>Data!D792</f>
        <v>78.849999999999994</v>
      </c>
      <c r="AJ797" s="35">
        <f>Data!E792</f>
        <v>79.06</v>
      </c>
      <c r="AK797" s="35">
        <f>Data!F792</f>
        <v>1044404</v>
      </c>
      <c r="AL797" s="35">
        <f t="shared" si="120"/>
        <v>79.06</v>
      </c>
      <c r="AM797" s="35">
        <f t="shared" si="119"/>
        <v>-0.24032380470528422</v>
      </c>
      <c r="AN797" s="35">
        <f t="shared" si="127"/>
        <v>0.60474682211098396</v>
      </c>
      <c r="AO797" s="35" t="str">
        <f t="shared" si="121"/>
        <v>no</v>
      </c>
      <c r="AP797" s="35" t="str">
        <f t="shared" si="122"/>
        <v>FITS BITCH</v>
      </c>
      <c r="AQ797" s="35" t="str">
        <f t="shared" si="122"/>
        <v>no</v>
      </c>
      <c r="AR797" s="35" t="str">
        <f t="shared" si="123"/>
        <v>FITS BITCH</v>
      </c>
      <c r="AS797" s="35" t="str">
        <f t="shared" si="124"/>
        <v>no</v>
      </c>
      <c r="AT797" s="20" t="str">
        <f t="shared" si="125"/>
        <v/>
      </c>
      <c r="AU797" s="20" t="str">
        <f t="shared" si="126"/>
        <v/>
      </c>
      <c r="AV797" s="20"/>
      <c r="AW797" s="20"/>
      <c r="AX797" s="20"/>
    </row>
    <row r="798" spans="31:50">
      <c r="AE798" s="26">
        <f>Data!A793</f>
        <v>41813</v>
      </c>
      <c r="AF798" s="35">
        <f>Data!B793</f>
        <v>79.36</v>
      </c>
      <c r="AG798" s="35">
        <f>Data!F793</f>
        <v>921176</v>
      </c>
      <c r="AH798" s="35">
        <f>Data!C793</f>
        <v>79.59</v>
      </c>
      <c r="AI798" s="35">
        <f>Data!D793</f>
        <v>78.86</v>
      </c>
      <c r="AJ798" s="35">
        <f>Data!E793</f>
        <v>79.22</v>
      </c>
      <c r="AK798" s="35">
        <f>Data!F793</f>
        <v>921176</v>
      </c>
      <c r="AL798" s="35">
        <f t="shared" si="120"/>
        <v>79.22</v>
      </c>
      <c r="AM798" s="35">
        <f t="shared" si="119"/>
        <v>0.20196919969704191</v>
      </c>
      <c r="AN798" s="35">
        <f t="shared" si="127"/>
        <v>-13.377248213153619</v>
      </c>
      <c r="AO798" s="35" t="str">
        <f t="shared" si="121"/>
        <v>FITS BITCH</v>
      </c>
      <c r="AP798" s="35" t="str">
        <f t="shared" si="122"/>
        <v>no</v>
      </c>
      <c r="AQ798" s="35" t="str">
        <f t="shared" si="122"/>
        <v>FITS BITCH</v>
      </c>
      <c r="AR798" s="35" t="str">
        <f t="shared" si="123"/>
        <v>FITS BITCH</v>
      </c>
      <c r="AS798" s="35" t="str">
        <f t="shared" si="124"/>
        <v>no</v>
      </c>
      <c r="AT798" s="20" t="str">
        <f t="shared" si="125"/>
        <v/>
      </c>
      <c r="AU798" s="20" t="str">
        <f t="shared" si="126"/>
        <v/>
      </c>
      <c r="AV798" s="20"/>
      <c r="AW798" s="20"/>
      <c r="AX798" s="20"/>
    </row>
    <row r="799" spans="31:50">
      <c r="AE799" s="26">
        <f>Data!A794</f>
        <v>41810</v>
      </c>
      <c r="AF799" s="35">
        <f>Data!B794</f>
        <v>78.86</v>
      </c>
      <c r="AG799" s="35">
        <f>Data!F794</f>
        <v>3498457</v>
      </c>
      <c r="AH799" s="35">
        <f>Data!C794</f>
        <v>79.66</v>
      </c>
      <c r="AI799" s="35">
        <f>Data!D794</f>
        <v>78.5</v>
      </c>
      <c r="AJ799" s="35">
        <f>Data!E794</f>
        <v>79.45</v>
      </c>
      <c r="AK799" s="35">
        <f>Data!F794</f>
        <v>3498457</v>
      </c>
      <c r="AL799" s="35">
        <f t="shared" si="120"/>
        <v>79.45</v>
      </c>
      <c r="AM799" s="35">
        <f t="shared" si="119"/>
        <v>0.28949024543738699</v>
      </c>
      <c r="AN799" s="35">
        <f t="shared" si="127"/>
        <v>73.669077539040785</v>
      </c>
      <c r="AO799" s="35" t="str">
        <f t="shared" si="121"/>
        <v>no</v>
      </c>
      <c r="AP799" s="35" t="str">
        <f t="shared" si="122"/>
        <v>FITS BITCH</v>
      </c>
      <c r="AQ799" s="35" t="str">
        <f t="shared" si="122"/>
        <v>FITS BITCH</v>
      </c>
      <c r="AR799" s="35" t="str">
        <f t="shared" si="123"/>
        <v>no</v>
      </c>
      <c r="AS799" s="35" t="str">
        <f t="shared" si="124"/>
        <v>FITS BITCH</v>
      </c>
      <c r="AT799" s="20" t="str">
        <f t="shared" si="125"/>
        <v/>
      </c>
      <c r="AU799" s="20" t="str">
        <f t="shared" si="126"/>
        <v/>
      </c>
      <c r="AV799" s="20"/>
      <c r="AW799" s="20"/>
      <c r="AX799" s="20"/>
    </row>
    <row r="800" spans="31:50">
      <c r="AE800" s="26">
        <f>Data!A795</f>
        <v>41809</v>
      </c>
      <c r="AF800" s="35">
        <f>Data!B795</f>
        <v>78.88</v>
      </c>
      <c r="AG800" s="35">
        <f>Data!F795</f>
        <v>1646681</v>
      </c>
      <c r="AH800" s="35">
        <f>Data!C795</f>
        <v>78.92</v>
      </c>
      <c r="AI800" s="35">
        <f>Data!D795</f>
        <v>78.349999999999994</v>
      </c>
      <c r="AJ800" s="35">
        <f>Data!E795</f>
        <v>78.459999999999994</v>
      </c>
      <c r="AK800" s="35">
        <f>Data!F795</f>
        <v>1646681</v>
      </c>
      <c r="AL800" s="35">
        <f t="shared" si="120"/>
        <v>78.459999999999994</v>
      </c>
      <c r="AM800" s="35">
        <f t="shared" si="119"/>
        <v>-1.2617894468519109</v>
      </c>
      <c r="AN800" s="35">
        <f t="shared" si="127"/>
        <v>-112.4550535288863</v>
      </c>
      <c r="AO800" s="35" t="str">
        <f t="shared" si="121"/>
        <v>FITS BITCH</v>
      </c>
      <c r="AP800" s="35" t="str">
        <f t="shared" si="122"/>
        <v>FITS BITCH</v>
      </c>
      <c r="AQ800" s="35" t="str">
        <f t="shared" si="122"/>
        <v>FITS BITCH</v>
      </c>
      <c r="AR800" s="35" t="str">
        <f t="shared" si="123"/>
        <v>FITS BITCH</v>
      </c>
      <c r="AS800" s="35" t="str">
        <f t="shared" si="124"/>
        <v>no</v>
      </c>
      <c r="AT800" s="20" t="str">
        <f t="shared" si="125"/>
        <v>BULLISH</v>
      </c>
      <c r="AU800" s="20" t="str">
        <f t="shared" si="126"/>
        <v/>
      </c>
      <c r="AV800" s="20"/>
      <c r="AW800" s="20"/>
      <c r="AX800" s="20"/>
    </row>
    <row r="801" spans="31:50">
      <c r="AE801" s="26">
        <f>Data!A796</f>
        <v>41808</v>
      </c>
      <c r="AF801" s="35">
        <f>Data!B796</f>
        <v>78.22</v>
      </c>
      <c r="AG801" s="35">
        <f>Data!F796</f>
        <v>2240077</v>
      </c>
      <c r="AH801" s="35">
        <f>Data!C796</f>
        <v>78.7</v>
      </c>
      <c r="AI801" s="35">
        <f>Data!D796</f>
        <v>77.92</v>
      </c>
      <c r="AJ801" s="35">
        <f>Data!E796</f>
        <v>78.61</v>
      </c>
      <c r="AK801" s="35">
        <f>Data!F796</f>
        <v>2240077</v>
      </c>
      <c r="AL801" s="35">
        <f t="shared" si="120"/>
        <v>78.61</v>
      </c>
      <c r="AM801" s="35">
        <f t="shared" si="119"/>
        <v>0.19081541788577239</v>
      </c>
      <c r="AN801" s="35">
        <f t="shared" si="127"/>
        <v>26.489982264002531</v>
      </c>
      <c r="AO801" s="35" t="str">
        <f t="shared" si="121"/>
        <v>no</v>
      </c>
      <c r="AP801" s="35" t="str">
        <f t="shared" si="122"/>
        <v>no</v>
      </c>
      <c r="AQ801" s="35" t="str">
        <f t="shared" si="122"/>
        <v>no</v>
      </c>
      <c r="AR801" s="35" t="str">
        <f t="shared" si="123"/>
        <v>FITS BITCH</v>
      </c>
      <c r="AS801" s="35" t="str">
        <f t="shared" si="124"/>
        <v>FITS BITCH</v>
      </c>
      <c r="AT801" s="20" t="str">
        <f t="shared" si="125"/>
        <v/>
      </c>
      <c r="AU801" s="20" t="str">
        <f t="shared" si="126"/>
        <v/>
      </c>
      <c r="AV801" s="20"/>
      <c r="AW801" s="20"/>
      <c r="AX801" s="20"/>
    </row>
    <row r="802" spans="31:50">
      <c r="AE802" s="26">
        <f>Data!A797</f>
        <v>41807</v>
      </c>
      <c r="AF802" s="35">
        <f>Data!B797</f>
        <v>78.48</v>
      </c>
      <c r="AG802" s="35">
        <f>Data!F797</f>
        <v>1954364</v>
      </c>
      <c r="AH802" s="35">
        <f>Data!C797</f>
        <v>78.819999999999993</v>
      </c>
      <c r="AI802" s="35">
        <f>Data!D797</f>
        <v>78.209999999999994</v>
      </c>
      <c r="AJ802" s="35">
        <f>Data!E797</f>
        <v>78.22</v>
      </c>
      <c r="AK802" s="35">
        <f>Data!F797</f>
        <v>1954364</v>
      </c>
      <c r="AL802" s="35">
        <f t="shared" si="120"/>
        <v>78.22</v>
      </c>
      <c r="AM802" s="35">
        <f t="shared" si="119"/>
        <v>-0.49859371004858166</v>
      </c>
      <c r="AN802" s="35">
        <f t="shared" si="127"/>
        <v>-14.61923162727107</v>
      </c>
      <c r="AO802" s="35" t="str">
        <f t="shared" si="121"/>
        <v>FITS BITCH</v>
      </c>
      <c r="AP802" s="35" t="str">
        <f t="shared" si="122"/>
        <v>no</v>
      </c>
      <c r="AQ802" s="35" t="str">
        <f t="shared" si="122"/>
        <v>no</v>
      </c>
      <c r="AR802" s="35" t="str">
        <f t="shared" si="123"/>
        <v>FITS BITCH</v>
      </c>
      <c r="AS802" s="35" t="str">
        <f t="shared" si="124"/>
        <v>no</v>
      </c>
      <c r="AT802" s="20" t="str">
        <f t="shared" si="125"/>
        <v/>
      </c>
      <c r="AU802" s="20" t="str">
        <f t="shared" si="126"/>
        <v/>
      </c>
      <c r="AV802" s="20"/>
      <c r="AW802" s="20"/>
      <c r="AX802" s="20"/>
    </row>
    <row r="803" spans="31:50">
      <c r="AE803" s="26">
        <f>Data!A798</f>
        <v>41806</v>
      </c>
      <c r="AF803" s="35">
        <f>Data!B798</f>
        <v>78.47</v>
      </c>
      <c r="AG803" s="35">
        <f>Data!F798</f>
        <v>1027306</v>
      </c>
      <c r="AH803" s="35">
        <f>Data!C798</f>
        <v>79.13</v>
      </c>
      <c r="AI803" s="35">
        <f>Data!D798</f>
        <v>78.45</v>
      </c>
      <c r="AJ803" s="35">
        <f>Data!E798</f>
        <v>78.650000000000006</v>
      </c>
      <c r="AK803" s="35">
        <f>Data!F798</f>
        <v>1027306</v>
      </c>
      <c r="AL803" s="35">
        <f t="shared" si="120"/>
        <v>78.650000000000006</v>
      </c>
      <c r="AM803" s="35">
        <f t="shared" si="119"/>
        <v>0.54672600127146442</v>
      </c>
      <c r="AN803" s="35">
        <f t="shared" si="127"/>
        <v>-90.241661199292139</v>
      </c>
      <c r="AO803" s="35" t="str">
        <f t="shared" si="121"/>
        <v>FITS BITCH</v>
      </c>
      <c r="AP803" s="35" t="str">
        <f t="shared" si="122"/>
        <v>FITS BITCH</v>
      </c>
      <c r="AQ803" s="35" t="str">
        <f t="shared" si="122"/>
        <v>FITS BITCH</v>
      </c>
      <c r="AR803" s="35" t="str">
        <f t="shared" si="123"/>
        <v>FITS BITCH</v>
      </c>
      <c r="AS803" s="35" t="str">
        <f t="shared" si="124"/>
        <v>no</v>
      </c>
      <c r="AT803" s="20" t="str">
        <f t="shared" si="125"/>
        <v>BULLISH</v>
      </c>
      <c r="AU803" s="20" t="str">
        <f t="shared" si="126"/>
        <v/>
      </c>
      <c r="AV803" s="20"/>
      <c r="AW803" s="20"/>
      <c r="AX803" s="20"/>
    </row>
    <row r="804" spans="31:50">
      <c r="AE804" s="26">
        <f>Data!A799</f>
        <v>41803</v>
      </c>
      <c r="AF804" s="35">
        <f>Data!B799</f>
        <v>78.540000000000006</v>
      </c>
      <c r="AG804" s="35">
        <f>Data!F799</f>
        <v>1083133</v>
      </c>
      <c r="AH804" s="35">
        <f>Data!C799</f>
        <v>79.06</v>
      </c>
      <c r="AI804" s="35">
        <f>Data!D799</f>
        <v>78.25</v>
      </c>
      <c r="AJ804" s="35">
        <f>Data!E799</f>
        <v>78.81</v>
      </c>
      <c r="AK804" s="35">
        <f>Data!F799</f>
        <v>1083133</v>
      </c>
      <c r="AL804" s="35">
        <f t="shared" si="120"/>
        <v>78.81</v>
      </c>
      <c r="AM804" s="35">
        <f t="shared" si="119"/>
        <v>0.20301992132977617</v>
      </c>
      <c r="AN804" s="35">
        <f t="shared" si="127"/>
        <v>5.1542146716977513</v>
      </c>
      <c r="AO804" s="35" t="str">
        <f t="shared" si="121"/>
        <v>no</v>
      </c>
      <c r="AP804" s="35" t="str">
        <f t="shared" si="122"/>
        <v>FITS BITCH</v>
      </c>
      <c r="AQ804" s="35" t="str">
        <f t="shared" si="122"/>
        <v>FITS BITCH</v>
      </c>
      <c r="AR804" s="35" t="str">
        <f t="shared" si="123"/>
        <v>no</v>
      </c>
      <c r="AS804" s="35" t="str">
        <f t="shared" si="124"/>
        <v>FITS BITCH</v>
      </c>
      <c r="AT804" s="20" t="str">
        <f t="shared" si="125"/>
        <v/>
      </c>
      <c r="AU804" s="20" t="str">
        <f t="shared" si="126"/>
        <v/>
      </c>
      <c r="AV804" s="20"/>
      <c r="AW804" s="20"/>
      <c r="AX804" s="20"/>
    </row>
    <row r="805" spans="31:50">
      <c r="AE805" s="26">
        <f>Data!A800</f>
        <v>41802</v>
      </c>
      <c r="AF805" s="35">
        <f>Data!B800</f>
        <v>78.08</v>
      </c>
      <c r="AG805" s="35">
        <f>Data!F800</f>
        <v>1169398</v>
      </c>
      <c r="AH805" s="35">
        <f>Data!C800</f>
        <v>78.63</v>
      </c>
      <c r="AI805" s="35">
        <f>Data!D800</f>
        <v>77.95</v>
      </c>
      <c r="AJ805" s="35">
        <f>Data!E800</f>
        <v>78.25</v>
      </c>
      <c r="AK805" s="35">
        <f>Data!F800</f>
        <v>1169398</v>
      </c>
      <c r="AL805" s="35">
        <f t="shared" si="120"/>
        <v>78.25</v>
      </c>
      <c r="AM805" s="35">
        <f t="shared" si="119"/>
        <v>-0.71565495207668017</v>
      </c>
      <c r="AN805" s="35">
        <f t="shared" si="127"/>
        <v>7.376872544676834</v>
      </c>
      <c r="AO805" s="35" t="str">
        <f t="shared" si="121"/>
        <v>no</v>
      </c>
      <c r="AP805" s="35" t="str">
        <f t="shared" si="122"/>
        <v>no</v>
      </c>
      <c r="AQ805" s="35" t="str">
        <f t="shared" si="122"/>
        <v>no</v>
      </c>
      <c r="AR805" s="35" t="str">
        <f t="shared" si="123"/>
        <v>FITS BITCH</v>
      </c>
      <c r="AS805" s="35" t="str">
        <f t="shared" si="124"/>
        <v>no</v>
      </c>
      <c r="AT805" s="20" t="str">
        <f t="shared" si="125"/>
        <v/>
      </c>
      <c r="AU805" s="20" t="str">
        <f t="shared" si="126"/>
        <v/>
      </c>
      <c r="AV805" s="20"/>
      <c r="AW805" s="20"/>
      <c r="AX805" s="20"/>
    </row>
    <row r="806" spans="31:50">
      <c r="AE806" s="26">
        <f>Data!A801</f>
        <v>41801</v>
      </c>
      <c r="AF806" s="35">
        <f>Data!B801</f>
        <v>78.599999999999994</v>
      </c>
      <c r="AG806" s="35">
        <f>Data!F801</f>
        <v>1604428</v>
      </c>
      <c r="AH806" s="35">
        <f>Data!C801</f>
        <v>78.959999999999994</v>
      </c>
      <c r="AI806" s="35">
        <f>Data!D801</f>
        <v>78.099999999999994</v>
      </c>
      <c r="AJ806" s="35">
        <f>Data!E801</f>
        <v>78.540000000000006</v>
      </c>
      <c r="AK806" s="35">
        <f>Data!F801</f>
        <v>1604428</v>
      </c>
      <c r="AL806" s="35">
        <f t="shared" si="120"/>
        <v>78.540000000000006</v>
      </c>
      <c r="AM806" s="35">
        <f t="shared" si="119"/>
        <v>0.36923860453273011</v>
      </c>
      <c r="AN806" s="35">
        <f t="shared" si="127"/>
        <v>27.114336074912682</v>
      </c>
      <c r="AO806" s="35" t="str">
        <f t="shared" si="121"/>
        <v>no</v>
      </c>
      <c r="AP806" s="35" t="str">
        <f t="shared" si="122"/>
        <v>no</v>
      </c>
      <c r="AQ806" s="35" t="str">
        <f t="shared" si="122"/>
        <v>no</v>
      </c>
      <c r="AR806" s="35" t="str">
        <f t="shared" si="123"/>
        <v>FITS BITCH</v>
      </c>
      <c r="AS806" s="35" t="str">
        <f t="shared" si="124"/>
        <v>no</v>
      </c>
      <c r="AT806" s="20" t="str">
        <f t="shared" si="125"/>
        <v/>
      </c>
      <c r="AU806" s="20" t="str">
        <f t="shared" si="126"/>
        <v/>
      </c>
      <c r="AV806" s="20"/>
      <c r="AW806" s="20"/>
      <c r="AX806" s="20"/>
    </row>
    <row r="807" spans="31:50">
      <c r="AE807" s="26">
        <f>Data!A802</f>
        <v>41800</v>
      </c>
      <c r="AF807" s="35">
        <f>Data!B802</f>
        <v>79.72</v>
      </c>
      <c r="AG807" s="35">
        <f>Data!F802</f>
        <v>1980233</v>
      </c>
      <c r="AH807" s="35">
        <f>Data!C802</f>
        <v>80.37</v>
      </c>
      <c r="AI807" s="35">
        <f>Data!D802</f>
        <v>79.37</v>
      </c>
      <c r="AJ807" s="35">
        <f>Data!E802</f>
        <v>79.400000000000006</v>
      </c>
      <c r="AK807" s="35">
        <f>Data!F802</f>
        <v>1980233</v>
      </c>
      <c r="AL807" s="35">
        <f t="shared" si="120"/>
        <v>79.400000000000006</v>
      </c>
      <c r="AM807" s="35">
        <f t="shared" si="119"/>
        <v>1.0831234256926943</v>
      </c>
      <c r="AN807" s="35">
        <f t="shared" si="127"/>
        <v>18.977817256858156</v>
      </c>
      <c r="AO807" s="35" t="str">
        <f t="shared" si="121"/>
        <v>no</v>
      </c>
      <c r="AP807" s="35" t="str">
        <f t="shared" si="122"/>
        <v>FITS BITCH</v>
      </c>
      <c r="AQ807" s="35" t="str">
        <f t="shared" si="122"/>
        <v>no</v>
      </c>
      <c r="AR807" s="35" t="str">
        <f t="shared" si="123"/>
        <v>FITS BITCH</v>
      </c>
      <c r="AS807" s="35" t="str">
        <f t="shared" si="124"/>
        <v>no</v>
      </c>
      <c r="AT807" s="20" t="str">
        <f t="shared" si="125"/>
        <v/>
      </c>
      <c r="AU807" s="20" t="str">
        <f t="shared" si="126"/>
        <v/>
      </c>
      <c r="AV807" s="20"/>
      <c r="AW807" s="20"/>
      <c r="AX807" s="20"/>
    </row>
    <row r="808" spans="31:50">
      <c r="AE808" s="26">
        <f>Data!A803</f>
        <v>41799</v>
      </c>
      <c r="AF808" s="35">
        <f>Data!B803</f>
        <v>79.58</v>
      </c>
      <c r="AG808" s="35">
        <f>Data!F803</f>
        <v>1281913</v>
      </c>
      <c r="AH808" s="35">
        <f>Data!C803</f>
        <v>80.12</v>
      </c>
      <c r="AI808" s="35">
        <f>Data!D803</f>
        <v>79.53</v>
      </c>
      <c r="AJ808" s="35">
        <f>Data!E803</f>
        <v>80</v>
      </c>
      <c r="AK808" s="35">
        <f>Data!F803</f>
        <v>1281913</v>
      </c>
      <c r="AL808" s="35">
        <f t="shared" si="120"/>
        <v>80</v>
      </c>
      <c r="AM808" s="35">
        <f t="shared" si="119"/>
        <v>0.74999999999999289</v>
      </c>
      <c r="AN808" s="35">
        <f t="shared" si="127"/>
        <v>-54.474835655773838</v>
      </c>
      <c r="AO808" s="35" t="str">
        <f t="shared" si="121"/>
        <v>FITS BITCH</v>
      </c>
      <c r="AP808" s="35" t="str">
        <f t="shared" si="122"/>
        <v>FITS BITCH</v>
      </c>
      <c r="AQ808" s="35" t="str">
        <f t="shared" si="122"/>
        <v>FITS BITCH</v>
      </c>
      <c r="AR808" s="35" t="str">
        <f t="shared" si="123"/>
        <v>no</v>
      </c>
      <c r="AS808" s="35" t="str">
        <f t="shared" si="124"/>
        <v>FITS BITCH</v>
      </c>
      <c r="AT808" s="20" t="str">
        <f t="shared" si="125"/>
        <v/>
      </c>
      <c r="AU808" s="20" t="str">
        <f t="shared" si="126"/>
        <v>BEARISH</v>
      </c>
      <c r="AV808" s="20"/>
      <c r="AW808" s="20"/>
      <c r="AX808" s="20"/>
    </row>
    <row r="809" spans="31:50">
      <c r="AE809" s="26">
        <f>Data!A804</f>
        <v>41796</v>
      </c>
      <c r="AF809" s="35">
        <f>Data!B804</f>
        <v>79.17</v>
      </c>
      <c r="AG809" s="35">
        <f>Data!F804</f>
        <v>1412444</v>
      </c>
      <c r="AH809" s="35">
        <f>Data!C804</f>
        <v>79.67</v>
      </c>
      <c r="AI809" s="35">
        <f>Data!D804</f>
        <v>78.8</v>
      </c>
      <c r="AJ809" s="35">
        <f>Data!E804</f>
        <v>79.61</v>
      </c>
      <c r="AK809" s="35">
        <f>Data!F804</f>
        <v>1412444</v>
      </c>
      <c r="AL809" s="35">
        <f t="shared" si="120"/>
        <v>79.61</v>
      </c>
      <c r="AM809" s="35">
        <f t="shared" si="119"/>
        <v>-0.48988820499937263</v>
      </c>
      <c r="AN809" s="35">
        <f t="shared" si="127"/>
        <v>9.2414991320009854</v>
      </c>
      <c r="AO809" s="35" t="str">
        <f t="shared" si="121"/>
        <v>no</v>
      </c>
      <c r="AP809" s="35" t="str">
        <f t="shared" si="122"/>
        <v>FITS BITCH</v>
      </c>
      <c r="AQ809" s="35" t="str">
        <f t="shared" si="122"/>
        <v>FITS BITCH</v>
      </c>
      <c r="AR809" s="35" t="str">
        <f t="shared" si="123"/>
        <v>no</v>
      </c>
      <c r="AS809" s="35" t="str">
        <f t="shared" si="124"/>
        <v>FITS BITCH</v>
      </c>
      <c r="AT809" s="20" t="str">
        <f t="shared" si="125"/>
        <v/>
      </c>
      <c r="AU809" s="20" t="str">
        <f t="shared" si="126"/>
        <v/>
      </c>
      <c r="AV809" s="20"/>
      <c r="AW809" s="20"/>
      <c r="AX809" s="20"/>
    </row>
    <row r="810" spans="31:50">
      <c r="AE810" s="26">
        <f>Data!A805</f>
        <v>41795</v>
      </c>
      <c r="AF810" s="35">
        <f>Data!B805</f>
        <v>78.790000000000006</v>
      </c>
      <c r="AG810" s="35">
        <f>Data!F805</f>
        <v>1515173</v>
      </c>
      <c r="AH810" s="35">
        <f>Data!C805</f>
        <v>78.84</v>
      </c>
      <c r="AI810" s="35">
        <f>Data!D805</f>
        <v>78.02</v>
      </c>
      <c r="AJ810" s="35">
        <f>Data!E805</f>
        <v>78.7</v>
      </c>
      <c r="AK810" s="35">
        <f>Data!F805</f>
        <v>1515173</v>
      </c>
      <c r="AL810" s="35">
        <f t="shared" si="120"/>
        <v>78.7</v>
      </c>
      <c r="AM810" s="35">
        <f t="shared" si="119"/>
        <v>-1.1562897077509486</v>
      </c>
      <c r="AN810" s="35">
        <f t="shared" si="127"/>
        <v>6.7800178593467546</v>
      </c>
      <c r="AO810" s="35" t="str">
        <f t="shared" si="121"/>
        <v>no</v>
      </c>
      <c r="AP810" s="35" t="b">
        <f t="shared" si="122"/>
        <v>0</v>
      </c>
      <c r="AQ810" s="35" t="str">
        <f t="shared" si="122"/>
        <v>no</v>
      </c>
      <c r="AR810" s="35" t="str">
        <f t="shared" si="123"/>
        <v>FITS BITCH</v>
      </c>
      <c r="AS810" s="35" t="str">
        <f t="shared" si="124"/>
        <v>no</v>
      </c>
      <c r="AT810" s="20" t="str">
        <f t="shared" si="125"/>
        <v/>
      </c>
      <c r="AU810" s="20" t="str">
        <f t="shared" si="126"/>
        <v/>
      </c>
      <c r="AV810" s="20"/>
      <c r="AW810" s="20"/>
      <c r="AX810" s="20"/>
    </row>
    <row r="811" spans="31:50">
      <c r="AE811" s="26">
        <f>Data!A806</f>
        <v>41794</v>
      </c>
      <c r="AF811" s="35">
        <f>Data!B806</f>
        <v>78.33</v>
      </c>
      <c r="AG811" s="35">
        <f>Data!F806</f>
        <v>2334556</v>
      </c>
      <c r="AH811" s="35">
        <f>Data!C806</f>
        <v>78.84</v>
      </c>
      <c r="AI811" s="35">
        <f>Data!D806</f>
        <v>78.08</v>
      </c>
      <c r="AJ811" s="35">
        <f>Data!E806</f>
        <v>78.83</v>
      </c>
      <c r="AK811" s="35">
        <f>Data!F806</f>
        <v>2334556</v>
      </c>
      <c r="AL811" s="35">
        <f t="shared" si="120"/>
        <v>78.83</v>
      </c>
      <c r="AM811" s="35">
        <f t="shared" si="119"/>
        <v>0.16491183559557968</v>
      </c>
      <c r="AN811" s="35">
        <f t="shared" si="127"/>
        <v>35.098022921703311</v>
      </c>
      <c r="AO811" s="35" t="str">
        <f t="shared" si="121"/>
        <v>no</v>
      </c>
      <c r="AP811" s="35" t="str">
        <f t="shared" si="122"/>
        <v>no</v>
      </c>
      <c r="AQ811" s="35" t="str">
        <f t="shared" si="122"/>
        <v>no</v>
      </c>
      <c r="AR811" s="35" t="str">
        <f t="shared" si="123"/>
        <v>FITS BITCH</v>
      </c>
      <c r="AS811" s="35" t="str">
        <f t="shared" si="124"/>
        <v>FITS BITCH</v>
      </c>
      <c r="AT811" s="20" t="str">
        <f t="shared" si="125"/>
        <v/>
      </c>
      <c r="AU811" s="20" t="str">
        <f t="shared" si="126"/>
        <v/>
      </c>
      <c r="AV811" s="20"/>
      <c r="AW811" s="20"/>
      <c r="AX811" s="20"/>
    </row>
    <row r="812" spans="31:50">
      <c r="AE812" s="26">
        <f>Data!A807</f>
        <v>41793</v>
      </c>
      <c r="AF812" s="35">
        <f>Data!B807</f>
        <v>78.92</v>
      </c>
      <c r="AG812" s="35">
        <f>Data!F807</f>
        <v>2296590</v>
      </c>
      <c r="AH812" s="35">
        <f>Data!C807</f>
        <v>79.38</v>
      </c>
      <c r="AI812" s="35">
        <f>Data!D807</f>
        <v>78.540000000000006</v>
      </c>
      <c r="AJ812" s="35">
        <f>Data!E807</f>
        <v>78.709999999999994</v>
      </c>
      <c r="AK812" s="35">
        <f>Data!F807</f>
        <v>2296590</v>
      </c>
      <c r="AL812" s="35">
        <f t="shared" si="120"/>
        <v>78.709999999999994</v>
      </c>
      <c r="AM812" s="35">
        <f t="shared" si="119"/>
        <v>-0.15245839156397481</v>
      </c>
      <c r="AN812" s="35">
        <f t="shared" si="127"/>
        <v>-1.6531466217304787</v>
      </c>
      <c r="AO812" s="35" t="str">
        <f t="shared" si="121"/>
        <v>no</v>
      </c>
      <c r="AP812" s="35" t="str">
        <f t="shared" si="122"/>
        <v>no</v>
      </c>
      <c r="AQ812" s="35" t="str">
        <f t="shared" si="122"/>
        <v>no</v>
      </c>
      <c r="AR812" s="35" t="str">
        <f t="shared" si="123"/>
        <v>FITS BITCH</v>
      </c>
      <c r="AS812" s="35" t="str">
        <f t="shared" si="124"/>
        <v>no</v>
      </c>
      <c r="AT812" s="20" t="str">
        <f t="shared" si="125"/>
        <v/>
      </c>
      <c r="AU812" s="20" t="str">
        <f t="shared" si="126"/>
        <v/>
      </c>
      <c r="AV812" s="20"/>
      <c r="AW812" s="20"/>
      <c r="AX812" s="20"/>
    </row>
    <row r="813" spans="31:50">
      <c r="AE813" s="26">
        <f>Data!A808</f>
        <v>41792</v>
      </c>
      <c r="AF813" s="35">
        <f>Data!B808</f>
        <v>79.650000000000006</v>
      </c>
      <c r="AG813" s="35">
        <f>Data!F808</f>
        <v>980440</v>
      </c>
      <c r="AH813" s="35">
        <f>Data!C808</f>
        <v>79.92</v>
      </c>
      <c r="AI813" s="35">
        <f>Data!D808</f>
        <v>79.150000000000006</v>
      </c>
      <c r="AJ813" s="35">
        <f>Data!E808</f>
        <v>79.38</v>
      </c>
      <c r="AK813" s="35">
        <f>Data!F808</f>
        <v>980440</v>
      </c>
      <c r="AL813" s="35">
        <f t="shared" si="120"/>
        <v>79.38</v>
      </c>
      <c r="AM813" s="35">
        <f t="shared" si="119"/>
        <v>0.84404132023179856</v>
      </c>
      <c r="AN813" s="35">
        <f t="shared" si="127"/>
        <v>-134.2407490514463</v>
      </c>
      <c r="AO813" s="35" t="str">
        <f t="shared" si="121"/>
        <v>FITS BITCH</v>
      </c>
      <c r="AP813" s="35" t="str">
        <f t="shared" si="122"/>
        <v>FITS BITCH</v>
      </c>
      <c r="AQ813" s="35" t="str">
        <f t="shared" si="122"/>
        <v>no</v>
      </c>
      <c r="AR813" s="35" t="str">
        <f t="shared" si="123"/>
        <v>FITS BITCH</v>
      </c>
      <c r="AS813" s="35" t="str">
        <f t="shared" si="124"/>
        <v>no</v>
      </c>
      <c r="AT813" s="20" t="str">
        <f t="shared" si="125"/>
        <v>BULLISH</v>
      </c>
      <c r="AU813" s="20" t="str">
        <f t="shared" si="126"/>
        <v/>
      </c>
      <c r="AV813" s="20"/>
      <c r="AW813" s="20"/>
      <c r="AX813" s="20"/>
    </row>
    <row r="814" spans="31:50">
      <c r="AE814" s="26">
        <f>Data!A809</f>
        <v>41789</v>
      </c>
      <c r="AF814" s="35">
        <f>Data!B809</f>
        <v>79.75</v>
      </c>
      <c r="AG814" s="35">
        <f>Data!F809</f>
        <v>2221524</v>
      </c>
      <c r="AH814" s="35">
        <f>Data!C809</f>
        <v>79.88</v>
      </c>
      <c r="AI814" s="35">
        <f>Data!D809</f>
        <v>79.37</v>
      </c>
      <c r="AJ814" s="35">
        <f>Data!E809</f>
        <v>79.680000000000007</v>
      </c>
      <c r="AK814" s="35">
        <f>Data!F809</f>
        <v>2221524</v>
      </c>
      <c r="AL814" s="35">
        <f t="shared" si="120"/>
        <v>79.680000000000007</v>
      </c>
      <c r="AM814" s="35">
        <f t="shared" ref="AM814:AM877" si="128">(AL814-AL813)/AL814*100</f>
        <v>0.37650602409639977</v>
      </c>
      <c r="AN814" s="35">
        <f t="shared" si="127"/>
        <v>55.86633320189204</v>
      </c>
      <c r="AO814" s="35" t="str">
        <f t="shared" si="121"/>
        <v>no</v>
      </c>
      <c r="AP814" s="35" t="str">
        <f t="shared" si="122"/>
        <v>FITS BITCH</v>
      </c>
      <c r="AQ814" s="35" t="str">
        <f t="shared" si="122"/>
        <v>FITS BITCH</v>
      </c>
      <c r="AR814" s="35" t="str">
        <f t="shared" si="123"/>
        <v>no</v>
      </c>
      <c r="AS814" s="35" t="str">
        <f t="shared" si="124"/>
        <v>FITS BITCH</v>
      </c>
      <c r="AT814" s="20" t="str">
        <f t="shared" si="125"/>
        <v/>
      </c>
      <c r="AU814" s="20" t="str">
        <f t="shared" si="126"/>
        <v/>
      </c>
      <c r="AV814" s="20"/>
      <c r="AW814" s="20"/>
      <c r="AX814" s="20"/>
    </row>
    <row r="815" spans="31:50">
      <c r="AE815" s="26">
        <f>Data!A810</f>
        <v>41788</v>
      </c>
      <c r="AF815" s="35">
        <f>Data!B810</f>
        <v>79.180000000000007</v>
      </c>
      <c r="AG815" s="35">
        <f>Data!F810</f>
        <v>1062810</v>
      </c>
      <c r="AH815" s="35">
        <f>Data!C810</f>
        <v>79.569999999999993</v>
      </c>
      <c r="AI815" s="35">
        <f>Data!D810</f>
        <v>78.900000000000006</v>
      </c>
      <c r="AJ815" s="35">
        <f>Data!E810</f>
        <v>79.56</v>
      </c>
      <c r="AK815" s="35">
        <f>Data!F810</f>
        <v>1062810</v>
      </c>
      <c r="AL815" s="35">
        <f t="shared" si="120"/>
        <v>79.56</v>
      </c>
      <c r="AM815" s="35">
        <f t="shared" si="128"/>
        <v>-0.15082956259427419</v>
      </c>
      <c r="AN815" s="35">
        <f t="shared" si="127"/>
        <v>-109.02362604792954</v>
      </c>
      <c r="AO815" s="35" t="str">
        <f t="shared" si="121"/>
        <v>FITS BITCH</v>
      </c>
      <c r="AP815" s="35" t="str">
        <f t="shared" si="122"/>
        <v>no</v>
      </c>
      <c r="AQ815" s="35" t="str">
        <f t="shared" si="122"/>
        <v>FITS BITCH</v>
      </c>
      <c r="AR815" s="35" t="str">
        <f t="shared" si="123"/>
        <v>FITS BITCH</v>
      </c>
      <c r="AS815" s="35" t="str">
        <f t="shared" si="124"/>
        <v>FITS BITCH</v>
      </c>
      <c r="AT815" s="20" t="str">
        <f t="shared" si="125"/>
        <v/>
      </c>
      <c r="AU815" s="20" t="str">
        <f t="shared" si="126"/>
        <v>BEARISH</v>
      </c>
      <c r="AV815" s="20"/>
      <c r="AW815" s="20"/>
      <c r="AX815" s="20"/>
    </row>
    <row r="816" spans="31:50">
      <c r="AE816" s="26">
        <f>Data!A811</f>
        <v>41787</v>
      </c>
      <c r="AF816" s="35">
        <f>Data!B811</f>
        <v>79.72</v>
      </c>
      <c r="AG816" s="35">
        <f>Data!F811</f>
        <v>1252142</v>
      </c>
      <c r="AH816" s="35">
        <f>Data!C811</f>
        <v>79.790000000000006</v>
      </c>
      <c r="AI816" s="35">
        <f>Data!D811</f>
        <v>78.81</v>
      </c>
      <c r="AJ816" s="35">
        <f>Data!E811</f>
        <v>78.87</v>
      </c>
      <c r="AK816" s="35">
        <f>Data!F811</f>
        <v>1252142</v>
      </c>
      <c r="AL816" s="35">
        <f t="shared" si="120"/>
        <v>78.87</v>
      </c>
      <c r="AM816" s="35">
        <f t="shared" si="128"/>
        <v>-0.87485736021300586</v>
      </c>
      <c r="AN816" s="35">
        <f t="shared" si="127"/>
        <v>15.120649255435886</v>
      </c>
      <c r="AO816" s="35" t="str">
        <f t="shared" si="121"/>
        <v>no</v>
      </c>
      <c r="AP816" s="35" t="str">
        <f t="shared" si="122"/>
        <v>FITS BITCH</v>
      </c>
      <c r="AQ816" s="35" t="str">
        <f t="shared" si="122"/>
        <v>no</v>
      </c>
      <c r="AR816" s="35" t="str">
        <f t="shared" si="123"/>
        <v>FITS BITCH</v>
      </c>
      <c r="AS816" s="35" t="str">
        <f t="shared" si="124"/>
        <v>no</v>
      </c>
      <c r="AT816" s="20" t="str">
        <f t="shared" si="125"/>
        <v/>
      </c>
      <c r="AU816" s="20" t="str">
        <f t="shared" si="126"/>
        <v/>
      </c>
      <c r="AV816" s="20"/>
      <c r="AW816" s="20"/>
      <c r="AX816" s="20"/>
    </row>
    <row r="817" spans="31:50">
      <c r="AE817" s="26">
        <f>Data!A812</f>
        <v>41786</v>
      </c>
      <c r="AF817" s="35">
        <f>Data!B812</f>
        <v>79.010000000000005</v>
      </c>
      <c r="AG817" s="35">
        <f>Data!F812</f>
        <v>1172416</v>
      </c>
      <c r="AH817" s="35">
        <f>Data!C812</f>
        <v>79.3</v>
      </c>
      <c r="AI817" s="35">
        <f>Data!D812</f>
        <v>78.86</v>
      </c>
      <c r="AJ817" s="35">
        <f>Data!E812</f>
        <v>79.3</v>
      </c>
      <c r="AK817" s="35">
        <f>Data!F812</f>
        <v>1172416</v>
      </c>
      <c r="AL817" s="35">
        <f t="shared" si="120"/>
        <v>79.3</v>
      </c>
      <c r="AM817" s="35">
        <f t="shared" si="128"/>
        <v>0.54224464060528699</v>
      </c>
      <c r="AN817" s="35">
        <f t="shared" si="127"/>
        <v>-6.8001460232545439</v>
      </c>
      <c r="AO817" s="35" t="str">
        <f t="shared" si="121"/>
        <v>no</v>
      </c>
      <c r="AP817" s="35" t="str">
        <f t="shared" si="122"/>
        <v>FITS BITCH</v>
      </c>
      <c r="AQ817" s="35" t="str">
        <f t="shared" si="122"/>
        <v>FITS BITCH</v>
      </c>
      <c r="AR817" s="35" t="str">
        <f t="shared" si="123"/>
        <v>no</v>
      </c>
      <c r="AS817" s="35" t="str">
        <f t="shared" si="124"/>
        <v>FITS BITCH</v>
      </c>
      <c r="AT817" s="20" t="str">
        <f t="shared" si="125"/>
        <v/>
      </c>
      <c r="AU817" s="20" t="str">
        <f t="shared" si="126"/>
        <v/>
      </c>
      <c r="AV817" s="20"/>
      <c r="AW817" s="20"/>
      <c r="AX817" s="20"/>
    </row>
    <row r="818" spans="31:50">
      <c r="AE818" s="26">
        <f>Data!A813</f>
        <v>41782</v>
      </c>
      <c r="AF818" s="35">
        <f>Data!B813</f>
        <v>78.319999999999993</v>
      </c>
      <c r="AG818" s="35">
        <f>Data!F813</f>
        <v>968451</v>
      </c>
      <c r="AH818" s="35">
        <f>Data!C813</f>
        <v>78.88</v>
      </c>
      <c r="AI818" s="35">
        <f>Data!D813</f>
        <v>78.14</v>
      </c>
      <c r="AJ818" s="35">
        <f>Data!E813</f>
        <v>78.849999999999994</v>
      </c>
      <c r="AK818" s="35">
        <f>Data!F813</f>
        <v>968451</v>
      </c>
      <c r="AL818" s="35">
        <f t="shared" si="120"/>
        <v>78.849999999999994</v>
      </c>
      <c r="AM818" s="35">
        <f t="shared" si="128"/>
        <v>-0.57070386810399865</v>
      </c>
      <c r="AN818" s="35">
        <f t="shared" si="127"/>
        <v>-21.060951973822114</v>
      </c>
      <c r="AO818" s="35" t="str">
        <f t="shared" si="121"/>
        <v>FITS BITCH</v>
      </c>
      <c r="AP818" s="35" t="str">
        <f t="shared" si="122"/>
        <v>FITS BITCH</v>
      </c>
      <c r="AQ818" s="35" t="str">
        <f t="shared" si="122"/>
        <v>FITS BITCH</v>
      </c>
      <c r="AR818" s="35" t="str">
        <f t="shared" si="123"/>
        <v>no</v>
      </c>
      <c r="AS818" s="35" t="str">
        <f t="shared" si="124"/>
        <v>FITS BITCH</v>
      </c>
      <c r="AT818" s="20" t="str">
        <f t="shared" si="125"/>
        <v/>
      </c>
      <c r="AU818" s="20" t="str">
        <f t="shared" si="126"/>
        <v>BEARISH</v>
      </c>
      <c r="AV818" s="20"/>
      <c r="AW818" s="20"/>
      <c r="AX818" s="20"/>
    </row>
    <row r="819" spans="31:50">
      <c r="AE819" s="26">
        <f>Data!A814</f>
        <v>41781</v>
      </c>
      <c r="AF819" s="35">
        <f>Data!B814</f>
        <v>77.89</v>
      </c>
      <c r="AG819" s="35">
        <f>Data!F814</f>
        <v>994018</v>
      </c>
      <c r="AH819" s="35">
        <f>Data!C814</f>
        <v>78.28</v>
      </c>
      <c r="AI819" s="35">
        <f>Data!D814</f>
        <v>77.52</v>
      </c>
      <c r="AJ819" s="35">
        <f>Data!E814</f>
        <v>78.08</v>
      </c>
      <c r="AK819" s="35">
        <f>Data!F814</f>
        <v>994018</v>
      </c>
      <c r="AL819" s="35">
        <f t="shared" si="120"/>
        <v>78.08</v>
      </c>
      <c r="AM819" s="35">
        <f t="shared" si="128"/>
        <v>-0.98616803278688014</v>
      </c>
      <c r="AN819" s="35">
        <f t="shared" si="127"/>
        <v>2.5720862197666441</v>
      </c>
      <c r="AO819" s="35" t="str">
        <f t="shared" si="121"/>
        <v>no</v>
      </c>
      <c r="AP819" s="35" t="str">
        <f t="shared" si="122"/>
        <v>FITS BITCH</v>
      </c>
      <c r="AQ819" s="35" t="str">
        <f t="shared" si="122"/>
        <v>FITS BITCH</v>
      </c>
      <c r="AR819" s="35" t="str">
        <f t="shared" si="123"/>
        <v>no</v>
      </c>
      <c r="AS819" s="35" t="str">
        <f t="shared" si="124"/>
        <v>FITS BITCH</v>
      </c>
      <c r="AT819" s="20" t="str">
        <f t="shared" si="125"/>
        <v/>
      </c>
      <c r="AU819" s="20" t="str">
        <f t="shared" si="126"/>
        <v/>
      </c>
      <c r="AV819" s="20"/>
      <c r="AW819" s="20"/>
      <c r="AX819" s="20"/>
    </row>
    <row r="820" spans="31:50">
      <c r="AE820" s="26">
        <f>Data!A815</f>
        <v>41780</v>
      </c>
      <c r="AF820" s="35">
        <f>Data!B815</f>
        <v>78.069999999999993</v>
      </c>
      <c r="AG820" s="35">
        <f>Data!F815</f>
        <v>1300842</v>
      </c>
      <c r="AH820" s="35">
        <f>Data!C815</f>
        <v>78.069999999999993</v>
      </c>
      <c r="AI820" s="35">
        <f>Data!D815</f>
        <v>77.42</v>
      </c>
      <c r="AJ820" s="35">
        <f>Data!E815</f>
        <v>77.72</v>
      </c>
      <c r="AK820" s="35">
        <f>Data!F815</f>
        <v>1300842</v>
      </c>
      <c r="AL820" s="35">
        <f t="shared" si="120"/>
        <v>77.72</v>
      </c>
      <c r="AM820" s="35">
        <f t="shared" si="128"/>
        <v>-0.4632012352032932</v>
      </c>
      <c r="AN820" s="35">
        <f t="shared" si="127"/>
        <v>23.586569314336405</v>
      </c>
      <c r="AO820" s="35" t="str">
        <f t="shared" si="121"/>
        <v>no</v>
      </c>
      <c r="AP820" s="35" t="str">
        <f t="shared" si="122"/>
        <v>no</v>
      </c>
      <c r="AQ820" s="35" t="str">
        <f t="shared" si="122"/>
        <v>FITS BITCH</v>
      </c>
      <c r="AR820" s="35" t="str">
        <f t="shared" si="123"/>
        <v>FITS BITCH</v>
      </c>
      <c r="AS820" s="35" t="str">
        <f t="shared" si="124"/>
        <v>FITS BITCH</v>
      </c>
      <c r="AT820" s="20" t="str">
        <f t="shared" si="125"/>
        <v/>
      </c>
      <c r="AU820" s="20" t="str">
        <f t="shared" si="126"/>
        <v/>
      </c>
      <c r="AV820" s="20"/>
      <c r="AW820" s="20"/>
      <c r="AX820" s="20"/>
    </row>
    <row r="821" spans="31:50">
      <c r="AE821" s="26">
        <f>Data!A816</f>
        <v>41779</v>
      </c>
      <c r="AF821" s="35">
        <f>Data!B816</f>
        <v>78.150000000000006</v>
      </c>
      <c r="AG821" s="35">
        <f>Data!F816</f>
        <v>1650950</v>
      </c>
      <c r="AH821" s="35">
        <f>Data!C816</f>
        <v>78.150000000000006</v>
      </c>
      <c r="AI821" s="35">
        <f>Data!D816</f>
        <v>77.37</v>
      </c>
      <c r="AJ821" s="35">
        <f>Data!E816</f>
        <v>77.56</v>
      </c>
      <c r="AK821" s="35">
        <f>Data!F816</f>
        <v>1650950</v>
      </c>
      <c r="AL821" s="35">
        <f t="shared" si="120"/>
        <v>77.56</v>
      </c>
      <c r="AM821" s="35">
        <f t="shared" si="128"/>
        <v>-0.20629190304280115</v>
      </c>
      <c r="AN821" s="35">
        <f t="shared" si="127"/>
        <v>21.20645688845816</v>
      </c>
      <c r="AO821" s="35" t="str">
        <f t="shared" si="121"/>
        <v>no</v>
      </c>
      <c r="AP821" s="35" t="str">
        <f t="shared" si="122"/>
        <v>FITS BITCH</v>
      </c>
      <c r="AQ821" s="35" t="str">
        <f t="shared" si="122"/>
        <v>FITS BITCH</v>
      </c>
      <c r="AR821" s="35" t="str">
        <f t="shared" si="123"/>
        <v>FITS BITCH</v>
      </c>
      <c r="AS821" s="35" t="str">
        <f t="shared" si="124"/>
        <v>no</v>
      </c>
      <c r="AT821" s="20" t="str">
        <f t="shared" si="125"/>
        <v/>
      </c>
      <c r="AU821" s="20" t="str">
        <f t="shared" si="126"/>
        <v/>
      </c>
      <c r="AV821" s="20"/>
      <c r="AW821" s="20"/>
      <c r="AX821" s="20"/>
    </row>
    <row r="822" spans="31:50">
      <c r="AE822" s="26">
        <f>Data!A817</f>
        <v>41778</v>
      </c>
      <c r="AF822" s="35">
        <f>Data!B817</f>
        <v>77.52</v>
      </c>
      <c r="AG822" s="35">
        <f>Data!F817</f>
        <v>1121570</v>
      </c>
      <c r="AH822" s="35">
        <f>Data!C817</f>
        <v>78.12</v>
      </c>
      <c r="AI822" s="35">
        <f>Data!D817</f>
        <v>77.36</v>
      </c>
      <c r="AJ822" s="35">
        <f>Data!E817</f>
        <v>78.05</v>
      </c>
      <c r="AK822" s="35">
        <f>Data!F817</f>
        <v>1121570</v>
      </c>
      <c r="AL822" s="35">
        <f t="shared" si="120"/>
        <v>78.05</v>
      </c>
      <c r="AM822" s="35">
        <f t="shared" si="128"/>
        <v>0.62780269058295313</v>
      </c>
      <c r="AN822" s="35">
        <f t="shared" si="127"/>
        <v>-47.199907272840754</v>
      </c>
      <c r="AO822" s="35" t="str">
        <f t="shared" si="121"/>
        <v>FITS BITCH</v>
      </c>
      <c r="AP822" s="35" t="str">
        <f t="shared" si="122"/>
        <v>FITS BITCH</v>
      </c>
      <c r="AQ822" s="35" t="str">
        <f t="shared" si="122"/>
        <v>FITS BITCH</v>
      </c>
      <c r="AR822" s="35" t="str">
        <f t="shared" si="123"/>
        <v>no</v>
      </c>
      <c r="AS822" s="35" t="str">
        <f t="shared" si="124"/>
        <v>FITS BITCH</v>
      </c>
      <c r="AT822" s="20" t="str">
        <f t="shared" si="125"/>
        <v/>
      </c>
      <c r="AU822" s="20" t="str">
        <f t="shared" si="126"/>
        <v>BEARISH</v>
      </c>
      <c r="AV822" s="20"/>
      <c r="AW822" s="20"/>
      <c r="AX822" s="20"/>
    </row>
    <row r="823" spans="31:50">
      <c r="AE823" s="26">
        <f>Data!A818</f>
        <v>41775</v>
      </c>
      <c r="AF823" s="35">
        <f>Data!B818</f>
        <v>76.91</v>
      </c>
      <c r="AG823" s="35">
        <f>Data!F818</f>
        <v>1829827</v>
      </c>
      <c r="AH823" s="35">
        <f>Data!C818</f>
        <v>77.84</v>
      </c>
      <c r="AI823" s="35">
        <f>Data!D818</f>
        <v>76.45</v>
      </c>
      <c r="AJ823" s="35">
        <f>Data!E818</f>
        <v>77.81</v>
      </c>
      <c r="AK823" s="35">
        <f>Data!F818</f>
        <v>1829827</v>
      </c>
      <c r="AL823" s="35">
        <f t="shared" si="120"/>
        <v>77.81</v>
      </c>
      <c r="AM823" s="35">
        <f t="shared" si="128"/>
        <v>-0.30844364477572922</v>
      </c>
      <c r="AN823" s="35">
        <f t="shared" si="127"/>
        <v>38.706227419313407</v>
      </c>
      <c r="AO823" s="35" t="str">
        <f t="shared" si="121"/>
        <v>no</v>
      </c>
      <c r="AP823" s="35" t="str">
        <f t="shared" si="122"/>
        <v>no</v>
      </c>
      <c r="AQ823" s="35" t="str">
        <f t="shared" si="122"/>
        <v>no</v>
      </c>
      <c r="AR823" s="35" t="str">
        <f t="shared" si="123"/>
        <v>FITS BITCH</v>
      </c>
      <c r="AS823" s="35" t="str">
        <f t="shared" si="124"/>
        <v>FITS BITCH</v>
      </c>
      <c r="AT823" s="20" t="str">
        <f t="shared" si="125"/>
        <v/>
      </c>
      <c r="AU823" s="20" t="str">
        <f t="shared" si="126"/>
        <v/>
      </c>
      <c r="AV823" s="20"/>
      <c r="AW823" s="20"/>
      <c r="AX823" s="20"/>
    </row>
    <row r="824" spans="31:50">
      <c r="AE824" s="26">
        <f>Data!A819</f>
        <v>41774</v>
      </c>
      <c r="AF824" s="35">
        <f>Data!B819</f>
        <v>77.849999999999994</v>
      </c>
      <c r="AG824" s="35">
        <f>Data!F819</f>
        <v>2112931</v>
      </c>
      <c r="AH824" s="35">
        <f>Data!C819</f>
        <v>78</v>
      </c>
      <c r="AI824" s="35">
        <f>Data!D819</f>
        <v>76.47</v>
      </c>
      <c r="AJ824" s="35">
        <f>Data!E819</f>
        <v>76.75</v>
      </c>
      <c r="AK824" s="35">
        <f>Data!F819</f>
        <v>2112931</v>
      </c>
      <c r="AL824" s="35">
        <f t="shared" si="120"/>
        <v>76.75</v>
      </c>
      <c r="AM824" s="35">
        <f t="shared" si="128"/>
        <v>-1.3811074918566806</v>
      </c>
      <c r="AN824" s="35">
        <f t="shared" si="127"/>
        <v>13.39863914155266</v>
      </c>
      <c r="AO824" s="35" t="str">
        <f t="shared" si="121"/>
        <v>no</v>
      </c>
      <c r="AP824" s="35" t="str">
        <f t="shared" si="122"/>
        <v>no</v>
      </c>
      <c r="AQ824" s="35" t="str">
        <f t="shared" si="122"/>
        <v>no</v>
      </c>
      <c r="AR824" s="35" t="str">
        <f t="shared" si="123"/>
        <v>FITS BITCH</v>
      </c>
      <c r="AS824" s="35" t="str">
        <f t="shared" si="124"/>
        <v>no</v>
      </c>
      <c r="AT824" s="20" t="str">
        <f t="shared" si="125"/>
        <v/>
      </c>
      <c r="AU824" s="20" t="str">
        <f t="shared" si="126"/>
        <v/>
      </c>
      <c r="AV824" s="20"/>
      <c r="AW824" s="20"/>
      <c r="AX824" s="20"/>
    </row>
    <row r="825" spans="31:50">
      <c r="AE825" s="26">
        <f>Data!A820</f>
        <v>41773</v>
      </c>
      <c r="AF825" s="35">
        <f>Data!B820</f>
        <v>79.02</v>
      </c>
      <c r="AG825" s="35">
        <f>Data!F820</f>
        <v>1004824</v>
      </c>
      <c r="AH825" s="35">
        <f>Data!C820</f>
        <v>79.099999999999994</v>
      </c>
      <c r="AI825" s="35">
        <f>Data!D820</f>
        <v>77.94</v>
      </c>
      <c r="AJ825" s="35">
        <f>Data!E820</f>
        <v>78.09</v>
      </c>
      <c r="AK825" s="35">
        <f>Data!F820</f>
        <v>1004824</v>
      </c>
      <c r="AL825" s="35">
        <f t="shared" si="120"/>
        <v>78.09</v>
      </c>
      <c r="AM825" s="35">
        <f t="shared" si="128"/>
        <v>1.7159687540017972</v>
      </c>
      <c r="AN825" s="35">
        <f t="shared" si="127"/>
        <v>-110.27871547654115</v>
      </c>
      <c r="AO825" s="35" t="str">
        <f t="shared" si="121"/>
        <v>FITS BITCH</v>
      </c>
      <c r="AP825" s="35" t="str">
        <f t="shared" si="122"/>
        <v>no</v>
      </c>
      <c r="AQ825" s="35" t="str">
        <f t="shared" si="122"/>
        <v>no</v>
      </c>
      <c r="AR825" s="35" t="str">
        <f t="shared" si="123"/>
        <v>FITS BITCH</v>
      </c>
      <c r="AS825" s="35" t="str">
        <f t="shared" si="124"/>
        <v>no</v>
      </c>
      <c r="AT825" s="20" t="str">
        <f t="shared" si="125"/>
        <v/>
      </c>
      <c r="AU825" s="20" t="str">
        <f t="shared" si="126"/>
        <v/>
      </c>
      <c r="AV825" s="20"/>
      <c r="AW825" s="20"/>
      <c r="AX825" s="20"/>
    </row>
    <row r="826" spans="31:50">
      <c r="AE826" s="26">
        <f>Data!A821</f>
        <v>41772</v>
      </c>
      <c r="AF826" s="35">
        <f>Data!B821</f>
        <v>78.900000000000006</v>
      </c>
      <c r="AG826" s="35">
        <f>Data!F821</f>
        <v>1243182</v>
      </c>
      <c r="AH826" s="35">
        <f>Data!C821</f>
        <v>79.12</v>
      </c>
      <c r="AI826" s="35">
        <f>Data!D821</f>
        <v>78.599999999999994</v>
      </c>
      <c r="AJ826" s="35">
        <f>Data!E821</f>
        <v>78.92</v>
      </c>
      <c r="AK826" s="35">
        <f>Data!F821</f>
        <v>1243182</v>
      </c>
      <c r="AL826" s="35">
        <f t="shared" si="120"/>
        <v>78.92</v>
      </c>
      <c r="AM826" s="35">
        <f t="shared" si="128"/>
        <v>1.0516979219462725</v>
      </c>
      <c r="AN826" s="35">
        <f t="shared" si="127"/>
        <v>19.173218402454349</v>
      </c>
      <c r="AO826" s="35" t="str">
        <f t="shared" si="121"/>
        <v>no</v>
      </c>
      <c r="AP826" s="35" t="b">
        <f t="shared" si="122"/>
        <v>0</v>
      </c>
      <c r="AQ826" s="35" t="str">
        <f t="shared" si="122"/>
        <v>FITS BITCH</v>
      </c>
      <c r="AR826" s="35" t="str">
        <f t="shared" si="123"/>
        <v>FITS BITCH</v>
      </c>
      <c r="AS826" s="35" t="str">
        <f t="shared" si="124"/>
        <v>FITS BITCH</v>
      </c>
      <c r="AT826" s="20" t="str">
        <f t="shared" si="125"/>
        <v/>
      </c>
      <c r="AU826" s="20" t="str">
        <f t="shared" si="126"/>
        <v/>
      </c>
      <c r="AV826" s="20"/>
      <c r="AW826" s="20"/>
      <c r="AX826" s="20"/>
    </row>
    <row r="827" spans="31:50">
      <c r="AE827" s="26">
        <f>Data!A822</f>
        <v>41771</v>
      </c>
      <c r="AF827" s="35">
        <f>Data!B822</f>
        <v>77.989999999999995</v>
      </c>
      <c r="AG827" s="35">
        <f>Data!F822</f>
        <v>1319353</v>
      </c>
      <c r="AH827" s="35">
        <f>Data!C822</f>
        <v>79.12</v>
      </c>
      <c r="AI827" s="35">
        <f>Data!D822</f>
        <v>77.989999999999995</v>
      </c>
      <c r="AJ827" s="35">
        <f>Data!E822</f>
        <v>78.89</v>
      </c>
      <c r="AK827" s="35">
        <f>Data!F822</f>
        <v>1319353</v>
      </c>
      <c r="AL827" s="35">
        <f t="shared" si="120"/>
        <v>78.89</v>
      </c>
      <c r="AM827" s="35">
        <f t="shared" si="128"/>
        <v>-3.8027633413615335E-2</v>
      </c>
      <c r="AN827" s="35">
        <f t="shared" si="127"/>
        <v>5.7733601242427159</v>
      </c>
      <c r="AO827" s="35" t="str">
        <f t="shared" si="121"/>
        <v>no</v>
      </c>
      <c r="AP827" s="35" t="str">
        <f t="shared" si="122"/>
        <v>FITS BITCH</v>
      </c>
      <c r="AQ827" s="35" t="str">
        <f t="shared" si="122"/>
        <v>FITS BITCH</v>
      </c>
      <c r="AR827" s="35" t="str">
        <f t="shared" si="123"/>
        <v>no</v>
      </c>
      <c r="AS827" s="35" t="str">
        <f t="shared" si="124"/>
        <v>FITS BITCH</v>
      </c>
      <c r="AT827" s="20" t="str">
        <f t="shared" si="125"/>
        <v/>
      </c>
      <c r="AU827" s="20" t="str">
        <f t="shared" si="126"/>
        <v/>
      </c>
      <c r="AV827" s="20"/>
      <c r="AW827" s="20"/>
      <c r="AX827" s="20"/>
    </row>
    <row r="828" spans="31:50">
      <c r="AE828" s="26">
        <f>Data!A823</f>
        <v>41768</v>
      </c>
      <c r="AF828" s="35">
        <f>Data!B823</f>
        <v>77.62</v>
      </c>
      <c r="AG828" s="35">
        <f>Data!F823</f>
        <v>1352420</v>
      </c>
      <c r="AH828" s="35">
        <f>Data!C823</f>
        <v>78.260000000000005</v>
      </c>
      <c r="AI828" s="35">
        <f>Data!D823</f>
        <v>77.510000000000005</v>
      </c>
      <c r="AJ828" s="35">
        <f>Data!E823</f>
        <v>78.069999999999993</v>
      </c>
      <c r="AK828" s="35">
        <f>Data!F823</f>
        <v>1352420</v>
      </c>
      <c r="AL828" s="35">
        <f t="shared" si="120"/>
        <v>78.069999999999993</v>
      </c>
      <c r="AM828" s="35">
        <f t="shared" si="128"/>
        <v>-1.0503394389650411</v>
      </c>
      <c r="AN828" s="35">
        <f t="shared" si="127"/>
        <v>2.4450244746454506</v>
      </c>
      <c r="AO828" s="35" t="str">
        <f t="shared" si="121"/>
        <v>no</v>
      </c>
      <c r="AP828" s="35" t="str">
        <f t="shared" si="122"/>
        <v>FITS BITCH</v>
      </c>
      <c r="AQ828" s="35" t="str">
        <f t="shared" si="122"/>
        <v>FITS BITCH</v>
      </c>
      <c r="AR828" s="35" t="str">
        <f t="shared" si="123"/>
        <v>FITS BITCH</v>
      </c>
      <c r="AS828" s="35" t="str">
        <f t="shared" si="124"/>
        <v>FITS BITCH</v>
      </c>
      <c r="AT828" s="20" t="str">
        <f t="shared" si="125"/>
        <v/>
      </c>
      <c r="AU828" s="20" t="str">
        <f t="shared" si="126"/>
        <v/>
      </c>
      <c r="AV828" s="20"/>
      <c r="AW828" s="20"/>
      <c r="AX828" s="20"/>
    </row>
    <row r="829" spans="31:50">
      <c r="AE829" s="26">
        <f>Data!A824</f>
        <v>41767</v>
      </c>
      <c r="AF829" s="35">
        <f>Data!B824</f>
        <v>77.319999999999993</v>
      </c>
      <c r="AG829" s="35">
        <f>Data!F824</f>
        <v>1837554</v>
      </c>
      <c r="AH829" s="35">
        <f>Data!C824</f>
        <v>78.17</v>
      </c>
      <c r="AI829" s="35">
        <f>Data!D824</f>
        <v>77.14</v>
      </c>
      <c r="AJ829" s="35">
        <f>Data!E824</f>
        <v>77.849999999999994</v>
      </c>
      <c r="AK829" s="35">
        <f>Data!F824</f>
        <v>1837554</v>
      </c>
      <c r="AL829" s="35">
        <f t="shared" si="120"/>
        <v>77.849999999999994</v>
      </c>
      <c r="AM829" s="35">
        <f t="shared" si="128"/>
        <v>-0.28259473346178404</v>
      </c>
      <c r="AN829" s="35">
        <f t="shared" si="127"/>
        <v>26.401074471825048</v>
      </c>
      <c r="AO829" s="35" t="str">
        <f t="shared" si="121"/>
        <v>no</v>
      </c>
      <c r="AP829" s="35" t="str">
        <f t="shared" si="122"/>
        <v>FITS BITCH</v>
      </c>
      <c r="AQ829" s="35" t="str">
        <f t="shared" si="122"/>
        <v>FITS BITCH</v>
      </c>
      <c r="AR829" s="35" t="str">
        <f t="shared" si="123"/>
        <v>no</v>
      </c>
      <c r="AS829" s="35" t="str">
        <f t="shared" si="124"/>
        <v>FITS BITCH</v>
      </c>
      <c r="AT829" s="20" t="str">
        <f t="shared" si="125"/>
        <v/>
      </c>
      <c r="AU829" s="20" t="str">
        <f t="shared" si="126"/>
        <v/>
      </c>
      <c r="AV829" s="20"/>
      <c r="AW829" s="20"/>
      <c r="AX829" s="20"/>
    </row>
    <row r="830" spans="31:50">
      <c r="AE830" s="26">
        <f>Data!A825</f>
        <v>41766</v>
      </c>
      <c r="AF830" s="35">
        <f>Data!B825</f>
        <v>77.25</v>
      </c>
      <c r="AG830" s="35">
        <f>Data!F825</f>
        <v>2112680</v>
      </c>
      <c r="AH830" s="35">
        <f>Data!C825</f>
        <v>77.52</v>
      </c>
      <c r="AI830" s="35">
        <f>Data!D825</f>
        <v>76.459999999999994</v>
      </c>
      <c r="AJ830" s="35">
        <f>Data!E825</f>
        <v>77.459999999999994</v>
      </c>
      <c r="AK830" s="35">
        <f>Data!F825</f>
        <v>2112680</v>
      </c>
      <c r="AL830" s="35">
        <f t="shared" si="120"/>
        <v>77.459999999999994</v>
      </c>
      <c r="AM830" s="35">
        <f t="shared" si="128"/>
        <v>-0.50348567002323863</v>
      </c>
      <c r="AN830" s="35">
        <f t="shared" si="127"/>
        <v>13.022606357801466</v>
      </c>
      <c r="AO830" s="35" t="str">
        <f t="shared" si="121"/>
        <v>no</v>
      </c>
      <c r="AP830" s="35" t="str">
        <f t="shared" si="122"/>
        <v>no</v>
      </c>
      <c r="AQ830" s="35" t="str">
        <f t="shared" si="122"/>
        <v>no</v>
      </c>
      <c r="AR830" s="35" t="str">
        <f t="shared" si="123"/>
        <v>FITS BITCH</v>
      </c>
      <c r="AS830" s="35" t="str">
        <f t="shared" si="124"/>
        <v>FITS BITCH</v>
      </c>
      <c r="AT830" s="20" t="str">
        <f t="shared" si="125"/>
        <v/>
      </c>
      <c r="AU830" s="20" t="str">
        <f t="shared" si="126"/>
        <v/>
      </c>
      <c r="AV830" s="20"/>
      <c r="AW830" s="20"/>
      <c r="AX830" s="20"/>
    </row>
    <row r="831" spans="31:50">
      <c r="AE831" s="26">
        <f>Data!A826</f>
        <v>41765</v>
      </c>
      <c r="AF831" s="35">
        <f>Data!B826</f>
        <v>77.44</v>
      </c>
      <c r="AG831" s="35">
        <f>Data!F826</f>
        <v>1689270</v>
      </c>
      <c r="AH831" s="35">
        <f>Data!C826</f>
        <v>77.599999999999994</v>
      </c>
      <c r="AI831" s="35">
        <f>Data!D826</f>
        <v>76.97</v>
      </c>
      <c r="AJ831" s="35">
        <f>Data!E826</f>
        <v>77.06</v>
      </c>
      <c r="AK831" s="35">
        <f>Data!F826</f>
        <v>1689270</v>
      </c>
      <c r="AL831" s="35">
        <f t="shared" si="120"/>
        <v>77.06</v>
      </c>
      <c r="AM831" s="35">
        <f t="shared" si="128"/>
        <v>-0.51907604464052881</v>
      </c>
      <c r="AN831" s="35">
        <f t="shared" si="127"/>
        <v>-25.064672906048173</v>
      </c>
      <c r="AO831" s="35" t="str">
        <f t="shared" si="121"/>
        <v>FITS BITCH</v>
      </c>
      <c r="AP831" s="35" t="str">
        <f t="shared" si="122"/>
        <v>no</v>
      </c>
      <c r="AQ831" s="35" t="str">
        <f t="shared" si="122"/>
        <v>FITS BITCH</v>
      </c>
      <c r="AR831" s="35" t="str">
        <f t="shared" si="123"/>
        <v>FITS BITCH</v>
      </c>
      <c r="AS831" s="35" t="str">
        <f t="shared" si="124"/>
        <v>no</v>
      </c>
      <c r="AT831" s="20" t="str">
        <f t="shared" si="125"/>
        <v/>
      </c>
      <c r="AU831" s="20" t="str">
        <f t="shared" si="126"/>
        <v/>
      </c>
      <c r="AV831" s="20"/>
      <c r="AW831" s="20"/>
      <c r="AX831" s="20"/>
    </row>
    <row r="832" spans="31:50">
      <c r="AE832" s="26">
        <f>Data!A827</f>
        <v>41764</v>
      </c>
      <c r="AF832" s="35">
        <f>Data!B827</f>
        <v>77.28</v>
      </c>
      <c r="AG832" s="35">
        <f>Data!F827</f>
        <v>1219932</v>
      </c>
      <c r="AH832" s="35">
        <f>Data!C827</f>
        <v>77.95</v>
      </c>
      <c r="AI832" s="35">
        <f>Data!D827</f>
        <v>76.75</v>
      </c>
      <c r="AJ832" s="35">
        <f>Data!E827</f>
        <v>77.87</v>
      </c>
      <c r="AK832" s="35">
        <f>Data!F827</f>
        <v>1219932</v>
      </c>
      <c r="AL832" s="35">
        <f t="shared" si="120"/>
        <v>77.87</v>
      </c>
      <c r="AM832" s="35">
        <f t="shared" si="128"/>
        <v>1.0401951971234136</v>
      </c>
      <c r="AN832" s="35">
        <f t="shared" si="127"/>
        <v>-38.472472236157422</v>
      </c>
      <c r="AO832" s="35" t="str">
        <f t="shared" si="121"/>
        <v>FITS BITCH</v>
      </c>
      <c r="AP832" s="35" t="str">
        <f t="shared" si="122"/>
        <v>no</v>
      </c>
      <c r="AQ832" s="35" t="str">
        <f t="shared" si="122"/>
        <v>no</v>
      </c>
      <c r="AR832" s="35" t="str">
        <f t="shared" si="123"/>
        <v>FITS BITCH</v>
      </c>
      <c r="AS832" s="35" t="str">
        <f t="shared" si="124"/>
        <v>FITS BITCH</v>
      </c>
      <c r="AT832" s="20" t="str">
        <f t="shared" si="125"/>
        <v/>
      </c>
      <c r="AU832" s="20" t="str">
        <f t="shared" si="126"/>
        <v/>
      </c>
      <c r="AV832" s="20"/>
      <c r="AW832" s="20"/>
      <c r="AX832" s="20"/>
    </row>
    <row r="833" spans="31:50">
      <c r="AE833" s="26">
        <f>Data!A828</f>
        <v>41761</v>
      </c>
      <c r="AF833" s="35">
        <f>Data!B828</f>
        <v>77.7</v>
      </c>
      <c r="AG833" s="35">
        <f>Data!F828</f>
        <v>1759994</v>
      </c>
      <c r="AH833" s="35">
        <f>Data!C828</f>
        <v>78.2</v>
      </c>
      <c r="AI833" s="35">
        <f>Data!D828</f>
        <v>77.3</v>
      </c>
      <c r="AJ833" s="35">
        <f>Data!E828</f>
        <v>77.540000000000006</v>
      </c>
      <c r="AK833" s="35">
        <f>Data!F828</f>
        <v>1759994</v>
      </c>
      <c r="AL833" s="35">
        <f t="shared" si="120"/>
        <v>77.540000000000006</v>
      </c>
      <c r="AM833" s="35">
        <f t="shared" si="128"/>
        <v>-0.42558679391281695</v>
      </c>
      <c r="AN833" s="35">
        <f t="shared" si="127"/>
        <v>30.685445518564268</v>
      </c>
      <c r="AO833" s="35" t="str">
        <f t="shared" si="121"/>
        <v>no</v>
      </c>
      <c r="AP833" s="35" t="str">
        <f t="shared" si="122"/>
        <v>no</v>
      </c>
      <c r="AQ833" s="35" t="str">
        <f t="shared" si="122"/>
        <v>no</v>
      </c>
      <c r="AR833" s="35" t="str">
        <f t="shared" si="123"/>
        <v>FITS BITCH</v>
      </c>
      <c r="AS833" s="35" t="str">
        <f t="shared" si="124"/>
        <v>no</v>
      </c>
      <c r="AT833" s="20" t="str">
        <f t="shared" si="125"/>
        <v/>
      </c>
      <c r="AU833" s="20" t="str">
        <f t="shared" si="126"/>
        <v/>
      </c>
      <c r="AV833" s="20"/>
      <c r="AW833" s="20"/>
      <c r="AX833" s="20"/>
    </row>
    <row r="834" spans="31:50">
      <c r="AE834" s="26">
        <f>Data!A829</f>
        <v>41760</v>
      </c>
      <c r="AF834" s="35">
        <f>Data!B829</f>
        <v>77.97</v>
      </c>
      <c r="AG834" s="35">
        <f>Data!F829</f>
        <v>1289665</v>
      </c>
      <c r="AH834" s="35">
        <f>Data!C829</f>
        <v>78.27</v>
      </c>
      <c r="AI834" s="35">
        <f>Data!D829</f>
        <v>77.37</v>
      </c>
      <c r="AJ834" s="35">
        <f>Data!E829</f>
        <v>77.62</v>
      </c>
      <c r="AK834" s="35">
        <f>Data!F829</f>
        <v>1289665</v>
      </c>
      <c r="AL834" s="35">
        <f t="shared" si="120"/>
        <v>77.62</v>
      </c>
      <c r="AM834" s="35">
        <f t="shared" si="128"/>
        <v>0.1030662200463776</v>
      </c>
      <c r="AN834" s="35">
        <f t="shared" si="127"/>
        <v>-36.469083056452646</v>
      </c>
      <c r="AO834" s="35" t="str">
        <f t="shared" si="121"/>
        <v>FITS BITCH</v>
      </c>
      <c r="AP834" s="35" t="str">
        <f t="shared" si="122"/>
        <v>no</v>
      </c>
      <c r="AQ834" s="35" t="str">
        <f t="shared" si="122"/>
        <v>FITS BITCH</v>
      </c>
      <c r="AR834" s="35" t="str">
        <f t="shared" si="123"/>
        <v>FITS BITCH</v>
      </c>
      <c r="AS834" s="35" t="str">
        <f t="shared" si="124"/>
        <v>no</v>
      </c>
      <c r="AT834" s="20" t="str">
        <f t="shared" si="125"/>
        <v/>
      </c>
      <c r="AU834" s="20" t="str">
        <f t="shared" si="126"/>
        <v/>
      </c>
      <c r="AV834" s="20"/>
      <c r="AW834" s="20"/>
      <c r="AX834" s="20"/>
    </row>
    <row r="835" spans="31:50">
      <c r="AE835" s="26">
        <f>Data!A830</f>
        <v>41759</v>
      </c>
      <c r="AF835" s="35">
        <f>Data!B830</f>
        <v>76.05</v>
      </c>
      <c r="AG835" s="35">
        <f>Data!F830</f>
        <v>2138172</v>
      </c>
      <c r="AH835" s="35">
        <f>Data!C830</f>
        <v>78.349999999999994</v>
      </c>
      <c r="AI835" s="35">
        <f>Data!D830</f>
        <v>76.040000000000006</v>
      </c>
      <c r="AJ835" s="35">
        <f>Data!E830</f>
        <v>77.959999999999994</v>
      </c>
      <c r="AK835" s="35">
        <f>Data!F830</f>
        <v>2138172</v>
      </c>
      <c r="AL835" s="35">
        <f t="shared" si="120"/>
        <v>77.959999999999994</v>
      </c>
      <c r="AM835" s="35">
        <f t="shared" si="128"/>
        <v>0.43612108773728742</v>
      </c>
      <c r="AN835" s="35">
        <f t="shared" si="127"/>
        <v>39.683757901609411</v>
      </c>
      <c r="AO835" s="35" t="str">
        <f t="shared" si="121"/>
        <v>no</v>
      </c>
      <c r="AP835" s="35" t="str">
        <f t="shared" si="122"/>
        <v>FITS BITCH</v>
      </c>
      <c r="AQ835" s="35" t="str">
        <f t="shared" si="122"/>
        <v>FITS BITCH</v>
      </c>
      <c r="AR835" s="35" t="str">
        <f t="shared" si="123"/>
        <v>no</v>
      </c>
      <c r="AS835" s="35" t="str">
        <f t="shared" si="124"/>
        <v>FITS BITCH</v>
      </c>
      <c r="AT835" s="20" t="str">
        <f t="shared" si="125"/>
        <v/>
      </c>
      <c r="AU835" s="20" t="str">
        <f t="shared" si="126"/>
        <v/>
      </c>
      <c r="AV835" s="20"/>
      <c r="AW835" s="20"/>
      <c r="AX835" s="20"/>
    </row>
    <row r="836" spans="31:50">
      <c r="AE836" s="26">
        <f>Data!A831</f>
        <v>41758</v>
      </c>
      <c r="AF836" s="35">
        <f>Data!B831</f>
        <v>76.16</v>
      </c>
      <c r="AG836" s="35">
        <f>Data!F831</f>
        <v>1889768</v>
      </c>
      <c r="AH836" s="35">
        <f>Data!C831</f>
        <v>77.13</v>
      </c>
      <c r="AI836" s="35">
        <f>Data!D831</f>
        <v>76.02</v>
      </c>
      <c r="AJ836" s="35">
        <f>Data!E831</f>
        <v>76.989999999999995</v>
      </c>
      <c r="AK836" s="35">
        <f>Data!F831</f>
        <v>1889768</v>
      </c>
      <c r="AL836" s="35">
        <f t="shared" si="120"/>
        <v>76.989999999999995</v>
      </c>
      <c r="AM836" s="35">
        <f t="shared" si="128"/>
        <v>-1.2599038836212482</v>
      </c>
      <c r="AN836" s="35">
        <f t="shared" si="127"/>
        <v>-13.144682310209507</v>
      </c>
      <c r="AO836" s="35" t="str">
        <f t="shared" si="121"/>
        <v>FITS BITCH</v>
      </c>
      <c r="AP836" s="35" t="str">
        <f t="shared" si="122"/>
        <v>FITS BITCH</v>
      </c>
      <c r="AQ836" s="35" t="str">
        <f t="shared" si="122"/>
        <v>FITS BITCH</v>
      </c>
      <c r="AR836" s="35" t="str">
        <f t="shared" si="123"/>
        <v>no</v>
      </c>
      <c r="AS836" s="35" t="str">
        <f t="shared" si="124"/>
        <v>FITS BITCH</v>
      </c>
      <c r="AT836" s="20" t="str">
        <f t="shared" si="125"/>
        <v/>
      </c>
      <c r="AU836" s="20" t="str">
        <f t="shared" si="126"/>
        <v>BEARISH</v>
      </c>
      <c r="AV836" s="20"/>
      <c r="AW836" s="20"/>
      <c r="AX836" s="20"/>
    </row>
    <row r="837" spans="31:50">
      <c r="AE837" s="26">
        <f>Data!A832</f>
        <v>41757</v>
      </c>
      <c r="AF837" s="35">
        <f>Data!B832</f>
        <v>76.040000000000006</v>
      </c>
      <c r="AG837" s="35">
        <f>Data!F832</f>
        <v>2119091</v>
      </c>
      <c r="AH837" s="35">
        <f>Data!C832</f>
        <v>76.53</v>
      </c>
      <c r="AI837" s="35">
        <f>Data!D832</f>
        <v>74.989999999999995</v>
      </c>
      <c r="AJ837" s="35">
        <f>Data!E832</f>
        <v>75.680000000000007</v>
      </c>
      <c r="AK837" s="35">
        <f>Data!F832</f>
        <v>2119091</v>
      </c>
      <c r="AL837" s="35">
        <f t="shared" si="120"/>
        <v>75.680000000000007</v>
      </c>
      <c r="AM837" s="35">
        <f t="shared" si="128"/>
        <v>-1.730972515856221</v>
      </c>
      <c r="AN837" s="35">
        <f t="shared" si="127"/>
        <v>10.821762727509107</v>
      </c>
      <c r="AO837" s="35" t="str">
        <f t="shared" si="121"/>
        <v>no</v>
      </c>
      <c r="AP837" s="35" t="str">
        <f t="shared" si="122"/>
        <v>no</v>
      </c>
      <c r="AQ837" s="35" t="str">
        <f t="shared" si="122"/>
        <v>no</v>
      </c>
      <c r="AR837" s="35" t="str">
        <f t="shared" si="123"/>
        <v>FITS BITCH</v>
      </c>
      <c r="AS837" s="35" t="str">
        <f t="shared" si="124"/>
        <v>FITS BITCH</v>
      </c>
      <c r="AT837" s="20" t="str">
        <f t="shared" si="125"/>
        <v/>
      </c>
      <c r="AU837" s="20" t="str">
        <f t="shared" si="126"/>
        <v/>
      </c>
      <c r="AV837" s="20"/>
      <c r="AW837" s="20"/>
      <c r="AX837" s="20"/>
    </row>
    <row r="838" spans="31:50">
      <c r="AE838" s="26">
        <f>Data!A833</f>
        <v>41754</v>
      </c>
      <c r="AF838" s="35">
        <f>Data!B833</f>
        <v>76.239999999999995</v>
      </c>
      <c r="AG838" s="35">
        <f>Data!F833</f>
        <v>1437750</v>
      </c>
      <c r="AH838" s="35">
        <f>Data!C833</f>
        <v>76.680000000000007</v>
      </c>
      <c r="AI838" s="35">
        <f>Data!D833</f>
        <v>75.5</v>
      </c>
      <c r="AJ838" s="35">
        <f>Data!E833</f>
        <v>75.66</v>
      </c>
      <c r="AK838" s="35">
        <f>Data!F833</f>
        <v>1437750</v>
      </c>
      <c r="AL838" s="35">
        <f t="shared" ref="AL838:AL901" si="129">AJ838</f>
        <v>75.66</v>
      </c>
      <c r="AM838" s="35">
        <f t="shared" si="128"/>
        <v>-2.6434047052617277E-2</v>
      </c>
      <c r="AN838" s="35">
        <f t="shared" si="127"/>
        <v>-47.389393149017565</v>
      </c>
      <c r="AO838" s="35" t="str">
        <f t="shared" si="121"/>
        <v>FITS BITCH</v>
      </c>
      <c r="AP838" s="35" t="str">
        <f t="shared" si="122"/>
        <v>no</v>
      </c>
      <c r="AQ838" s="35" t="str">
        <f t="shared" si="122"/>
        <v>no</v>
      </c>
      <c r="AR838" s="35" t="str">
        <f t="shared" si="123"/>
        <v>FITS BITCH</v>
      </c>
      <c r="AS838" s="35" t="str">
        <f t="shared" si="124"/>
        <v>no</v>
      </c>
      <c r="AT838" s="20" t="str">
        <f t="shared" si="125"/>
        <v/>
      </c>
      <c r="AU838" s="20" t="str">
        <f t="shared" si="126"/>
        <v/>
      </c>
      <c r="AV838" s="20"/>
      <c r="AW838" s="20"/>
      <c r="AX838" s="20"/>
    </row>
    <row r="839" spans="31:50">
      <c r="AE839" s="26">
        <f>Data!A834</f>
        <v>41753</v>
      </c>
      <c r="AF839" s="35">
        <f>Data!B834</f>
        <v>76.84</v>
      </c>
      <c r="AG839" s="35">
        <f>Data!F834</f>
        <v>1531964</v>
      </c>
      <c r="AH839" s="35">
        <f>Data!C834</f>
        <v>77.02</v>
      </c>
      <c r="AI839" s="35">
        <f>Data!D834</f>
        <v>76.319999999999993</v>
      </c>
      <c r="AJ839" s="35">
        <f>Data!E834</f>
        <v>76.62</v>
      </c>
      <c r="AK839" s="35">
        <f>Data!F834</f>
        <v>1531964</v>
      </c>
      <c r="AL839" s="35">
        <f t="shared" si="129"/>
        <v>76.62</v>
      </c>
      <c r="AM839" s="35">
        <f t="shared" si="128"/>
        <v>1.2529365700861497</v>
      </c>
      <c r="AN839" s="35">
        <f t="shared" si="127"/>
        <v>6.1498834176260013</v>
      </c>
      <c r="AO839" s="35" t="str">
        <f t="shared" si="121"/>
        <v>no</v>
      </c>
      <c r="AP839" s="35" t="str">
        <f t="shared" si="122"/>
        <v>FITS BITCH</v>
      </c>
      <c r="AQ839" s="35" t="str">
        <f t="shared" si="122"/>
        <v>FITS BITCH</v>
      </c>
      <c r="AR839" s="35" t="str">
        <f t="shared" si="123"/>
        <v>no</v>
      </c>
      <c r="AS839" s="35" t="str">
        <f t="shared" si="124"/>
        <v>FITS BITCH</v>
      </c>
      <c r="AT839" s="20" t="str">
        <f t="shared" si="125"/>
        <v/>
      </c>
      <c r="AU839" s="20" t="str">
        <f t="shared" si="126"/>
        <v/>
      </c>
      <c r="AV839" s="20"/>
      <c r="AW839" s="20"/>
      <c r="AX839" s="20"/>
    </row>
    <row r="840" spans="31:50">
      <c r="AE840" s="26">
        <f>Data!A835</f>
        <v>41752</v>
      </c>
      <c r="AF840" s="35">
        <f>Data!B835</f>
        <v>75.86</v>
      </c>
      <c r="AG840" s="35">
        <f>Data!F835</f>
        <v>1389511</v>
      </c>
      <c r="AH840" s="35">
        <f>Data!C835</f>
        <v>76.540000000000006</v>
      </c>
      <c r="AI840" s="35">
        <f>Data!D835</f>
        <v>75.86</v>
      </c>
      <c r="AJ840" s="35">
        <f>Data!E835</f>
        <v>76.290000000000006</v>
      </c>
      <c r="AK840" s="35">
        <f>Data!F835</f>
        <v>1389511</v>
      </c>
      <c r="AL840" s="35">
        <f t="shared" si="129"/>
        <v>76.290000000000006</v>
      </c>
      <c r="AM840" s="35">
        <f t="shared" si="128"/>
        <v>-0.43255996854109091</v>
      </c>
      <c r="AN840" s="35">
        <f t="shared" si="127"/>
        <v>-10.252023913448689</v>
      </c>
      <c r="AO840" s="35" t="str">
        <f t="shared" si="121"/>
        <v>FITS BITCH</v>
      </c>
      <c r="AP840" s="35" t="str">
        <f t="shared" si="122"/>
        <v>no</v>
      </c>
      <c r="AQ840" s="35" t="str">
        <f t="shared" si="122"/>
        <v>FITS BITCH</v>
      </c>
      <c r="AR840" s="35" t="str">
        <f t="shared" si="123"/>
        <v>FITS BITCH</v>
      </c>
      <c r="AS840" s="35" t="str">
        <f t="shared" si="124"/>
        <v>no</v>
      </c>
      <c r="AT840" s="20" t="str">
        <f t="shared" si="125"/>
        <v/>
      </c>
      <c r="AU840" s="20" t="str">
        <f t="shared" si="126"/>
        <v/>
      </c>
      <c r="AV840" s="20"/>
      <c r="AW840" s="20"/>
      <c r="AX840" s="20"/>
    </row>
    <row r="841" spans="31:50">
      <c r="AE841" s="26">
        <f>Data!A836</f>
        <v>41751</v>
      </c>
      <c r="AF841" s="35">
        <f>Data!B836</f>
        <v>76.13</v>
      </c>
      <c r="AG841" s="35">
        <f>Data!F836</f>
        <v>1189729</v>
      </c>
      <c r="AH841" s="35">
        <f>Data!C836</f>
        <v>76.61</v>
      </c>
      <c r="AI841" s="35">
        <f>Data!D836</f>
        <v>75.760000000000005</v>
      </c>
      <c r="AJ841" s="35">
        <f>Data!E836</f>
        <v>76.33</v>
      </c>
      <c r="AK841" s="35">
        <f>Data!F836</f>
        <v>1189729</v>
      </c>
      <c r="AL841" s="35">
        <f t="shared" si="129"/>
        <v>76.33</v>
      </c>
      <c r="AM841" s="35">
        <f t="shared" si="128"/>
        <v>5.2404035110693102E-2</v>
      </c>
      <c r="AN841" s="35">
        <f t="shared" si="127"/>
        <v>-16.792227473651565</v>
      </c>
      <c r="AO841" s="35" t="str">
        <f t="shared" ref="AO841:AO904" si="130">IF(AN841&lt;-8,"FITS BITCH",IF(AN841&gt;-8,"no"))</f>
        <v>FITS BITCH</v>
      </c>
      <c r="AP841" s="35" t="str">
        <f t="shared" ref="AP841:AQ904" si="131">IF(AH842&lt;AH841,"FITS BITCH",IF(AH842&gt;AH841,"no"))</f>
        <v>FITS BITCH</v>
      </c>
      <c r="AQ841" s="35" t="str">
        <f t="shared" si="131"/>
        <v>no</v>
      </c>
      <c r="AR841" s="35" t="str">
        <f t="shared" ref="AR841:AR904" si="132">IF(AJ841&lt;AH842,"FITS BITCH",IF(AJ841&gt;AH842,"no"))</f>
        <v>FITS BITCH</v>
      </c>
      <c r="AS841" s="35" t="str">
        <f t="shared" ref="AS841:AS904" si="133">IF(AJ841&gt;AJ842,"FITS BITCH",IF(AJ841&lt;AJ842,"no"))</f>
        <v>FITS BITCH</v>
      </c>
      <c r="AT841" s="20" t="str">
        <f t="shared" ref="AT841:AT904" si="134">IF(AND($AO841="FITS BITCH",$AP841="FITS BITCH",$AR841="FITS BITCH"),"BULLISH","")</f>
        <v>BULLISH</v>
      </c>
      <c r="AU841" s="20" t="str">
        <f t="shared" ref="AU841:AU904" si="135">IF(AND($AO841="FITS BITCH",$AQ841="FITS BITCH",$AS841="FITS BITCH"),"BEARISH","")</f>
        <v/>
      </c>
      <c r="AV841" s="20"/>
      <c r="AW841" s="20"/>
      <c r="AX841" s="20"/>
    </row>
    <row r="842" spans="31:50">
      <c r="AE842" s="26">
        <f>Data!A837</f>
        <v>41750</v>
      </c>
      <c r="AF842" s="35">
        <f>Data!B837</f>
        <v>75.77</v>
      </c>
      <c r="AG842" s="35">
        <f>Data!F837</f>
        <v>926149</v>
      </c>
      <c r="AH842" s="35">
        <f>Data!C837</f>
        <v>76.44</v>
      </c>
      <c r="AI842" s="35">
        <f>Data!D837</f>
        <v>75.77</v>
      </c>
      <c r="AJ842" s="35">
        <f>Data!E837</f>
        <v>76.06</v>
      </c>
      <c r="AK842" s="35">
        <f>Data!F837</f>
        <v>926149</v>
      </c>
      <c r="AL842" s="35">
        <f t="shared" si="129"/>
        <v>76.06</v>
      </c>
      <c r="AM842" s="35">
        <f t="shared" si="128"/>
        <v>-0.35498290823033923</v>
      </c>
      <c r="AN842" s="35">
        <f t="shared" ref="AN842:AN905" si="136">(AK842-AK841)/AK842*100</f>
        <v>-28.459783468966656</v>
      </c>
      <c r="AO842" s="35" t="str">
        <f t="shared" si="130"/>
        <v>FITS BITCH</v>
      </c>
      <c r="AP842" s="35" t="str">
        <f t="shared" si="131"/>
        <v>no</v>
      </c>
      <c r="AQ842" s="35" t="str">
        <f t="shared" si="131"/>
        <v>FITS BITCH</v>
      </c>
      <c r="AR842" s="35" t="str">
        <f t="shared" si="132"/>
        <v>FITS BITCH</v>
      </c>
      <c r="AS842" s="35" t="str">
        <f t="shared" si="133"/>
        <v>no</v>
      </c>
      <c r="AT842" s="20" t="str">
        <f t="shared" si="134"/>
        <v/>
      </c>
      <c r="AU842" s="20" t="str">
        <f t="shared" si="135"/>
        <v/>
      </c>
      <c r="AV842" s="20"/>
      <c r="AW842" s="20"/>
      <c r="AX842" s="20"/>
    </row>
    <row r="843" spans="31:50">
      <c r="AE843" s="26">
        <f>Data!A838</f>
        <v>41746</v>
      </c>
      <c r="AF843" s="35">
        <f>Data!B838</f>
        <v>75.239999999999995</v>
      </c>
      <c r="AG843" s="35">
        <f>Data!F838</f>
        <v>2039426</v>
      </c>
      <c r="AH843" s="35">
        <f>Data!C838</f>
        <v>76.45</v>
      </c>
      <c r="AI843" s="35">
        <f>Data!D838</f>
        <v>75.2</v>
      </c>
      <c r="AJ843" s="35">
        <f>Data!E838</f>
        <v>76.31</v>
      </c>
      <c r="AK843" s="35">
        <f>Data!F838</f>
        <v>2039426</v>
      </c>
      <c r="AL843" s="35">
        <f t="shared" si="129"/>
        <v>76.31</v>
      </c>
      <c r="AM843" s="35">
        <f t="shared" si="128"/>
        <v>0.32761106014939062</v>
      </c>
      <c r="AN843" s="35">
        <f t="shared" si="136"/>
        <v>54.587761458371133</v>
      </c>
      <c r="AO843" s="35" t="str">
        <f t="shared" si="130"/>
        <v>no</v>
      </c>
      <c r="AP843" s="35" t="str">
        <f t="shared" si="131"/>
        <v>FITS BITCH</v>
      </c>
      <c r="AQ843" s="35" t="str">
        <f t="shared" si="131"/>
        <v>FITS BITCH</v>
      </c>
      <c r="AR843" s="35" t="str">
        <f t="shared" si="132"/>
        <v>no</v>
      </c>
      <c r="AS843" s="35" t="str">
        <f t="shared" si="133"/>
        <v>FITS BITCH</v>
      </c>
      <c r="AT843" s="20" t="str">
        <f t="shared" si="134"/>
        <v/>
      </c>
      <c r="AU843" s="20" t="str">
        <f t="shared" si="135"/>
        <v/>
      </c>
      <c r="AV843" s="20"/>
      <c r="AW843" s="20"/>
      <c r="AX843" s="20"/>
    </row>
    <row r="844" spans="31:50">
      <c r="AE844" s="26">
        <f>Data!A839</f>
        <v>41745</v>
      </c>
      <c r="AF844" s="35">
        <f>Data!B839</f>
        <v>75.7</v>
      </c>
      <c r="AG844" s="35">
        <f>Data!F839</f>
        <v>1927514</v>
      </c>
      <c r="AH844" s="35">
        <f>Data!C839</f>
        <v>75.7</v>
      </c>
      <c r="AI844" s="35">
        <f>Data!D839</f>
        <v>74.69</v>
      </c>
      <c r="AJ844" s="35">
        <f>Data!E839</f>
        <v>75.430000000000007</v>
      </c>
      <c r="AK844" s="35">
        <f>Data!F839</f>
        <v>1927514</v>
      </c>
      <c r="AL844" s="35">
        <f t="shared" si="129"/>
        <v>75.430000000000007</v>
      </c>
      <c r="AM844" s="35">
        <f t="shared" si="128"/>
        <v>-1.1666445711255409</v>
      </c>
      <c r="AN844" s="35">
        <f t="shared" si="136"/>
        <v>-5.8060278680206734</v>
      </c>
      <c r="AO844" s="35" t="str">
        <f t="shared" si="130"/>
        <v>no</v>
      </c>
      <c r="AP844" s="35" t="str">
        <f t="shared" si="131"/>
        <v>FITS BITCH</v>
      </c>
      <c r="AQ844" s="35" t="str">
        <f t="shared" si="131"/>
        <v>FITS BITCH</v>
      </c>
      <c r="AR844" s="35" t="str">
        <f t="shared" si="132"/>
        <v>no</v>
      </c>
      <c r="AS844" s="35" t="str">
        <f t="shared" si="133"/>
        <v>FITS BITCH</v>
      </c>
      <c r="AT844" s="20" t="str">
        <f t="shared" si="134"/>
        <v/>
      </c>
      <c r="AU844" s="20" t="str">
        <f t="shared" si="135"/>
        <v/>
      </c>
      <c r="AV844" s="20"/>
      <c r="AW844" s="20"/>
      <c r="AX844" s="20"/>
    </row>
    <row r="845" spans="31:50">
      <c r="AE845" s="26">
        <f>Data!A840</f>
        <v>41744</v>
      </c>
      <c r="AF845" s="35">
        <f>Data!B840</f>
        <v>74.3</v>
      </c>
      <c r="AG845" s="35">
        <f>Data!F840</f>
        <v>2109087</v>
      </c>
      <c r="AH845" s="35">
        <f>Data!C840</f>
        <v>75.13</v>
      </c>
      <c r="AI845" s="35">
        <f>Data!D840</f>
        <v>73.8</v>
      </c>
      <c r="AJ845" s="35">
        <f>Data!E840</f>
        <v>75.08</v>
      </c>
      <c r="AK845" s="35">
        <f>Data!F840</f>
        <v>2109087</v>
      </c>
      <c r="AL845" s="35">
        <f t="shared" si="129"/>
        <v>75.08</v>
      </c>
      <c r="AM845" s="35">
        <f t="shared" si="128"/>
        <v>-0.46616941928610622</v>
      </c>
      <c r="AN845" s="35">
        <f t="shared" si="136"/>
        <v>8.6090806116580314</v>
      </c>
      <c r="AO845" s="35" t="str">
        <f t="shared" si="130"/>
        <v>no</v>
      </c>
      <c r="AP845" s="35" t="str">
        <f t="shared" si="131"/>
        <v>FITS BITCH</v>
      </c>
      <c r="AQ845" s="35" t="str">
        <f t="shared" si="131"/>
        <v>FITS BITCH</v>
      </c>
      <c r="AR845" s="35" t="str">
        <f t="shared" si="132"/>
        <v>no</v>
      </c>
      <c r="AS845" s="35" t="str">
        <f t="shared" si="133"/>
        <v>FITS BITCH</v>
      </c>
      <c r="AT845" s="20" t="str">
        <f t="shared" si="134"/>
        <v/>
      </c>
      <c r="AU845" s="20" t="str">
        <f t="shared" si="135"/>
        <v/>
      </c>
      <c r="AV845" s="20"/>
      <c r="AW845" s="20"/>
      <c r="AX845" s="20"/>
    </row>
    <row r="846" spans="31:50">
      <c r="AE846" s="26">
        <f>Data!A841</f>
        <v>41743</v>
      </c>
      <c r="AF846" s="35">
        <f>Data!B841</f>
        <v>74.41</v>
      </c>
      <c r="AG846" s="35">
        <f>Data!F841</f>
        <v>1980559</v>
      </c>
      <c r="AH846" s="35">
        <f>Data!C841</f>
        <v>74.569999999999993</v>
      </c>
      <c r="AI846" s="35">
        <f>Data!D841</f>
        <v>73.38</v>
      </c>
      <c r="AJ846" s="35">
        <f>Data!E841</f>
        <v>74.239999999999995</v>
      </c>
      <c r="AK846" s="35">
        <f>Data!F841</f>
        <v>1980559</v>
      </c>
      <c r="AL846" s="35">
        <f t="shared" si="129"/>
        <v>74.239999999999995</v>
      </c>
      <c r="AM846" s="35">
        <f t="shared" si="128"/>
        <v>-1.1314655172413839</v>
      </c>
      <c r="AN846" s="35">
        <f t="shared" si="136"/>
        <v>-6.4894810000610939</v>
      </c>
      <c r="AO846" s="35" t="str">
        <f t="shared" si="130"/>
        <v>no</v>
      </c>
      <c r="AP846" s="35" t="str">
        <f t="shared" si="131"/>
        <v>no</v>
      </c>
      <c r="AQ846" s="35" t="str">
        <f t="shared" si="131"/>
        <v>no</v>
      </c>
      <c r="AR846" s="35" t="str">
        <f t="shared" si="132"/>
        <v>FITS BITCH</v>
      </c>
      <c r="AS846" s="35" t="str">
        <f t="shared" si="133"/>
        <v>FITS BITCH</v>
      </c>
      <c r="AT846" s="20" t="str">
        <f t="shared" si="134"/>
        <v/>
      </c>
      <c r="AU846" s="20" t="str">
        <f t="shared" si="135"/>
        <v/>
      </c>
      <c r="AV846" s="20"/>
      <c r="AW846" s="20"/>
      <c r="AX846" s="20"/>
    </row>
    <row r="847" spans="31:50">
      <c r="AE847" s="26">
        <f>Data!A842</f>
        <v>41740</v>
      </c>
      <c r="AF847" s="35">
        <f>Data!B842</f>
        <v>74.67</v>
      </c>
      <c r="AG847" s="35">
        <f>Data!F842</f>
        <v>2730515</v>
      </c>
      <c r="AH847" s="35">
        <f>Data!C842</f>
        <v>75.290000000000006</v>
      </c>
      <c r="AI847" s="35">
        <f>Data!D842</f>
        <v>73.69</v>
      </c>
      <c r="AJ847" s="35">
        <f>Data!E842</f>
        <v>73.73</v>
      </c>
      <c r="AK847" s="35">
        <f>Data!F842</f>
        <v>2730515</v>
      </c>
      <c r="AL847" s="35">
        <f t="shared" si="129"/>
        <v>73.73</v>
      </c>
      <c r="AM847" s="35">
        <f t="shared" si="128"/>
        <v>-0.69171300691711768</v>
      </c>
      <c r="AN847" s="35">
        <f t="shared" si="136"/>
        <v>27.465734485985244</v>
      </c>
      <c r="AO847" s="35" t="str">
        <f t="shared" si="130"/>
        <v>no</v>
      </c>
      <c r="AP847" s="35" t="str">
        <f t="shared" si="131"/>
        <v>no</v>
      </c>
      <c r="AQ847" s="35" t="str">
        <f t="shared" si="131"/>
        <v>no</v>
      </c>
      <c r="AR847" s="35" t="str">
        <f t="shared" si="132"/>
        <v>FITS BITCH</v>
      </c>
      <c r="AS847" s="35" t="str">
        <f t="shared" si="133"/>
        <v>no</v>
      </c>
      <c r="AT847" s="20" t="str">
        <f t="shared" si="134"/>
        <v/>
      </c>
      <c r="AU847" s="20" t="str">
        <f t="shared" si="135"/>
        <v/>
      </c>
      <c r="AV847" s="20"/>
      <c r="AW847" s="20"/>
      <c r="AX847" s="20"/>
    </row>
    <row r="848" spans="31:50">
      <c r="AE848" s="26">
        <f>Data!A843</f>
        <v>41739</v>
      </c>
      <c r="AF848" s="35">
        <f>Data!B843</f>
        <v>78.08</v>
      </c>
      <c r="AG848" s="35">
        <f>Data!F843</f>
        <v>3725432</v>
      </c>
      <c r="AH848" s="35">
        <f>Data!C843</f>
        <v>78.12</v>
      </c>
      <c r="AI848" s="35">
        <f>Data!D843</f>
        <v>75.22</v>
      </c>
      <c r="AJ848" s="35">
        <f>Data!E843</f>
        <v>75.22</v>
      </c>
      <c r="AK848" s="35">
        <f>Data!F843</f>
        <v>3725432</v>
      </c>
      <c r="AL848" s="35">
        <f t="shared" si="129"/>
        <v>75.22</v>
      </c>
      <c r="AM848" s="35">
        <f t="shared" si="128"/>
        <v>1.980856155277845</v>
      </c>
      <c r="AN848" s="35">
        <f t="shared" si="136"/>
        <v>26.70608401924931</v>
      </c>
      <c r="AO848" s="35" t="str">
        <f t="shared" si="130"/>
        <v>no</v>
      </c>
      <c r="AP848" s="35" t="str">
        <f t="shared" si="131"/>
        <v>FITS BITCH</v>
      </c>
      <c r="AQ848" s="35" t="str">
        <f t="shared" si="131"/>
        <v>FITS BITCH</v>
      </c>
      <c r="AR848" s="35" t="str">
        <f t="shared" si="132"/>
        <v>FITS BITCH</v>
      </c>
      <c r="AS848" s="35" t="str">
        <f t="shared" si="133"/>
        <v>no</v>
      </c>
      <c r="AT848" s="20" t="str">
        <f t="shared" si="134"/>
        <v/>
      </c>
      <c r="AU848" s="20" t="str">
        <f t="shared" si="135"/>
        <v/>
      </c>
      <c r="AV848" s="20"/>
      <c r="AW848" s="20"/>
      <c r="AX848" s="20"/>
    </row>
    <row r="849" spans="31:50">
      <c r="AE849" s="26">
        <f>Data!A844</f>
        <v>41738</v>
      </c>
      <c r="AF849" s="35">
        <f>Data!B844</f>
        <v>75.47</v>
      </c>
      <c r="AG849" s="35">
        <f>Data!F844</f>
        <v>1587637</v>
      </c>
      <c r="AH849" s="35">
        <f>Data!C844</f>
        <v>75.959999999999994</v>
      </c>
      <c r="AI849" s="35">
        <f>Data!D844</f>
        <v>75.06</v>
      </c>
      <c r="AJ849" s="35">
        <f>Data!E844</f>
        <v>75.88</v>
      </c>
      <c r="AK849" s="35">
        <f>Data!F844</f>
        <v>1587637</v>
      </c>
      <c r="AL849" s="35">
        <f t="shared" si="129"/>
        <v>75.88</v>
      </c>
      <c r="AM849" s="35">
        <f t="shared" si="128"/>
        <v>0.86979441222983211</v>
      </c>
      <c r="AN849" s="35">
        <f t="shared" si="136"/>
        <v>-134.65263155242667</v>
      </c>
      <c r="AO849" s="35" t="str">
        <f t="shared" si="130"/>
        <v>FITS BITCH</v>
      </c>
      <c r="AP849" s="35" t="str">
        <f t="shared" si="131"/>
        <v>FITS BITCH</v>
      </c>
      <c r="AQ849" s="35" t="str">
        <f t="shared" si="131"/>
        <v>no</v>
      </c>
      <c r="AR849" s="35" t="str">
        <f t="shared" si="132"/>
        <v>FITS BITCH</v>
      </c>
      <c r="AS849" s="35" t="str">
        <f t="shared" si="133"/>
        <v>FITS BITCH</v>
      </c>
      <c r="AT849" s="20" t="str">
        <f t="shared" si="134"/>
        <v>BULLISH</v>
      </c>
      <c r="AU849" s="20" t="str">
        <f t="shared" si="135"/>
        <v/>
      </c>
      <c r="AV849" s="20"/>
      <c r="AW849" s="20"/>
      <c r="AX849" s="20"/>
    </row>
    <row r="850" spans="31:50">
      <c r="AE850" s="26">
        <f>Data!A845</f>
        <v>41737</v>
      </c>
      <c r="AF850" s="35">
        <f>Data!B845</f>
        <v>75.459999999999994</v>
      </c>
      <c r="AG850" s="35">
        <f>Data!F845</f>
        <v>1664666</v>
      </c>
      <c r="AH850" s="35">
        <f>Data!C845</f>
        <v>75.94</v>
      </c>
      <c r="AI850" s="35">
        <f>Data!D845</f>
        <v>75.16</v>
      </c>
      <c r="AJ850" s="35">
        <f>Data!E845</f>
        <v>75.56</v>
      </c>
      <c r="AK850" s="35">
        <f>Data!F845</f>
        <v>1664666</v>
      </c>
      <c r="AL850" s="35">
        <f t="shared" si="129"/>
        <v>75.56</v>
      </c>
      <c r="AM850" s="35">
        <f t="shared" si="128"/>
        <v>-0.42350449973530058</v>
      </c>
      <c r="AN850" s="35">
        <f t="shared" si="136"/>
        <v>4.6272946044431738</v>
      </c>
      <c r="AO850" s="35" t="str">
        <f t="shared" si="130"/>
        <v>no</v>
      </c>
      <c r="AP850" s="35" t="str">
        <f t="shared" si="131"/>
        <v>no</v>
      </c>
      <c r="AQ850" s="35" t="str">
        <f t="shared" si="131"/>
        <v>FITS BITCH</v>
      </c>
      <c r="AR850" s="35" t="str">
        <f t="shared" si="132"/>
        <v>FITS BITCH</v>
      </c>
      <c r="AS850" s="35" t="str">
        <f t="shared" si="133"/>
        <v>FITS BITCH</v>
      </c>
      <c r="AT850" s="20" t="str">
        <f t="shared" si="134"/>
        <v/>
      </c>
      <c r="AU850" s="20" t="str">
        <f t="shared" si="135"/>
        <v/>
      </c>
      <c r="AV850" s="20"/>
      <c r="AW850" s="20"/>
      <c r="AX850" s="20"/>
    </row>
    <row r="851" spans="31:50">
      <c r="AE851" s="26">
        <f>Data!A846</f>
        <v>41736</v>
      </c>
      <c r="AF851" s="35">
        <f>Data!B846</f>
        <v>75.97</v>
      </c>
      <c r="AG851" s="35">
        <f>Data!F846</f>
        <v>1711915</v>
      </c>
      <c r="AH851" s="35">
        <f>Data!C846</f>
        <v>76.19</v>
      </c>
      <c r="AI851" s="35">
        <f>Data!D846</f>
        <v>75.02</v>
      </c>
      <c r="AJ851" s="35">
        <f>Data!E846</f>
        <v>75.27</v>
      </c>
      <c r="AK851" s="35">
        <f>Data!F846</f>
        <v>1711915</v>
      </c>
      <c r="AL851" s="35">
        <f t="shared" si="129"/>
        <v>75.27</v>
      </c>
      <c r="AM851" s="35">
        <f t="shared" si="128"/>
        <v>-0.38527965989106716</v>
      </c>
      <c r="AN851" s="35">
        <f t="shared" si="136"/>
        <v>2.7600085284608173</v>
      </c>
      <c r="AO851" s="35" t="str">
        <f t="shared" si="130"/>
        <v>no</v>
      </c>
      <c r="AP851" s="35" t="str">
        <f t="shared" si="131"/>
        <v>no</v>
      </c>
      <c r="AQ851" s="35" t="str">
        <f t="shared" si="131"/>
        <v>no</v>
      </c>
      <c r="AR851" s="35" t="str">
        <f t="shared" si="132"/>
        <v>FITS BITCH</v>
      </c>
      <c r="AS851" s="35" t="str">
        <f t="shared" si="133"/>
        <v>no</v>
      </c>
      <c r="AT851" s="20" t="str">
        <f t="shared" si="134"/>
        <v/>
      </c>
      <c r="AU851" s="20" t="str">
        <f t="shared" si="135"/>
        <v/>
      </c>
      <c r="AV851" s="20"/>
      <c r="AW851" s="20"/>
      <c r="AX851" s="20"/>
    </row>
    <row r="852" spans="31:50">
      <c r="AE852" s="26">
        <f>Data!A847</f>
        <v>41733</v>
      </c>
      <c r="AF852" s="35">
        <f>Data!B847</f>
        <v>77.77</v>
      </c>
      <c r="AG852" s="35">
        <f>Data!F847</f>
        <v>2023253</v>
      </c>
      <c r="AH852" s="35">
        <f>Data!C847</f>
        <v>77.78</v>
      </c>
      <c r="AI852" s="35">
        <f>Data!D847</f>
        <v>75.77</v>
      </c>
      <c r="AJ852" s="35">
        <f>Data!E847</f>
        <v>75.819999999999993</v>
      </c>
      <c r="AK852" s="35">
        <f>Data!F847</f>
        <v>2023253</v>
      </c>
      <c r="AL852" s="35">
        <f t="shared" si="129"/>
        <v>75.819999999999993</v>
      </c>
      <c r="AM852" s="35">
        <f t="shared" si="128"/>
        <v>0.72540226853072698</v>
      </c>
      <c r="AN852" s="35">
        <f t="shared" si="136"/>
        <v>15.38799151663188</v>
      </c>
      <c r="AO852" s="35" t="str">
        <f t="shared" si="130"/>
        <v>no</v>
      </c>
      <c r="AP852" s="35" t="str">
        <f t="shared" si="131"/>
        <v>no</v>
      </c>
      <c r="AQ852" s="35" t="str">
        <f t="shared" si="131"/>
        <v>no</v>
      </c>
      <c r="AR852" s="35" t="str">
        <f t="shared" si="132"/>
        <v>FITS BITCH</v>
      </c>
      <c r="AS852" s="35" t="str">
        <f t="shared" si="133"/>
        <v>no</v>
      </c>
      <c r="AT852" s="20" t="str">
        <f t="shared" si="134"/>
        <v/>
      </c>
      <c r="AU852" s="20" t="str">
        <f t="shared" si="135"/>
        <v/>
      </c>
      <c r="AV852" s="20"/>
      <c r="AW852" s="20"/>
      <c r="AX852" s="20"/>
    </row>
    <row r="853" spans="31:50">
      <c r="AE853" s="26">
        <f>Data!A848</f>
        <v>41732</v>
      </c>
      <c r="AF853" s="35">
        <f>Data!B848</f>
        <v>77.98</v>
      </c>
      <c r="AG853" s="35">
        <f>Data!F848</f>
        <v>1186584</v>
      </c>
      <c r="AH853" s="35">
        <f>Data!C848</f>
        <v>78</v>
      </c>
      <c r="AI853" s="35">
        <f>Data!D848</f>
        <v>77.02</v>
      </c>
      <c r="AJ853" s="35">
        <f>Data!E848</f>
        <v>77.37</v>
      </c>
      <c r="AK853" s="35">
        <f>Data!F848</f>
        <v>1186584</v>
      </c>
      <c r="AL853" s="35">
        <f t="shared" si="129"/>
        <v>77.37</v>
      </c>
      <c r="AM853" s="35">
        <f t="shared" si="128"/>
        <v>2.0033604756365659</v>
      </c>
      <c r="AN853" s="35">
        <f t="shared" si="136"/>
        <v>-70.510726589942223</v>
      </c>
      <c r="AO853" s="35" t="str">
        <f t="shared" si="130"/>
        <v>FITS BITCH</v>
      </c>
      <c r="AP853" s="35" t="str">
        <f t="shared" si="131"/>
        <v>FITS BITCH</v>
      </c>
      <c r="AQ853" s="35" t="str">
        <f t="shared" si="131"/>
        <v>no</v>
      </c>
      <c r="AR853" s="35" t="str">
        <f t="shared" si="132"/>
        <v>FITS BITCH</v>
      </c>
      <c r="AS853" s="35" t="str">
        <f t="shared" si="133"/>
        <v>no</v>
      </c>
      <c r="AT853" s="20" t="str">
        <f t="shared" si="134"/>
        <v>BULLISH</v>
      </c>
      <c r="AU853" s="20" t="str">
        <f t="shared" si="135"/>
        <v/>
      </c>
      <c r="AV853" s="20"/>
      <c r="AW853" s="20"/>
      <c r="AX853" s="20"/>
    </row>
    <row r="854" spans="31:50">
      <c r="AE854" s="26">
        <f>Data!A849</f>
        <v>41731</v>
      </c>
      <c r="AF854" s="35">
        <f>Data!B849</f>
        <v>77.41</v>
      </c>
      <c r="AG854" s="35">
        <f>Data!F849</f>
        <v>1666949</v>
      </c>
      <c r="AH854" s="35">
        <f>Data!C849</f>
        <v>77.89</v>
      </c>
      <c r="AI854" s="35">
        <f>Data!D849</f>
        <v>77.260000000000005</v>
      </c>
      <c r="AJ854" s="35">
        <f>Data!E849</f>
        <v>77.67</v>
      </c>
      <c r="AK854" s="35">
        <f>Data!F849</f>
        <v>1666949</v>
      </c>
      <c r="AL854" s="35">
        <f t="shared" si="129"/>
        <v>77.67</v>
      </c>
      <c r="AM854" s="35">
        <f t="shared" si="128"/>
        <v>0.38624951718809986</v>
      </c>
      <c r="AN854" s="35">
        <f t="shared" si="136"/>
        <v>28.817018397083533</v>
      </c>
      <c r="AO854" s="35" t="str">
        <f t="shared" si="130"/>
        <v>no</v>
      </c>
      <c r="AP854" s="35" t="str">
        <f t="shared" si="131"/>
        <v>FITS BITCH</v>
      </c>
      <c r="AQ854" s="35" t="str">
        <f t="shared" si="131"/>
        <v>FITS BITCH</v>
      </c>
      <c r="AR854" s="35" t="str">
        <f t="shared" si="132"/>
        <v>no</v>
      </c>
      <c r="AS854" s="35" t="str">
        <f t="shared" si="133"/>
        <v>FITS BITCH</v>
      </c>
      <c r="AT854" s="20" t="str">
        <f t="shared" si="134"/>
        <v/>
      </c>
      <c r="AU854" s="20" t="str">
        <f t="shared" si="135"/>
        <v/>
      </c>
      <c r="AV854" s="20"/>
      <c r="AW854" s="20"/>
      <c r="AX854" s="20"/>
    </row>
    <row r="855" spans="31:50">
      <c r="AE855" s="26">
        <f>Data!A850</f>
        <v>41730</v>
      </c>
      <c r="AF855" s="35">
        <f>Data!B850</f>
        <v>77.05</v>
      </c>
      <c r="AG855" s="35">
        <f>Data!F850</f>
        <v>1767189</v>
      </c>
      <c r="AH855" s="35">
        <f>Data!C850</f>
        <v>77.53</v>
      </c>
      <c r="AI855" s="35">
        <f>Data!D850</f>
        <v>76.64</v>
      </c>
      <c r="AJ855" s="35">
        <f>Data!E850</f>
        <v>77.5</v>
      </c>
      <c r="AK855" s="35">
        <f>Data!F850</f>
        <v>1767189</v>
      </c>
      <c r="AL855" s="35">
        <f t="shared" si="129"/>
        <v>77.5</v>
      </c>
      <c r="AM855" s="35">
        <f t="shared" si="128"/>
        <v>-0.21935483870967962</v>
      </c>
      <c r="AN855" s="35">
        <f t="shared" si="136"/>
        <v>5.6722851941699499</v>
      </c>
      <c r="AO855" s="35" t="str">
        <f t="shared" si="130"/>
        <v>no</v>
      </c>
      <c r="AP855" s="35" t="str">
        <f t="shared" si="131"/>
        <v>no</v>
      </c>
      <c r="AQ855" s="35" t="str">
        <f t="shared" si="131"/>
        <v>no</v>
      </c>
      <c r="AR855" s="35" t="str">
        <f t="shared" si="132"/>
        <v>FITS BITCH</v>
      </c>
      <c r="AS855" s="35" t="str">
        <f t="shared" si="133"/>
        <v>FITS BITCH</v>
      </c>
      <c r="AT855" s="20" t="str">
        <f t="shared" si="134"/>
        <v/>
      </c>
      <c r="AU855" s="20" t="str">
        <f t="shared" si="135"/>
        <v/>
      </c>
      <c r="AV855" s="20"/>
      <c r="AW855" s="20"/>
      <c r="AX855" s="20"/>
    </row>
    <row r="856" spans="31:50">
      <c r="AE856" s="26">
        <f>Data!A851</f>
        <v>41729</v>
      </c>
      <c r="AF856" s="35">
        <f>Data!B851</f>
        <v>77.14</v>
      </c>
      <c r="AG856" s="35">
        <f>Data!F851</f>
        <v>1451642</v>
      </c>
      <c r="AH856" s="35">
        <f>Data!C851</f>
        <v>77.62</v>
      </c>
      <c r="AI856" s="35">
        <f>Data!D851</f>
        <v>76.78</v>
      </c>
      <c r="AJ856" s="35">
        <f>Data!E851</f>
        <v>77.260000000000005</v>
      </c>
      <c r="AK856" s="35">
        <f>Data!F851</f>
        <v>1451642</v>
      </c>
      <c r="AL856" s="35">
        <f t="shared" si="129"/>
        <v>77.260000000000005</v>
      </c>
      <c r="AM856" s="35">
        <f t="shared" si="128"/>
        <v>-0.31063939943048779</v>
      </c>
      <c r="AN856" s="35">
        <f t="shared" si="136"/>
        <v>-21.737246511192154</v>
      </c>
      <c r="AO856" s="35" t="str">
        <f t="shared" si="130"/>
        <v>FITS BITCH</v>
      </c>
      <c r="AP856" s="35" t="str">
        <f t="shared" si="131"/>
        <v>no</v>
      </c>
      <c r="AQ856" s="35" t="str">
        <f t="shared" si="131"/>
        <v>FITS BITCH</v>
      </c>
      <c r="AR856" s="35" t="str">
        <f t="shared" si="132"/>
        <v>FITS BITCH</v>
      </c>
      <c r="AS856" s="35" t="str">
        <f t="shared" si="133"/>
        <v>FITS BITCH</v>
      </c>
      <c r="AT856" s="20" t="str">
        <f t="shared" si="134"/>
        <v/>
      </c>
      <c r="AU856" s="20" t="str">
        <f t="shared" si="135"/>
        <v>BEARISH</v>
      </c>
      <c r="AV856" s="20"/>
      <c r="AW856" s="20"/>
      <c r="AX856" s="20"/>
    </row>
    <row r="857" spans="31:50">
      <c r="AE857" s="26">
        <f>Data!A852</f>
        <v>41726</v>
      </c>
      <c r="AF857" s="35">
        <f>Data!B852</f>
        <v>77.010000000000005</v>
      </c>
      <c r="AG857" s="35">
        <f>Data!F852</f>
        <v>1322152</v>
      </c>
      <c r="AH857" s="35">
        <f>Data!C852</f>
        <v>77.67</v>
      </c>
      <c r="AI857" s="35">
        <f>Data!D852</f>
        <v>76.569999999999993</v>
      </c>
      <c r="AJ857" s="35">
        <f>Data!E852</f>
        <v>76.95</v>
      </c>
      <c r="AK857" s="35">
        <f>Data!F852</f>
        <v>1322152</v>
      </c>
      <c r="AL857" s="35">
        <f t="shared" si="129"/>
        <v>76.95</v>
      </c>
      <c r="AM857" s="35">
        <f t="shared" si="128"/>
        <v>-0.4028589993502304</v>
      </c>
      <c r="AN857" s="35">
        <f t="shared" si="136"/>
        <v>-9.7938814901766218</v>
      </c>
      <c r="AO857" s="35" t="str">
        <f t="shared" si="130"/>
        <v>FITS BITCH</v>
      </c>
      <c r="AP857" s="35" t="str">
        <f t="shared" si="131"/>
        <v>FITS BITCH</v>
      </c>
      <c r="AQ857" s="35" t="str">
        <f t="shared" si="131"/>
        <v>FITS BITCH</v>
      </c>
      <c r="AR857" s="35" t="str">
        <f t="shared" si="132"/>
        <v>no</v>
      </c>
      <c r="AS857" s="35" t="str">
        <f t="shared" si="133"/>
        <v>FITS BITCH</v>
      </c>
      <c r="AT857" s="20" t="str">
        <f t="shared" si="134"/>
        <v/>
      </c>
      <c r="AU857" s="20" t="str">
        <f t="shared" si="135"/>
        <v>BEARISH</v>
      </c>
      <c r="AV857" s="20"/>
      <c r="AW857" s="20"/>
      <c r="AX857" s="20"/>
    </row>
    <row r="858" spans="31:50">
      <c r="AE858" s="26">
        <f>Data!A853</f>
        <v>41725</v>
      </c>
      <c r="AF858" s="35">
        <f>Data!B853</f>
        <v>76.05</v>
      </c>
      <c r="AG858" s="35">
        <f>Data!F853</f>
        <v>2164668</v>
      </c>
      <c r="AH858" s="35">
        <f>Data!C853</f>
        <v>76.72</v>
      </c>
      <c r="AI858" s="35">
        <f>Data!D853</f>
        <v>75.55</v>
      </c>
      <c r="AJ858" s="35">
        <f>Data!E853</f>
        <v>76.67</v>
      </c>
      <c r="AK858" s="35">
        <f>Data!F853</f>
        <v>2164668</v>
      </c>
      <c r="AL858" s="35">
        <f t="shared" si="129"/>
        <v>76.67</v>
      </c>
      <c r="AM858" s="35">
        <f t="shared" si="128"/>
        <v>-0.3652015129776981</v>
      </c>
      <c r="AN858" s="35">
        <f t="shared" si="136"/>
        <v>38.921257208957677</v>
      </c>
      <c r="AO858" s="35" t="str">
        <f t="shared" si="130"/>
        <v>no</v>
      </c>
      <c r="AP858" s="35" t="str">
        <f t="shared" si="131"/>
        <v>no</v>
      </c>
      <c r="AQ858" s="35" t="str">
        <f t="shared" si="131"/>
        <v>no</v>
      </c>
      <c r="AR858" s="35" t="str">
        <f t="shared" si="132"/>
        <v>FITS BITCH</v>
      </c>
      <c r="AS858" s="35" t="str">
        <f t="shared" si="133"/>
        <v>FITS BITCH</v>
      </c>
      <c r="AT858" s="20" t="str">
        <f t="shared" si="134"/>
        <v/>
      </c>
      <c r="AU858" s="20" t="str">
        <f t="shared" si="135"/>
        <v/>
      </c>
      <c r="AV858" s="20"/>
      <c r="AW858" s="20"/>
      <c r="AX858" s="20"/>
    </row>
    <row r="859" spans="31:50">
      <c r="AE859" s="26">
        <f>Data!A854</f>
        <v>41724</v>
      </c>
      <c r="AF859" s="35">
        <f>Data!B854</f>
        <v>77.099999999999994</v>
      </c>
      <c r="AG859" s="35">
        <f>Data!F854</f>
        <v>1415252</v>
      </c>
      <c r="AH859" s="35">
        <f>Data!C854</f>
        <v>77.25</v>
      </c>
      <c r="AI859" s="35">
        <f>Data!D854</f>
        <v>76.2</v>
      </c>
      <c r="AJ859" s="35">
        <f>Data!E854</f>
        <v>76.2</v>
      </c>
      <c r="AK859" s="35">
        <f>Data!F854</f>
        <v>1415252</v>
      </c>
      <c r="AL859" s="35">
        <f t="shared" si="129"/>
        <v>76.2</v>
      </c>
      <c r="AM859" s="35">
        <f t="shared" si="128"/>
        <v>-0.61679790026246573</v>
      </c>
      <c r="AN859" s="35">
        <f t="shared" si="136"/>
        <v>-52.952831015253821</v>
      </c>
      <c r="AO859" s="35" t="str">
        <f t="shared" si="130"/>
        <v>FITS BITCH</v>
      </c>
      <c r="AP859" s="35" t="str">
        <f t="shared" si="131"/>
        <v>no</v>
      </c>
      <c r="AQ859" s="35" t="str">
        <f t="shared" si="131"/>
        <v>no</v>
      </c>
      <c r="AR859" s="35" t="str">
        <f t="shared" si="132"/>
        <v>FITS BITCH</v>
      </c>
      <c r="AS859" s="35" t="str">
        <f t="shared" si="133"/>
        <v>no</v>
      </c>
      <c r="AT859" s="20" t="str">
        <f t="shared" si="134"/>
        <v/>
      </c>
      <c r="AU859" s="20" t="str">
        <f t="shared" si="135"/>
        <v/>
      </c>
      <c r="AV859" s="20"/>
      <c r="AW859" s="20"/>
      <c r="AX859" s="20"/>
    </row>
    <row r="860" spans="31:50">
      <c r="AE860" s="26">
        <f>Data!A855</f>
        <v>41723</v>
      </c>
      <c r="AF860" s="35">
        <f>Data!B855</f>
        <v>76.69</v>
      </c>
      <c r="AG860" s="35">
        <f>Data!F855</f>
        <v>1600653</v>
      </c>
      <c r="AH860" s="35">
        <f>Data!C855</f>
        <v>77.34</v>
      </c>
      <c r="AI860" s="35">
        <f>Data!D855</f>
        <v>76.290000000000006</v>
      </c>
      <c r="AJ860" s="35">
        <f>Data!E855</f>
        <v>76.680000000000007</v>
      </c>
      <c r="AK860" s="35">
        <f>Data!F855</f>
        <v>1600653</v>
      </c>
      <c r="AL860" s="35">
        <f t="shared" si="129"/>
        <v>76.680000000000007</v>
      </c>
      <c r="AM860" s="35">
        <f t="shared" si="128"/>
        <v>0.62597809076682831</v>
      </c>
      <c r="AN860" s="35">
        <f t="shared" si="136"/>
        <v>11.582835255361406</v>
      </c>
      <c r="AO860" s="35" t="str">
        <f t="shared" si="130"/>
        <v>no</v>
      </c>
      <c r="AP860" s="35" t="str">
        <f t="shared" si="131"/>
        <v>no</v>
      </c>
      <c r="AQ860" s="35" t="str">
        <f t="shared" si="131"/>
        <v>FITS BITCH</v>
      </c>
      <c r="AR860" s="35" t="str">
        <f t="shared" si="132"/>
        <v>FITS BITCH</v>
      </c>
      <c r="AS860" s="35" t="str">
        <f t="shared" si="133"/>
        <v>FITS BITCH</v>
      </c>
      <c r="AT860" s="20" t="str">
        <f t="shared" si="134"/>
        <v/>
      </c>
      <c r="AU860" s="20" t="str">
        <f t="shared" si="135"/>
        <v/>
      </c>
      <c r="AV860" s="20"/>
      <c r="AW860" s="20"/>
      <c r="AX860" s="20"/>
    </row>
    <row r="861" spans="31:50">
      <c r="AE861" s="26">
        <f>Data!A856</f>
        <v>41722</v>
      </c>
      <c r="AF861" s="35">
        <f>Data!B856</f>
        <v>77.86</v>
      </c>
      <c r="AG861" s="35">
        <f>Data!F856</f>
        <v>1960488</v>
      </c>
      <c r="AH861" s="35">
        <f>Data!C856</f>
        <v>78</v>
      </c>
      <c r="AI861" s="35">
        <f>Data!D856</f>
        <v>76.16</v>
      </c>
      <c r="AJ861" s="35">
        <f>Data!E856</f>
        <v>76.45</v>
      </c>
      <c r="AK861" s="35">
        <f>Data!F856</f>
        <v>1960488</v>
      </c>
      <c r="AL861" s="35">
        <f t="shared" si="129"/>
        <v>76.45</v>
      </c>
      <c r="AM861" s="35">
        <f t="shared" si="128"/>
        <v>-0.30085022890778806</v>
      </c>
      <c r="AN861" s="35">
        <f t="shared" si="136"/>
        <v>18.354358710688359</v>
      </c>
      <c r="AO861" s="35" t="str">
        <f t="shared" si="130"/>
        <v>no</v>
      </c>
      <c r="AP861" s="35" t="str">
        <f t="shared" si="131"/>
        <v>no</v>
      </c>
      <c r="AQ861" s="35" t="str">
        <f t="shared" si="131"/>
        <v>no</v>
      </c>
      <c r="AR861" s="35" t="str">
        <f t="shared" si="132"/>
        <v>FITS BITCH</v>
      </c>
      <c r="AS861" s="35" t="str">
        <f t="shared" si="133"/>
        <v>no</v>
      </c>
      <c r="AT861" s="20" t="str">
        <f t="shared" si="134"/>
        <v/>
      </c>
      <c r="AU861" s="20" t="str">
        <f t="shared" si="135"/>
        <v/>
      </c>
      <c r="AV861" s="20"/>
      <c r="AW861" s="20"/>
      <c r="AX861" s="20"/>
    </row>
    <row r="862" spans="31:50">
      <c r="AE862" s="26">
        <f>Data!A857</f>
        <v>41719</v>
      </c>
      <c r="AF862" s="35">
        <f>Data!B857</f>
        <v>79.33</v>
      </c>
      <c r="AG862" s="35">
        <f>Data!F857</f>
        <v>4637467</v>
      </c>
      <c r="AH862" s="35">
        <f>Data!C857</f>
        <v>79.39</v>
      </c>
      <c r="AI862" s="35">
        <f>Data!D857</f>
        <v>77.5</v>
      </c>
      <c r="AJ862" s="35">
        <f>Data!E857</f>
        <v>77.75</v>
      </c>
      <c r="AK862" s="35">
        <f>Data!F857</f>
        <v>4637467</v>
      </c>
      <c r="AL862" s="35">
        <f t="shared" si="129"/>
        <v>77.75</v>
      </c>
      <c r="AM862" s="35">
        <f t="shared" si="128"/>
        <v>1.672025723472665</v>
      </c>
      <c r="AN862" s="35">
        <f t="shared" si="136"/>
        <v>57.725025320934897</v>
      </c>
      <c r="AO862" s="35" t="str">
        <f t="shared" si="130"/>
        <v>no</v>
      </c>
      <c r="AP862" s="35" t="str">
        <f t="shared" si="131"/>
        <v>FITS BITCH</v>
      </c>
      <c r="AQ862" s="35" t="str">
        <f t="shared" si="131"/>
        <v>no</v>
      </c>
      <c r="AR862" s="35" t="str">
        <f t="shared" si="132"/>
        <v>FITS BITCH</v>
      </c>
      <c r="AS862" s="35" t="str">
        <f t="shared" si="133"/>
        <v>no</v>
      </c>
      <c r="AT862" s="20" t="str">
        <f t="shared" si="134"/>
        <v/>
      </c>
      <c r="AU862" s="20" t="str">
        <f t="shared" si="135"/>
        <v/>
      </c>
      <c r="AV862" s="20"/>
      <c r="AW862" s="20"/>
      <c r="AX862" s="20"/>
    </row>
    <row r="863" spans="31:50">
      <c r="AE863" s="26">
        <f>Data!A858</f>
        <v>41718</v>
      </c>
      <c r="AF863" s="35">
        <f>Data!B858</f>
        <v>77.849999999999994</v>
      </c>
      <c r="AG863" s="35">
        <f>Data!F858</f>
        <v>1180038</v>
      </c>
      <c r="AH863" s="35">
        <f>Data!C858</f>
        <v>78.52</v>
      </c>
      <c r="AI863" s="35">
        <f>Data!D858</f>
        <v>77.66</v>
      </c>
      <c r="AJ863" s="35">
        <f>Data!E858</f>
        <v>78.34</v>
      </c>
      <c r="AK863" s="35">
        <f>Data!F858</f>
        <v>1180038</v>
      </c>
      <c r="AL863" s="35">
        <f t="shared" si="129"/>
        <v>78.34</v>
      </c>
      <c r="AM863" s="35">
        <f t="shared" si="128"/>
        <v>0.7531273934133309</v>
      </c>
      <c r="AN863" s="35">
        <f t="shared" si="136"/>
        <v>-292.99302225860527</v>
      </c>
      <c r="AO863" s="35" t="str">
        <f t="shared" si="130"/>
        <v>FITS BITCH</v>
      </c>
      <c r="AP863" s="35" t="str">
        <f t="shared" si="131"/>
        <v>no</v>
      </c>
      <c r="AQ863" s="35" t="str">
        <f t="shared" si="131"/>
        <v>no</v>
      </c>
      <c r="AR863" s="35" t="str">
        <f t="shared" si="132"/>
        <v>FITS BITCH</v>
      </c>
      <c r="AS863" s="35" t="str">
        <f t="shared" si="133"/>
        <v>FITS BITCH</v>
      </c>
      <c r="AT863" s="20" t="str">
        <f t="shared" si="134"/>
        <v/>
      </c>
      <c r="AU863" s="20" t="str">
        <f t="shared" si="135"/>
        <v/>
      </c>
      <c r="AV863" s="20"/>
      <c r="AW863" s="20"/>
      <c r="AX863" s="20"/>
    </row>
    <row r="864" spans="31:50">
      <c r="AE864" s="26">
        <f>Data!A859</f>
        <v>41717</v>
      </c>
      <c r="AF864" s="35">
        <f>Data!B859</f>
        <v>79.08</v>
      </c>
      <c r="AG864" s="35">
        <f>Data!F859</f>
        <v>1384832</v>
      </c>
      <c r="AH864" s="35">
        <f>Data!C859</f>
        <v>79.08</v>
      </c>
      <c r="AI864" s="35">
        <f>Data!D859</f>
        <v>77.8</v>
      </c>
      <c r="AJ864" s="35">
        <f>Data!E859</f>
        <v>78.290000000000006</v>
      </c>
      <c r="AK864" s="35">
        <f>Data!F859</f>
        <v>1384832</v>
      </c>
      <c r="AL864" s="35">
        <f t="shared" si="129"/>
        <v>78.290000000000006</v>
      </c>
      <c r="AM864" s="35">
        <f t="shared" si="128"/>
        <v>-6.3865116873160238E-2</v>
      </c>
      <c r="AN864" s="35">
        <f t="shared" si="136"/>
        <v>14.788364220353081</v>
      </c>
      <c r="AO864" s="35" t="str">
        <f t="shared" si="130"/>
        <v>no</v>
      </c>
      <c r="AP864" s="35" t="str">
        <f t="shared" si="131"/>
        <v>FITS BITCH</v>
      </c>
      <c r="AQ864" s="35" t="str">
        <f t="shared" si="131"/>
        <v>no</v>
      </c>
      <c r="AR864" s="35" t="str">
        <f t="shared" si="132"/>
        <v>FITS BITCH</v>
      </c>
      <c r="AS864" s="35" t="str">
        <f t="shared" si="133"/>
        <v>no</v>
      </c>
      <c r="AT864" s="20" t="str">
        <f t="shared" si="134"/>
        <v/>
      </c>
      <c r="AU864" s="20" t="str">
        <f t="shared" si="135"/>
        <v/>
      </c>
      <c r="AV864" s="20"/>
      <c r="AW864" s="20"/>
      <c r="AX864" s="20"/>
    </row>
    <row r="865" spans="31:50">
      <c r="AE865" s="26">
        <f>Data!A860</f>
        <v>41716</v>
      </c>
      <c r="AF865" s="35">
        <f>Data!B860</f>
        <v>78.37</v>
      </c>
      <c r="AG865" s="35">
        <f>Data!F860</f>
        <v>1759882</v>
      </c>
      <c r="AH865" s="35">
        <f>Data!C860</f>
        <v>79.040000000000006</v>
      </c>
      <c r="AI865" s="35">
        <f>Data!D860</f>
        <v>78.28</v>
      </c>
      <c r="AJ865" s="35">
        <f>Data!E860</f>
        <v>78.989999999999995</v>
      </c>
      <c r="AK865" s="35">
        <f>Data!F860</f>
        <v>1759882</v>
      </c>
      <c r="AL865" s="35">
        <f t="shared" si="129"/>
        <v>78.989999999999995</v>
      </c>
      <c r="AM865" s="35">
        <f t="shared" si="128"/>
        <v>0.8861881250791096</v>
      </c>
      <c r="AN865" s="35">
        <f t="shared" si="136"/>
        <v>21.31108790248437</v>
      </c>
      <c r="AO865" s="35" t="str">
        <f t="shared" si="130"/>
        <v>no</v>
      </c>
      <c r="AP865" s="35" t="str">
        <f t="shared" si="131"/>
        <v>FITS BITCH</v>
      </c>
      <c r="AQ865" s="35" t="str">
        <f t="shared" si="131"/>
        <v>FITS BITCH</v>
      </c>
      <c r="AR865" s="35" t="str">
        <f t="shared" si="132"/>
        <v>no</v>
      </c>
      <c r="AS865" s="35" t="str">
        <f t="shared" si="133"/>
        <v>FITS BITCH</v>
      </c>
      <c r="AT865" s="20" t="str">
        <f t="shared" si="134"/>
        <v/>
      </c>
      <c r="AU865" s="20" t="str">
        <f t="shared" si="135"/>
        <v/>
      </c>
      <c r="AV865" s="20"/>
      <c r="AW865" s="20"/>
      <c r="AX865" s="20"/>
    </row>
    <row r="866" spans="31:50">
      <c r="AE866" s="26">
        <f>Data!A861</f>
        <v>41715</v>
      </c>
      <c r="AF866" s="35">
        <f>Data!B861</f>
        <v>77.92</v>
      </c>
      <c r="AG866" s="35">
        <f>Data!F861</f>
        <v>2588926</v>
      </c>
      <c r="AH866" s="35">
        <f>Data!C861</f>
        <v>78.5</v>
      </c>
      <c r="AI866" s="35">
        <f>Data!D861</f>
        <v>77.709999999999994</v>
      </c>
      <c r="AJ866" s="35">
        <f>Data!E861</f>
        <v>78.489999999999995</v>
      </c>
      <c r="AK866" s="35">
        <f>Data!F861</f>
        <v>2588926</v>
      </c>
      <c r="AL866" s="35">
        <f t="shared" si="129"/>
        <v>78.489999999999995</v>
      </c>
      <c r="AM866" s="35">
        <f t="shared" si="128"/>
        <v>-0.63702382469104346</v>
      </c>
      <c r="AN866" s="35">
        <f t="shared" si="136"/>
        <v>32.022699760441206</v>
      </c>
      <c r="AO866" s="35" t="str">
        <f t="shared" si="130"/>
        <v>no</v>
      </c>
      <c r="AP866" s="35" t="str">
        <f t="shared" si="131"/>
        <v>FITS BITCH</v>
      </c>
      <c r="AQ866" s="35" t="str">
        <f t="shared" si="131"/>
        <v>FITS BITCH</v>
      </c>
      <c r="AR866" s="35" t="str">
        <f t="shared" si="132"/>
        <v>no</v>
      </c>
      <c r="AS866" s="35" t="str">
        <f t="shared" si="133"/>
        <v>FITS BITCH</v>
      </c>
      <c r="AT866" s="20" t="str">
        <f t="shared" si="134"/>
        <v/>
      </c>
      <c r="AU866" s="20" t="str">
        <f t="shared" si="135"/>
        <v/>
      </c>
      <c r="AV866" s="20"/>
      <c r="AW866" s="20"/>
      <c r="AX866" s="20"/>
    </row>
    <row r="867" spans="31:50">
      <c r="AE867" s="26">
        <f>Data!A862</f>
        <v>41712</v>
      </c>
      <c r="AF867" s="35">
        <f>Data!B862</f>
        <v>77.540000000000006</v>
      </c>
      <c r="AG867" s="35">
        <f>Data!F862</f>
        <v>2310891</v>
      </c>
      <c r="AH867" s="35">
        <f>Data!C862</f>
        <v>77.81</v>
      </c>
      <c r="AI867" s="35">
        <f>Data!D862</f>
        <v>76.81</v>
      </c>
      <c r="AJ867" s="35">
        <f>Data!E862</f>
        <v>77.55</v>
      </c>
      <c r="AK867" s="35">
        <f>Data!F862</f>
        <v>2310891</v>
      </c>
      <c r="AL867" s="35">
        <f t="shared" si="129"/>
        <v>77.55</v>
      </c>
      <c r="AM867" s="35">
        <f t="shared" si="128"/>
        <v>-1.2121212121212093</v>
      </c>
      <c r="AN867" s="35">
        <f t="shared" si="136"/>
        <v>-12.031506462226043</v>
      </c>
      <c r="AO867" s="35" t="str">
        <f t="shared" si="130"/>
        <v>FITS BITCH</v>
      </c>
      <c r="AP867" s="35" t="str">
        <f t="shared" si="131"/>
        <v>no</v>
      </c>
      <c r="AQ867" s="35" t="str">
        <f t="shared" si="131"/>
        <v>FITS BITCH</v>
      </c>
      <c r="AR867" s="35" t="str">
        <f t="shared" si="132"/>
        <v>FITS BITCH</v>
      </c>
      <c r="AS867" s="35" t="str">
        <f t="shared" si="133"/>
        <v>FITS BITCH</v>
      </c>
      <c r="AT867" s="20" t="str">
        <f t="shared" si="134"/>
        <v/>
      </c>
      <c r="AU867" s="20" t="str">
        <f t="shared" si="135"/>
        <v>BEARISH</v>
      </c>
      <c r="AV867" s="20"/>
      <c r="AW867" s="20"/>
      <c r="AX867" s="20"/>
    </row>
    <row r="868" spans="31:50">
      <c r="AE868" s="26">
        <f>Data!A863</f>
        <v>41711</v>
      </c>
      <c r="AF868" s="35">
        <f>Data!B863</f>
        <v>77.78</v>
      </c>
      <c r="AG868" s="35">
        <f>Data!F863</f>
        <v>2768729</v>
      </c>
      <c r="AH868" s="35">
        <f>Data!C863</f>
        <v>77.959999999999994</v>
      </c>
      <c r="AI868" s="35">
        <f>Data!D863</f>
        <v>76.69</v>
      </c>
      <c r="AJ868" s="35">
        <f>Data!E863</f>
        <v>76.989999999999995</v>
      </c>
      <c r="AK868" s="35">
        <f>Data!F863</f>
        <v>2768729</v>
      </c>
      <c r="AL868" s="35">
        <f t="shared" si="129"/>
        <v>76.989999999999995</v>
      </c>
      <c r="AM868" s="35">
        <f t="shared" si="128"/>
        <v>-0.7273671905442296</v>
      </c>
      <c r="AN868" s="35">
        <f t="shared" si="136"/>
        <v>16.536035126586963</v>
      </c>
      <c r="AO868" s="35" t="str">
        <f t="shared" si="130"/>
        <v>no</v>
      </c>
      <c r="AP868" s="35" t="str">
        <f t="shared" si="131"/>
        <v>FITS BITCH</v>
      </c>
      <c r="AQ868" s="35" t="str">
        <f t="shared" si="131"/>
        <v>no</v>
      </c>
      <c r="AR868" s="35" t="str">
        <f t="shared" si="132"/>
        <v>FITS BITCH</v>
      </c>
      <c r="AS868" s="35" t="str">
        <f t="shared" si="133"/>
        <v>no</v>
      </c>
      <c r="AT868" s="20" t="str">
        <f t="shared" si="134"/>
        <v/>
      </c>
      <c r="AU868" s="20" t="str">
        <f t="shared" si="135"/>
        <v/>
      </c>
      <c r="AV868" s="20"/>
      <c r="AW868" s="20"/>
      <c r="AX868" s="20"/>
    </row>
    <row r="869" spans="31:50">
      <c r="AE869" s="26">
        <f>Data!A864</f>
        <v>41710</v>
      </c>
      <c r="AF869" s="35">
        <f>Data!B864</f>
        <v>77.27</v>
      </c>
      <c r="AG869" s="35">
        <f>Data!F864</f>
        <v>1671425</v>
      </c>
      <c r="AH869" s="35">
        <f>Data!C864</f>
        <v>77.77</v>
      </c>
      <c r="AI869" s="35">
        <f>Data!D864</f>
        <v>77</v>
      </c>
      <c r="AJ869" s="35">
        <f>Data!E864</f>
        <v>77.69</v>
      </c>
      <c r="AK869" s="35">
        <f>Data!F864</f>
        <v>1671425</v>
      </c>
      <c r="AL869" s="35">
        <f t="shared" si="129"/>
        <v>77.69</v>
      </c>
      <c r="AM869" s="35">
        <f t="shared" si="128"/>
        <v>0.90101686188699037</v>
      </c>
      <c r="AN869" s="35">
        <f t="shared" si="136"/>
        <v>-65.6508069461687</v>
      </c>
      <c r="AO869" s="35" t="str">
        <f t="shared" si="130"/>
        <v>FITS BITCH</v>
      </c>
      <c r="AP869" s="35" t="str">
        <f t="shared" si="131"/>
        <v>no</v>
      </c>
      <c r="AQ869" s="35" t="str">
        <f t="shared" si="131"/>
        <v>no</v>
      </c>
      <c r="AR869" s="35" t="str">
        <f t="shared" si="132"/>
        <v>FITS BITCH</v>
      </c>
      <c r="AS869" s="35" t="str">
        <f t="shared" si="133"/>
        <v>no</v>
      </c>
      <c r="AT869" s="20" t="str">
        <f t="shared" si="134"/>
        <v/>
      </c>
      <c r="AU869" s="20" t="str">
        <f t="shared" si="135"/>
        <v/>
      </c>
      <c r="AV869" s="20"/>
      <c r="AW869" s="20"/>
      <c r="AX869" s="20"/>
    </row>
    <row r="870" spans="31:50">
      <c r="AE870" s="26">
        <f>Data!A865</f>
        <v>41709</v>
      </c>
      <c r="AF870" s="35">
        <f>Data!B865</f>
        <v>78.34</v>
      </c>
      <c r="AG870" s="35">
        <f>Data!F865</f>
        <v>1365947</v>
      </c>
      <c r="AH870" s="35">
        <f>Data!C865</f>
        <v>78.459999999999994</v>
      </c>
      <c r="AI870" s="35">
        <f>Data!D865</f>
        <v>77.61</v>
      </c>
      <c r="AJ870" s="35">
        <f>Data!E865</f>
        <v>77.900000000000006</v>
      </c>
      <c r="AK870" s="35">
        <f>Data!F865</f>
        <v>1365947</v>
      </c>
      <c r="AL870" s="35">
        <f t="shared" si="129"/>
        <v>77.900000000000006</v>
      </c>
      <c r="AM870" s="35">
        <f t="shared" si="128"/>
        <v>0.26957637997433626</v>
      </c>
      <c r="AN870" s="35">
        <f t="shared" si="136"/>
        <v>-22.363825243585588</v>
      </c>
      <c r="AO870" s="35" t="str">
        <f t="shared" si="130"/>
        <v>FITS BITCH</v>
      </c>
      <c r="AP870" s="35" t="str">
        <f t="shared" si="131"/>
        <v>no</v>
      </c>
      <c r="AQ870" s="35" t="str">
        <f t="shared" si="131"/>
        <v>no</v>
      </c>
      <c r="AR870" s="35" t="str">
        <f t="shared" si="132"/>
        <v>FITS BITCH</v>
      </c>
      <c r="AS870" s="35" t="str">
        <f t="shared" si="133"/>
        <v>no</v>
      </c>
      <c r="AT870" s="20" t="str">
        <f t="shared" si="134"/>
        <v/>
      </c>
      <c r="AU870" s="20" t="str">
        <f t="shared" si="135"/>
        <v/>
      </c>
      <c r="AV870" s="20"/>
      <c r="AW870" s="20"/>
      <c r="AX870" s="20"/>
    </row>
    <row r="871" spans="31:50">
      <c r="AE871" s="26">
        <f>Data!A866</f>
        <v>41708</v>
      </c>
      <c r="AF871" s="35">
        <f>Data!B866</f>
        <v>78.59</v>
      </c>
      <c r="AG871" s="35">
        <f>Data!F866</f>
        <v>1696567</v>
      </c>
      <c r="AH871" s="35">
        <f>Data!C866</f>
        <v>78.72</v>
      </c>
      <c r="AI871" s="35">
        <f>Data!D866</f>
        <v>77.77</v>
      </c>
      <c r="AJ871" s="35">
        <f>Data!E866</f>
        <v>78.209999999999994</v>
      </c>
      <c r="AK871" s="35">
        <f>Data!F866</f>
        <v>1696567</v>
      </c>
      <c r="AL871" s="35">
        <f t="shared" si="129"/>
        <v>78.209999999999994</v>
      </c>
      <c r="AM871" s="35">
        <f t="shared" si="128"/>
        <v>0.39636875079911532</v>
      </c>
      <c r="AN871" s="35">
        <f t="shared" si="136"/>
        <v>19.487588760125597</v>
      </c>
      <c r="AO871" s="35" t="str">
        <f t="shared" si="130"/>
        <v>no</v>
      </c>
      <c r="AP871" s="35" t="str">
        <f t="shared" si="131"/>
        <v>no</v>
      </c>
      <c r="AQ871" s="35" t="str">
        <f t="shared" si="131"/>
        <v>no</v>
      </c>
      <c r="AR871" s="35" t="str">
        <f t="shared" si="132"/>
        <v>FITS BITCH</v>
      </c>
      <c r="AS871" s="35" t="str">
        <f t="shared" si="133"/>
        <v>no</v>
      </c>
      <c r="AT871" s="20" t="str">
        <f t="shared" si="134"/>
        <v/>
      </c>
      <c r="AU871" s="20" t="str">
        <f t="shared" si="135"/>
        <v/>
      </c>
      <c r="AV871" s="20"/>
      <c r="AW871" s="20"/>
      <c r="AX871" s="20"/>
    </row>
    <row r="872" spans="31:50">
      <c r="AE872" s="26">
        <f>Data!A867</f>
        <v>41705</v>
      </c>
      <c r="AF872" s="35">
        <f>Data!B867</f>
        <v>78.45</v>
      </c>
      <c r="AG872" s="35">
        <f>Data!F867</f>
        <v>1606991</v>
      </c>
      <c r="AH872" s="35">
        <f>Data!C867</f>
        <v>78.930000000000007</v>
      </c>
      <c r="AI872" s="35">
        <f>Data!D867</f>
        <v>78.14</v>
      </c>
      <c r="AJ872" s="35">
        <f>Data!E867</f>
        <v>78.56</v>
      </c>
      <c r="AK872" s="35">
        <f>Data!F867</f>
        <v>1606991</v>
      </c>
      <c r="AL872" s="35">
        <f t="shared" si="129"/>
        <v>78.56</v>
      </c>
      <c r="AM872" s="35">
        <f t="shared" si="128"/>
        <v>0.44551934826884992</v>
      </c>
      <c r="AN872" s="35">
        <f t="shared" si="136"/>
        <v>-5.5741444724954903</v>
      </c>
      <c r="AO872" s="35" t="str">
        <f t="shared" si="130"/>
        <v>no</v>
      </c>
      <c r="AP872" s="35" t="str">
        <f t="shared" si="131"/>
        <v>FITS BITCH</v>
      </c>
      <c r="AQ872" s="35" t="str">
        <f t="shared" si="131"/>
        <v>FITS BITCH</v>
      </c>
      <c r="AR872" s="35" t="str">
        <f t="shared" si="132"/>
        <v>no</v>
      </c>
      <c r="AS872" s="35" t="str">
        <f t="shared" si="133"/>
        <v>FITS BITCH</v>
      </c>
      <c r="AT872" s="20" t="str">
        <f t="shared" si="134"/>
        <v/>
      </c>
      <c r="AU872" s="20" t="str">
        <f t="shared" si="135"/>
        <v/>
      </c>
      <c r="AV872" s="20"/>
      <c r="AW872" s="20"/>
      <c r="AX872" s="20"/>
    </row>
    <row r="873" spans="31:50">
      <c r="AE873" s="26">
        <f>Data!A868</f>
        <v>41704</v>
      </c>
      <c r="AF873" s="35">
        <f>Data!B868</f>
        <v>77.88</v>
      </c>
      <c r="AG873" s="35">
        <f>Data!F868</f>
        <v>1342603</v>
      </c>
      <c r="AH873" s="35">
        <f>Data!C868</f>
        <v>78.23</v>
      </c>
      <c r="AI873" s="35">
        <f>Data!D868</f>
        <v>77.64</v>
      </c>
      <c r="AJ873" s="35">
        <f>Data!E868</f>
        <v>78.03</v>
      </c>
      <c r="AK873" s="35">
        <f>Data!F868</f>
        <v>1342603</v>
      </c>
      <c r="AL873" s="35">
        <f t="shared" si="129"/>
        <v>78.03</v>
      </c>
      <c r="AM873" s="35">
        <f t="shared" si="128"/>
        <v>-0.67922593874151116</v>
      </c>
      <c r="AN873" s="35">
        <f t="shared" si="136"/>
        <v>-19.692194937744066</v>
      </c>
      <c r="AO873" s="35" t="str">
        <f t="shared" si="130"/>
        <v>FITS BITCH</v>
      </c>
      <c r="AP873" s="35" t="str">
        <f t="shared" si="131"/>
        <v>FITS BITCH</v>
      </c>
      <c r="AQ873" s="35" t="str">
        <f t="shared" si="131"/>
        <v>FITS BITCH</v>
      </c>
      <c r="AR873" s="35" t="str">
        <f t="shared" si="132"/>
        <v>FITS BITCH</v>
      </c>
      <c r="AS873" s="35" t="str">
        <f t="shared" si="133"/>
        <v>FITS BITCH</v>
      </c>
      <c r="AT873" s="20" t="str">
        <f t="shared" si="134"/>
        <v>BULLISH</v>
      </c>
      <c r="AU873" s="20" t="str">
        <f t="shared" si="135"/>
        <v>BEARISH</v>
      </c>
      <c r="AV873" s="20"/>
      <c r="AW873" s="20"/>
      <c r="AX873" s="20"/>
    </row>
    <row r="874" spans="31:50">
      <c r="AE874" s="26">
        <f>Data!A869</f>
        <v>41703</v>
      </c>
      <c r="AF874" s="35">
        <f>Data!B869</f>
        <v>78</v>
      </c>
      <c r="AG874" s="35">
        <f>Data!F869</f>
        <v>1663632</v>
      </c>
      <c r="AH874" s="35">
        <f>Data!C869</f>
        <v>78.180000000000007</v>
      </c>
      <c r="AI874" s="35">
        <f>Data!D869</f>
        <v>77.48</v>
      </c>
      <c r="AJ874" s="35">
        <f>Data!E869</f>
        <v>77.72</v>
      </c>
      <c r="AK874" s="35">
        <f>Data!F869</f>
        <v>1663632</v>
      </c>
      <c r="AL874" s="35">
        <f t="shared" si="129"/>
        <v>77.72</v>
      </c>
      <c r="AM874" s="35">
        <f t="shared" si="128"/>
        <v>-0.39886773031395045</v>
      </c>
      <c r="AN874" s="35">
        <f t="shared" si="136"/>
        <v>19.296875751368091</v>
      </c>
      <c r="AO874" s="35" t="str">
        <f t="shared" si="130"/>
        <v>no</v>
      </c>
      <c r="AP874" s="35" t="str">
        <f t="shared" si="131"/>
        <v>no</v>
      </c>
      <c r="AQ874" s="35" t="str">
        <f t="shared" si="131"/>
        <v>no</v>
      </c>
      <c r="AR874" s="35" t="str">
        <f t="shared" si="132"/>
        <v>FITS BITCH</v>
      </c>
      <c r="AS874" s="35" t="str">
        <f t="shared" si="133"/>
        <v>no</v>
      </c>
      <c r="AT874" s="20" t="str">
        <f t="shared" si="134"/>
        <v/>
      </c>
      <c r="AU874" s="20" t="str">
        <f t="shared" si="135"/>
        <v/>
      </c>
      <c r="AV874" s="20"/>
      <c r="AW874" s="20"/>
      <c r="AX874" s="20"/>
    </row>
    <row r="875" spans="31:50">
      <c r="AE875" s="26">
        <f>Data!A870</f>
        <v>41702</v>
      </c>
      <c r="AF875" s="35">
        <f>Data!B870</f>
        <v>77.7</v>
      </c>
      <c r="AG875" s="35">
        <f>Data!F870</f>
        <v>2584785</v>
      </c>
      <c r="AH875" s="35">
        <f>Data!C870</f>
        <v>78.52</v>
      </c>
      <c r="AI875" s="35">
        <f>Data!D870</f>
        <v>77.56</v>
      </c>
      <c r="AJ875" s="35">
        <f>Data!E870</f>
        <v>78.45</v>
      </c>
      <c r="AK875" s="35">
        <f>Data!F870</f>
        <v>2584785</v>
      </c>
      <c r="AL875" s="35">
        <f t="shared" si="129"/>
        <v>78.45</v>
      </c>
      <c r="AM875" s="35">
        <f t="shared" si="128"/>
        <v>0.93052899936265643</v>
      </c>
      <c r="AN875" s="35">
        <f t="shared" si="136"/>
        <v>35.637509502724598</v>
      </c>
      <c r="AO875" s="35" t="str">
        <f t="shared" si="130"/>
        <v>no</v>
      </c>
      <c r="AP875" s="35" t="str">
        <f t="shared" si="131"/>
        <v>FITS BITCH</v>
      </c>
      <c r="AQ875" s="35" t="str">
        <f t="shared" si="131"/>
        <v>FITS BITCH</v>
      </c>
      <c r="AR875" s="35" t="str">
        <f t="shared" si="132"/>
        <v>no</v>
      </c>
      <c r="AS875" s="35" t="str">
        <f t="shared" si="133"/>
        <v>FITS BITCH</v>
      </c>
      <c r="AT875" s="20" t="str">
        <f t="shared" si="134"/>
        <v/>
      </c>
      <c r="AU875" s="20" t="str">
        <f t="shared" si="135"/>
        <v/>
      </c>
      <c r="AV875" s="20"/>
      <c r="AW875" s="20"/>
      <c r="AX875" s="20"/>
    </row>
    <row r="876" spans="31:50">
      <c r="AE876" s="26">
        <f>Data!A871</f>
        <v>41701</v>
      </c>
      <c r="AF876" s="35">
        <f>Data!B871</f>
        <v>77.05</v>
      </c>
      <c r="AG876" s="35">
        <f>Data!F871</f>
        <v>1752666</v>
      </c>
      <c r="AH876" s="35">
        <f>Data!C871</f>
        <v>77.2</v>
      </c>
      <c r="AI876" s="35">
        <f>Data!D871</f>
        <v>76.33</v>
      </c>
      <c r="AJ876" s="35">
        <f>Data!E871</f>
        <v>76.67</v>
      </c>
      <c r="AK876" s="35">
        <f>Data!F871</f>
        <v>1752666</v>
      </c>
      <c r="AL876" s="35">
        <f t="shared" si="129"/>
        <v>76.67</v>
      </c>
      <c r="AM876" s="35">
        <f t="shared" si="128"/>
        <v>-2.32163818964393</v>
      </c>
      <c r="AN876" s="35">
        <f t="shared" si="136"/>
        <v>-47.477328823632114</v>
      </c>
      <c r="AO876" s="35" t="str">
        <f t="shared" si="130"/>
        <v>FITS BITCH</v>
      </c>
      <c r="AP876" s="35" t="str">
        <f t="shared" si="131"/>
        <v>no</v>
      </c>
      <c r="AQ876" s="35" t="str">
        <f t="shared" si="131"/>
        <v>no</v>
      </c>
      <c r="AR876" s="35" t="str">
        <f t="shared" si="132"/>
        <v>FITS BITCH</v>
      </c>
      <c r="AS876" s="35" t="str">
        <f t="shared" si="133"/>
        <v>no</v>
      </c>
      <c r="AT876" s="20" t="str">
        <f t="shared" si="134"/>
        <v/>
      </c>
      <c r="AU876" s="20" t="str">
        <f t="shared" si="135"/>
        <v/>
      </c>
      <c r="AV876" s="20"/>
      <c r="AW876" s="20"/>
      <c r="AX876" s="20"/>
    </row>
    <row r="877" spans="31:50">
      <c r="AE877" s="26">
        <f>Data!A872</f>
        <v>41698</v>
      </c>
      <c r="AF877" s="35">
        <f>Data!B872</f>
        <v>77.88</v>
      </c>
      <c r="AG877" s="35">
        <f>Data!F872</f>
        <v>2351364</v>
      </c>
      <c r="AH877" s="35">
        <f>Data!C872</f>
        <v>78.47</v>
      </c>
      <c r="AI877" s="35">
        <f>Data!D872</f>
        <v>77.2</v>
      </c>
      <c r="AJ877" s="35">
        <f>Data!E872</f>
        <v>77.78</v>
      </c>
      <c r="AK877" s="35">
        <f>Data!F872</f>
        <v>2351364</v>
      </c>
      <c r="AL877" s="35">
        <f t="shared" si="129"/>
        <v>77.78</v>
      </c>
      <c r="AM877" s="35">
        <f t="shared" si="128"/>
        <v>1.4271020827976335</v>
      </c>
      <c r="AN877" s="35">
        <f t="shared" si="136"/>
        <v>25.461731998958903</v>
      </c>
      <c r="AO877" s="35" t="str">
        <f t="shared" si="130"/>
        <v>no</v>
      </c>
      <c r="AP877" s="35" t="str">
        <f t="shared" si="131"/>
        <v>FITS BITCH</v>
      </c>
      <c r="AQ877" s="35" t="str">
        <f t="shared" si="131"/>
        <v>FITS BITCH</v>
      </c>
      <c r="AR877" s="35" t="str">
        <f t="shared" si="132"/>
        <v>FITS BITCH</v>
      </c>
      <c r="AS877" s="35" t="str">
        <f t="shared" si="133"/>
        <v>FITS BITCH</v>
      </c>
      <c r="AT877" s="20" t="str">
        <f t="shared" si="134"/>
        <v/>
      </c>
      <c r="AU877" s="20" t="str">
        <f t="shared" si="135"/>
        <v/>
      </c>
      <c r="AV877" s="20"/>
      <c r="AW877" s="20"/>
      <c r="AX877" s="20"/>
    </row>
    <row r="878" spans="31:50">
      <c r="AE878" s="26">
        <f>Data!A873</f>
        <v>41697</v>
      </c>
      <c r="AF878" s="35">
        <f>Data!B873</f>
        <v>77.12</v>
      </c>
      <c r="AG878" s="35">
        <f>Data!F873</f>
        <v>2008915</v>
      </c>
      <c r="AH878" s="35">
        <f>Data!C873</f>
        <v>77.900000000000006</v>
      </c>
      <c r="AI878" s="35">
        <f>Data!D873</f>
        <v>77.099999999999994</v>
      </c>
      <c r="AJ878" s="35">
        <f>Data!E873</f>
        <v>77.72</v>
      </c>
      <c r="AK878" s="35">
        <f>Data!F873</f>
        <v>2008915</v>
      </c>
      <c r="AL878" s="35">
        <f t="shared" si="129"/>
        <v>77.72</v>
      </c>
      <c r="AM878" s="35">
        <f t="shared" ref="AM878:AM941" si="137">(AL878-AL877)/AL878*100</f>
        <v>-7.7200205867218569E-2</v>
      </c>
      <c r="AN878" s="35">
        <f t="shared" si="136"/>
        <v>-17.046465380566126</v>
      </c>
      <c r="AO878" s="35" t="str">
        <f t="shared" si="130"/>
        <v>FITS BITCH</v>
      </c>
      <c r="AP878" s="35" t="str">
        <f t="shared" si="131"/>
        <v>FITS BITCH</v>
      </c>
      <c r="AQ878" s="35" t="str">
        <f t="shared" si="131"/>
        <v>FITS BITCH</v>
      </c>
      <c r="AR878" s="35" t="str">
        <f t="shared" si="132"/>
        <v>no</v>
      </c>
      <c r="AS878" s="35" t="str">
        <f t="shared" si="133"/>
        <v>FITS BITCH</v>
      </c>
      <c r="AT878" s="20" t="str">
        <f t="shared" si="134"/>
        <v/>
      </c>
      <c r="AU878" s="20" t="str">
        <f t="shared" si="135"/>
        <v>BEARISH</v>
      </c>
      <c r="AV878" s="20"/>
      <c r="AW878" s="20"/>
      <c r="AX878" s="20"/>
    </row>
    <row r="879" spans="31:50">
      <c r="AE879" s="26">
        <f>Data!A874</f>
        <v>41696</v>
      </c>
      <c r="AF879" s="35">
        <f>Data!B874</f>
        <v>77.45</v>
      </c>
      <c r="AG879" s="35">
        <f>Data!F874</f>
        <v>2294405</v>
      </c>
      <c r="AH879" s="35">
        <f>Data!C874</f>
        <v>77.52</v>
      </c>
      <c r="AI879" s="35">
        <f>Data!D874</f>
        <v>76.81</v>
      </c>
      <c r="AJ879" s="35">
        <f>Data!E874</f>
        <v>77.42</v>
      </c>
      <c r="AK879" s="35">
        <f>Data!F874</f>
        <v>2294405</v>
      </c>
      <c r="AL879" s="35">
        <f t="shared" si="129"/>
        <v>77.42</v>
      </c>
      <c r="AM879" s="35">
        <f t="shared" si="137"/>
        <v>-0.38749677086023915</v>
      </c>
      <c r="AN879" s="35">
        <f t="shared" si="136"/>
        <v>12.442877347286116</v>
      </c>
      <c r="AO879" s="35" t="str">
        <f t="shared" si="130"/>
        <v>no</v>
      </c>
      <c r="AP879" s="35" t="str">
        <f t="shared" si="131"/>
        <v>FITS BITCH</v>
      </c>
      <c r="AQ879" s="35" t="str">
        <f t="shared" si="131"/>
        <v>FITS BITCH</v>
      </c>
      <c r="AR879" s="35" t="str">
        <f t="shared" si="132"/>
        <v>no</v>
      </c>
      <c r="AS879" s="35" t="str">
        <f t="shared" si="133"/>
        <v>FITS BITCH</v>
      </c>
      <c r="AT879" s="20" t="str">
        <f t="shared" si="134"/>
        <v/>
      </c>
      <c r="AU879" s="20" t="str">
        <f t="shared" si="135"/>
        <v/>
      </c>
      <c r="AV879" s="20"/>
      <c r="AW879" s="20"/>
      <c r="AX879" s="20"/>
    </row>
    <row r="880" spans="31:50">
      <c r="AE880" s="26">
        <f>Data!A875</f>
        <v>41695</v>
      </c>
      <c r="AF880" s="35">
        <f>Data!B875</f>
        <v>76.98</v>
      </c>
      <c r="AG880" s="35">
        <f>Data!F875</f>
        <v>1560856</v>
      </c>
      <c r="AH880" s="35">
        <f>Data!C875</f>
        <v>77.23</v>
      </c>
      <c r="AI880" s="35">
        <f>Data!D875</f>
        <v>76.28</v>
      </c>
      <c r="AJ880" s="35">
        <f>Data!E875</f>
        <v>77.010000000000005</v>
      </c>
      <c r="AK880" s="35">
        <f>Data!F875</f>
        <v>1560856</v>
      </c>
      <c r="AL880" s="35">
        <f t="shared" si="129"/>
        <v>77.010000000000005</v>
      </c>
      <c r="AM880" s="35">
        <f t="shared" si="137"/>
        <v>-0.5323983898194995</v>
      </c>
      <c r="AN880" s="35">
        <f t="shared" si="136"/>
        <v>-46.996583925743316</v>
      </c>
      <c r="AO880" s="35" t="str">
        <f t="shared" si="130"/>
        <v>FITS BITCH</v>
      </c>
      <c r="AP880" s="35" t="str">
        <f t="shared" si="131"/>
        <v>no</v>
      </c>
      <c r="AQ880" s="35" t="str">
        <f t="shared" si="131"/>
        <v>FITS BITCH</v>
      </c>
      <c r="AR880" s="35" t="str">
        <f t="shared" si="132"/>
        <v>FITS BITCH</v>
      </c>
      <c r="AS880" s="35" t="str">
        <f t="shared" si="133"/>
        <v>FITS BITCH</v>
      </c>
      <c r="AT880" s="20" t="str">
        <f t="shared" si="134"/>
        <v/>
      </c>
      <c r="AU880" s="20" t="str">
        <f t="shared" si="135"/>
        <v>BEARISH</v>
      </c>
      <c r="AV880" s="20"/>
      <c r="AW880" s="20"/>
      <c r="AX880" s="20"/>
    </row>
    <row r="881" spans="31:50">
      <c r="AE881" s="26">
        <f>Data!A876</f>
        <v>41694</v>
      </c>
      <c r="AF881" s="35">
        <f>Data!B876</f>
        <v>76.31</v>
      </c>
      <c r="AG881" s="35">
        <f>Data!F876</f>
        <v>1727192</v>
      </c>
      <c r="AH881" s="35">
        <f>Data!C876</f>
        <v>77.48</v>
      </c>
      <c r="AI881" s="35">
        <f>Data!D876</f>
        <v>76.2</v>
      </c>
      <c r="AJ881" s="35">
        <f>Data!E876</f>
        <v>76.8</v>
      </c>
      <c r="AK881" s="35">
        <f>Data!F876</f>
        <v>1727192</v>
      </c>
      <c r="AL881" s="35">
        <f t="shared" si="129"/>
        <v>76.8</v>
      </c>
      <c r="AM881" s="35">
        <f t="shared" si="137"/>
        <v>-0.27343750000001038</v>
      </c>
      <c r="AN881" s="35">
        <f t="shared" si="136"/>
        <v>9.6304290432100181</v>
      </c>
      <c r="AO881" s="35" t="str">
        <f t="shared" si="130"/>
        <v>no</v>
      </c>
      <c r="AP881" s="35" t="str">
        <f t="shared" si="131"/>
        <v>FITS BITCH</v>
      </c>
      <c r="AQ881" s="35" t="str">
        <f t="shared" si="131"/>
        <v>FITS BITCH</v>
      </c>
      <c r="AR881" s="35" t="str">
        <f t="shared" si="132"/>
        <v>FITS BITCH</v>
      </c>
      <c r="AS881" s="35" t="str">
        <f t="shared" si="133"/>
        <v>FITS BITCH</v>
      </c>
      <c r="AT881" s="20" t="str">
        <f t="shared" si="134"/>
        <v/>
      </c>
      <c r="AU881" s="20" t="str">
        <f t="shared" si="135"/>
        <v/>
      </c>
      <c r="AV881" s="20"/>
      <c r="AW881" s="20"/>
      <c r="AX881" s="20"/>
    </row>
    <row r="882" spans="31:50">
      <c r="AE882" s="26">
        <f>Data!A877</f>
        <v>41691</v>
      </c>
      <c r="AF882" s="35">
        <f>Data!B877</f>
        <v>76.78</v>
      </c>
      <c r="AG882" s="35">
        <f>Data!F877</f>
        <v>1955623</v>
      </c>
      <c r="AH882" s="35">
        <f>Data!C877</f>
        <v>76.989999999999995</v>
      </c>
      <c r="AI882" s="35">
        <f>Data!D877</f>
        <v>76.12</v>
      </c>
      <c r="AJ882" s="35">
        <f>Data!E877</f>
        <v>76.2</v>
      </c>
      <c r="AK882" s="35">
        <f>Data!F877</f>
        <v>1955623</v>
      </c>
      <c r="AL882" s="35">
        <f t="shared" si="129"/>
        <v>76.2</v>
      </c>
      <c r="AM882" s="35">
        <f t="shared" si="137"/>
        <v>-0.7874015748031421</v>
      </c>
      <c r="AN882" s="35">
        <f t="shared" si="136"/>
        <v>11.68072782944361</v>
      </c>
      <c r="AO882" s="35" t="str">
        <f t="shared" si="130"/>
        <v>no</v>
      </c>
      <c r="AP882" s="35" t="str">
        <f t="shared" si="131"/>
        <v>FITS BITCH</v>
      </c>
      <c r="AQ882" s="35" t="str">
        <f t="shared" si="131"/>
        <v>FITS BITCH</v>
      </c>
      <c r="AR882" s="35" t="str">
        <f t="shared" si="132"/>
        <v>FITS BITCH</v>
      </c>
      <c r="AS882" s="35" t="str">
        <f t="shared" si="133"/>
        <v>no</v>
      </c>
      <c r="AT882" s="20" t="str">
        <f t="shared" si="134"/>
        <v/>
      </c>
      <c r="AU882" s="20" t="str">
        <f t="shared" si="135"/>
        <v/>
      </c>
      <c r="AV882" s="20"/>
      <c r="AW882" s="20"/>
      <c r="AX882" s="20"/>
    </row>
    <row r="883" spans="31:50">
      <c r="AE883" s="26">
        <f>Data!A878</f>
        <v>41690</v>
      </c>
      <c r="AF883" s="35">
        <f>Data!B878</f>
        <v>76.239999999999995</v>
      </c>
      <c r="AG883" s="35">
        <f>Data!F878</f>
        <v>1245236</v>
      </c>
      <c r="AH883" s="35">
        <f>Data!C878</f>
        <v>76.89</v>
      </c>
      <c r="AI883" s="35">
        <f>Data!D878</f>
        <v>75.86</v>
      </c>
      <c r="AJ883" s="35">
        <f>Data!E878</f>
        <v>76.510000000000005</v>
      </c>
      <c r="AK883" s="35">
        <f>Data!F878</f>
        <v>1245236</v>
      </c>
      <c r="AL883" s="35">
        <f t="shared" si="129"/>
        <v>76.510000000000005</v>
      </c>
      <c r="AM883" s="35">
        <f t="shared" si="137"/>
        <v>0.40517579401385734</v>
      </c>
      <c r="AN883" s="35">
        <f t="shared" si="136"/>
        <v>-57.048382796514076</v>
      </c>
      <c r="AO883" s="35" t="str">
        <f t="shared" si="130"/>
        <v>FITS BITCH</v>
      </c>
      <c r="AP883" s="35" t="str">
        <f t="shared" si="131"/>
        <v>no</v>
      </c>
      <c r="AQ883" s="35" t="str">
        <f t="shared" si="131"/>
        <v>no</v>
      </c>
      <c r="AR883" s="35" t="str">
        <f t="shared" si="132"/>
        <v>FITS BITCH</v>
      </c>
      <c r="AS883" s="35" t="str">
        <f t="shared" si="133"/>
        <v>FITS BITCH</v>
      </c>
      <c r="AT883" s="20" t="str">
        <f t="shared" si="134"/>
        <v/>
      </c>
      <c r="AU883" s="20" t="str">
        <f t="shared" si="135"/>
        <v/>
      </c>
      <c r="AV883" s="20"/>
      <c r="AW883" s="20"/>
      <c r="AX883" s="20"/>
    </row>
    <row r="884" spans="31:50">
      <c r="AE884" s="26">
        <f>Data!A879</f>
        <v>41689</v>
      </c>
      <c r="AF884" s="35">
        <f>Data!B879</f>
        <v>76.040000000000006</v>
      </c>
      <c r="AG884" s="35">
        <f>Data!F879</f>
        <v>1605411</v>
      </c>
      <c r="AH884" s="35">
        <f>Data!C879</f>
        <v>76.959999999999994</v>
      </c>
      <c r="AI884" s="35">
        <f>Data!D879</f>
        <v>75.91</v>
      </c>
      <c r="AJ884" s="35">
        <f>Data!E879</f>
        <v>76.150000000000006</v>
      </c>
      <c r="AK884" s="35">
        <f>Data!F879</f>
        <v>1605411</v>
      </c>
      <c r="AL884" s="35">
        <f t="shared" si="129"/>
        <v>76.150000000000006</v>
      </c>
      <c r="AM884" s="35">
        <f t="shared" si="137"/>
        <v>-0.47275114904793092</v>
      </c>
      <c r="AN884" s="35">
        <f t="shared" si="136"/>
        <v>22.435064914841121</v>
      </c>
      <c r="AO884" s="35" t="str">
        <f t="shared" si="130"/>
        <v>no</v>
      </c>
      <c r="AP884" s="35" t="str">
        <f t="shared" si="131"/>
        <v>FITS BITCH</v>
      </c>
      <c r="AQ884" s="35" t="str">
        <f t="shared" si="131"/>
        <v>FITS BITCH</v>
      </c>
      <c r="AR884" s="35" t="str">
        <f t="shared" si="132"/>
        <v>FITS BITCH</v>
      </c>
      <c r="AS884" s="35" t="str">
        <f t="shared" si="133"/>
        <v>no</v>
      </c>
      <c r="AT884" s="20" t="str">
        <f t="shared" si="134"/>
        <v/>
      </c>
      <c r="AU884" s="20" t="str">
        <f t="shared" si="135"/>
        <v/>
      </c>
      <c r="AV884" s="20"/>
      <c r="AW884" s="20"/>
      <c r="AX884" s="20"/>
    </row>
    <row r="885" spans="31:50">
      <c r="AE885" s="26">
        <f>Data!A880</f>
        <v>41688</v>
      </c>
      <c r="AF885" s="35">
        <f>Data!B880</f>
        <v>76.45</v>
      </c>
      <c r="AG885" s="35">
        <f>Data!F880</f>
        <v>1792625</v>
      </c>
      <c r="AH885" s="35">
        <f>Data!C880</f>
        <v>76.569999999999993</v>
      </c>
      <c r="AI885" s="35">
        <f>Data!D880</f>
        <v>75.760000000000005</v>
      </c>
      <c r="AJ885" s="35">
        <f>Data!E880</f>
        <v>76.489999999999995</v>
      </c>
      <c r="AK885" s="35">
        <f>Data!F880</f>
        <v>1792625</v>
      </c>
      <c r="AL885" s="35">
        <f t="shared" si="129"/>
        <v>76.489999999999995</v>
      </c>
      <c r="AM885" s="35">
        <f t="shared" si="137"/>
        <v>0.4445025493528425</v>
      </c>
      <c r="AN885" s="35">
        <f t="shared" si="136"/>
        <v>10.443567394184505</v>
      </c>
      <c r="AO885" s="35" t="str">
        <f t="shared" si="130"/>
        <v>no</v>
      </c>
      <c r="AP885" s="35" t="str">
        <f t="shared" si="131"/>
        <v>FITS BITCH</v>
      </c>
      <c r="AQ885" s="35" t="str">
        <f t="shared" si="131"/>
        <v>FITS BITCH</v>
      </c>
      <c r="AR885" s="35" t="b">
        <f t="shared" si="132"/>
        <v>0</v>
      </c>
      <c r="AS885" s="35" t="str">
        <f t="shared" si="133"/>
        <v>FITS BITCH</v>
      </c>
      <c r="AT885" s="20" t="str">
        <f t="shared" si="134"/>
        <v/>
      </c>
      <c r="AU885" s="20" t="str">
        <f t="shared" si="135"/>
        <v/>
      </c>
      <c r="AV885" s="20"/>
      <c r="AW885" s="20"/>
      <c r="AX885" s="20"/>
    </row>
    <row r="886" spans="31:50">
      <c r="AE886" s="26">
        <f>Data!A881</f>
        <v>41684</v>
      </c>
      <c r="AF886" s="35">
        <f>Data!B881</f>
        <v>75.75</v>
      </c>
      <c r="AG886" s="35">
        <f>Data!F881</f>
        <v>1710591</v>
      </c>
      <c r="AH886" s="35">
        <f>Data!C881</f>
        <v>76.489999999999995</v>
      </c>
      <c r="AI886" s="35">
        <f>Data!D881</f>
        <v>75.3</v>
      </c>
      <c r="AJ886" s="35">
        <f>Data!E881</f>
        <v>76.27</v>
      </c>
      <c r="AK886" s="35">
        <f>Data!F881</f>
        <v>1710591</v>
      </c>
      <c r="AL886" s="35">
        <f t="shared" si="129"/>
        <v>76.27</v>
      </c>
      <c r="AM886" s="35">
        <f t="shared" si="137"/>
        <v>-0.28844893142782074</v>
      </c>
      <c r="AN886" s="35">
        <f t="shared" si="136"/>
        <v>-4.7956524967102006</v>
      </c>
      <c r="AO886" s="35" t="str">
        <f t="shared" si="130"/>
        <v>no</v>
      </c>
      <c r="AP886" s="35" t="str">
        <f t="shared" si="131"/>
        <v>FITS BITCH</v>
      </c>
      <c r="AQ886" s="35" t="str">
        <f t="shared" si="131"/>
        <v>FITS BITCH</v>
      </c>
      <c r="AR886" s="35" t="str">
        <f t="shared" si="132"/>
        <v>FITS BITCH</v>
      </c>
      <c r="AS886" s="35" t="str">
        <f t="shared" si="133"/>
        <v>FITS BITCH</v>
      </c>
      <c r="AT886" s="20" t="str">
        <f t="shared" si="134"/>
        <v/>
      </c>
      <c r="AU886" s="20" t="str">
        <f t="shared" si="135"/>
        <v/>
      </c>
      <c r="AV886" s="20"/>
      <c r="AW886" s="20"/>
      <c r="AX886" s="20"/>
    </row>
    <row r="887" spans="31:50">
      <c r="AE887" s="26">
        <f>Data!A882</f>
        <v>41683</v>
      </c>
      <c r="AF887" s="35">
        <f>Data!B882</f>
        <v>75.25</v>
      </c>
      <c r="AG887" s="35">
        <f>Data!F882</f>
        <v>2027465</v>
      </c>
      <c r="AH887" s="35">
        <f>Data!C882</f>
        <v>76.28</v>
      </c>
      <c r="AI887" s="35">
        <f>Data!D882</f>
        <v>75.2</v>
      </c>
      <c r="AJ887" s="35">
        <f>Data!E882</f>
        <v>76.209999999999994</v>
      </c>
      <c r="AK887" s="35">
        <f>Data!F882</f>
        <v>2027465</v>
      </c>
      <c r="AL887" s="35">
        <f t="shared" si="129"/>
        <v>76.209999999999994</v>
      </c>
      <c r="AM887" s="35">
        <f t="shared" si="137"/>
        <v>-7.8729825482223181E-2</v>
      </c>
      <c r="AN887" s="35">
        <f t="shared" si="136"/>
        <v>15.629073744799541</v>
      </c>
      <c r="AO887" s="35" t="str">
        <f t="shared" si="130"/>
        <v>no</v>
      </c>
      <c r="AP887" s="35" t="str">
        <f t="shared" si="131"/>
        <v>FITS BITCH</v>
      </c>
      <c r="AQ887" s="35" t="str">
        <f t="shared" si="131"/>
        <v>FITS BITCH</v>
      </c>
      <c r="AR887" s="35" t="str">
        <f t="shared" si="132"/>
        <v>no</v>
      </c>
      <c r="AS887" s="35" t="str">
        <f t="shared" si="133"/>
        <v>FITS BITCH</v>
      </c>
      <c r="AT887" s="20" t="str">
        <f t="shared" si="134"/>
        <v/>
      </c>
      <c r="AU887" s="20" t="str">
        <f t="shared" si="135"/>
        <v/>
      </c>
      <c r="AV887" s="20"/>
      <c r="AW887" s="20"/>
      <c r="AX887" s="20"/>
    </row>
    <row r="888" spans="31:50">
      <c r="AE888" s="26">
        <f>Data!A883</f>
        <v>41682</v>
      </c>
      <c r="AF888" s="35">
        <f>Data!B883</f>
        <v>75.569999999999993</v>
      </c>
      <c r="AG888" s="35">
        <f>Data!F883</f>
        <v>4027640</v>
      </c>
      <c r="AH888" s="35">
        <f>Data!C883</f>
        <v>75.900000000000006</v>
      </c>
      <c r="AI888" s="35">
        <f>Data!D883</f>
        <v>74.8</v>
      </c>
      <c r="AJ888" s="35">
        <f>Data!E883</f>
        <v>75.58</v>
      </c>
      <c r="AK888" s="35">
        <f>Data!F883</f>
        <v>4027640</v>
      </c>
      <c r="AL888" s="35">
        <f t="shared" si="129"/>
        <v>75.58</v>
      </c>
      <c r="AM888" s="35">
        <f t="shared" si="137"/>
        <v>-0.83355385022492123</v>
      </c>
      <c r="AN888" s="35">
        <f t="shared" si="136"/>
        <v>49.661215997457568</v>
      </c>
      <c r="AO888" s="35" t="str">
        <f t="shared" si="130"/>
        <v>no</v>
      </c>
      <c r="AP888" s="35" t="str">
        <f t="shared" si="131"/>
        <v>FITS BITCH</v>
      </c>
      <c r="AQ888" s="35" t="str">
        <f t="shared" si="131"/>
        <v>FITS BITCH</v>
      </c>
      <c r="AR888" s="35" t="str">
        <f t="shared" si="132"/>
        <v>no</v>
      </c>
      <c r="AS888" s="35" t="str">
        <f t="shared" si="133"/>
        <v>FITS BITCH</v>
      </c>
      <c r="AT888" s="20" t="str">
        <f t="shared" si="134"/>
        <v/>
      </c>
      <c r="AU888" s="20" t="str">
        <f t="shared" si="135"/>
        <v/>
      </c>
      <c r="AV888" s="20"/>
      <c r="AW888" s="20"/>
      <c r="AX888" s="20"/>
    </row>
    <row r="889" spans="31:50">
      <c r="AE889" s="26">
        <f>Data!A884</f>
        <v>41681</v>
      </c>
      <c r="AF889" s="35">
        <f>Data!B884</f>
        <v>74.12</v>
      </c>
      <c r="AG889" s="35">
        <f>Data!F884</f>
        <v>2522108</v>
      </c>
      <c r="AH889" s="35">
        <f>Data!C884</f>
        <v>74.900000000000006</v>
      </c>
      <c r="AI889" s="35">
        <f>Data!D884</f>
        <v>74.010000000000005</v>
      </c>
      <c r="AJ889" s="35">
        <f>Data!E884</f>
        <v>74.66</v>
      </c>
      <c r="AK889" s="35">
        <f>Data!F884</f>
        <v>2522108</v>
      </c>
      <c r="AL889" s="35">
        <f t="shared" si="129"/>
        <v>74.66</v>
      </c>
      <c r="AM889" s="35">
        <f t="shared" si="137"/>
        <v>-1.2322528797214061</v>
      </c>
      <c r="AN889" s="35">
        <f t="shared" si="136"/>
        <v>-59.693399331035778</v>
      </c>
      <c r="AO889" s="35" t="str">
        <f t="shared" si="130"/>
        <v>FITS BITCH</v>
      </c>
      <c r="AP889" s="35" t="str">
        <f t="shared" si="131"/>
        <v>no</v>
      </c>
      <c r="AQ889" s="35" t="str">
        <f t="shared" si="131"/>
        <v>FITS BITCH</v>
      </c>
      <c r="AR889" s="35" t="str">
        <f t="shared" si="132"/>
        <v>FITS BITCH</v>
      </c>
      <c r="AS889" s="35" t="str">
        <f t="shared" si="133"/>
        <v>FITS BITCH</v>
      </c>
      <c r="AT889" s="20" t="str">
        <f t="shared" si="134"/>
        <v/>
      </c>
      <c r="AU889" s="20" t="str">
        <f t="shared" si="135"/>
        <v>BEARISH</v>
      </c>
      <c r="AV889" s="20"/>
      <c r="AW889" s="20"/>
      <c r="AX889" s="20"/>
    </row>
    <row r="890" spans="31:50">
      <c r="AE890" s="26">
        <f>Data!A885</f>
        <v>41680</v>
      </c>
      <c r="AF890" s="35">
        <f>Data!B885</f>
        <v>75.48</v>
      </c>
      <c r="AG890" s="35">
        <f>Data!F885</f>
        <v>2007864</v>
      </c>
      <c r="AH890" s="35">
        <f>Data!C885</f>
        <v>75.61</v>
      </c>
      <c r="AI890" s="35">
        <f>Data!D885</f>
        <v>73.83</v>
      </c>
      <c r="AJ890" s="35">
        <f>Data!E885</f>
        <v>74.45</v>
      </c>
      <c r="AK890" s="35">
        <f>Data!F885</f>
        <v>2007864</v>
      </c>
      <c r="AL890" s="35">
        <f t="shared" si="129"/>
        <v>74.45</v>
      </c>
      <c r="AM890" s="35">
        <f t="shared" si="137"/>
        <v>-0.28206850235056247</v>
      </c>
      <c r="AN890" s="35">
        <f t="shared" si="136"/>
        <v>-25.611495599303542</v>
      </c>
      <c r="AO890" s="35" t="str">
        <f t="shared" si="130"/>
        <v>FITS BITCH</v>
      </c>
      <c r="AP890" s="35" t="str">
        <f t="shared" si="131"/>
        <v>FITS BITCH</v>
      </c>
      <c r="AQ890" s="35" t="str">
        <f t="shared" si="131"/>
        <v>no</v>
      </c>
      <c r="AR890" s="35" t="str">
        <f t="shared" si="132"/>
        <v>FITS BITCH</v>
      </c>
      <c r="AS890" s="35" t="str">
        <f t="shared" si="133"/>
        <v>no</v>
      </c>
      <c r="AT890" s="20" t="str">
        <f t="shared" si="134"/>
        <v>BULLISH</v>
      </c>
      <c r="AU890" s="20" t="str">
        <f t="shared" si="135"/>
        <v/>
      </c>
      <c r="AV890" s="20"/>
      <c r="AW890" s="20"/>
      <c r="AX890" s="20"/>
    </row>
    <row r="891" spans="31:50">
      <c r="AE891" s="26">
        <f>Data!A886</f>
        <v>41677</v>
      </c>
      <c r="AF891" s="35">
        <f>Data!B886</f>
        <v>74.400000000000006</v>
      </c>
      <c r="AG891" s="35">
        <f>Data!F886</f>
        <v>1696106</v>
      </c>
      <c r="AH891" s="35">
        <f>Data!C886</f>
        <v>74.959999999999994</v>
      </c>
      <c r="AI891" s="35">
        <f>Data!D886</f>
        <v>73.95</v>
      </c>
      <c r="AJ891" s="35">
        <f>Data!E886</f>
        <v>74.89</v>
      </c>
      <c r="AK891" s="35">
        <f>Data!F886</f>
        <v>1696106</v>
      </c>
      <c r="AL891" s="35">
        <f t="shared" si="129"/>
        <v>74.89</v>
      </c>
      <c r="AM891" s="35">
        <f t="shared" si="137"/>
        <v>0.5875283749499236</v>
      </c>
      <c r="AN891" s="35">
        <f t="shared" si="136"/>
        <v>-18.380808746623149</v>
      </c>
      <c r="AO891" s="35" t="str">
        <f t="shared" si="130"/>
        <v>FITS BITCH</v>
      </c>
      <c r="AP891" s="35" t="str">
        <f t="shared" si="131"/>
        <v>FITS BITCH</v>
      </c>
      <c r="AQ891" s="35" t="str">
        <f t="shared" si="131"/>
        <v>FITS BITCH</v>
      </c>
      <c r="AR891" s="35" t="str">
        <f t="shared" si="132"/>
        <v>no</v>
      </c>
      <c r="AS891" s="35" t="str">
        <f t="shared" si="133"/>
        <v>FITS BITCH</v>
      </c>
      <c r="AT891" s="20" t="str">
        <f t="shared" si="134"/>
        <v/>
      </c>
      <c r="AU891" s="20" t="str">
        <f t="shared" si="135"/>
        <v>BEARISH</v>
      </c>
      <c r="AV891" s="20"/>
      <c r="AW891" s="20"/>
      <c r="AX891" s="20"/>
    </row>
    <row r="892" spans="31:50">
      <c r="AE892" s="26">
        <f>Data!A887</f>
        <v>41676</v>
      </c>
      <c r="AF892" s="35">
        <f>Data!B887</f>
        <v>73.45</v>
      </c>
      <c r="AG892" s="35">
        <f>Data!F887</f>
        <v>2357363</v>
      </c>
      <c r="AH892" s="35">
        <f>Data!C887</f>
        <v>74.34</v>
      </c>
      <c r="AI892" s="35">
        <f>Data!D887</f>
        <v>73.099999999999994</v>
      </c>
      <c r="AJ892" s="35">
        <f>Data!E887</f>
        <v>74.2</v>
      </c>
      <c r="AK892" s="35">
        <f>Data!F887</f>
        <v>2357363</v>
      </c>
      <c r="AL892" s="35">
        <f t="shared" si="129"/>
        <v>74.2</v>
      </c>
      <c r="AM892" s="35">
        <f t="shared" si="137"/>
        <v>-0.92991913746630417</v>
      </c>
      <c r="AN892" s="35">
        <f t="shared" si="136"/>
        <v>28.05070750665044</v>
      </c>
      <c r="AO892" s="35" t="str">
        <f t="shared" si="130"/>
        <v>no</v>
      </c>
      <c r="AP892" s="35" t="str">
        <f t="shared" si="131"/>
        <v>no</v>
      </c>
      <c r="AQ892" s="35" t="str">
        <f t="shared" si="131"/>
        <v>FITS BITCH</v>
      </c>
      <c r="AR892" s="35" t="str">
        <f t="shared" si="132"/>
        <v>FITS BITCH</v>
      </c>
      <c r="AS892" s="35" t="str">
        <f t="shared" si="133"/>
        <v>FITS BITCH</v>
      </c>
      <c r="AT892" s="20" t="str">
        <f t="shared" si="134"/>
        <v/>
      </c>
      <c r="AU892" s="20" t="str">
        <f t="shared" si="135"/>
        <v/>
      </c>
      <c r="AV892" s="20"/>
      <c r="AW892" s="20"/>
      <c r="AX892" s="20"/>
    </row>
    <row r="893" spans="31:50">
      <c r="AE893" s="26">
        <f>Data!A888</f>
        <v>41675</v>
      </c>
      <c r="AF893" s="35">
        <f>Data!B888</f>
        <v>76.319999999999993</v>
      </c>
      <c r="AG893" s="35">
        <f>Data!F888</f>
        <v>2865055</v>
      </c>
      <c r="AH893" s="35">
        <f>Data!C888</f>
        <v>76.319999999999993</v>
      </c>
      <c r="AI893" s="35">
        <f>Data!D888</f>
        <v>72.69</v>
      </c>
      <c r="AJ893" s="35">
        <f>Data!E888</f>
        <v>73.53</v>
      </c>
      <c r="AK893" s="35">
        <f>Data!F888</f>
        <v>2865055</v>
      </c>
      <c r="AL893" s="35">
        <f t="shared" si="129"/>
        <v>73.53</v>
      </c>
      <c r="AM893" s="35">
        <f t="shared" si="137"/>
        <v>-0.91119271045831862</v>
      </c>
      <c r="AN893" s="35">
        <f t="shared" si="136"/>
        <v>17.720148478825017</v>
      </c>
      <c r="AO893" s="35" t="str">
        <f t="shared" si="130"/>
        <v>no</v>
      </c>
      <c r="AP893" s="35" t="str">
        <f t="shared" si="131"/>
        <v>no</v>
      </c>
      <c r="AQ893" s="35" t="str">
        <f t="shared" si="131"/>
        <v>FITS BITCH</v>
      </c>
      <c r="AR893" s="35" t="str">
        <f t="shared" si="132"/>
        <v>FITS BITCH</v>
      </c>
      <c r="AS893" s="35" t="str">
        <f t="shared" si="133"/>
        <v>no</v>
      </c>
      <c r="AT893" s="20" t="str">
        <f t="shared" si="134"/>
        <v/>
      </c>
      <c r="AU893" s="20" t="str">
        <f t="shared" si="135"/>
        <v/>
      </c>
      <c r="AV893" s="20"/>
      <c r="AW893" s="20"/>
      <c r="AX893" s="20"/>
    </row>
    <row r="894" spans="31:50">
      <c r="AE894" s="26">
        <f>Data!A889</f>
        <v>41674</v>
      </c>
      <c r="AF894" s="35">
        <f>Data!B889</f>
        <v>77.92</v>
      </c>
      <c r="AG894" s="35">
        <f>Data!F889</f>
        <v>3906522</v>
      </c>
      <c r="AH894" s="35">
        <f>Data!C889</f>
        <v>77.92</v>
      </c>
      <c r="AI894" s="35">
        <f>Data!D889</f>
        <v>71.91</v>
      </c>
      <c r="AJ894" s="35">
        <f>Data!E889</f>
        <v>74.95</v>
      </c>
      <c r="AK894" s="35">
        <f>Data!F889</f>
        <v>3906522</v>
      </c>
      <c r="AL894" s="35">
        <f t="shared" si="129"/>
        <v>74.95</v>
      </c>
      <c r="AM894" s="35">
        <f t="shared" si="137"/>
        <v>1.8945963975984013</v>
      </c>
      <c r="AN894" s="35">
        <f t="shared" si="136"/>
        <v>26.659698831850942</v>
      </c>
      <c r="AO894" s="35" t="str">
        <f t="shared" si="130"/>
        <v>no</v>
      </c>
      <c r="AP894" s="35" t="str">
        <f t="shared" si="131"/>
        <v>FITS BITCH</v>
      </c>
      <c r="AQ894" s="35" t="str">
        <f t="shared" si="131"/>
        <v>no</v>
      </c>
      <c r="AR894" s="35" t="str">
        <f t="shared" si="132"/>
        <v>FITS BITCH</v>
      </c>
      <c r="AS894" s="35" t="str">
        <f t="shared" si="133"/>
        <v>FITS BITCH</v>
      </c>
      <c r="AT894" s="20" t="str">
        <f t="shared" si="134"/>
        <v/>
      </c>
      <c r="AU894" s="20" t="str">
        <f t="shared" si="135"/>
        <v/>
      </c>
      <c r="AV894" s="20"/>
      <c r="AW894" s="20"/>
      <c r="AX894" s="20"/>
    </row>
    <row r="895" spans="31:50">
      <c r="AE895" s="26">
        <f>Data!A890</f>
        <v>41673</v>
      </c>
      <c r="AF895" s="35">
        <f>Data!B890</f>
        <v>76.61</v>
      </c>
      <c r="AG895" s="35">
        <f>Data!F890</f>
        <v>3181252</v>
      </c>
      <c r="AH895" s="35">
        <f>Data!C890</f>
        <v>76.78</v>
      </c>
      <c r="AI895" s="35">
        <f>Data!D890</f>
        <v>73.790000000000006</v>
      </c>
      <c r="AJ895" s="35">
        <f>Data!E890</f>
        <v>74.08</v>
      </c>
      <c r="AK895" s="35">
        <f>Data!F890</f>
        <v>3181252</v>
      </c>
      <c r="AL895" s="35">
        <f t="shared" si="129"/>
        <v>74.08</v>
      </c>
      <c r="AM895" s="35">
        <f t="shared" si="137"/>
        <v>-1.174406047516205</v>
      </c>
      <c r="AN895" s="35">
        <f t="shared" si="136"/>
        <v>-22.798256786950546</v>
      </c>
      <c r="AO895" s="35" t="str">
        <f t="shared" si="130"/>
        <v>FITS BITCH</v>
      </c>
      <c r="AP895" s="35" t="str">
        <f t="shared" si="131"/>
        <v>no</v>
      </c>
      <c r="AQ895" s="35" t="str">
        <f t="shared" si="131"/>
        <v>no</v>
      </c>
      <c r="AR895" s="35" t="str">
        <f t="shared" si="132"/>
        <v>FITS BITCH</v>
      </c>
      <c r="AS895" s="35" t="str">
        <f t="shared" si="133"/>
        <v>no</v>
      </c>
      <c r="AT895" s="20" t="str">
        <f t="shared" si="134"/>
        <v/>
      </c>
      <c r="AU895" s="20" t="str">
        <f t="shared" si="135"/>
        <v/>
      </c>
      <c r="AV895" s="20"/>
      <c r="AW895" s="20"/>
      <c r="AX895" s="20"/>
    </row>
    <row r="896" spans="31:50">
      <c r="AE896" s="26">
        <f>Data!A891</f>
        <v>41670</v>
      </c>
      <c r="AF896" s="35">
        <f>Data!B891</f>
        <v>76</v>
      </c>
      <c r="AG896" s="35">
        <f>Data!F891</f>
        <v>1861612</v>
      </c>
      <c r="AH896" s="35">
        <f>Data!C891</f>
        <v>77.14</v>
      </c>
      <c r="AI896" s="35">
        <f>Data!D891</f>
        <v>75.94</v>
      </c>
      <c r="AJ896" s="35">
        <f>Data!E891</f>
        <v>76.599999999999994</v>
      </c>
      <c r="AK896" s="35">
        <f>Data!F891</f>
        <v>1861612</v>
      </c>
      <c r="AL896" s="35">
        <f t="shared" si="129"/>
        <v>76.599999999999994</v>
      </c>
      <c r="AM896" s="35">
        <f t="shared" si="137"/>
        <v>3.2898172323759747</v>
      </c>
      <c r="AN896" s="35">
        <f t="shared" si="136"/>
        <v>-70.886951738600729</v>
      </c>
      <c r="AO896" s="35" t="str">
        <f t="shared" si="130"/>
        <v>FITS BITCH</v>
      </c>
      <c r="AP896" s="35" t="str">
        <f t="shared" si="131"/>
        <v>no</v>
      </c>
      <c r="AQ896" s="35" t="str">
        <f t="shared" si="131"/>
        <v>no</v>
      </c>
      <c r="AR896" s="35" t="str">
        <f t="shared" si="132"/>
        <v>FITS BITCH</v>
      </c>
      <c r="AS896" s="35" t="str">
        <f t="shared" si="133"/>
        <v>no</v>
      </c>
      <c r="AT896" s="20" t="str">
        <f t="shared" si="134"/>
        <v/>
      </c>
      <c r="AU896" s="20" t="str">
        <f t="shared" si="135"/>
        <v/>
      </c>
      <c r="AV896" s="20"/>
      <c r="AW896" s="20"/>
      <c r="AX896" s="20"/>
    </row>
    <row r="897" spans="31:50">
      <c r="AE897" s="26">
        <f>Data!A892</f>
        <v>41669</v>
      </c>
      <c r="AF897" s="35">
        <f>Data!B892</f>
        <v>76.95</v>
      </c>
      <c r="AG897" s="35">
        <f>Data!F892</f>
        <v>1398235</v>
      </c>
      <c r="AH897" s="35">
        <f>Data!C892</f>
        <v>77.64</v>
      </c>
      <c r="AI897" s="35">
        <f>Data!D892</f>
        <v>76.349999999999994</v>
      </c>
      <c r="AJ897" s="35">
        <f>Data!E892</f>
        <v>77.3</v>
      </c>
      <c r="AK897" s="35">
        <f>Data!F892</f>
        <v>1398235</v>
      </c>
      <c r="AL897" s="35">
        <f t="shared" si="129"/>
        <v>77.3</v>
      </c>
      <c r="AM897" s="35">
        <f t="shared" si="137"/>
        <v>0.90556274256145264</v>
      </c>
      <c r="AN897" s="35">
        <f t="shared" si="136"/>
        <v>-33.140137387492089</v>
      </c>
      <c r="AO897" s="35" t="str">
        <f t="shared" si="130"/>
        <v>FITS BITCH</v>
      </c>
      <c r="AP897" s="35" t="str">
        <f t="shared" si="131"/>
        <v>FITS BITCH</v>
      </c>
      <c r="AQ897" s="35" t="str">
        <f t="shared" si="131"/>
        <v>FITS BITCH</v>
      </c>
      <c r="AR897" s="35" t="str">
        <f t="shared" si="132"/>
        <v>no</v>
      </c>
      <c r="AS897" s="35" t="str">
        <f t="shared" si="133"/>
        <v>FITS BITCH</v>
      </c>
      <c r="AT897" s="20" t="str">
        <f t="shared" si="134"/>
        <v/>
      </c>
      <c r="AU897" s="20" t="str">
        <f t="shared" si="135"/>
        <v>BEARISH</v>
      </c>
      <c r="AV897" s="20"/>
      <c r="AW897" s="20"/>
      <c r="AX897" s="20"/>
    </row>
    <row r="898" spans="31:50">
      <c r="AE898" s="26">
        <f>Data!A893</f>
        <v>41668</v>
      </c>
      <c r="AF898" s="35">
        <f>Data!B893</f>
        <v>76.44</v>
      </c>
      <c r="AG898" s="35">
        <f>Data!F893</f>
        <v>1638378</v>
      </c>
      <c r="AH898" s="35">
        <f>Data!C893</f>
        <v>77.239999999999995</v>
      </c>
      <c r="AI898" s="35">
        <f>Data!D893</f>
        <v>76.180000000000007</v>
      </c>
      <c r="AJ898" s="35">
        <f>Data!E893</f>
        <v>76.53</v>
      </c>
      <c r="AK898" s="35">
        <f>Data!F893</f>
        <v>1638378</v>
      </c>
      <c r="AL898" s="35">
        <f t="shared" si="129"/>
        <v>76.53</v>
      </c>
      <c r="AM898" s="35">
        <f t="shared" si="137"/>
        <v>-1.0061413824643879</v>
      </c>
      <c r="AN898" s="35">
        <f t="shared" si="136"/>
        <v>14.657362342511924</v>
      </c>
      <c r="AO898" s="35" t="str">
        <f t="shared" si="130"/>
        <v>no</v>
      </c>
      <c r="AP898" s="35" t="str">
        <f t="shared" si="131"/>
        <v>FITS BITCH</v>
      </c>
      <c r="AQ898" s="35" t="str">
        <f t="shared" si="131"/>
        <v>no</v>
      </c>
      <c r="AR898" s="35" t="str">
        <f t="shared" si="132"/>
        <v>FITS BITCH</v>
      </c>
      <c r="AS898" s="35" t="str">
        <f t="shared" si="133"/>
        <v>no</v>
      </c>
      <c r="AT898" s="20" t="str">
        <f t="shared" si="134"/>
        <v/>
      </c>
      <c r="AU898" s="20" t="str">
        <f t="shared" si="135"/>
        <v/>
      </c>
      <c r="AV898" s="20"/>
      <c r="AW898" s="20"/>
      <c r="AX898" s="20"/>
    </row>
    <row r="899" spans="31:50">
      <c r="AE899" s="26">
        <f>Data!A894</f>
        <v>41667</v>
      </c>
      <c r="AF899" s="35">
        <f>Data!B894</f>
        <v>76.38</v>
      </c>
      <c r="AG899" s="35">
        <f>Data!F894</f>
        <v>1559160</v>
      </c>
      <c r="AH899" s="35">
        <f>Data!C894</f>
        <v>77.2</v>
      </c>
      <c r="AI899" s="35">
        <f>Data!D894</f>
        <v>76.209999999999994</v>
      </c>
      <c r="AJ899" s="35">
        <f>Data!E894</f>
        <v>77.03</v>
      </c>
      <c r="AK899" s="35">
        <f>Data!F894</f>
        <v>1559160</v>
      </c>
      <c r="AL899" s="35">
        <f t="shared" si="129"/>
        <v>77.03</v>
      </c>
      <c r="AM899" s="35">
        <f t="shared" si="137"/>
        <v>0.64909775412177073</v>
      </c>
      <c r="AN899" s="35">
        <f t="shared" si="136"/>
        <v>-5.0808127453244056</v>
      </c>
      <c r="AO899" s="35" t="str">
        <f t="shared" si="130"/>
        <v>no</v>
      </c>
      <c r="AP899" s="35" t="str">
        <f t="shared" si="131"/>
        <v>no</v>
      </c>
      <c r="AQ899" s="35" t="str">
        <f t="shared" si="131"/>
        <v>no</v>
      </c>
      <c r="AR899" s="35" t="str">
        <f t="shared" si="132"/>
        <v>FITS BITCH</v>
      </c>
      <c r="AS899" s="35" t="str">
        <f t="shared" si="133"/>
        <v>FITS BITCH</v>
      </c>
      <c r="AT899" s="20" t="str">
        <f t="shared" si="134"/>
        <v/>
      </c>
      <c r="AU899" s="20" t="str">
        <f t="shared" si="135"/>
        <v/>
      </c>
      <c r="AV899" s="20"/>
      <c r="AW899" s="20"/>
      <c r="AX899" s="20"/>
    </row>
    <row r="900" spans="31:50">
      <c r="AE900" s="26">
        <f>Data!A895</f>
        <v>41666</v>
      </c>
      <c r="AF900" s="35">
        <f>Data!B895</f>
        <v>76.349999999999994</v>
      </c>
      <c r="AG900" s="35">
        <f>Data!F895</f>
        <v>1735114</v>
      </c>
      <c r="AH900" s="35">
        <f>Data!C895</f>
        <v>77.53</v>
      </c>
      <c r="AI900" s="35">
        <f>Data!D895</f>
        <v>76.349999999999994</v>
      </c>
      <c r="AJ900" s="35">
        <f>Data!E895</f>
        <v>76.5</v>
      </c>
      <c r="AK900" s="35">
        <f>Data!F895</f>
        <v>1735114</v>
      </c>
      <c r="AL900" s="35">
        <f t="shared" si="129"/>
        <v>76.5</v>
      </c>
      <c r="AM900" s="35">
        <f t="shared" si="137"/>
        <v>-0.69281045751634129</v>
      </c>
      <c r="AN900" s="35">
        <f t="shared" si="136"/>
        <v>10.140774611927517</v>
      </c>
      <c r="AO900" s="35" t="str">
        <f t="shared" si="130"/>
        <v>no</v>
      </c>
      <c r="AP900" s="35" t="str">
        <f t="shared" si="131"/>
        <v>no</v>
      </c>
      <c r="AQ900" s="35" t="str">
        <f t="shared" si="131"/>
        <v>no</v>
      </c>
      <c r="AR900" s="35" t="str">
        <f t="shared" si="132"/>
        <v>FITS BITCH</v>
      </c>
      <c r="AS900" s="35" t="str">
        <f t="shared" si="133"/>
        <v>no</v>
      </c>
      <c r="AT900" s="20" t="str">
        <f t="shared" si="134"/>
        <v/>
      </c>
      <c r="AU900" s="20" t="str">
        <f t="shared" si="135"/>
        <v/>
      </c>
      <c r="AV900" s="20"/>
      <c r="AW900" s="20"/>
      <c r="AX900" s="20"/>
    </row>
    <row r="901" spans="31:50">
      <c r="AE901" s="26">
        <f>Data!A896</f>
        <v>41663</v>
      </c>
      <c r="AF901" s="35">
        <f>Data!B896</f>
        <v>78.81</v>
      </c>
      <c r="AG901" s="35">
        <f>Data!F896</f>
        <v>2143043</v>
      </c>
      <c r="AH901" s="35">
        <f>Data!C896</f>
        <v>78.819999999999993</v>
      </c>
      <c r="AI901" s="35">
        <f>Data!D896</f>
        <v>76.959999999999994</v>
      </c>
      <c r="AJ901" s="35">
        <f>Data!E896</f>
        <v>76.97</v>
      </c>
      <c r="AK901" s="35">
        <f>Data!F896</f>
        <v>2143043</v>
      </c>
      <c r="AL901" s="35">
        <f t="shared" si="129"/>
        <v>76.97</v>
      </c>
      <c r="AM901" s="35">
        <f t="shared" si="137"/>
        <v>0.61062751721449771</v>
      </c>
      <c r="AN901" s="35">
        <f t="shared" si="136"/>
        <v>19.035035694570755</v>
      </c>
      <c r="AO901" s="35" t="str">
        <f t="shared" si="130"/>
        <v>no</v>
      </c>
      <c r="AP901" s="35" t="str">
        <f t="shared" si="131"/>
        <v>no</v>
      </c>
      <c r="AQ901" s="35" t="str">
        <f t="shared" si="131"/>
        <v>no</v>
      </c>
      <c r="AR901" s="35" t="str">
        <f t="shared" si="132"/>
        <v>FITS BITCH</v>
      </c>
      <c r="AS901" s="35" t="str">
        <f t="shared" si="133"/>
        <v>no</v>
      </c>
      <c r="AT901" s="20" t="str">
        <f t="shared" si="134"/>
        <v/>
      </c>
      <c r="AU901" s="20" t="str">
        <f t="shared" si="135"/>
        <v/>
      </c>
      <c r="AV901" s="20"/>
      <c r="AW901" s="20"/>
      <c r="AX901" s="20"/>
    </row>
    <row r="902" spans="31:50">
      <c r="AE902" s="26">
        <f>Data!A897</f>
        <v>41662</v>
      </c>
      <c r="AF902" s="35">
        <f>Data!B897</f>
        <v>81.93</v>
      </c>
      <c r="AG902" s="35">
        <f>Data!F897</f>
        <v>1433790</v>
      </c>
      <c r="AH902" s="35">
        <f>Data!C897</f>
        <v>82.5</v>
      </c>
      <c r="AI902" s="35">
        <f>Data!D897</f>
        <v>78.86</v>
      </c>
      <c r="AJ902" s="35">
        <f>Data!E897</f>
        <v>79.31</v>
      </c>
      <c r="AK902" s="35">
        <f>Data!F897</f>
        <v>1433790</v>
      </c>
      <c r="AL902" s="35">
        <f t="shared" ref="AL902:AL965" si="138">AJ902</f>
        <v>79.31</v>
      </c>
      <c r="AM902" s="35">
        <f t="shared" si="137"/>
        <v>2.9504476106417896</v>
      </c>
      <c r="AN902" s="35">
        <f t="shared" si="136"/>
        <v>-49.467007023343726</v>
      </c>
      <c r="AO902" s="35" t="str">
        <f t="shared" si="130"/>
        <v>FITS BITCH</v>
      </c>
      <c r="AP902" s="35" t="str">
        <f t="shared" si="131"/>
        <v>FITS BITCH</v>
      </c>
      <c r="AQ902" s="35" t="str">
        <f t="shared" si="131"/>
        <v>no</v>
      </c>
      <c r="AR902" s="35" t="str">
        <f t="shared" si="132"/>
        <v>FITS BITCH</v>
      </c>
      <c r="AS902" s="35" t="str">
        <f t="shared" si="133"/>
        <v>no</v>
      </c>
      <c r="AT902" s="20" t="str">
        <f t="shared" si="134"/>
        <v>BULLISH</v>
      </c>
      <c r="AU902" s="20" t="str">
        <f t="shared" si="135"/>
        <v/>
      </c>
      <c r="AV902" s="20"/>
      <c r="AW902" s="20"/>
      <c r="AX902" s="20"/>
    </row>
    <row r="903" spans="31:50">
      <c r="AE903" s="26">
        <f>Data!A898</f>
        <v>41661</v>
      </c>
      <c r="AF903" s="35">
        <f>Data!B898</f>
        <v>80.41</v>
      </c>
      <c r="AG903" s="35">
        <f>Data!F898</f>
        <v>1304400</v>
      </c>
      <c r="AH903" s="35">
        <f>Data!C898</f>
        <v>80.72</v>
      </c>
      <c r="AI903" s="35">
        <f>Data!D898</f>
        <v>80.040000000000006</v>
      </c>
      <c r="AJ903" s="35">
        <f>Data!E898</f>
        <v>80.38</v>
      </c>
      <c r="AK903" s="35">
        <f>Data!F898</f>
        <v>1304400</v>
      </c>
      <c r="AL903" s="35">
        <f t="shared" si="138"/>
        <v>80.38</v>
      </c>
      <c r="AM903" s="35">
        <f t="shared" si="137"/>
        <v>1.3311769096790163</v>
      </c>
      <c r="AN903" s="35">
        <f t="shared" si="136"/>
        <v>-9.9195032198712045</v>
      </c>
      <c r="AO903" s="35" t="str">
        <f t="shared" si="130"/>
        <v>FITS BITCH</v>
      </c>
      <c r="AP903" s="35" t="str">
        <f t="shared" si="131"/>
        <v>no</v>
      </c>
      <c r="AQ903" s="35" t="str">
        <f t="shared" si="131"/>
        <v>FITS BITCH</v>
      </c>
      <c r="AR903" s="35" t="str">
        <f t="shared" si="132"/>
        <v>FITS BITCH</v>
      </c>
      <c r="AS903" s="35" t="str">
        <f t="shared" si="133"/>
        <v>FITS BITCH</v>
      </c>
      <c r="AT903" s="20" t="str">
        <f t="shared" si="134"/>
        <v/>
      </c>
      <c r="AU903" s="20" t="str">
        <f t="shared" si="135"/>
        <v>BEARISH</v>
      </c>
      <c r="AV903" s="20"/>
      <c r="AW903" s="20"/>
      <c r="AX903" s="20"/>
    </row>
    <row r="904" spans="31:50">
      <c r="AE904" s="26">
        <f>Data!A899</f>
        <v>41660</v>
      </c>
      <c r="AF904" s="35">
        <f>Data!B899</f>
        <v>80.42</v>
      </c>
      <c r="AG904" s="35">
        <f>Data!F899</f>
        <v>1448118</v>
      </c>
      <c r="AH904" s="35">
        <f>Data!C899</f>
        <v>80.8</v>
      </c>
      <c r="AI904" s="35">
        <f>Data!D899</f>
        <v>79.81</v>
      </c>
      <c r="AJ904" s="35">
        <f>Data!E899</f>
        <v>80.319999999999993</v>
      </c>
      <c r="AK904" s="35">
        <f>Data!F899</f>
        <v>1448118</v>
      </c>
      <c r="AL904" s="35">
        <f t="shared" si="138"/>
        <v>80.319999999999993</v>
      </c>
      <c r="AM904" s="35">
        <f t="shared" si="137"/>
        <v>-7.470119521912634E-2</v>
      </c>
      <c r="AN904" s="35">
        <f t="shared" si="136"/>
        <v>9.9244674812411695</v>
      </c>
      <c r="AO904" s="35" t="str">
        <f t="shared" si="130"/>
        <v>no</v>
      </c>
      <c r="AP904" s="35" t="str">
        <f t="shared" si="131"/>
        <v>FITS BITCH</v>
      </c>
      <c r="AQ904" s="35" t="str">
        <f t="shared" si="131"/>
        <v>FITS BITCH</v>
      </c>
      <c r="AR904" s="35" t="str">
        <f t="shared" si="132"/>
        <v>FITS BITCH</v>
      </c>
      <c r="AS904" s="35" t="str">
        <f t="shared" si="133"/>
        <v>FITS BITCH</v>
      </c>
      <c r="AT904" s="20" t="str">
        <f t="shared" si="134"/>
        <v/>
      </c>
      <c r="AU904" s="20" t="str">
        <f t="shared" si="135"/>
        <v/>
      </c>
      <c r="AV904" s="20"/>
      <c r="AW904" s="20"/>
      <c r="AX904" s="20"/>
    </row>
    <row r="905" spans="31:50">
      <c r="AE905" s="26">
        <f>Data!A900</f>
        <v>41656</v>
      </c>
      <c r="AF905" s="35">
        <f>Data!B900</f>
        <v>79.52</v>
      </c>
      <c r="AG905" s="35">
        <f>Data!F900</f>
        <v>2741113</v>
      </c>
      <c r="AH905" s="35">
        <f>Data!C900</f>
        <v>80.34</v>
      </c>
      <c r="AI905" s="35">
        <f>Data!D900</f>
        <v>79.44</v>
      </c>
      <c r="AJ905" s="35">
        <f>Data!E900</f>
        <v>79.97</v>
      </c>
      <c r="AK905" s="35">
        <f>Data!F900</f>
        <v>2741113</v>
      </c>
      <c r="AL905" s="35">
        <f t="shared" si="138"/>
        <v>79.97</v>
      </c>
      <c r="AM905" s="35">
        <f t="shared" si="137"/>
        <v>-0.43766412404651034</v>
      </c>
      <c r="AN905" s="35">
        <f t="shared" si="136"/>
        <v>47.170437701765671</v>
      </c>
      <c r="AO905" s="35" t="str">
        <f t="shared" ref="AO905:AO968" si="139">IF(AN905&lt;-8,"FITS BITCH",IF(AN905&gt;-8,"no"))</f>
        <v>no</v>
      </c>
      <c r="AP905" s="35" t="str">
        <f t="shared" ref="AP905:AQ968" si="140">IF(AH906&lt;AH905,"FITS BITCH",IF(AH906&gt;AH905,"no"))</f>
        <v>FITS BITCH</v>
      </c>
      <c r="AQ905" s="35" t="str">
        <f t="shared" si="140"/>
        <v>no</v>
      </c>
      <c r="AR905" s="35" t="str">
        <f t="shared" ref="AR905:AR968" si="141">IF(AJ905&lt;AH906,"FITS BITCH",IF(AJ905&gt;AH906,"no"))</f>
        <v>FITS BITCH</v>
      </c>
      <c r="AS905" s="35" t="str">
        <f t="shared" ref="AS905:AS968" si="142">IF(AJ905&gt;AJ906,"FITS BITCH",IF(AJ905&lt;AJ906,"no"))</f>
        <v>FITS BITCH</v>
      </c>
      <c r="AT905" s="20" t="str">
        <f t="shared" ref="AT905:AT968" si="143">IF(AND($AO905="FITS BITCH",$AP905="FITS BITCH",$AR905="FITS BITCH"),"BULLISH","")</f>
        <v/>
      </c>
      <c r="AU905" s="20" t="str">
        <f t="shared" ref="AU905:AU968" si="144">IF(AND($AO905="FITS BITCH",$AQ905="FITS BITCH",$AS905="FITS BITCH"),"BEARISH","")</f>
        <v/>
      </c>
      <c r="AV905" s="20"/>
      <c r="AW905" s="20"/>
      <c r="AX905" s="20"/>
    </row>
    <row r="906" spans="31:50">
      <c r="AE906" s="26">
        <f>Data!A901</f>
        <v>41655</v>
      </c>
      <c r="AF906" s="35">
        <f>Data!B901</f>
        <v>80.040000000000006</v>
      </c>
      <c r="AG906" s="35">
        <f>Data!F901</f>
        <v>1050168</v>
      </c>
      <c r="AH906" s="35">
        <f>Data!C901</f>
        <v>80.260000000000005</v>
      </c>
      <c r="AI906" s="35">
        <f>Data!D901</f>
        <v>79.709999999999994</v>
      </c>
      <c r="AJ906" s="35">
        <f>Data!E901</f>
        <v>79.81</v>
      </c>
      <c r="AK906" s="35">
        <f>Data!F901</f>
        <v>1050168</v>
      </c>
      <c r="AL906" s="35">
        <f t="shared" si="138"/>
        <v>79.81</v>
      </c>
      <c r="AM906" s="35">
        <f t="shared" si="137"/>
        <v>-0.20047613081067106</v>
      </c>
      <c r="AN906" s="35">
        <f t="shared" ref="AN906:AN969" si="145">(AK906-AK905)/AK906*100</f>
        <v>-161.016618293454</v>
      </c>
      <c r="AO906" s="35" t="str">
        <f t="shared" si="139"/>
        <v>FITS BITCH</v>
      </c>
      <c r="AP906" s="35" t="str">
        <f t="shared" si="140"/>
        <v>no</v>
      </c>
      <c r="AQ906" s="35" t="b">
        <f t="shared" si="140"/>
        <v>0</v>
      </c>
      <c r="AR906" s="35" t="str">
        <f t="shared" si="141"/>
        <v>FITS BITCH</v>
      </c>
      <c r="AS906" s="35" t="str">
        <f t="shared" si="142"/>
        <v>no</v>
      </c>
      <c r="AT906" s="20" t="str">
        <f t="shared" si="143"/>
        <v/>
      </c>
      <c r="AU906" s="20" t="str">
        <f t="shared" si="144"/>
        <v/>
      </c>
      <c r="AV906" s="20"/>
      <c r="AW906" s="20"/>
      <c r="AX906" s="20"/>
    </row>
    <row r="907" spans="31:50">
      <c r="AE907" s="26">
        <f>Data!A902</f>
        <v>41654</v>
      </c>
      <c r="AF907" s="35">
        <f>Data!B902</f>
        <v>80</v>
      </c>
      <c r="AG907" s="35">
        <f>Data!F902</f>
        <v>2025134</v>
      </c>
      <c r="AH907" s="35">
        <f>Data!C902</f>
        <v>80.64</v>
      </c>
      <c r="AI907" s="35">
        <f>Data!D902</f>
        <v>79.709999999999994</v>
      </c>
      <c r="AJ907" s="35">
        <f>Data!E902</f>
        <v>80.09</v>
      </c>
      <c r="AK907" s="35">
        <f>Data!F902</f>
        <v>2025134</v>
      </c>
      <c r="AL907" s="35">
        <f t="shared" si="138"/>
        <v>80.09</v>
      </c>
      <c r="AM907" s="35">
        <f t="shared" si="137"/>
        <v>0.34960669247097159</v>
      </c>
      <c r="AN907" s="35">
        <f t="shared" si="145"/>
        <v>48.143283358039518</v>
      </c>
      <c r="AO907" s="35" t="str">
        <f t="shared" si="139"/>
        <v>no</v>
      </c>
      <c r="AP907" s="35" t="str">
        <f t="shared" si="140"/>
        <v>FITS BITCH</v>
      </c>
      <c r="AQ907" s="35" t="str">
        <f t="shared" si="140"/>
        <v>FITS BITCH</v>
      </c>
      <c r="AR907" s="35" t="str">
        <f t="shared" si="141"/>
        <v>no</v>
      </c>
      <c r="AS907" s="35" t="str">
        <f t="shared" si="142"/>
        <v>FITS BITCH</v>
      </c>
      <c r="AT907" s="20" t="str">
        <f t="shared" si="143"/>
        <v/>
      </c>
      <c r="AU907" s="20" t="str">
        <f t="shared" si="144"/>
        <v/>
      </c>
      <c r="AV907" s="20"/>
      <c r="AW907" s="20"/>
      <c r="AX907" s="20"/>
    </row>
    <row r="908" spans="31:50">
      <c r="AE908" s="26">
        <f>Data!A903</f>
        <v>41653</v>
      </c>
      <c r="AF908" s="35">
        <f>Data!B903</f>
        <v>79.31</v>
      </c>
      <c r="AG908" s="35">
        <f>Data!F903</f>
        <v>1607089</v>
      </c>
      <c r="AH908" s="35">
        <f>Data!C903</f>
        <v>80.03</v>
      </c>
      <c r="AI908" s="35">
        <f>Data!D903</f>
        <v>78.94</v>
      </c>
      <c r="AJ908" s="35">
        <f>Data!E903</f>
        <v>79.95</v>
      </c>
      <c r="AK908" s="35">
        <f>Data!F903</f>
        <v>1607089</v>
      </c>
      <c r="AL908" s="35">
        <f t="shared" si="138"/>
        <v>79.95</v>
      </c>
      <c r="AM908" s="35">
        <f t="shared" si="137"/>
        <v>-0.17510944340212706</v>
      </c>
      <c r="AN908" s="35">
        <f t="shared" si="145"/>
        <v>-26.012560598697398</v>
      </c>
      <c r="AO908" s="35" t="str">
        <f t="shared" si="139"/>
        <v>FITS BITCH</v>
      </c>
      <c r="AP908" s="35" t="str">
        <f t="shared" si="140"/>
        <v>no</v>
      </c>
      <c r="AQ908" s="35" t="str">
        <f t="shared" si="140"/>
        <v>FITS BITCH</v>
      </c>
      <c r="AR908" s="35" t="str">
        <f t="shared" si="141"/>
        <v>FITS BITCH</v>
      </c>
      <c r="AS908" s="35" t="str">
        <f t="shared" si="142"/>
        <v>FITS BITCH</v>
      </c>
      <c r="AT908" s="20" t="str">
        <f t="shared" si="143"/>
        <v/>
      </c>
      <c r="AU908" s="20" t="str">
        <f t="shared" si="144"/>
        <v>BEARISH</v>
      </c>
      <c r="AV908" s="20"/>
      <c r="AW908" s="20"/>
      <c r="AX908" s="20"/>
    </row>
    <row r="909" spans="31:50">
      <c r="AE909" s="26">
        <f>Data!A904</f>
        <v>41652</v>
      </c>
      <c r="AF909" s="35">
        <f>Data!B904</f>
        <v>80.28</v>
      </c>
      <c r="AG909" s="35">
        <f>Data!F904</f>
        <v>2087483</v>
      </c>
      <c r="AH909" s="35">
        <f>Data!C904</f>
        <v>80.33</v>
      </c>
      <c r="AI909" s="35">
        <f>Data!D904</f>
        <v>78.84</v>
      </c>
      <c r="AJ909" s="35">
        <f>Data!E904</f>
        <v>79.05</v>
      </c>
      <c r="AK909" s="35">
        <f>Data!F904</f>
        <v>2087483</v>
      </c>
      <c r="AL909" s="35">
        <f t="shared" si="138"/>
        <v>79.05</v>
      </c>
      <c r="AM909" s="35">
        <f t="shared" si="137"/>
        <v>-1.138519924098679</v>
      </c>
      <c r="AN909" s="35">
        <f t="shared" si="145"/>
        <v>23.013073639402094</v>
      </c>
      <c r="AO909" s="35" t="str">
        <f t="shared" si="139"/>
        <v>no</v>
      </c>
      <c r="AP909" s="35" t="str">
        <f t="shared" si="140"/>
        <v>no</v>
      </c>
      <c r="AQ909" s="35" t="str">
        <f t="shared" si="140"/>
        <v>no</v>
      </c>
      <c r="AR909" s="35" t="str">
        <f t="shared" si="141"/>
        <v>FITS BITCH</v>
      </c>
      <c r="AS909" s="35" t="str">
        <f t="shared" si="142"/>
        <v>no</v>
      </c>
      <c r="AT909" s="20" t="str">
        <f t="shared" si="143"/>
        <v/>
      </c>
      <c r="AU909" s="20" t="str">
        <f t="shared" si="144"/>
        <v/>
      </c>
      <c r="AV909" s="20"/>
      <c r="AW909" s="20"/>
      <c r="AX909" s="20"/>
    </row>
    <row r="910" spans="31:50">
      <c r="AE910" s="26">
        <f>Data!A905</f>
        <v>41649</v>
      </c>
      <c r="AF910" s="35">
        <f>Data!B905</f>
        <v>81.06</v>
      </c>
      <c r="AG910" s="35">
        <f>Data!F905</f>
        <v>1474254</v>
      </c>
      <c r="AH910" s="35">
        <f>Data!C905</f>
        <v>81.11</v>
      </c>
      <c r="AI910" s="35">
        <f>Data!D905</f>
        <v>79.959999999999994</v>
      </c>
      <c r="AJ910" s="35">
        <f>Data!E905</f>
        <v>80.349999999999994</v>
      </c>
      <c r="AK910" s="35">
        <f>Data!F905</f>
        <v>1474254</v>
      </c>
      <c r="AL910" s="35">
        <f t="shared" si="138"/>
        <v>80.349999999999994</v>
      </c>
      <c r="AM910" s="35">
        <f t="shared" si="137"/>
        <v>1.6179215930304882</v>
      </c>
      <c r="AN910" s="35">
        <f t="shared" si="145"/>
        <v>-41.595885105280367</v>
      </c>
      <c r="AO910" s="35" t="str">
        <f t="shared" si="139"/>
        <v>FITS BITCH</v>
      </c>
      <c r="AP910" s="35" t="str">
        <f t="shared" si="140"/>
        <v>no</v>
      </c>
      <c r="AQ910" s="35" t="str">
        <f t="shared" si="140"/>
        <v>no</v>
      </c>
      <c r="AR910" s="35" t="str">
        <f t="shared" si="141"/>
        <v>FITS BITCH</v>
      </c>
      <c r="AS910" s="35" t="str">
        <f t="shared" si="142"/>
        <v>no</v>
      </c>
      <c r="AT910" s="20" t="str">
        <f t="shared" si="143"/>
        <v/>
      </c>
      <c r="AU910" s="20" t="str">
        <f t="shared" si="144"/>
        <v/>
      </c>
      <c r="AV910" s="20"/>
      <c r="AW910" s="20"/>
      <c r="AX910" s="20"/>
    </row>
    <row r="911" spans="31:50">
      <c r="AE911" s="26">
        <f>Data!A906</f>
        <v>41648</v>
      </c>
      <c r="AF911" s="35">
        <f>Data!B906</f>
        <v>83</v>
      </c>
      <c r="AG911" s="35">
        <f>Data!F906</f>
        <v>1444744</v>
      </c>
      <c r="AH911" s="35">
        <f>Data!C906</f>
        <v>83</v>
      </c>
      <c r="AI911" s="35">
        <f>Data!D906</f>
        <v>80.53</v>
      </c>
      <c r="AJ911" s="35">
        <f>Data!E906</f>
        <v>80.63</v>
      </c>
      <c r="AK911" s="35">
        <f>Data!F906</f>
        <v>1444744</v>
      </c>
      <c r="AL911" s="35">
        <f t="shared" si="138"/>
        <v>80.63</v>
      </c>
      <c r="AM911" s="35">
        <f t="shared" si="137"/>
        <v>0.34726528587374572</v>
      </c>
      <c r="AN911" s="35">
        <f t="shared" si="145"/>
        <v>-2.0425764010786684</v>
      </c>
      <c r="AO911" s="35" t="str">
        <f t="shared" si="139"/>
        <v>no</v>
      </c>
      <c r="AP911" s="35" t="str">
        <f t="shared" si="140"/>
        <v>FITS BITCH</v>
      </c>
      <c r="AQ911" s="35" t="str">
        <f t="shared" si="140"/>
        <v>FITS BITCH</v>
      </c>
      <c r="AR911" s="35" t="str">
        <f t="shared" si="141"/>
        <v>FITS BITCH</v>
      </c>
      <c r="AS911" s="35" t="str">
        <f t="shared" si="142"/>
        <v>FITS BITCH</v>
      </c>
      <c r="AT911" s="20" t="str">
        <f t="shared" si="143"/>
        <v/>
      </c>
      <c r="AU911" s="20" t="str">
        <f t="shared" si="144"/>
        <v/>
      </c>
      <c r="AV911" s="20"/>
      <c r="AW911" s="20"/>
      <c r="AX911" s="20"/>
    </row>
    <row r="912" spans="31:50">
      <c r="AE912" s="26">
        <f>Data!A907</f>
        <v>41647</v>
      </c>
      <c r="AF912" s="35">
        <f>Data!B907</f>
        <v>80.3</v>
      </c>
      <c r="AG912" s="35">
        <f>Data!F907</f>
        <v>1870092</v>
      </c>
      <c r="AH912" s="35">
        <f>Data!C907</f>
        <v>80.739999999999995</v>
      </c>
      <c r="AI912" s="35">
        <f>Data!D907</f>
        <v>79.91</v>
      </c>
      <c r="AJ912" s="35">
        <f>Data!E907</f>
        <v>80.349999999999994</v>
      </c>
      <c r="AK912" s="35">
        <f>Data!F907</f>
        <v>1870092</v>
      </c>
      <c r="AL912" s="35">
        <f t="shared" si="138"/>
        <v>80.349999999999994</v>
      </c>
      <c r="AM912" s="35">
        <f t="shared" si="137"/>
        <v>-0.34847542003733806</v>
      </c>
      <c r="AN912" s="35">
        <f t="shared" si="145"/>
        <v>22.744763359235805</v>
      </c>
      <c r="AO912" s="35" t="str">
        <f t="shared" si="139"/>
        <v>no</v>
      </c>
      <c r="AP912" s="35" t="str">
        <f t="shared" si="140"/>
        <v>no</v>
      </c>
      <c r="AQ912" s="35" t="str">
        <f t="shared" si="140"/>
        <v>FITS BITCH</v>
      </c>
      <c r="AR912" s="35" t="str">
        <f t="shared" si="141"/>
        <v>FITS BITCH</v>
      </c>
      <c r="AS912" s="35" t="str">
        <f t="shared" si="142"/>
        <v>no</v>
      </c>
      <c r="AT912" s="20" t="str">
        <f t="shared" si="143"/>
        <v/>
      </c>
      <c r="AU912" s="20" t="str">
        <f t="shared" si="144"/>
        <v/>
      </c>
      <c r="AV912" s="20"/>
      <c r="AW912" s="20"/>
      <c r="AX912" s="20"/>
    </row>
    <row r="913" spans="31:50">
      <c r="AE913" s="26">
        <f>Data!A908</f>
        <v>41646</v>
      </c>
      <c r="AF913" s="35">
        <f>Data!B908</f>
        <v>79.98</v>
      </c>
      <c r="AG913" s="35">
        <f>Data!F908</f>
        <v>1376249</v>
      </c>
      <c r="AH913" s="35">
        <f>Data!C908</f>
        <v>81.02</v>
      </c>
      <c r="AI913" s="35">
        <f>Data!D908</f>
        <v>79.89</v>
      </c>
      <c r="AJ913" s="35">
        <f>Data!E908</f>
        <v>80.78</v>
      </c>
      <c r="AK913" s="35">
        <f>Data!F908</f>
        <v>1376249</v>
      </c>
      <c r="AL913" s="35">
        <f t="shared" si="138"/>
        <v>80.78</v>
      </c>
      <c r="AM913" s="35">
        <f t="shared" si="137"/>
        <v>0.53230997771726518</v>
      </c>
      <c r="AN913" s="35">
        <f t="shared" si="145"/>
        <v>-35.883259497372933</v>
      </c>
      <c r="AO913" s="35" t="str">
        <f t="shared" si="139"/>
        <v>FITS BITCH</v>
      </c>
      <c r="AP913" s="35" t="str">
        <f t="shared" si="140"/>
        <v>FITS BITCH</v>
      </c>
      <c r="AQ913" s="35" t="str">
        <f t="shared" si="140"/>
        <v>FITS BITCH</v>
      </c>
      <c r="AR913" s="35" t="str">
        <f t="shared" si="141"/>
        <v>FITS BITCH</v>
      </c>
      <c r="AS913" s="35" t="str">
        <f t="shared" si="142"/>
        <v>FITS BITCH</v>
      </c>
      <c r="AT913" s="20" t="str">
        <f t="shared" si="143"/>
        <v>BULLISH</v>
      </c>
      <c r="AU913" s="20" t="str">
        <f t="shared" si="144"/>
        <v>BEARISH</v>
      </c>
      <c r="AV913" s="20"/>
      <c r="AW913" s="20"/>
      <c r="AX913" s="20"/>
    </row>
    <row r="914" spans="31:50">
      <c r="AE914" s="26">
        <f>Data!A909</f>
        <v>41645</v>
      </c>
      <c r="AF914" s="35">
        <f>Data!B909</f>
        <v>80.61</v>
      </c>
      <c r="AG914" s="35">
        <f>Data!F909</f>
        <v>1535046</v>
      </c>
      <c r="AH914" s="35">
        <f>Data!C909</f>
        <v>80.97</v>
      </c>
      <c r="AI914" s="35">
        <f>Data!D909</f>
        <v>79.39</v>
      </c>
      <c r="AJ914" s="35">
        <f>Data!E909</f>
        <v>79.81</v>
      </c>
      <c r="AK914" s="35">
        <f>Data!F909</f>
        <v>1535046</v>
      </c>
      <c r="AL914" s="35">
        <f t="shared" si="138"/>
        <v>79.81</v>
      </c>
      <c r="AM914" s="35">
        <f t="shared" si="137"/>
        <v>-1.2153865430397179</v>
      </c>
      <c r="AN914" s="35">
        <f t="shared" si="145"/>
        <v>10.344771427045183</v>
      </c>
      <c r="AO914" s="35" t="str">
        <f t="shared" si="139"/>
        <v>no</v>
      </c>
      <c r="AP914" s="35" t="str">
        <f t="shared" si="140"/>
        <v>no</v>
      </c>
      <c r="AQ914" s="35" t="str">
        <f t="shared" si="140"/>
        <v>no</v>
      </c>
      <c r="AR914" s="35" t="str">
        <f t="shared" si="141"/>
        <v>FITS BITCH</v>
      </c>
      <c r="AS914" s="35" t="str">
        <f t="shared" si="142"/>
        <v>no</v>
      </c>
      <c r="AT914" s="20" t="str">
        <f t="shared" si="143"/>
        <v/>
      </c>
      <c r="AU914" s="20" t="str">
        <f t="shared" si="144"/>
        <v/>
      </c>
      <c r="AV914" s="20"/>
      <c r="AW914" s="20"/>
      <c r="AX914" s="20"/>
    </row>
    <row r="915" spans="31:50">
      <c r="AE915" s="26">
        <f>Data!A910</f>
        <v>41642</v>
      </c>
      <c r="AF915" s="35">
        <f>Data!B910</f>
        <v>80.209999999999994</v>
      </c>
      <c r="AG915" s="35">
        <f>Data!F910</f>
        <v>1948060</v>
      </c>
      <c r="AH915" s="35">
        <f>Data!C910</f>
        <v>81.37</v>
      </c>
      <c r="AI915" s="35">
        <f>Data!D910</f>
        <v>80</v>
      </c>
      <c r="AJ915" s="35">
        <f>Data!E910</f>
        <v>80.73</v>
      </c>
      <c r="AK915" s="35">
        <f>Data!F910</f>
        <v>1948060</v>
      </c>
      <c r="AL915" s="35">
        <f t="shared" si="138"/>
        <v>80.73</v>
      </c>
      <c r="AM915" s="35">
        <f t="shared" si="137"/>
        <v>1.1396011396011418</v>
      </c>
      <c r="AN915" s="35">
        <f t="shared" si="145"/>
        <v>21.201297701302835</v>
      </c>
      <c r="AO915" s="35" t="str">
        <f t="shared" si="139"/>
        <v>no</v>
      </c>
      <c r="AP915" s="35" t="str">
        <f t="shared" si="140"/>
        <v>FITS BITCH</v>
      </c>
      <c r="AQ915" s="35" t="str">
        <f t="shared" si="140"/>
        <v>FITS BITCH</v>
      </c>
      <c r="AR915" s="35" t="str">
        <f t="shared" si="141"/>
        <v>no</v>
      </c>
      <c r="AS915" s="35" t="str">
        <f t="shared" si="142"/>
        <v>FITS BITCH</v>
      </c>
      <c r="AT915" s="20" t="str">
        <f t="shared" si="143"/>
        <v/>
      </c>
      <c r="AU915" s="20" t="str">
        <f t="shared" si="144"/>
        <v/>
      </c>
      <c r="AV915" s="20"/>
      <c r="AW915" s="20"/>
      <c r="AX915" s="20"/>
    </row>
    <row r="916" spans="31:50">
      <c r="AE916" s="26">
        <f>Data!A911</f>
        <v>41641</v>
      </c>
      <c r="AF916" s="35">
        <f>Data!B911</f>
        <v>80.17</v>
      </c>
      <c r="AG916" s="35">
        <f>Data!F911</f>
        <v>1965869</v>
      </c>
      <c r="AH916" s="35">
        <f>Data!C911</f>
        <v>80.45</v>
      </c>
      <c r="AI916" s="35">
        <f>Data!D911</f>
        <v>79.38</v>
      </c>
      <c r="AJ916" s="35">
        <f>Data!E911</f>
        <v>79.86</v>
      </c>
      <c r="AK916" s="35">
        <f>Data!F911</f>
        <v>1965869</v>
      </c>
      <c r="AL916" s="35">
        <f t="shared" si="138"/>
        <v>79.86</v>
      </c>
      <c r="AM916" s="35">
        <f t="shared" si="137"/>
        <v>-1.0894064613072936</v>
      </c>
      <c r="AN916" s="35">
        <f t="shared" si="145"/>
        <v>0.90590980375599794</v>
      </c>
      <c r="AO916" s="35" t="str">
        <f t="shared" si="139"/>
        <v>no</v>
      </c>
      <c r="AP916" s="35" t="str">
        <f t="shared" si="140"/>
        <v>no</v>
      </c>
      <c r="AQ916" s="35" t="str">
        <f t="shared" si="140"/>
        <v>no</v>
      </c>
      <c r="AR916" s="35" t="str">
        <f t="shared" si="141"/>
        <v>FITS BITCH</v>
      </c>
      <c r="AS916" s="35" t="str">
        <f t="shared" si="142"/>
        <v>no</v>
      </c>
      <c r="AT916" s="20" t="str">
        <f t="shared" si="143"/>
        <v/>
      </c>
      <c r="AU916" s="20" t="str">
        <f t="shared" si="144"/>
        <v/>
      </c>
      <c r="AV916" s="20"/>
      <c r="AW916" s="20"/>
      <c r="AX916" s="20"/>
    </row>
    <row r="917" spans="31:50">
      <c r="AE917" s="26">
        <f>Data!A912</f>
        <v>41639</v>
      </c>
      <c r="AF917" s="35">
        <f>Data!B912</f>
        <v>81.239999999999995</v>
      </c>
      <c r="AG917" s="35">
        <f>Data!F912</f>
        <v>1104615</v>
      </c>
      <c r="AH917" s="35">
        <f>Data!C912</f>
        <v>81.55</v>
      </c>
      <c r="AI917" s="35">
        <f>Data!D912</f>
        <v>80.650000000000006</v>
      </c>
      <c r="AJ917" s="35">
        <f>Data!E912</f>
        <v>80.8</v>
      </c>
      <c r="AK917" s="35">
        <f>Data!F912</f>
        <v>1104615</v>
      </c>
      <c r="AL917" s="35">
        <f t="shared" si="138"/>
        <v>80.8</v>
      </c>
      <c r="AM917" s="35">
        <f t="shared" si="137"/>
        <v>1.1633663366336606</v>
      </c>
      <c r="AN917" s="35">
        <f t="shared" si="145"/>
        <v>-77.968704028100291</v>
      </c>
      <c r="AO917" s="35" t="str">
        <f t="shared" si="139"/>
        <v>FITS BITCH</v>
      </c>
      <c r="AP917" s="35" t="str">
        <f t="shared" si="140"/>
        <v>FITS BITCH</v>
      </c>
      <c r="AQ917" s="35" t="str">
        <f t="shared" si="140"/>
        <v>FITS BITCH</v>
      </c>
      <c r="AR917" s="35" t="str">
        <f t="shared" si="141"/>
        <v>FITS BITCH</v>
      </c>
      <c r="AS917" s="35" t="str">
        <f t="shared" si="142"/>
        <v>no</v>
      </c>
      <c r="AT917" s="20" t="str">
        <f t="shared" si="143"/>
        <v>BULLISH</v>
      </c>
      <c r="AU917" s="20" t="str">
        <f t="shared" si="144"/>
        <v/>
      </c>
      <c r="AV917" s="20"/>
      <c r="AW917" s="20"/>
      <c r="AX917" s="20"/>
    </row>
    <row r="918" spans="31:50">
      <c r="AE918" s="26">
        <f>Data!A913</f>
        <v>41638</v>
      </c>
      <c r="AF918" s="35">
        <f>Data!B913</f>
        <v>80.819999999999993</v>
      </c>
      <c r="AG918" s="35">
        <f>Data!F913</f>
        <v>718685</v>
      </c>
      <c r="AH918" s="35">
        <f>Data!C913</f>
        <v>81.099999999999994</v>
      </c>
      <c r="AI918" s="35">
        <f>Data!D913</f>
        <v>80.510000000000005</v>
      </c>
      <c r="AJ918" s="35">
        <f>Data!E913</f>
        <v>81.08</v>
      </c>
      <c r="AK918" s="35">
        <f>Data!F913</f>
        <v>718685</v>
      </c>
      <c r="AL918" s="35">
        <f t="shared" si="138"/>
        <v>81.08</v>
      </c>
      <c r="AM918" s="35">
        <f t="shared" si="137"/>
        <v>0.3453379378391726</v>
      </c>
      <c r="AN918" s="35">
        <f t="shared" si="145"/>
        <v>-53.699464995095212</v>
      </c>
      <c r="AO918" s="35" t="str">
        <f t="shared" si="139"/>
        <v>FITS BITCH</v>
      </c>
      <c r="AP918" s="35" t="str">
        <f t="shared" si="140"/>
        <v>no</v>
      </c>
      <c r="AQ918" s="35" t="str">
        <f t="shared" si="140"/>
        <v>no</v>
      </c>
      <c r="AR918" s="35" t="str">
        <f t="shared" si="141"/>
        <v>FITS BITCH</v>
      </c>
      <c r="AS918" s="35" t="str">
        <f t="shared" si="142"/>
        <v>FITS BITCH</v>
      </c>
      <c r="AT918" s="20" t="str">
        <f t="shared" si="143"/>
        <v/>
      </c>
      <c r="AU918" s="20" t="str">
        <f t="shared" si="144"/>
        <v/>
      </c>
      <c r="AV918" s="20"/>
      <c r="AW918" s="20"/>
      <c r="AX918" s="20"/>
    </row>
    <row r="919" spans="31:50">
      <c r="AE919" s="26">
        <f>Data!A914</f>
        <v>41635</v>
      </c>
      <c r="AF919" s="35">
        <f>Data!B914</f>
        <v>80.959999999999994</v>
      </c>
      <c r="AG919" s="35">
        <f>Data!F914</f>
        <v>723026</v>
      </c>
      <c r="AH919" s="35">
        <f>Data!C914</f>
        <v>81.14</v>
      </c>
      <c r="AI919" s="35">
        <f>Data!D914</f>
        <v>80.56</v>
      </c>
      <c r="AJ919" s="35">
        <f>Data!E914</f>
        <v>80.72</v>
      </c>
      <c r="AK919" s="35">
        <f>Data!F914</f>
        <v>723026</v>
      </c>
      <c r="AL919" s="35">
        <f t="shared" si="138"/>
        <v>80.72</v>
      </c>
      <c r="AM919" s="35">
        <f t="shared" si="137"/>
        <v>-0.44598612487611428</v>
      </c>
      <c r="AN919" s="35">
        <f t="shared" si="145"/>
        <v>0.60039334685059731</v>
      </c>
      <c r="AO919" s="35" t="str">
        <f t="shared" si="139"/>
        <v>no</v>
      </c>
      <c r="AP919" s="35" t="str">
        <f t="shared" si="140"/>
        <v>FITS BITCH</v>
      </c>
      <c r="AQ919" s="35" t="str">
        <f t="shared" si="140"/>
        <v>FITS BITCH</v>
      </c>
      <c r="AR919" s="35" t="str">
        <f t="shared" si="141"/>
        <v>FITS BITCH</v>
      </c>
      <c r="AS919" s="35" t="str">
        <f t="shared" si="142"/>
        <v>no</v>
      </c>
      <c r="AT919" s="20" t="str">
        <f t="shared" si="143"/>
        <v/>
      </c>
      <c r="AU919" s="20" t="str">
        <f t="shared" si="144"/>
        <v/>
      </c>
      <c r="AV919" s="20"/>
      <c r="AW919" s="20"/>
      <c r="AX919" s="20"/>
    </row>
    <row r="920" spans="31:50">
      <c r="AE920" s="26">
        <f>Data!A915</f>
        <v>41634</v>
      </c>
      <c r="AF920" s="35">
        <f>Data!B915</f>
        <v>80.45</v>
      </c>
      <c r="AG920" s="35">
        <f>Data!F915</f>
        <v>875281</v>
      </c>
      <c r="AH920" s="35">
        <f>Data!C915</f>
        <v>80.87</v>
      </c>
      <c r="AI920" s="35">
        <f>Data!D915</f>
        <v>80.13</v>
      </c>
      <c r="AJ920" s="35">
        <f>Data!E915</f>
        <v>80.75</v>
      </c>
      <c r="AK920" s="35">
        <f>Data!F915</f>
        <v>875281</v>
      </c>
      <c r="AL920" s="35">
        <f t="shared" si="138"/>
        <v>80.75</v>
      </c>
      <c r="AM920" s="35">
        <f t="shared" si="137"/>
        <v>3.7151702786379116E-2</v>
      </c>
      <c r="AN920" s="35">
        <f t="shared" si="145"/>
        <v>17.394985153339327</v>
      </c>
      <c r="AO920" s="35" t="str">
        <f t="shared" si="139"/>
        <v>no</v>
      </c>
      <c r="AP920" s="35" t="str">
        <f t="shared" si="140"/>
        <v>FITS BITCH</v>
      </c>
      <c r="AQ920" s="35" t="str">
        <f t="shared" si="140"/>
        <v>FITS BITCH</v>
      </c>
      <c r="AR920" s="35" t="str">
        <f t="shared" si="141"/>
        <v>no</v>
      </c>
      <c r="AS920" s="35" t="str">
        <f t="shared" si="142"/>
        <v>FITS BITCH</v>
      </c>
      <c r="AT920" s="20" t="str">
        <f t="shared" si="143"/>
        <v/>
      </c>
      <c r="AU920" s="20" t="str">
        <f t="shared" si="144"/>
        <v/>
      </c>
      <c r="AV920" s="20"/>
      <c r="AW920" s="20"/>
      <c r="AX920" s="20"/>
    </row>
    <row r="921" spans="31:50">
      <c r="AE921" s="26">
        <f>Data!A916</f>
        <v>41632</v>
      </c>
      <c r="AF921" s="35">
        <f>Data!B916</f>
        <v>79.78</v>
      </c>
      <c r="AG921" s="35">
        <f>Data!F916</f>
        <v>599584</v>
      </c>
      <c r="AH921" s="35">
        <f>Data!C916</f>
        <v>80.290000000000006</v>
      </c>
      <c r="AI921" s="35">
        <f>Data!D916</f>
        <v>79.599999999999994</v>
      </c>
      <c r="AJ921" s="35">
        <f>Data!E916</f>
        <v>80.22</v>
      </c>
      <c r="AK921" s="35">
        <f>Data!F916</f>
        <v>599584</v>
      </c>
      <c r="AL921" s="35">
        <f t="shared" si="138"/>
        <v>80.22</v>
      </c>
      <c r="AM921" s="35">
        <f t="shared" si="137"/>
        <v>-0.66068312141610708</v>
      </c>
      <c r="AN921" s="35">
        <f t="shared" si="145"/>
        <v>-45.981380423760477</v>
      </c>
      <c r="AO921" s="35" t="str">
        <f t="shared" si="139"/>
        <v>FITS BITCH</v>
      </c>
      <c r="AP921" s="35" t="str">
        <f t="shared" si="140"/>
        <v>no</v>
      </c>
      <c r="AQ921" s="35" t="str">
        <f t="shared" si="140"/>
        <v>no</v>
      </c>
      <c r="AR921" s="35" t="str">
        <f t="shared" si="141"/>
        <v>FITS BITCH</v>
      </c>
      <c r="AS921" s="35" t="str">
        <f t="shared" si="142"/>
        <v>FITS BITCH</v>
      </c>
      <c r="AT921" s="20" t="str">
        <f t="shared" si="143"/>
        <v/>
      </c>
      <c r="AU921" s="20" t="str">
        <f t="shared" si="144"/>
        <v/>
      </c>
      <c r="AV921" s="20"/>
      <c r="AW921" s="20"/>
      <c r="AX921" s="20"/>
    </row>
    <row r="922" spans="31:50">
      <c r="AE922" s="26">
        <f>Data!A917</f>
        <v>41631</v>
      </c>
      <c r="AF922" s="35">
        <f>Data!B917</f>
        <v>80.31</v>
      </c>
      <c r="AG922" s="35">
        <f>Data!F917</f>
        <v>1433640</v>
      </c>
      <c r="AH922" s="35">
        <f>Data!C917</f>
        <v>80.400000000000006</v>
      </c>
      <c r="AI922" s="35">
        <f>Data!D917</f>
        <v>79.72</v>
      </c>
      <c r="AJ922" s="35">
        <f>Data!E917</f>
        <v>79.94</v>
      </c>
      <c r="AK922" s="35">
        <f>Data!F917</f>
        <v>1433640</v>
      </c>
      <c r="AL922" s="35">
        <f t="shared" si="138"/>
        <v>79.94</v>
      </c>
      <c r="AM922" s="35">
        <f t="shared" si="137"/>
        <v>-0.35026269702276852</v>
      </c>
      <c r="AN922" s="35">
        <f t="shared" si="145"/>
        <v>58.177506207974105</v>
      </c>
      <c r="AO922" s="35" t="str">
        <f t="shared" si="139"/>
        <v>no</v>
      </c>
      <c r="AP922" s="35" t="str">
        <f t="shared" si="140"/>
        <v>FITS BITCH</v>
      </c>
      <c r="AQ922" s="35" t="str">
        <f t="shared" si="140"/>
        <v>FITS BITCH</v>
      </c>
      <c r="AR922" s="35" t="str">
        <f t="shared" si="141"/>
        <v>FITS BITCH</v>
      </c>
      <c r="AS922" s="35" t="str">
        <f t="shared" si="142"/>
        <v>no</v>
      </c>
      <c r="AT922" s="20" t="str">
        <f t="shared" si="143"/>
        <v/>
      </c>
      <c r="AU922" s="20" t="str">
        <f t="shared" si="144"/>
        <v/>
      </c>
      <c r="AV922" s="20"/>
      <c r="AW922" s="20"/>
      <c r="AX922" s="20"/>
    </row>
    <row r="923" spans="31:50">
      <c r="AE923" s="26">
        <f>Data!A918</f>
        <v>41628</v>
      </c>
      <c r="AF923" s="35">
        <f>Data!B918</f>
        <v>79.36</v>
      </c>
      <c r="AG923" s="35">
        <f>Data!F918</f>
        <v>3547287</v>
      </c>
      <c r="AH923" s="35">
        <f>Data!C918</f>
        <v>80.239999999999995</v>
      </c>
      <c r="AI923" s="35">
        <f>Data!D918</f>
        <v>78.98</v>
      </c>
      <c r="AJ923" s="35">
        <f>Data!E918</f>
        <v>79.97</v>
      </c>
      <c r="AK923" s="35">
        <f>Data!F918</f>
        <v>3547287</v>
      </c>
      <c r="AL923" s="35">
        <f t="shared" si="138"/>
        <v>79.97</v>
      </c>
      <c r="AM923" s="35">
        <f t="shared" si="137"/>
        <v>3.7514067775417208E-2</v>
      </c>
      <c r="AN923" s="35">
        <f t="shared" si="145"/>
        <v>59.584888394990308</v>
      </c>
      <c r="AO923" s="35" t="str">
        <f t="shared" si="139"/>
        <v>no</v>
      </c>
      <c r="AP923" s="35" t="str">
        <f t="shared" si="140"/>
        <v>FITS BITCH</v>
      </c>
      <c r="AQ923" s="35" t="str">
        <f t="shared" si="140"/>
        <v>FITS BITCH</v>
      </c>
      <c r="AR923" s="35" t="str">
        <f t="shared" si="141"/>
        <v>no</v>
      </c>
      <c r="AS923" s="35" t="str">
        <f t="shared" si="142"/>
        <v>FITS BITCH</v>
      </c>
      <c r="AT923" s="20" t="str">
        <f t="shared" si="143"/>
        <v/>
      </c>
      <c r="AU923" s="20" t="str">
        <f t="shared" si="144"/>
        <v/>
      </c>
      <c r="AV923" s="20"/>
      <c r="AW923" s="20"/>
      <c r="AX923" s="20"/>
    </row>
    <row r="924" spans="31:50">
      <c r="AE924" s="26">
        <f>Data!A919</f>
        <v>41627</v>
      </c>
      <c r="AF924" s="35">
        <f>Data!B919</f>
        <v>79.349999999999994</v>
      </c>
      <c r="AG924" s="35">
        <f>Data!F919</f>
        <v>2483235</v>
      </c>
      <c r="AH924" s="35">
        <f>Data!C919</f>
        <v>79.849999999999994</v>
      </c>
      <c r="AI924" s="35">
        <f>Data!D919</f>
        <v>78.87</v>
      </c>
      <c r="AJ924" s="35">
        <f>Data!E919</f>
        <v>79.42</v>
      </c>
      <c r="AK924" s="35">
        <f>Data!F919</f>
        <v>2483235</v>
      </c>
      <c r="AL924" s="35">
        <f t="shared" si="138"/>
        <v>79.42</v>
      </c>
      <c r="AM924" s="35">
        <f t="shared" si="137"/>
        <v>-0.69252077562326508</v>
      </c>
      <c r="AN924" s="35">
        <f t="shared" si="145"/>
        <v>-42.849428265951474</v>
      </c>
      <c r="AO924" s="35" t="str">
        <f t="shared" si="139"/>
        <v>FITS BITCH</v>
      </c>
      <c r="AP924" s="35" t="str">
        <f t="shared" si="140"/>
        <v>FITS BITCH</v>
      </c>
      <c r="AQ924" s="35" t="str">
        <f t="shared" si="140"/>
        <v>FITS BITCH</v>
      </c>
      <c r="AR924" s="35" t="str">
        <f t="shared" si="141"/>
        <v>no</v>
      </c>
      <c r="AS924" s="35" t="str">
        <f t="shared" si="142"/>
        <v>FITS BITCH</v>
      </c>
      <c r="AT924" s="20" t="str">
        <f t="shared" si="143"/>
        <v/>
      </c>
      <c r="AU924" s="20" t="str">
        <f t="shared" si="144"/>
        <v>BEARISH</v>
      </c>
      <c r="AV924" s="20"/>
      <c r="AW924" s="20"/>
      <c r="AX924" s="20"/>
    </row>
    <row r="925" spans="31:50">
      <c r="AE925" s="26">
        <f>Data!A920</f>
        <v>41626</v>
      </c>
      <c r="AF925" s="35">
        <f>Data!B920</f>
        <v>77.510000000000005</v>
      </c>
      <c r="AG925" s="35">
        <f>Data!F920</f>
        <v>2858870</v>
      </c>
      <c r="AH925" s="35">
        <f>Data!C920</f>
        <v>79.150000000000006</v>
      </c>
      <c r="AI925" s="35">
        <f>Data!D920</f>
        <v>77.12</v>
      </c>
      <c r="AJ925" s="35">
        <f>Data!E920</f>
        <v>79.09</v>
      </c>
      <c r="AK925" s="35">
        <f>Data!F920</f>
        <v>2858870</v>
      </c>
      <c r="AL925" s="35">
        <f t="shared" si="138"/>
        <v>79.09</v>
      </c>
      <c r="AM925" s="35">
        <f t="shared" si="137"/>
        <v>-0.41724617524339142</v>
      </c>
      <c r="AN925" s="35">
        <f t="shared" si="145"/>
        <v>13.139282303847324</v>
      </c>
      <c r="AO925" s="35" t="str">
        <f t="shared" si="139"/>
        <v>no</v>
      </c>
      <c r="AP925" s="35" t="str">
        <f t="shared" si="140"/>
        <v>FITS BITCH</v>
      </c>
      <c r="AQ925" s="35" t="str">
        <f t="shared" si="140"/>
        <v>FITS BITCH</v>
      </c>
      <c r="AR925" s="35" t="str">
        <f t="shared" si="141"/>
        <v>no</v>
      </c>
      <c r="AS925" s="35" t="str">
        <f t="shared" si="142"/>
        <v>FITS BITCH</v>
      </c>
      <c r="AT925" s="20" t="str">
        <f t="shared" si="143"/>
        <v/>
      </c>
      <c r="AU925" s="20" t="str">
        <f t="shared" si="144"/>
        <v/>
      </c>
      <c r="AV925" s="20"/>
      <c r="AW925" s="20"/>
      <c r="AX925" s="20"/>
    </row>
    <row r="926" spans="31:50">
      <c r="AE926" s="26">
        <f>Data!A921</f>
        <v>41625</v>
      </c>
      <c r="AF926" s="35">
        <f>Data!B921</f>
        <v>76.73</v>
      </c>
      <c r="AG926" s="35">
        <f>Data!F921</f>
        <v>1713556</v>
      </c>
      <c r="AH926" s="35">
        <f>Data!C921</f>
        <v>77.52</v>
      </c>
      <c r="AI926" s="35">
        <f>Data!D921</f>
        <v>76.62</v>
      </c>
      <c r="AJ926" s="35">
        <f>Data!E921</f>
        <v>77.25</v>
      </c>
      <c r="AK926" s="35">
        <f>Data!F921</f>
        <v>1713556</v>
      </c>
      <c r="AL926" s="35">
        <f t="shared" si="138"/>
        <v>77.25</v>
      </c>
      <c r="AM926" s="35">
        <f t="shared" si="137"/>
        <v>-2.3818770226537263</v>
      </c>
      <c r="AN926" s="35">
        <f t="shared" si="145"/>
        <v>-66.838434226835886</v>
      </c>
      <c r="AO926" s="35" t="str">
        <f t="shared" si="139"/>
        <v>FITS BITCH</v>
      </c>
      <c r="AP926" s="35" t="str">
        <f t="shared" si="140"/>
        <v>no</v>
      </c>
      <c r="AQ926" s="35" t="str">
        <f t="shared" si="140"/>
        <v>no</v>
      </c>
      <c r="AR926" s="35" t="str">
        <f t="shared" si="141"/>
        <v>FITS BITCH</v>
      </c>
      <c r="AS926" s="35" t="str">
        <f t="shared" si="142"/>
        <v>no</v>
      </c>
      <c r="AT926" s="20" t="str">
        <f t="shared" si="143"/>
        <v/>
      </c>
      <c r="AU926" s="20" t="str">
        <f t="shared" si="144"/>
        <v/>
      </c>
      <c r="AV926" s="20"/>
      <c r="AW926" s="20"/>
      <c r="AX926" s="20"/>
    </row>
    <row r="927" spans="31:50">
      <c r="AE927" s="26">
        <f>Data!A922</f>
        <v>41624</v>
      </c>
      <c r="AF927" s="35">
        <f>Data!B922</f>
        <v>77.540000000000006</v>
      </c>
      <c r="AG927" s="35">
        <f>Data!F922</f>
        <v>1359199</v>
      </c>
      <c r="AH927" s="35">
        <f>Data!C922</f>
        <v>77.97</v>
      </c>
      <c r="AI927" s="35">
        <f>Data!D922</f>
        <v>77.19</v>
      </c>
      <c r="AJ927" s="35">
        <f>Data!E922</f>
        <v>77.52</v>
      </c>
      <c r="AK927" s="35">
        <f>Data!F922</f>
        <v>1359199</v>
      </c>
      <c r="AL927" s="35">
        <f t="shared" si="138"/>
        <v>77.52</v>
      </c>
      <c r="AM927" s="35">
        <f t="shared" si="137"/>
        <v>0.34829721362228588</v>
      </c>
      <c r="AN927" s="35">
        <f t="shared" si="145"/>
        <v>-26.07101682682227</v>
      </c>
      <c r="AO927" s="35" t="str">
        <f t="shared" si="139"/>
        <v>FITS BITCH</v>
      </c>
      <c r="AP927" s="35" t="str">
        <f t="shared" si="140"/>
        <v>FITS BITCH</v>
      </c>
      <c r="AQ927" s="35" t="str">
        <f t="shared" si="140"/>
        <v>FITS BITCH</v>
      </c>
      <c r="AR927" s="35" t="str">
        <f t="shared" si="141"/>
        <v>FITS BITCH</v>
      </c>
      <c r="AS927" s="35" t="str">
        <f t="shared" si="142"/>
        <v>FITS BITCH</v>
      </c>
      <c r="AT927" s="20" t="str">
        <f t="shared" si="143"/>
        <v>BULLISH</v>
      </c>
      <c r="AU927" s="20" t="str">
        <f t="shared" si="144"/>
        <v>BEARISH</v>
      </c>
      <c r="AV927" s="20"/>
      <c r="AW927" s="20"/>
      <c r="AX927" s="20"/>
    </row>
    <row r="928" spans="31:50">
      <c r="AE928" s="26">
        <f>Data!A923</f>
        <v>41621</v>
      </c>
      <c r="AF928" s="35">
        <f>Data!B923</f>
        <v>77.67</v>
      </c>
      <c r="AG928" s="35">
        <f>Data!F923</f>
        <v>1654761</v>
      </c>
      <c r="AH928" s="35">
        <f>Data!C923</f>
        <v>77.77</v>
      </c>
      <c r="AI928" s="35">
        <f>Data!D923</f>
        <v>76.98</v>
      </c>
      <c r="AJ928" s="35">
        <f>Data!E923</f>
        <v>77.02</v>
      </c>
      <c r="AK928" s="35">
        <f>Data!F923</f>
        <v>1654761</v>
      </c>
      <c r="AL928" s="35">
        <f t="shared" si="138"/>
        <v>77.02</v>
      </c>
      <c r="AM928" s="35">
        <f t="shared" si="137"/>
        <v>-0.64918203064139191</v>
      </c>
      <c r="AN928" s="35">
        <f t="shared" si="145"/>
        <v>17.861310485320843</v>
      </c>
      <c r="AO928" s="35" t="str">
        <f t="shared" si="139"/>
        <v>no</v>
      </c>
      <c r="AP928" s="35" t="str">
        <f t="shared" si="140"/>
        <v>FITS BITCH</v>
      </c>
      <c r="AQ928" s="35" t="str">
        <f t="shared" si="140"/>
        <v>no</v>
      </c>
      <c r="AR928" s="35" t="str">
        <f t="shared" si="141"/>
        <v>FITS BITCH</v>
      </c>
      <c r="AS928" s="35" t="str">
        <f t="shared" si="142"/>
        <v>no</v>
      </c>
      <c r="AT928" s="20" t="str">
        <f t="shared" si="143"/>
        <v/>
      </c>
      <c r="AU928" s="20" t="str">
        <f t="shared" si="144"/>
        <v/>
      </c>
      <c r="AV928" s="20"/>
      <c r="AW928" s="20"/>
      <c r="AX928" s="20"/>
    </row>
    <row r="929" spans="31:50">
      <c r="AE929" s="26">
        <f>Data!A924</f>
        <v>41620</v>
      </c>
      <c r="AF929" s="35">
        <f>Data!B924</f>
        <v>77.209999999999994</v>
      </c>
      <c r="AG929" s="35">
        <f>Data!F924</f>
        <v>2987246</v>
      </c>
      <c r="AH929" s="35">
        <f>Data!C924</f>
        <v>77.75</v>
      </c>
      <c r="AI929" s="35">
        <f>Data!D924</f>
        <v>77.099999999999994</v>
      </c>
      <c r="AJ929" s="35">
        <f>Data!E924</f>
        <v>77.150000000000006</v>
      </c>
      <c r="AK929" s="35">
        <f>Data!F924</f>
        <v>2987246</v>
      </c>
      <c r="AL929" s="35">
        <f t="shared" si="138"/>
        <v>77.150000000000006</v>
      </c>
      <c r="AM929" s="35">
        <f t="shared" si="137"/>
        <v>0.16850291639664247</v>
      </c>
      <c r="AN929" s="35">
        <f t="shared" si="145"/>
        <v>44.605800794444114</v>
      </c>
      <c r="AO929" s="35" t="str">
        <f t="shared" si="139"/>
        <v>no</v>
      </c>
      <c r="AP929" s="35" t="str">
        <f t="shared" si="140"/>
        <v>no</v>
      </c>
      <c r="AQ929" s="35" t="str">
        <f t="shared" si="140"/>
        <v>no</v>
      </c>
      <c r="AR929" s="35" t="str">
        <f t="shared" si="141"/>
        <v>FITS BITCH</v>
      </c>
      <c r="AS929" s="35" t="str">
        <f t="shared" si="142"/>
        <v>no</v>
      </c>
      <c r="AT929" s="20" t="str">
        <f t="shared" si="143"/>
        <v/>
      </c>
      <c r="AU929" s="20" t="str">
        <f t="shared" si="144"/>
        <v/>
      </c>
      <c r="AV929" s="20"/>
      <c r="AW929" s="20"/>
      <c r="AX929" s="20"/>
    </row>
    <row r="930" spans="31:50">
      <c r="AE930" s="26">
        <f>Data!A925</f>
        <v>41619</v>
      </c>
      <c r="AF930" s="35">
        <f>Data!B925</f>
        <v>78.3</v>
      </c>
      <c r="AG930" s="35">
        <f>Data!F925</f>
        <v>2905432</v>
      </c>
      <c r="AH930" s="35">
        <f>Data!C925</f>
        <v>78.55</v>
      </c>
      <c r="AI930" s="35">
        <f>Data!D925</f>
        <v>77.22</v>
      </c>
      <c r="AJ930" s="35">
        <f>Data!E925</f>
        <v>77.430000000000007</v>
      </c>
      <c r="AK930" s="35">
        <f>Data!F925</f>
        <v>2905432</v>
      </c>
      <c r="AL930" s="35">
        <f t="shared" si="138"/>
        <v>77.430000000000007</v>
      </c>
      <c r="AM930" s="35">
        <f t="shared" si="137"/>
        <v>0.36161694433682179</v>
      </c>
      <c r="AN930" s="35">
        <f t="shared" si="145"/>
        <v>-2.8158979456411304</v>
      </c>
      <c r="AO930" s="35" t="str">
        <f t="shared" si="139"/>
        <v>no</v>
      </c>
      <c r="AP930" s="35" t="str">
        <f t="shared" si="140"/>
        <v>no</v>
      </c>
      <c r="AQ930" s="35" t="str">
        <f t="shared" si="140"/>
        <v>no</v>
      </c>
      <c r="AR930" s="35" t="str">
        <f t="shared" si="141"/>
        <v>FITS BITCH</v>
      </c>
      <c r="AS930" s="35" t="str">
        <f t="shared" si="142"/>
        <v>no</v>
      </c>
      <c r="AT930" s="20" t="str">
        <f t="shared" si="143"/>
        <v/>
      </c>
      <c r="AU930" s="20" t="str">
        <f t="shared" si="144"/>
        <v/>
      </c>
      <c r="AV930" s="20"/>
      <c r="AW930" s="20"/>
      <c r="AX930" s="20"/>
    </row>
    <row r="931" spans="31:50">
      <c r="AE931" s="26">
        <f>Data!A926</f>
        <v>41618</v>
      </c>
      <c r="AF931" s="35">
        <f>Data!B926</f>
        <v>78.86</v>
      </c>
      <c r="AG931" s="35">
        <f>Data!F926</f>
        <v>2000376</v>
      </c>
      <c r="AH931" s="35">
        <f>Data!C926</f>
        <v>79.05</v>
      </c>
      <c r="AI931" s="35">
        <f>Data!D926</f>
        <v>78.36</v>
      </c>
      <c r="AJ931" s="35">
        <f>Data!E926</f>
        <v>78.510000000000005</v>
      </c>
      <c r="AK931" s="35">
        <f>Data!F926</f>
        <v>2000376</v>
      </c>
      <c r="AL931" s="35">
        <f t="shared" si="138"/>
        <v>78.510000000000005</v>
      </c>
      <c r="AM931" s="35">
        <f t="shared" si="137"/>
        <v>1.37562094000764</v>
      </c>
      <c r="AN931" s="35">
        <f t="shared" si="145"/>
        <v>-45.244294072714332</v>
      </c>
      <c r="AO931" s="35" t="str">
        <f t="shared" si="139"/>
        <v>FITS BITCH</v>
      </c>
      <c r="AP931" s="35" t="str">
        <f t="shared" si="140"/>
        <v>no</v>
      </c>
      <c r="AQ931" s="35" t="str">
        <f t="shared" si="140"/>
        <v>no</v>
      </c>
      <c r="AR931" s="35" t="str">
        <f t="shared" si="141"/>
        <v>FITS BITCH</v>
      </c>
      <c r="AS931" s="35" t="str">
        <f t="shared" si="142"/>
        <v>no</v>
      </c>
      <c r="AT931" s="20" t="str">
        <f t="shared" si="143"/>
        <v/>
      </c>
      <c r="AU931" s="20" t="str">
        <f t="shared" si="144"/>
        <v/>
      </c>
      <c r="AV931" s="20"/>
      <c r="AW931" s="20"/>
      <c r="AX931" s="20"/>
    </row>
    <row r="932" spans="31:50">
      <c r="AE932" s="26">
        <f>Data!A927</f>
        <v>41617</v>
      </c>
      <c r="AF932" s="35">
        <f>Data!B927</f>
        <v>79.760000000000005</v>
      </c>
      <c r="AG932" s="35">
        <f>Data!F927</f>
        <v>2375416</v>
      </c>
      <c r="AH932" s="35">
        <f>Data!C927</f>
        <v>79.77</v>
      </c>
      <c r="AI932" s="35">
        <f>Data!D927</f>
        <v>78.56</v>
      </c>
      <c r="AJ932" s="35">
        <f>Data!E927</f>
        <v>79.010000000000005</v>
      </c>
      <c r="AK932" s="35">
        <f>Data!F927</f>
        <v>2375416</v>
      </c>
      <c r="AL932" s="35">
        <f t="shared" si="138"/>
        <v>79.010000000000005</v>
      </c>
      <c r="AM932" s="35">
        <f t="shared" si="137"/>
        <v>0.63283128717883808</v>
      </c>
      <c r="AN932" s="35">
        <f t="shared" si="145"/>
        <v>15.788392433156972</v>
      </c>
      <c r="AO932" s="35" t="str">
        <f t="shared" si="139"/>
        <v>no</v>
      </c>
      <c r="AP932" s="35" t="b">
        <f t="shared" si="140"/>
        <v>0</v>
      </c>
      <c r="AQ932" s="35" t="str">
        <f t="shared" si="140"/>
        <v>no</v>
      </c>
      <c r="AR932" s="35" t="str">
        <f t="shared" si="141"/>
        <v>FITS BITCH</v>
      </c>
      <c r="AS932" s="35" t="str">
        <f t="shared" si="142"/>
        <v>no</v>
      </c>
      <c r="AT932" s="20" t="str">
        <f t="shared" si="143"/>
        <v/>
      </c>
      <c r="AU932" s="20" t="str">
        <f t="shared" si="144"/>
        <v/>
      </c>
      <c r="AV932" s="20"/>
      <c r="AW932" s="20"/>
      <c r="AX932" s="20"/>
    </row>
    <row r="933" spans="31:50">
      <c r="AE933" s="26">
        <f>Data!A928</f>
        <v>41614</v>
      </c>
      <c r="AF933" s="35">
        <f>Data!B928</f>
        <v>79.45</v>
      </c>
      <c r="AG933" s="35">
        <f>Data!F928</f>
        <v>1870669</v>
      </c>
      <c r="AH933" s="35">
        <f>Data!C928</f>
        <v>79.77</v>
      </c>
      <c r="AI933" s="35">
        <f>Data!D928</f>
        <v>79.13</v>
      </c>
      <c r="AJ933" s="35">
        <f>Data!E928</f>
        <v>79.66</v>
      </c>
      <c r="AK933" s="35">
        <f>Data!F928</f>
        <v>1870669</v>
      </c>
      <c r="AL933" s="35">
        <f t="shared" si="138"/>
        <v>79.66</v>
      </c>
      <c r="AM933" s="35">
        <f t="shared" si="137"/>
        <v>0.81596786341952243</v>
      </c>
      <c r="AN933" s="35">
        <f t="shared" si="145"/>
        <v>-26.982165203999209</v>
      </c>
      <c r="AO933" s="35" t="str">
        <f t="shared" si="139"/>
        <v>FITS BITCH</v>
      </c>
      <c r="AP933" s="35" t="str">
        <f t="shared" si="140"/>
        <v>FITS BITCH</v>
      </c>
      <c r="AQ933" s="35" t="str">
        <f t="shared" si="140"/>
        <v>FITS BITCH</v>
      </c>
      <c r="AR933" s="35" t="str">
        <f t="shared" si="141"/>
        <v>no</v>
      </c>
      <c r="AS933" s="35" t="str">
        <f t="shared" si="142"/>
        <v>FITS BITCH</v>
      </c>
      <c r="AT933" s="20" t="str">
        <f t="shared" si="143"/>
        <v/>
      </c>
      <c r="AU933" s="20" t="str">
        <f t="shared" si="144"/>
        <v>BEARISH</v>
      </c>
      <c r="AV933" s="20"/>
      <c r="AW933" s="20"/>
      <c r="AX933" s="20"/>
    </row>
    <row r="934" spans="31:50">
      <c r="AE934" s="26">
        <f>Data!A929</f>
        <v>41613</v>
      </c>
      <c r="AF934" s="35">
        <f>Data!B929</f>
        <v>78.95</v>
      </c>
      <c r="AG934" s="35">
        <f>Data!F929</f>
        <v>2218868</v>
      </c>
      <c r="AH934" s="35">
        <f>Data!C929</f>
        <v>79.53</v>
      </c>
      <c r="AI934" s="35">
        <f>Data!D929</f>
        <v>78.400000000000006</v>
      </c>
      <c r="AJ934" s="35">
        <f>Data!E929</f>
        <v>78.53</v>
      </c>
      <c r="AK934" s="35">
        <f>Data!F929</f>
        <v>2218868</v>
      </c>
      <c r="AL934" s="35">
        <f t="shared" si="138"/>
        <v>78.53</v>
      </c>
      <c r="AM934" s="35">
        <f t="shared" si="137"/>
        <v>-1.4389405322806514</v>
      </c>
      <c r="AN934" s="35">
        <f t="shared" si="145"/>
        <v>15.692641473039407</v>
      </c>
      <c r="AO934" s="35" t="str">
        <f t="shared" si="139"/>
        <v>no</v>
      </c>
      <c r="AP934" s="35" t="str">
        <f t="shared" si="140"/>
        <v>no</v>
      </c>
      <c r="AQ934" s="35" t="str">
        <f t="shared" si="140"/>
        <v>no</v>
      </c>
      <c r="AR934" s="35" t="str">
        <f t="shared" si="141"/>
        <v>FITS BITCH</v>
      </c>
      <c r="AS934" s="35" t="str">
        <f t="shared" si="142"/>
        <v>no</v>
      </c>
      <c r="AT934" s="20" t="str">
        <f t="shared" si="143"/>
        <v/>
      </c>
      <c r="AU934" s="20" t="str">
        <f t="shared" si="144"/>
        <v/>
      </c>
      <c r="AV934" s="20"/>
      <c r="AW934" s="20"/>
      <c r="AX934" s="20"/>
    </row>
    <row r="935" spans="31:50">
      <c r="AE935" s="26">
        <f>Data!A930</f>
        <v>41612</v>
      </c>
      <c r="AF935" s="35">
        <f>Data!B930</f>
        <v>79.89</v>
      </c>
      <c r="AG935" s="35">
        <f>Data!F930</f>
        <v>1861518</v>
      </c>
      <c r="AH935" s="35">
        <f>Data!C930</f>
        <v>80.14</v>
      </c>
      <c r="AI935" s="35">
        <f>Data!D930</f>
        <v>78.739999999999995</v>
      </c>
      <c r="AJ935" s="35">
        <f>Data!E930</f>
        <v>79.33</v>
      </c>
      <c r="AK935" s="35">
        <f>Data!F930</f>
        <v>1861518</v>
      </c>
      <c r="AL935" s="35">
        <f t="shared" si="138"/>
        <v>79.33</v>
      </c>
      <c r="AM935" s="35">
        <f t="shared" si="137"/>
        <v>1.0084457330139887</v>
      </c>
      <c r="AN935" s="35">
        <f t="shared" si="145"/>
        <v>-19.196698608340075</v>
      </c>
      <c r="AO935" s="35" t="str">
        <f t="shared" si="139"/>
        <v>FITS BITCH</v>
      </c>
      <c r="AP935" s="35" t="str">
        <f t="shared" si="140"/>
        <v>no</v>
      </c>
      <c r="AQ935" s="35" t="str">
        <f t="shared" si="140"/>
        <v>no</v>
      </c>
      <c r="AR935" s="35" t="str">
        <f t="shared" si="141"/>
        <v>FITS BITCH</v>
      </c>
      <c r="AS935" s="35" t="str">
        <f t="shared" si="142"/>
        <v>no</v>
      </c>
      <c r="AT935" s="20" t="str">
        <f t="shared" si="143"/>
        <v/>
      </c>
      <c r="AU935" s="20" t="str">
        <f t="shared" si="144"/>
        <v/>
      </c>
      <c r="AV935" s="20"/>
      <c r="AW935" s="20"/>
      <c r="AX935" s="20"/>
    </row>
    <row r="936" spans="31:50">
      <c r="AE936" s="26">
        <f>Data!A931</f>
        <v>41611</v>
      </c>
      <c r="AF936" s="35">
        <f>Data!B931</f>
        <v>80.349999999999994</v>
      </c>
      <c r="AG936" s="35">
        <f>Data!F931</f>
        <v>2847256</v>
      </c>
      <c r="AH936" s="35">
        <f>Data!C931</f>
        <v>80.819999999999993</v>
      </c>
      <c r="AI936" s="35">
        <f>Data!D931</f>
        <v>79.7</v>
      </c>
      <c r="AJ936" s="35">
        <f>Data!E931</f>
        <v>80.34</v>
      </c>
      <c r="AK936" s="35">
        <f>Data!F931</f>
        <v>2847256</v>
      </c>
      <c r="AL936" s="35">
        <f t="shared" si="138"/>
        <v>80.34</v>
      </c>
      <c r="AM936" s="35">
        <f t="shared" si="137"/>
        <v>1.2571570823998073</v>
      </c>
      <c r="AN936" s="35">
        <f t="shared" si="145"/>
        <v>34.620631232316306</v>
      </c>
      <c r="AO936" s="35" t="str">
        <f t="shared" si="139"/>
        <v>no</v>
      </c>
      <c r="AP936" s="35" t="str">
        <f t="shared" si="140"/>
        <v>FITS BITCH</v>
      </c>
      <c r="AQ936" s="35" t="str">
        <f t="shared" si="140"/>
        <v>FITS BITCH</v>
      </c>
      <c r="AR936" s="35" t="str">
        <f t="shared" si="141"/>
        <v>no</v>
      </c>
      <c r="AS936" s="35" t="str">
        <f t="shared" si="142"/>
        <v>FITS BITCH</v>
      </c>
      <c r="AT936" s="20" t="str">
        <f t="shared" si="143"/>
        <v/>
      </c>
      <c r="AU936" s="20" t="str">
        <f t="shared" si="144"/>
        <v/>
      </c>
      <c r="AV936" s="20"/>
      <c r="AW936" s="20"/>
      <c r="AX936" s="20"/>
    </row>
    <row r="937" spans="31:50">
      <c r="AE937" s="26">
        <f>Data!A932</f>
        <v>41610</v>
      </c>
      <c r="AF937" s="35">
        <f>Data!B932</f>
        <v>79.95</v>
      </c>
      <c r="AG937" s="35">
        <f>Data!F932</f>
        <v>1367495</v>
      </c>
      <c r="AH937" s="35">
        <f>Data!C932</f>
        <v>80.13</v>
      </c>
      <c r="AI937" s="35">
        <f>Data!D932</f>
        <v>79.44</v>
      </c>
      <c r="AJ937" s="35">
        <f>Data!E932</f>
        <v>79.569999999999993</v>
      </c>
      <c r="AK937" s="35">
        <f>Data!F932</f>
        <v>1367495</v>
      </c>
      <c r="AL937" s="35">
        <f t="shared" si="138"/>
        <v>79.569999999999993</v>
      </c>
      <c r="AM937" s="35">
        <f t="shared" si="137"/>
        <v>-0.9677013949981278</v>
      </c>
      <c r="AN937" s="35">
        <f t="shared" si="145"/>
        <v>-108.20960954153398</v>
      </c>
      <c r="AO937" s="35" t="str">
        <f t="shared" si="139"/>
        <v>FITS BITCH</v>
      </c>
      <c r="AP937" s="35" t="str">
        <f t="shared" si="140"/>
        <v>no</v>
      </c>
      <c r="AQ937" s="35" t="str">
        <f t="shared" si="140"/>
        <v>no</v>
      </c>
      <c r="AR937" s="35" t="str">
        <f t="shared" si="141"/>
        <v>FITS BITCH</v>
      </c>
      <c r="AS937" s="35" t="str">
        <f t="shared" si="142"/>
        <v>no</v>
      </c>
      <c r="AT937" s="20" t="str">
        <f t="shared" si="143"/>
        <v/>
      </c>
      <c r="AU937" s="20" t="str">
        <f t="shared" si="144"/>
        <v/>
      </c>
      <c r="AV937" s="20"/>
      <c r="AW937" s="20"/>
      <c r="AX937" s="20"/>
    </row>
    <row r="938" spans="31:50">
      <c r="AE938" s="26">
        <f>Data!A933</f>
        <v>41607</v>
      </c>
      <c r="AF938" s="35">
        <f>Data!B933</f>
        <v>80.180000000000007</v>
      </c>
      <c r="AG938" s="35">
        <f>Data!F933</f>
        <v>835024</v>
      </c>
      <c r="AH938" s="35">
        <f>Data!C933</f>
        <v>80.650000000000006</v>
      </c>
      <c r="AI938" s="35">
        <f>Data!D933</f>
        <v>79.98</v>
      </c>
      <c r="AJ938" s="35">
        <f>Data!E933</f>
        <v>80.02</v>
      </c>
      <c r="AK938" s="35">
        <f>Data!F933</f>
        <v>835024</v>
      </c>
      <c r="AL938" s="35">
        <f t="shared" si="138"/>
        <v>80.02</v>
      </c>
      <c r="AM938" s="35">
        <f t="shared" si="137"/>
        <v>0.56235941014746671</v>
      </c>
      <c r="AN938" s="35">
        <f t="shared" si="145"/>
        <v>-63.767149207687446</v>
      </c>
      <c r="AO938" s="35" t="str">
        <f t="shared" si="139"/>
        <v>FITS BITCH</v>
      </c>
      <c r="AP938" s="35" t="str">
        <f t="shared" si="140"/>
        <v>FITS BITCH</v>
      </c>
      <c r="AQ938" s="35" t="str">
        <f t="shared" si="140"/>
        <v>FITS BITCH</v>
      </c>
      <c r="AR938" s="35" t="str">
        <f t="shared" si="141"/>
        <v>FITS BITCH</v>
      </c>
      <c r="AS938" s="35" t="str">
        <f t="shared" si="142"/>
        <v>no</v>
      </c>
      <c r="AT938" s="20" t="str">
        <f t="shared" si="143"/>
        <v>BULLISH</v>
      </c>
      <c r="AU938" s="20" t="str">
        <f t="shared" si="144"/>
        <v/>
      </c>
      <c r="AV938" s="20"/>
      <c r="AW938" s="20"/>
      <c r="AX938" s="20"/>
    </row>
    <row r="939" spans="31:50">
      <c r="AE939" s="26">
        <f>Data!A934</f>
        <v>41605</v>
      </c>
      <c r="AF939" s="35">
        <f>Data!B934</f>
        <v>80.3</v>
      </c>
      <c r="AG939" s="35">
        <f>Data!F934</f>
        <v>1063364</v>
      </c>
      <c r="AH939" s="35">
        <f>Data!C934</f>
        <v>80.52</v>
      </c>
      <c r="AI939" s="35">
        <f>Data!D934</f>
        <v>79.959999999999994</v>
      </c>
      <c r="AJ939" s="35">
        <f>Data!E934</f>
        <v>80.33</v>
      </c>
      <c r="AK939" s="35">
        <f>Data!F934</f>
        <v>1063364</v>
      </c>
      <c r="AL939" s="35">
        <f t="shared" si="138"/>
        <v>80.33</v>
      </c>
      <c r="AM939" s="35">
        <f t="shared" si="137"/>
        <v>0.3859081289680098</v>
      </c>
      <c r="AN939" s="35">
        <f t="shared" si="145"/>
        <v>21.473361896772882</v>
      </c>
      <c r="AO939" s="35" t="str">
        <f t="shared" si="139"/>
        <v>no</v>
      </c>
      <c r="AP939" s="35" t="str">
        <f t="shared" si="140"/>
        <v>no</v>
      </c>
      <c r="AQ939" s="35" t="str">
        <f t="shared" si="140"/>
        <v>FITS BITCH</v>
      </c>
      <c r="AR939" s="35" t="str">
        <f t="shared" si="141"/>
        <v>FITS BITCH</v>
      </c>
      <c r="AS939" s="35" t="str">
        <f t="shared" si="142"/>
        <v>FITS BITCH</v>
      </c>
      <c r="AT939" s="20" t="str">
        <f t="shared" si="143"/>
        <v/>
      </c>
      <c r="AU939" s="20" t="str">
        <f t="shared" si="144"/>
        <v/>
      </c>
      <c r="AV939" s="20"/>
      <c r="AW939" s="20"/>
      <c r="AX939" s="20"/>
    </row>
    <row r="940" spans="31:50">
      <c r="AE940" s="26">
        <f>Data!A935</f>
        <v>41604</v>
      </c>
      <c r="AF940" s="35">
        <f>Data!B935</f>
        <v>83.18</v>
      </c>
      <c r="AG940" s="35">
        <f>Data!F935</f>
        <v>2319489</v>
      </c>
      <c r="AH940" s="35">
        <f>Data!C935</f>
        <v>83.82</v>
      </c>
      <c r="AI940" s="35">
        <f>Data!D935</f>
        <v>79.8</v>
      </c>
      <c r="AJ940" s="35">
        <f>Data!E935</f>
        <v>80.31</v>
      </c>
      <c r="AK940" s="35">
        <f>Data!F935</f>
        <v>2319489</v>
      </c>
      <c r="AL940" s="35">
        <f t="shared" si="138"/>
        <v>80.31</v>
      </c>
      <c r="AM940" s="35">
        <f t="shared" si="137"/>
        <v>-2.4903498941596342E-2</v>
      </c>
      <c r="AN940" s="35">
        <f t="shared" si="145"/>
        <v>54.155247125552222</v>
      </c>
      <c r="AO940" s="35" t="str">
        <f t="shared" si="139"/>
        <v>no</v>
      </c>
      <c r="AP940" s="35" t="str">
        <f t="shared" si="140"/>
        <v>FITS BITCH</v>
      </c>
      <c r="AQ940" s="35" t="str">
        <f t="shared" si="140"/>
        <v>no</v>
      </c>
      <c r="AR940" s="35" t="str">
        <f t="shared" si="141"/>
        <v>FITS BITCH</v>
      </c>
      <c r="AS940" s="35" t="str">
        <f t="shared" si="142"/>
        <v>FITS BITCH</v>
      </c>
      <c r="AT940" s="20" t="str">
        <f t="shared" si="143"/>
        <v/>
      </c>
      <c r="AU940" s="20" t="str">
        <f t="shared" si="144"/>
        <v/>
      </c>
      <c r="AV940" s="20"/>
      <c r="AW940" s="20"/>
      <c r="AX940" s="20"/>
    </row>
    <row r="941" spans="31:50">
      <c r="AE941" s="26">
        <f>Data!A936</f>
        <v>41603</v>
      </c>
      <c r="AF941" s="35">
        <f>Data!B936</f>
        <v>80</v>
      </c>
      <c r="AG941" s="35">
        <f>Data!F936</f>
        <v>1687196</v>
      </c>
      <c r="AH941" s="35">
        <f>Data!C936</f>
        <v>80.400000000000006</v>
      </c>
      <c r="AI941" s="35">
        <f>Data!D936</f>
        <v>79.94</v>
      </c>
      <c r="AJ941" s="35">
        <f>Data!E936</f>
        <v>80.12</v>
      </c>
      <c r="AK941" s="35">
        <f>Data!F936</f>
        <v>1687196</v>
      </c>
      <c r="AL941" s="35">
        <f t="shared" si="138"/>
        <v>80.12</v>
      </c>
      <c r="AM941" s="35">
        <f t="shared" si="137"/>
        <v>-0.23714428357463518</v>
      </c>
      <c r="AN941" s="35">
        <f t="shared" si="145"/>
        <v>-37.475966040697109</v>
      </c>
      <c r="AO941" s="35" t="str">
        <f t="shared" si="139"/>
        <v>FITS BITCH</v>
      </c>
      <c r="AP941" s="35" t="str">
        <f t="shared" si="140"/>
        <v>FITS BITCH</v>
      </c>
      <c r="AQ941" s="35" t="str">
        <f t="shared" si="140"/>
        <v>FITS BITCH</v>
      </c>
      <c r="AR941" s="35" t="str">
        <f t="shared" si="141"/>
        <v>no</v>
      </c>
      <c r="AS941" s="35" t="str">
        <f t="shared" si="142"/>
        <v>FITS BITCH</v>
      </c>
      <c r="AT941" s="20" t="str">
        <f t="shared" si="143"/>
        <v/>
      </c>
      <c r="AU941" s="20" t="str">
        <f t="shared" si="144"/>
        <v>BEARISH</v>
      </c>
      <c r="AV941" s="20"/>
      <c r="AW941" s="20"/>
      <c r="AX941" s="20"/>
    </row>
    <row r="942" spans="31:50">
      <c r="AE942" s="26">
        <f>Data!A937</f>
        <v>41600</v>
      </c>
      <c r="AF942" s="35">
        <f>Data!B937</f>
        <v>79.650000000000006</v>
      </c>
      <c r="AG942" s="35">
        <f>Data!F937</f>
        <v>1550367</v>
      </c>
      <c r="AH942" s="35">
        <f>Data!C937</f>
        <v>80.040000000000006</v>
      </c>
      <c r="AI942" s="35">
        <f>Data!D937</f>
        <v>79.56</v>
      </c>
      <c r="AJ942" s="35">
        <f>Data!E937</f>
        <v>80.010000000000005</v>
      </c>
      <c r="AK942" s="35">
        <f>Data!F937</f>
        <v>1550367</v>
      </c>
      <c r="AL942" s="35">
        <f t="shared" si="138"/>
        <v>80.010000000000005</v>
      </c>
      <c r="AM942" s="35">
        <f t="shared" ref="AM942:AM1005" si="146">(AL942-AL941)/AL942*100</f>
        <v>-0.13748281464816825</v>
      </c>
      <c r="AN942" s="35">
        <f t="shared" si="145"/>
        <v>-8.8255877479332305</v>
      </c>
      <c r="AO942" s="35" t="str">
        <f t="shared" si="139"/>
        <v>FITS BITCH</v>
      </c>
      <c r="AP942" s="35" t="str">
        <f t="shared" si="140"/>
        <v>FITS BITCH</v>
      </c>
      <c r="AQ942" s="35" t="str">
        <f t="shared" si="140"/>
        <v>FITS BITCH</v>
      </c>
      <c r="AR942" s="35" t="str">
        <f t="shared" si="141"/>
        <v>no</v>
      </c>
      <c r="AS942" s="35" t="str">
        <f t="shared" si="142"/>
        <v>FITS BITCH</v>
      </c>
      <c r="AT942" s="20" t="str">
        <f t="shared" si="143"/>
        <v/>
      </c>
      <c r="AU942" s="20" t="str">
        <f t="shared" si="144"/>
        <v>BEARISH</v>
      </c>
      <c r="AV942" s="20"/>
      <c r="AW942" s="20"/>
      <c r="AX942" s="20"/>
    </row>
    <row r="943" spans="31:50">
      <c r="AE943" s="26">
        <f>Data!A938</f>
        <v>41599</v>
      </c>
      <c r="AF943" s="35">
        <f>Data!B938</f>
        <v>79.319999999999993</v>
      </c>
      <c r="AG943" s="35">
        <f>Data!F938</f>
        <v>1925045</v>
      </c>
      <c r="AH943" s="35">
        <f>Data!C938</f>
        <v>79.87</v>
      </c>
      <c r="AI943" s="35">
        <f>Data!D938</f>
        <v>79.13</v>
      </c>
      <c r="AJ943" s="35">
        <f>Data!E938</f>
        <v>79.78</v>
      </c>
      <c r="AK943" s="35">
        <f>Data!F938</f>
        <v>1925045</v>
      </c>
      <c r="AL943" s="35">
        <f t="shared" si="138"/>
        <v>79.78</v>
      </c>
      <c r="AM943" s="35">
        <f t="shared" si="146"/>
        <v>-0.28829280521434442</v>
      </c>
      <c r="AN943" s="35">
        <f t="shared" si="145"/>
        <v>19.463337220688349</v>
      </c>
      <c r="AO943" s="35" t="str">
        <f t="shared" si="139"/>
        <v>no</v>
      </c>
      <c r="AP943" s="35" t="str">
        <f t="shared" si="140"/>
        <v>no</v>
      </c>
      <c r="AQ943" s="35" t="str">
        <f t="shared" si="140"/>
        <v>FITS BITCH</v>
      </c>
      <c r="AR943" s="35" t="str">
        <f t="shared" si="141"/>
        <v>FITS BITCH</v>
      </c>
      <c r="AS943" s="35" t="str">
        <f t="shared" si="142"/>
        <v>FITS BITCH</v>
      </c>
      <c r="AT943" s="20" t="str">
        <f t="shared" si="143"/>
        <v/>
      </c>
      <c r="AU943" s="20" t="str">
        <f t="shared" si="144"/>
        <v/>
      </c>
      <c r="AV943" s="20"/>
      <c r="AW943" s="20"/>
      <c r="AX943" s="20"/>
    </row>
    <row r="944" spans="31:50">
      <c r="AE944" s="26">
        <f>Data!A939</f>
        <v>41598</v>
      </c>
      <c r="AF944" s="35">
        <f>Data!B939</f>
        <v>79.91</v>
      </c>
      <c r="AG944" s="35">
        <f>Data!F939</f>
        <v>2875802</v>
      </c>
      <c r="AH944" s="35">
        <f>Data!C939</f>
        <v>80.13</v>
      </c>
      <c r="AI944" s="35">
        <f>Data!D939</f>
        <v>78.81</v>
      </c>
      <c r="AJ944" s="35">
        <f>Data!E939</f>
        <v>79.05</v>
      </c>
      <c r="AK944" s="35">
        <f>Data!F939</f>
        <v>2875802</v>
      </c>
      <c r="AL944" s="35">
        <f t="shared" si="138"/>
        <v>79.05</v>
      </c>
      <c r="AM944" s="35">
        <f t="shared" si="146"/>
        <v>-0.92346616065781661</v>
      </c>
      <c r="AN944" s="35">
        <f t="shared" si="145"/>
        <v>33.060586229510932</v>
      </c>
      <c r="AO944" s="35" t="str">
        <f t="shared" si="139"/>
        <v>no</v>
      </c>
      <c r="AP944" s="35" t="str">
        <f t="shared" si="140"/>
        <v>no</v>
      </c>
      <c r="AQ944" s="35" t="str">
        <f t="shared" si="140"/>
        <v>FITS BITCH</v>
      </c>
      <c r="AR944" s="35" t="str">
        <f t="shared" si="141"/>
        <v>FITS BITCH</v>
      </c>
      <c r="AS944" s="35" t="str">
        <f t="shared" si="142"/>
        <v>no</v>
      </c>
      <c r="AT944" s="20" t="str">
        <f t="shared" si="143"/>
        <v/>
      </c>
      <c r="AU944" s="20" t="str">
        <f t="shared" si="144"/>
        <v/>
      </c>
      <c r="AV944" s="20"/>
      <c r="AW944" s="20"/>
      <c r="AX944" s="20"/>
    </row>
    <row r="945" spans="31:50">
      <c r="AE945" s="26">
        <f>Data!A940</f>
        <v>41597</v>
      </c>
      <c r="AF945" s="35">
        <f>Data!B940</f>
        <v>78.8</v>
      </c>
      <c r="AG945" s="35">
        <f>Data!F940</f>
        <v>6780229</v>
      </c>
      <c r="AH945" s="35">
        <f>Data!C940</f>
        <v>80.44</v>
      </c>
      <c r="AI945" s="35">
        <f>Data!D940</f>
        <v>78.28</v>
      </c>
      <c r="AJ945" s="35">
        <f>Data!E940</f>
        <v>79.709999999999994</v>
      </c>
      <c r="AK945" s="35">
        <f>Data!F940</f>
        <v>6780229</v>
      </c>
      <c r="AL945" s="35">
        <f t="shared" si="138"/>
        <v>79.709999999999994</v>
      </c>
      <c r="AM945" s="35">
        <f t="shared" si="146"/>
        <v>0.82800150545727835</v>
      </c>
      <c r="AN945" s="35">
        <f t="shared" si="145"/>
        <v>57.585473882961772</v>
      </c>
      <c r="AO945" s="35" t="str">
        <f t="shared" si="139"/>
        <v>no</v>
      </c>
      <c r="AP945" s="35" t="str">
        <f t="shared" si="140"/>
        <v>FITS BITCH</v>
      </c>
      <c r="AQ945" s="35" t="str">
        <f t="shared" si="140"/>
        <v>FITS BITCH</v>
      </c>
      <c r="AR945" s="35" t="str">
        <f t="shared" si="141"/>
        <v>no</v>
      </c>
      <c r="AS945" s="35" t="str">
        <f t="shared" si="142"/>
        <v>FITS BITCH</v>
      </c>
      <c r="AT945" s="20" t="str">
        <f t="shared" si="143"/>
        <v/>
      </c>
      <c r="AU945" s="20" t="str">
        <f t="shared" si="144"/>
        <v/>
      </c>
      <c r="AV945" s="20"/>
      <c r="AW945" s="20"/>
      <c r="AX945" s="20"/>
    </row>
    <row r="946" spans="31:50">
      <c r="AE946" s="26">
        <f>Data!A941</f>
        <v>41596</v>
      </c>
      <c r="AF946" s="35">
        <f>Data!B941</f>
        <v>77.36</v>
      </c>
      <c r="AG946" s="35">
        <f>Data!F941</f>
        <v>1761619</v>
      </c>
      <c r="AH946" s="35">
        <f>Data!C941</f>
        <v>77.7</v>
      </c>
      <c r="AI946" s="35">
        <f>Data!D941</f>
        <v>77.14</v>
      </c>
      <c r="AJ946" s="35">
        <f>Data!E941</f>
        <v>77.36</v>
      </c>
      <c r="AK946" s="35">
        <f>Data!F941</f>
        <v>1761619</v>
      </c>
      <c r="AL946" s="35">
        <f t="shared" si="138"/>
        <v>77.36</v>
      </c>
      <c r="AM946" s="35">
        <f t="shared" si="146"/>
        <v>-3.0377456049637983</v>
      </c>
      <c r="AN946" s="35">
        <f t="shared" si="145"/>
        <v>-284.88623249408641</v>
      </c>
      <c r="AO946" s="35" t="str">
        <f t="shared" si="139"/>
        <v>FITS BITCH</v>
      </c>
      <c r="AP946" s="35" t="str">
        <f t="shared" si="140"/>
        <v>FITS BITCH</v>
      </c>
      <c r="AQ946" s="35" t="str">
        <f t="shared" si="140"/>
        <v>FITS BITCH</v>
      </c>
      <c r="AR946" s="35" t="str">
        <f t="shared" si="141"/>
        <v>FITS BITCH</v>
      </c>
      <c r="AS946" s="35" t="str">
        <f t="shared" si="142"/>
        <v>FITS BITCH</v>
      </c>
      <c r="AT946" s="20" t="str">
        <f t="shared" si="143"/>
        <v>BULLISH</v>
      </c>
      <c r="AU946" s="20" t="str">
        <f t="shared" si="144"/>
        <v>BEARISH</v>
      </c>
      <c r="AV946" s="20"/>
      <c r="AW946" s="20"/>
      <c r="AX946" s="20"/>
    </row>
    <row r="947" spans="31:50">
      <c r="AE947" s="26">
        <f>Data!A942</f>
        <v>41593</v>
      </c>
      <c r="AF947" s="35">
        <f>Data!B942</f>
        <v>76.87</v>
      </c>
      <c r="AG947" s="35">
        <f>Data!F942</f>
        <v>2347742</v>
      </c>
      <c r="AH947" s="35">
        <f>Data!C942</f>
        <v>77.400000000000006</v>
      </c>
      <c r="AI947" s="35">
        <f>Data!D942</f>
        <v>76.55</v>
      </c>
      <c r="AJ947" s="35">
        <f>Data!E942</f>
        <v>77.33</v>
      </c>
      <c r="AK947" s="35">
        <f>Data!F942</f>
        <v>2347742</v>
      </c>
      <c r="AL947" s="35">
        <f t="shared" si="138"/>
        <v>77.33</v>
      </c>
      <c r="AM947" s="35">
        <f t="shared" si="146"/>
        <v>-3.879477563688237E-2</v>
      </c>
      <c r="AN947" s="35">
        <f t="shared" si="145"/>
        <v>24.9653922790494</v>
      </c>
      <c r="AO947" s="35" t="str">
        <f t="shared" si="139"/>
        <v>no</v>
      </c>
      <c r="AP947" s="35" t="str">
        <f t="shared" si="140"/>
        <v>no</v>
      </c>
      <c r="AQ947" s="35" t="str">
        <f t="shared" si="140"/>
        <v>FITS BITCH</v>
      </c>
      <c r="AR947" s="35" t="str">
        <f t="shared" si="141"/>
        <v>FITS BITCH</v>
      </c>
      <c r="AS947" s="35" t="str">
        <f t="shared" si="142"/>
        <v>FITS BITCH</v>
      </c>
      <c r="AT947" s="20" t="str">
        <f t="shared" si="143"/>
        <v/>
      </c>
      <c r="AU947" s="20" t="str">
        <f t="shared" si="144"/>
        <v/>
      </c>
      <c r="AV947" s="20"/>
      <c r="AW947" s="20"/>
      <c r="AX947" s="20"/>
    </row>
    <row r="948" spans="31:50">
      <c r="AE948" s="26">
        <f>Data!A943</f>
        <v>41592</v>
      </c>
      <c r="AF948" s="35">
        <f>Data!B943</f>
        <v>76.64</v>
      </c>
      <c r="AG948" s="35">
        <f>Data!F943</f>
        <v>2190298</v>
      </c>
      <c r="AH948" s="35">
        <f>Data!C943</f>
        <v>77.430000000000007</v>
      </c>
      <c r="AI948" s="35">
        <f>Data!D943</f>
        <v>76.510000000000005</v>
      </c>
      <c r="AJ948" s="35">
        <f>Data!E943</f>
        <v>76.97</v>
      </c>
      <c r="AK948" s="35">
        <f>Data!F943</f>
        <v>2190298</v>
      </c>
      <c r="AL948" s="35">
        <f t="shared" si="138"/>
        <v>76.97</v>
      </c>
      <c r="AM948" s="35">
        <f t="shared" si="146"/>
        <v>-0.4677146940366369</v>
      </c>
      <c r="AN948" s="35">
        <f t="shared" si="145"/>
        <v>-7.1882456177195975</v>
      </c>
      <c r="AO948" s="35" t="str">
        <f t="shared" si="139"/>
        <v>no</v>
      </c>
      <c r="AP948" s="35" t="str">
        <f t="shared" si="140"/>
        <v>FITS BITCH</v>
      </c>
      <c r="AQ948" s="35" t="str">
        <f t="shared" si="140"/>
        <v>FITS BITCH</v>
      </c>
      <c r="AR948" s="35" t="str">
        <f t="shared" si="141"/>
        <v>no</v>
      </c>
      <c r="AS948" s="35" t="str">
        <f t="shared" si="142"/>
        <v>FITS BITCH</v>
      </c>
      <c r="AT948" s="20" t="str">
        <f t="shared" si="143"/>
        <v/>
      </c>
      <c r="AU948" s="20" t="str">
        <f t="shared" si="144"/>
        <v/>
      </c>
      <c r="AV948" s="20"/>
      <c r="AW948" s="20"/>
      <c r="AX948" s="20"/>
    </row>
    <row r="949" spans="31:50">
      <c r="AE949" s="26">
        <f>Data!A944</f>
        <v>41591</v>
      </c>
      <c r="AF949" s="35">
        <f>Data!B944</f>
        <v>75.650000000000006</v>
      </c>
      <c r="AG949" s="35">
        <f>Data!F944</f>
        <v>2437549</v>
      </c>
      <c r="AH949" s="35">
        <f>Data!C944</f>
        <v>76.5</v>
      </c>
      <c r="AI949" s="35">
        <f>Data!D944</f>
        <v>75.239999999999995</v>
      </c>
      <c r="AJ949" s="35">
        <f>Data!E944</f>
        <v>76.45</v>
      </c>
      <c r="AK949" s="35">
        <f>Data!F944</f>
        <v>2437549</v>
      </c>
      <c r="AL949" s="35">
        <f t="shared" si="138"/>
        <v>76.45</v>
      </c>
      <c r="AM949" s="35">
        <f t="shared" si="146"/>
        <v>-0.68018312622628641</v>
      </c>
      <c r="AN949" s="35">
        <f t="shared" si="145"/>
        <v>10.143426860342089</v>
      </c>
      <c r="AO949" s="35" t="str">
        <f t="shared" si="139"/>
        <v>no</v>
      </c>
      <c r="AP949" s="35" t="str">
        <f t="shared" si="140"/>
        <v>FITS BITCH</v>
      </c>
      <c r="AQ949" s="35" t="str">
        <f t="shared" si="140"/>
        <v>no</v>
      </c>
      <c r="AR949" s="35" t="str">
        <f t="shared" si="141"/>
        <v>no</v>
      </c>
      <c r="AS949" s="35" t="str">
        <f t="shared" si="142"/>
        <v>FITS BITCH</v>
      </c>
      <c r="AT949" s="20" t="str">
        <f t="shared" si="143"/>
        <v/>
      </c>
      <c r="AU949" s="20" t="str">
        <f t="shared" si="144"/>
        <v/>
      </c>
      <c r="AV949" s="20"/>
      <c r="AW949" s="20"/>
      <c r="AX949" s="20"/>
    </row>
    <row r="950" spans="31:50">
      <c r="AE950" s="26">
        <f>Data!A945</f>
        <v>41590</v>
      </c>
      <c r="AF950" s="35">
        <f>Data!B945</f>
        <v>75.69</v>
      </c>
      <c r="AG950" s="35">
        <f>Data!F945</f>
        <v>1812594</v>
      </c>
      <c r="AH950" s="35">
        <f>Data!C945</f>
        <v>75.900000000000006</v>
      </c>
      <c r="AI950" s="35">
        <f>Data!D945</f>
        <v>75.39</v>
      </c>
      <c r="AJ950" s="35">
        <f>Data!E945</f>
        <v>75.72</v>
      </c>
      <c r="AK950" s="35">
        <f>Data!F945</f>
        <v>1812594</v>
      </c>
      <c r="AL950" s="35">
        <f t="shared" si="138"/>
        <v>75.72</v>
      </c>
      <c r="AM950" s="35">
        <f t="shared" si="146"/>
        <v>-0.96407818277866353</v>
      </c>
      <c r="AN950" s="35">
        <f t="shared" si="145"/>
        <v>-34.478487736360158</v>
      </c>
      <c r="AO950" s="35" t="str">
        <f t="shared" si="139"/>
        <v>FITS BITCH</v>
      </c>
      <c r="AP950" s="35" t="str">
        <f t="shared" si="140"/>
        <v>no</v>
      </c>
      <c r="AQ950" s="35" t="str">
        <f t="shared" si="140"/>
        <v>no</v>
      </c>
      <c r="AR950" s="35" t="str">
        <f t="shared" si="141"/>
        <v>FITS BITCH</v>
      </c>
      <c r="AS950" s="35" t="str">
        <f t="shared" si="142"/>
        <v>no</v>
      </c>
      <c r="AT950" s="20" t="str">
        <f t="shared" si="143"/>
        <v/>
      </c>
      <c r="AU950" s="20" t="str">
        <f t="shared" si="144"/>
        <v/>
      </c>
      <c r="AV950" s="20"/>
      <c r="AW950" s="20"/>
      <c r="AX950" s="20"/>
    </row>
    <row r="951" spans="31:50">
      <c r="AE951" s="26">
        <f>Data!A946</f>
        <v>41589</v>
      </c>
      <c r="AF951" s="35">
        <f>Data!B946</f>
        <v>75.83</v>
      </c>
      <c r="AG951" s="35">
        <f>Data!F946</f>
        <v>1166717</v>
      </c>
      <c r="AH951" s="35">
        <f>Data!C946</f>
        <v>76.040000000000006</v>
      </c>
      <c r="AI951" s="35">
        <f>Data!D946</f>
        <v>75.5</v>
      </c>
      <c r="AJ951" s="35">
        <f>Data!E946</f>
        <v>75.760000000000005</v>
      </c>
      <c r="AK951" s="35">
        <f>Data!F946</f>
        <v>1166717</v>
      </c>
      <c r="AL951" s="35">
        <f t="shared" si="138"/>
        <v>75.760000000000005</v>
      </c>
      <c r="AM951" s="35">
        <f t="shared" si="146"/>
        <v>5.2798310454073717E-2</v>
      </c>
      <c r="AN951" s="35">
        <f t="shared" si="145"/>
        <v>-55.358497390541153</v>
      </c>
      <c r="AO951" s="35" t="str">
        <f t="shared" si="139"/>
        <v>FITS BITCH</v>
      </c>
      <c r="AP951" s="35" t="str">
        <f t="shared" si="140"/>
        <v>FITS BITCH</v>
      </c>
      <c r="AQ951" s="35" t="str">
        <f t="shared" si="140"/>
        <v>FITS BITCH</v>
      </c>
      <c r="AR951" s="35" t="str">
        <f t="shared" si="141"/>
        <v>FITS BITCH</v>
      </c>
      <c r="AS951" s="35" t="str">
        <f t="shared" si="142"/>
        <v>no</v>
      </c>
      <c r="AT951" s="20" t="str">
        <f t="shared" si="143"/>
        <v>BULLISH</v>
      </c>
      <c r="AU951" s="20" t="str">
        <f t="shared" si="144"/>
        <v/>
      </c>
      <c r="AV951" s="20"/>
      <c r="AW951" s="20"/>
      <c r="AX951" s="20"/>
    </row>
    <row r="952" spans="31:50">
      <c r="AE952" s="26">
        <f>Data!A947</f>
        <v>41586</v>
      </c>
      <c r="AF952" s="35">
        <f>Data!B947</f>
        <v>75.44</v>
      </c>
      <c r="AG952" s="35">
        <f>Data!F947</f>
        <v>1379200</v>
      </c>
      <c r="AH952" s="35">
        <f>Data!C947</f>
        <v>76.03</v>
      </c>
      <c r="AI952" s="35">
        <f>Data!D947</f>
        <v>75.209999999999994</v>
      </c>
      <c r="AJ952" s="35">
        <f>Data!E947</f>
        <v>76.010000000000005</v>
      </c>
      <c r="AK952" s="35">
        <f>Data!F947</f>
        <v>1379200</v>
      </c>
      <c r="AL952" s="35">
        <f t="shared" si="138"/>
        <v>76.010000000000005</v>
      </c>
      <c r="AM952" s="35">
        <f t="shared" si="146"/>
        <v>0.32890409156689909</v>
      </c>
      <c r="AN952" s="35">
        <f t="shared" si="145"/>
        <v>15.40625</v>
      </c>
      <c r="AO952" s="35" t="str">
        <f t="shared" si="139"/>
        <v>no</v>
      </c>
      <c r="AP952" s="35" t="str">
        <f t="shared" si="140"/>
        <v>no</v>
      </c>
      <c r="AQ952" s="35" t="b">
        <f t="shared" si="140"/>
        <v>0</v>
      </c>
      <c r="AR952" s="35" t="str">
        <f t="shared" si="141"/>
        <v>FITS BITCH</v>
      </c>
      <c r="AS952" s="35" t="str">
        <f t="shared" si="142"/>
        <v>FITS BITCH</v>
      </c>
      <c r="AT952" s="20" t="str">
        <f t="shared" si="143"/>
        <v/>
      </c>
      <c r="AU952" s="20" t="str">
        <f t="shared" si="144"/>
        <v/>
      </c>
      <c r="AV952" s="20"/>
      <c r="AW952" s="20"/>
      <c r="AX952" s="20"/>
    </row>
    <row r="953" spans="31:50">
      <c r="AE953" s="26">
        <f>Data!A948</f>
        <v>41585</v>
      </c>
      <c r="AF953" s="35">
        <f>Data!B948</f>
        <v>76.150000000000006</v>
      </c>
      <c r="AG953" s="35">
        <f>Data!F948</f>
        <v>1532707</v>
      </c>
      <c r="AH953" s="35">
        <f>Data!C948</f>
        <v>76.41</v>
      </c>
      <c r="AI953" s="35">
        <f>Data!D948</f>
        <v>75.209999999999994</v>
      </c>
      <c r="AJ953" s="35">
        <f>Data!E948</f>
        <v>75.33</v>
      </c>
      <c r="AK953" s="35">
        <f>Data!F948</f>
        <v>1532707</v>
      </c>
      <c r="AL953" s="35">
        <f t="shared" si="138"/>
        <v>75.33</v>
      </c>
      <c r="AM953" s="35">
        <f t="shared" si="146"/>
        <v>-0.90269480950485437</v>
      </c>
      <c r="AN953" s="35">
        <f t="shared" si="145"/>
        <v>10.015417167142839</v>
      </c>
      <c r="AO953" s="35" t="str">
        <f t="shared" si="139"/>
        <v>no</v>
      </c>
      <c r="AP953" s="35" t="str">
        <f t="shared" si="140"/>
        <v>FITS BITCH</v>
      </c>
      <c r="AQ953" s="35" t="str">
        <f t="shared" si="140"/>
        <v>no</v>
      </c>
      <c r="AR953" s="35" t="str">
        <f t="shared" si="141"/>
        <v>FITS BITCH</v>
      </c>
      <c r="AS953" s="35" t="str">
        <f t="shared" si="142"/>
        <v>no</v>
      </c>
      <c r="AT953" s="20" t="str">
        <f t="shared" si="143"/>
        <v/>
      </c>
      <c r="AU953" s="20" t="str">
        <f t="shared" si="144"/>
        <v/>
      </c>
      <c r="AV953" s="20"/>
      <c r="AW953" s="20"/>
      <c r="AX953" s="20"/>
    </row>
    <row r="954" spans="31:50">
      <c r="AE954" s="26">
        <f>Data!A949</f>
        <v>41584</v>
      </c>
      <c r="AF954" s="35">
        <f>Data!B949</f>
        <v>75.34</v>
      </c>
      <c r="AG954" s="35">
        <f>Data!F949</f>
        <v>1254660</v>
      </c>
      <c r="AH954" s="35">
        <f>Data!C949</f>
        <v>76.05</v>
      </c>
      <c r="AI954" s="35">
        <f>Data!D949</f>
        <v>75.319999999999993</v>
      </c>
      <c r="AJ954" s="35">
        <f>Data!E949</f>
        <v>75.83</v>
      </c>
      <c r="AK954" s="35">
        <f>Data!F949</f>
        <v>1254660</v>
      </c>
      <c r="AL954" s="35">
        <f t="shared" si="138"/>
        <v>75.83</v>
      </c>
      <c r="AM954" s="35">
        <f t="shared" si="146"/>
        <v>0.65936964262165376</v>
      </c>
      <c r="AN954" s="35">
        <f t="shared" si="145"/>
        <v>-22.16114325793442</v>
      </c>
      <c r="AO954" s="35" t="str">
        <f t="shared" si="139"/>
        <v>FITS BITCH</v>
      </c>
      <c r="AP954" s="35" t="str">
        <f t="shared" si="140"/>
        <v>FITS BITCH</v>
      </c>
      <c r="AQ954" s="35" t="str">
        <f t="shared" si="140"/>
        <v>FITS BITCH</v>
      </c>
      <c r="AR954" s="35" t="str">
        <f t="shared" si="141"/>
        <v>no</v>
      </c>
      <c r="AS954" s="35" t="str">
        <f t="shared" si="142"/>
        <v>FITS BITCH</v>
      </c>
      <c r="AT954" s="20" t="str">
        <f t="shared" si="143"/>
        <v/>
      </c>
      <c r="AU954" s="20" t="str">
        <f t="shared" si="144"/>
        <v>BEARISH</v>
      </c>
      <c r="AV954" s="20"/>
      <c r="AW954" s="20"/>
      <c r="AX954" s="20"/>
    </row>
    <row r="955" spans="31:50">
      <c r="AE955" s="26">
        <f>Data!A950</f>
        <v>41583</v>
      </c>
      <c r="AF955" s="35">
        <f>Data!B950</f>
        <v>75.25</v>
      </c>
      <c r="AG955" s="35">
        <f>Data!F950</f>
        <v>1166933</v>
      </c>
      <c r="AH955" s="35">
        <f>Data!C950</f>
        <v>75.67</v>
      </c>
      <c r="AI955" s="35">
        <f>Data!D950</f>
        <v>74.739999999999995</v>
      </c>
      <c r="AJ955" s="35">
        <f>Data!E950</f>
        <v>75.510000000000005</v>
      </c>
      <c r="AK955" s="35">
        <f>Data!F950</f>
        <v>1166933</v>
      </c>
      <c r="AL955" s="35">
        <f t="shared" si="138"/>
        <v>75.510000000000005</v>
      </c>
      <c r="AM955" s="35">
        <f t="shared" si="146"/>
        <v>-0.42378492914844806</v>
      </c>
      <c r="AN955" s="35">
        <f t="shared" si="145"/>
        <v>-7.5177409499945584</v>
      </c>
      <c r="AO955" s="35" t="str">
        <f t="shared" si="139"/>
        <v>no</v>
      </c>
      <c r="AP955" s="35" t="str">
        <f t="shared" si="140"/>
        <v>no</v>
      </c>
      <c r="AQ955" s="35" t="str">
        <f t="shared" si="140"/>
        <v>no</v>
      </c>
      <c r="AR955" s="35" t="str">
        <f t="shared" si="141"/>
        <v>FITS BITCH</v>
      </c>
      <c r="AS955" s="35" t="b">
        <f t="shared" si="142"/>
        <v>0</v>
      </c>
      <c r="AT955" s="20" t="str">
        <f t="shared" si="143"/>
        <v/>
      </c>
      <c r="AU955" s="20" t="str">
        <f t="shared" si="144"/>
        <v/>
      </c>
      <c r="AV955" s="20"/>
      <c r="AW955" s="20"/>
      <c r="AX955" s="20"/>
    </row>
    <row r="956" spans="31:50">
      <c r="AE956" s="26">
        <f>Data!A951</f>
        <v>41582</v>
      </c>
      <c r="AF956" s="35">
        <f>Data!B951</f>
        <v>75.72</v>
      </c>
      <c r="AG956" s="35">
        <f>Data!F951</f>
        <v>1581083</v>
      </c>
      <c r="AH956" s="35">
        <f>Data!C951</f>
        <v>75.91</v>
      </c>
      <c r="AI956" s="35">
        <f>Data!D951</f>
        <v>74.95</v>
      </c>
      <c r="AJ956" s="35">
        <f>Data!E951</f>
        <v>75.510000000000005</v>
      </c>
      <c r="AK956" s="35">
        <f>Data!F951</f>
        <v>1581083</v>
      </c>
      <c r="AL956" s="35">
        <f t="shared" si="138"/>
        <v>75.510000000000005</v>
      </c>
      <c r="AM956" s="35">
        <f t="shared" si="146"/>
        <v>0</v>
      </c>
      <c r="AN956" s="35">
        <f t="shared" si="145"/>
        <v>26.194070773008121</v>
      </c>
      <c r="AO956" s="35" t="str">
        <f t="shared" si="139"/>
        <v>no</v>
      </c>
      <c r="AP956" s="35" t="str">
        <f t="shared" si="140"/>
        <v>FITS BITCH</v>
      </c>
      <c r="AQ956" s="35" t="str">
        <f t="shared" si="140"/>
        <v>FITS BITCH</v>
      </c>
      <c r="AR956" s="35" t="str">
        <f t="shared" si="141"/>
        <v>no</v>
      </c>
      <c r="AS956" s="35" t="str">
        <f t="shared" si="142"/>
        <v>FITS BITCH</v>
      </c>
      <c r="AT956" s="20" t="str">
        <f t="shared" si="143"/>
        <v/>
      </c>
      <c r="AU956" s="20" t="str">
        <f t="shared" si="144"/>
        <v/>
      </c>
      <c r="AV956" s="20"/>
      <c r="AW956" s="20"/>
      <c r="AX956" s="20"/>
    </row>
    <row r="957" spans="31:50">
      <c r="AE957" s="26">
        <f>Data!A952</f>
        <v>41579</v>
      </c>
      <c r="AF957" s="35">
        <f>Data!B952</f>
        <v>75.349999999999994</v>
      </c>
      <c r="AG957" s="35">
        <f>Data!F952</f>
        <v>1852344</v>
      </c>
      <c r="AH957" s="35">
        <f>Data!C952</f>
        <v>75.48</v>
      </c>
      <c r="AI957" s="35">
        <f>Data!D952</f>
        <v>74.89</v>
      </c>
      <c r="AJ957" s="35">
        <f>Data!E952</f>
        <v>75.31</v>
      </c>
      <c r="AK957" s="35">
        <f>Data!F952</f>
        <v>1852344</v>
      </c>
      <c r="AL957" s="35">
        <f t="shared" si="138"/>
        <v>75.31</v>
      </c>
      <c r="AM957" s="35">
        <f t="shared" si="146"/>
        <v>-0.26556898154295955</v>
      </c>
      <c r="AN957" s="35">
        <f t="shared" si="145"/>
        <v>14.644202156834799</v>
      </c>
      <c r="AO957" s="35" t="str">
        <f t="shared" si="139"/>
        <v>no</v>
      </c>
      <c r="AP957" s="35" t="str">
        <f t="shared" si="140"/>
        <v>FITS BITCH</v>
      </c>
      <c r="AQ957" s="35" t="str">
        <f t="shared" si="140"/>
        <v>FITS BITCH</v>
      </c>
      <c r="AR957" s="35" t="str">
        <f t="shared" si="141"/>
        <v>no</v>
      </c>
      <c r="AS957" s="35" t="str">
        <f t="shared" si="142"/>
        <v>FITS BITCH</v>
      </c>
      <c r="AT957" s="20" t="str">
        <f t="shared" si="143"/>
        <v/>
      </c>
      <c r="AU957" s="20" t="str">
        <f t="shared" si="144"/>
        <v/>
      </c>
      <c r="AV957" s="20"/>
      <c r="AW957" s="20"/>
      <c r="AX957" s="20"/>
    </row>
    <row r="958" spans="31:50">
      <c r="AE958" s="26">
        <f>Data!A953</f>
        <v>41578</v>
      </c>
      <c r="AF958" s="35">
        <f>Data!B953</f>
        <v>74.260000000000005</v>
      </c>
      <c r="AG958" s="35">
        <f>Data!F953</f>
        <v>2727019</v>
      </c>
      <c r="AH958" s="35">
        <f>Data!C953</f>
        <v>75.25</v>
      </c>
      <c r="AI958" s="35">
        <f>Data!D953</f>
        <v>74.010000000000005</v>
      </c>
      <c r="AJ958" s="35">
        <f>Data!E953</f>
        <v>75.02</v>
      </c>
      <c r="AK958" s="35">
        <f>Data!F953</f>
        <v>2727019</v>
      </c>
      <c r="AL958" s="35">
        <f t="shared" si="138"/>
        <v>75.02</v>
      </c>
      <c r="AM958" s="35">
        <f t="shared" si="146"/>
        <v>-0.38656358304452981</v>
      </c>
      <c r="AN958" s="35">
        <f t="shared" si="145"/>
        <v>32.074400655074278</v>
      </c>
      <c r="AO958" s="35" t="str">
        <f t="shared" si="139"/>
        <v>no</v>
      </c>
      <c r="AP958" s="35" t="str">
        <f t="shared" si="140"/>
        <v>no</v>
      </c>
      <c r="AQ958" s="35" t="str">
        <f t="shared" si="140"/>
        <v>FITS BITCH</v>
      </c>
      <c r="AR958" s="35" t="str">
        <f t="shared" si="141"/>
        <v>FITS BITCH</v>
      </c>
      <c r="AS958" s="35" t="str">
        <f t="shared" si="142"/>
        <v>FITS BITCH</v>
      </c>
      <c r="AT958" s="20" t="str">
        <f t="shared" si="143"/>
        <v/>
      </c>
      <c r="AU958" s="20" t="str">
        <f t="shared" si="144"/>
        <v/>
      </c>
      <c r="AV958" s="20"/>
      <c r="AW958" s="20"/>
      <c r="AX958" s="20"/>
    </row>
    <row r="959" spans="31:50">
      <c r="AE959" s="26">
        <f>Data!A954</f>
        <v>41577</v>
      </c>
      <c r="AF959" s="35">
        <f>Data!B954</f>
        <v>75.91</v>
      </c>
      <c r="AG959" s="35">
        <f>Data!F954</f>
        <v>2169549</v>
      </c>
      <c r="AH959" s="35">
        <f>Data!C954</f>
        <v>75.91</v>
      </c>
      <c r="AI959" s="35">
        <f>Data!D954</f>
        <v>73.77</v>
      </c>
      <c r="AJ959" s="35">
        <f>Data!E954</f>
        <v>74.3</v>
      </c>
      <c r="AK959" s="35">
        <f>Data!F954</f>
        <v>2169549</v>
      </c>
      <c r="AL959" s="35">
        <f t="shared" si="138"/>
        <v>74.3</v>
      </c>
      <c r="AM959" s="35">
        <f t="shared" si="146"/>
        <v>-0.96904441453566481</v>
      </c>
      <c r="AN959" s="35">
        <f t="shared" si="145"/>
        <v>-25.695202090388371</v>
      </c>
      <c r="AO959" s="35" t="str">
        <f t="shared" si="139"/>
        <v>FITS BITCH</v>
      </c>
      <c r="AP959" s="35" t="str">
        <f t="shared" si="140"/>
        <v>no</v>
      </c>
      <c r="AQ959" s="35" t="str">
        <f t="shared" si="140"/>
        <v>no</v>
      </c>
      <c r="AR959" s="35" t="str">
        <f t="shared" si="141"/>
        <v>FITS BITCH</v>
      </c>
      <c r="AS959" s="35" t="str">
        <f t="shared" si="142"/>
        <v>no</v>
      </c>
      <c r="AT959" s="20" t="str">
        <f t="shared" si="143"/>
        <v/>
      </c>
      <c r="AU959" s="20" t="str">
        <f t="shared" si="144"/>
        <v/>
      </c>
      <c r="AV959" s="20"/>
      <c r="AW959" s="20"/>
      <c r="AX959" s="20"/>
    </row>
    <row r="960" spans="31:50">
      <c r="AE960" s="26">
        <f>Data!A955</f>
        <v>41576</v>
      </c>
      <c r="AF960" s="35">
        <f>Data!B955</f>
        <v>76.040000000000006</v>
      </c>
      <c r="AG960" s="35">
        <f>Data!F955</f>
        <v>1683396</v>
      </c>
      <c r="AH960" s="35">
        <f>Data!C955</f>
        <v>76.66</v>
      </c>
      <c r="AI960" s="35">
        <f>Data!D955</f>
        <v>75.569999999999993</v>
      </c>
      <c r="AJ960" s="35">
        <f>Data!E955</f>
        <v>76.349999999999994</v>
      </c>
      <c r="AK960" s="35">
        <f>Data!F955</f>
        <v>1683396</v>
      </c>
      <c r="AL960" s="35">
        <f t="shared" si="138"/>
        <v>76.349999999999994</v>
      </c>
      <c r="AM960" s="35">
        <f t="shared" si="146"/>
        <v>2.6850032743942336</v>
      </c>
      <c r="AN960" s="35">
        <f t="shared" si="145"/>
        <v>-28.879301127007551</v>
      </c>
      <c r="AO960" s="35" t="str">
        <f t="shared" si="139"/>
        <v>FITS BITCH</v>
      </c>
      <c r="AP960" s="35" t="str">
        <f t="shared" si="140"/>
        <v>FITS BITCH</v>
      </c>
      <c r="AQ960" s="35" t="str">
        <f t="shared" si="140"/>
        <v>FITS BITCH</v>
      </c>
      <c r="AR960" s="35" t="str">
        <f t="shared" si="141"/>
        <v>no</v>
      </c>
      <c r="AS960" s="35" t="str">
        <f t="shared" si="142"/>
        <v>FITS BITCH</v>
      </c>
      <c r="AT960" s="20" t="str">
        <f t="shared" si="143"/>
        <v/>
      </c>
      <c r="AU960" s="20" t="str">
        <f t="shared" si="144"/>
        <v>BEARISH</v>
      </c>
      <c r="AV960" s="20"/>
      <c r="AW960" s="20"/>
      <c r="AX960" s="20"/>
    </row>
    <row r="961" spans="31:50">
      <c r="AE961" s="26">
        <f>Data!A956</f>
        <v>41575</v>
      </c>
      <c r="AF961" s="35">
        <f>Data!B956</f>
        <v>75.319999999999993</v>
      </c>
      <c r="AG961" s="35">
        <f>Data!F956</f>
        <v>1649357</v>
      </c>
      <c r="AH961" s="35">
        <f>Data!C956</f>
        <v>76.08</v>
      </c>
      <c r="AI961" s="35">
        <f>Data!D956</f>
        <v>75.150000000000006</v>
      </c>
      <c r="AJ961" s="35">
        <f>Data!E956</f>
        <v>75.67</v>
      </c>
      <c r="AK961" s="35">
        <f>Data!F956</f>
        <v>1649357</v>
      </c>
      <c r="AL961" s="35">
        <f t="shared" si="138"/>
        <v>75.67</v>
      </c>
      <c r="AM961" s="35">
        <f t="shared" si="146"/>
        <v>-0.89863882648340498</v>
      </c>
      <c r="AN961" s="35">
        <f t="shared" si="145"/>
        <v>-2.0637739434215883</v>
      </c>
      <c r="AO961" s="35" t="str">
        <f t="shared" si="139"/>
        <v>no</v>
      </c>
      <c r="AP961" s="35" t="str">
        <f t="shared" si="140"/>
        <v>FITS BITCH</v>
      </c>
      <c r="AQ961" s="35" t="str">
        <f t="shared" si="140"/>
        <v>FITS BITCH</v>
      </c>
      <c r="AR961" s="35" t="str">
        <f t="shared" si="141"/>
        <v>FITS BITCH</v>
      </c>
      <c r="AS961" s="35" t="str">
        <f t="shared" si="142"/>
        <v>FITS BITCH</v>
      </c>
      <c r="AT961" s="20" t="str">
        <f t="shared" si="143"/>
        <v/>
      </c>
      <c r="AU961" s="20" t="str">
        <f t="shared" si="144"/>
        <v/>
      </c>
      <c r="AV961" s="20"/>
      <c r="AW961" s="20"/>
      <c r="AX961" s="20"/>
    </row>
    <row r="962" spans="31:50">
      <c r="AE962" s="26">
        <f>Data!A957</f>
        <v>41572</v>
      </c>
      <c r="AF962" s="35">
        <f>Data!B957</f>
        <v>75.31</v>
      </c>
      <c r="AG962" s="35">
        <f>Data!F957</f>
        <v>1167827</v>
      </c>
      <c r="AH962" s="35">
        <f>Data!C957</f>
        <v>75.709999999999994</v>
      </c>
      <c r="AI962" s="35">
        <f>Data!D957</f>
        <v>74.959999999999994</v>
      </c>
      <c r="AJ962" s="35">
        <f>Data!E957</f>
        <v>75.510000000000005</v>
      </c>
      <c r="AK962" s="35">
        <f>Data!F957</f>
        <v>1167827</v>
      </c>
      <c r="AL962" s="35">
        <f t="shared" si="138"/>
        <v>75.510000000000005</v>
      </c>
      <c r="AM962" s="35">
        <f t="shared" si="146"/>
        <v>-0.21189246457422403</v>
      </c>
      <c r="AN962" s="35">
        <f t="shared" si="145"/>
        <v>-41.232990845390624</v>
      </c>
      <c r="AO962" s="35" t="str">
        <f t="shared" si="139"/>
        <v>FITS BITCH</v>
      </c>
      <c r="AP962" s="35" t="str">
        <f t="shared" si="140"/>
        <v>FITS BITCH</v>
      </c>
      <c r="AQ962" s="35" t="str">
        <f t="shared" si="140"/>
        <v>no</v>
      </c>
      <c r="AR962" s="35" t="str">
        <f t="shared" si="141"/>
        <v>FITS BITCH</v>
      </c>
      <c r="AS962" s="35" t="str">
        <f t="shared" si="142"/>
        <v>FITS BITCH</v>
      </c>
      <c r="AT962" s="20" t="str">
        <f t="shared" si="143"/>
        <v>BULLISH</v>
      </c>
      <c r="AU962" s="20" t="str">
        <f t="shared" si="144"/>
        <v/>
      </c>
      <c r="AV962" s="20"/>
      <c r="AW962" s="20"/>
      <c r="AX962" s="20"/>
    </row>
    <row r="963" spans="31:50">
      <c r="AE963" s="26">
        <f>Data!A958</f>
        <v>41571</v>
      </c>
      <c r="AF963" s="35">
        <f>Data!B958</f>
        <v>75.3</v>
      </c>
      <c r="AG963" s="35">
        <f>Data!F958</f>
        <v>1389852</v>
      </c>
      <c r="AH963" s="35">
        <f>Data!C958</f>
        <v>75.64</v>
      </c>
      <c r="AI963" s="35">
        <f>Data!D958</f>
        <v>75.14</v>
      </c>
      <c r="AJ963" s="35">
        <f>Data!E958</f>
        <v>75.41</v>
      </c>
      <c r="AK963" s="35">
        <f>Data!F958</f>
        <v>1389852</v>
      </c>
      <c r="AL963" s="35">
        <f t="shared" si="138"/>
        <v>75.41</v>
      </c>
      <c r="AM963" s="35">
        <f t="shared" si="146"/>
        <v>-0.13260840737303875</v>
      </c>
      <c r="AN963" s="35">
        <f t="shared" si="145"/>
        <v>15.974722488437617</v>
      </c>
      <c r="AO963" s="35" t="str">
        <f t="shared" si="139"/>
        <v>no</v>
      </c>
      <c r="AP963" s="35" t="str">
        <f t="shared" si="140"/>
        <v>FITS BITCH</v>
      </c>
      <c r="AQ963" s="35" t="str">
        <f t="shared" si="140"/>
        <v>FITS BITCH</v>
      </c>
      <c r="AR963" s="35" t="str">
        <f t="shared" si="141"/>
        <v>no</v>
      </c>
      <c r="AS963" s="35" t="str">
        <f t="shared" si="142"/>
        <v>FITS BITCH</v>
      </c>
      <c r="AT963" s="20" t="str">
        <f t="shared" si="143"/>
        <v/>
      </c>
      <c r="AU963" s="20" t="str">
        <f t="shared" si="144"/>
        <v/>
      </c>
      <c r="AV963" s="20"/>
      <c r="AW963" s="20"/>
      <c r="AX963" s="20"/>
    </row>
    <row r="964" spans="31:50">
      <c r="AE964" s="26">
        <f>Data!A959</f>
        <v>41570</v>
      </c>
      <c r="AF964" s="35">
        <f>Data!B959</f>
        <v>75.239999999999995</v>
      </c>
      <c r="AG964" s="35">
        <f>Data!F959</f>
        <v>1111598</v>
      </c>
      <c r="AH964" s="35">
        <f>Data!C959</f>
        <v>75.31</v>
      </c>
      <c r="AI964" s="35">
        <f>Data!D959</f>
        <v>74.819999999999993</v>
      </c>
      <c r="AJ964" s="35">
        <f>Data!E959</f>
        <v>75.11</v>
      </c>
      <c r="AK964" s="35">
        <f>Data!F959</f>
        <v>1111598</v>
      </c>
      <c r="AL964" s="35">
        <f t="shared" si="138"/>
        <v>75.11</v>
      </c>
      <c r="AM964" s="35">
        <f t="shared" si="146"/>
        <v>-0.39941419251763699</v>
      </c>
      <c r="AN964" s="35">
        <f t="shared" si="145"/>
        <v>-25.031891025352692</v>
      </c>
      <c r="AO964" s="35" t="str">
        <f t="shared" si="139"/>
        <v>FITS BITCH</v>
      </c>
      <c r="AP964" s="35" t="str">
        <f t="shared" si="140"/>
        <v>no</v>
      </c>
      <c r="AQ964" s="35" t="str">
        <f t="shared" si="140"/>
        <v>FITS BITCH</v>
      </c>
      <c r="AR964" s="35" t="str">
        <f t="shared" si="141"/>
        <v>FITS BITCH</v>
      </c>
      <c r="AS964" s="35" t="str">
        <f t="shared" si="142"/>
        <v>no</v>
      </c>
      <c r="AT964" s="20" t="str">
        <f t="shared" si="143"/>
        <v/>
      </c>
      <c r="AU964" s="20" t="str">
        <f t="shared" si="144"/>
        <v/>
      </c>
      <c r="AV964" s="20"/>
      <c r="AW964" s="20"/>
      <c r="AX964" s="20"/>
    </row>
    <row r="965" spans="31:50">
      <c r="AE965" s="26">
        <f>Data!A960</f>
        <v>41569</v>
      </c>
      <c r="AF965" s="35">
        <f>Data!B960</f>
        <v>74.92</v>
      </c>
      <c r="AG965" s="35">
        <f>Data!F960</f>
        <v>1366720</v>
      </c>
      <c r="AH965" s="35">
        <f>Data!C960</f>
        <v>75.75</v>
      </c>
      <c r="AI965" s="35">
        <f>Data!D960</f>
        <v>74.64</v>
      </c>
      <c r="AJ965" s="35">
        <f>Data!E960</f>
        <v>75.45</v>
      </c>
      <c r="AK965" s="35">
        <f>Data!F960</f>
        <v>1366720</v>
      </c>
      <c r="AL965" s="35">
        <f t="shared" si="138"/>
        <v>75.45</v>
      </c>
      <c r="AM965" s="35">
        <f t="shared" si="146"/>
        <v>0.45062955599735377</v>
      </c>
      <c r="AN965" s="35">
        <f t="shared" si="145"/>
        <v>18.666734956684618</v>
      </c>
      <c r="AO965" s="35" t="str">
        <f t="shared" si="139"/>
        <v>no</v>
      </c>
      <c r="AP965" s="35" t="str">
        <f t="shared" si="140"/>
        <v>FITS BITCH</v>
      </c>
      <c r="AQ965" s="35" t="str">
        <f t="shared" si="140"/>
        <v>FITS BITCH</v>
      </c>
      <c r="AR965" s="35" t="str">
        <f t="shared" si="141"/>
        <v>no</v>
      </c>
      <c r="AS965" s="35" t="str">
        <f t="shared" si="142"/>
        <v>FITS BITCH</v>
      </c>
      <c r="AT965" s="20" t="str">
        <f t="shared" si="143"/>
        <v/>
      </c>
      <c r="AU965" s="20" t="str">
        <f t="shared" si="144"/>
        <v/>
      </c>
      <c r="AV965" s="20"/>
      <c r="AW965" s="20"/>
      <c r="AX965" s="20"/>
    </row>
    <row r="966" spans="31:50">
      <c r="AE966" s="26">
        <f>Data!A961</f>
        <v>41568</v>
      </c>
      <c r="AF966" s="35">
        <f>Data!B961</f>
        <v>73.989999999999995</v>
      </c>
      <c r="AG966" s="35">
        <f>Data!F961</f>
        <v>1238597</v>
      </c>
      <c r="AH966" s="35">
        <f>Data!C961</f>
        <v>74.75</v>
      </c>
      <c r="AI966" s="35">
        <f>Data!D961</f>
        <v>73.89</v>
      </c>
      <c r="AJ966" s="35">
        <f>Data!E961</f>
        <v>74.7</v>
      </c>
      <c r="AK966" s="35">
        <f>Data!F961</f>
        <v>1238597</v>
      </c>
      <c r="AL966" s="35">
        <f t="shared" ref="AL966:AL1029" si="147">AJ966</f>
        <v>74.7</v>
      </c>
      <c r="AM966" s="35">
        <f t="shared" si="146"/>
        <v>-1.0040160642570282</v>
      </c>
      <c r="AN966" s="35">
        <f t="shared" si="145"/>
        <v>-10.344203966261826</v>
      </c>
      <c r="AO966" s="35" t="str">
        <f t="shared" si="139"/>
        <v>FITS BITCH</v>
      </c>
      <c r="AP966" s="35" t="str">
        <f t="shared" si="140"/>
        <v>FITS BITCH</v>
      </c>
      <c r="AQ966" s="35" t="str">
        <f t="shared" si="140"/>
        <v>FITS BITCH</v>
      </c>
      <c r="AR966" s="35" t="str">
        <f t="shared" si="141"/>
        <v>no</v>
      </c>
      <c r="AS966" s="35" t="str">
        <f t="shared" si="142"/>
        <v>FITS BITCH</v>
      </c>
      <c r="AT966" s="20" t="str">
        <f t="shared" si="143"/>
        <v/>
      </c>
      <c r="AU966" s="20" t="str">
        <f t="shared" si="144"/>
        <v>BEARISH</v>
      </c>
      <c r="AV966" s="20"/>
      <c r="AW966" s="20"/>
      <c r="AX966" s="20"/>
    </row>
    <row r="967" spans="31:50">
      <c r="AE967" s="26">
        <f>Data!A962</f>
        <v>41565</v>
      </c>
      <c r="AF967" s="35">
        <f>Data!B962</f>
        <v>74.150000000000006</v>
      </c>
      <c r="AG967" s="35">
        <f>Data!F962</f>
        <v>1722746</v>
      </c>
      <c r="AH967" s="35">
        <f>Data!C962</f>
        <v>74.5</v>
      </c>
      <c r="AI967" s="35">
        <f>Data!D962</f>
        <v>73.87</v>
      </c>
      <c r="AJ967" s="35">
        <f>Data!E962</f>
        <v>74.19</v>
      </c>
      <c r="AK967" s="35">
        <f>Data!F962</f>
        <v>1722746</v>
      </c>
      <c r="AL967" s="35">
        <f t="shared" si="147"/>
        <v>74.19</v>
      </c>
      <c r="AM967" s="35">
        <f t="shared" si="146"/>
        <v>-0.68742418115649706</v>
      </c>
      <c r="AN967" s="35">
        <f t="shared" si="145"/>
        <v>28.103330380682934</v>
      </c>
      <c r="AO967" s="35" t="str">
        <f t="shared" si="139"/>
        <v>no</v>
      </c>
      <c r="AP967" s="35" t="str">
        <f t="shared" si="140"/>
        <v>FITS BITCH</v>
      </c>
      <c r="AQ967" s="35" t="str">
        <f t="shared" si="140"/>
        <v>FITS BITCH</v>
      </c>
      <c r="AR967" s="35" t="str">
        <f t="shared" si="141"/>
        <v>no</v>
      </c>
      <c r="AS967" s="35" t="str">
        <f t="shared" si="142"/>
        <v>FITS BITCH</v>
      </c>
      <c r="AT967" s="20" t="str">
        <f t="shared" si="143"/>
        <v/>
      </c>
      <c r="AU967" s="20" t="str">
        <f t="shared" si="144"/>
        <v/>
      </c>
      <c r="AV967" s="20"/>
      <c r="AW967" s="20"/>
      <c r="AX967" s="20"/>
    </row>
    <row r="968" spans="31:50">
      <c r="AE968" s="26">
        <f>Data!A963</f>
        <v>41564</v>
      </c>
      <c r="AF968" s="35">
        <f>Data!B963</f>
        <v>73.41</v>
      </c>
      <c r="AG968" s="35">
        <f>Data!F963</f>
        <v>1412504</v>
      </c>
      <c r="AH968" s="35">
        <f>Data!C963</f>
        <v>74.150000000000006</v>
      </c>
      <c r="AI968" s="35">
        <f>Data!D963</f>
        <v>73.25</v>
      </c>
      <c r="AJ968" s="35">
        <f>Data!E963</f>
        <v>74.08</v>
      </c>
      <c r="AK968" s="35">
        <f>Data!F963</f>
        <v>1412504</v>
      </c>
      <c r="AL968" s="35">
        <f t="shared" si="147"/>
        <v>74.08</v>
      </c>
      <c r="AM968" s="35">
        <f t="shared" si="146"/>
        <v>-0.14848812095032321</v>
      </c>
      <c r="AN968" s="35">
        <f t="shared" si="145"/>
        <v>-21.963973199367931</v>
      </c>
      <c r="AO968" s="35" t="str">
        <f t="shared" si="139"/>
        <v>FITS BITCH</v>
      </c>
      <c r="AP968" s="35" t="str">
        <f t="shared" si="140"/>
        <v>FITS BITCH</v>
      </c>
      <c r="AQ968" s="35" t="str">
        <f t="shared" si="140"/>
        <v>FITS BITCH</v>
      </c>
      <c r="AR968" s="35" t="str">
        <f t="shared" si="141"/>
        <v>no</v>
      </c>
      <c r="AS968" s="35" t="str">
        <f t="shared" si="142"/>
        <v>FITS BITCH</v>
      </c>
      <c r="AT968" s="20" t="str">
        <f t="shared" si="143"/>
        <v/>
      </c>
      <c r="AU968" s="20" t="str">
        <f t="shared" si="144"/>
        <v>BEARISH</v>
      </c>
      <c r="AV968" s="20"/>
      <c r="AW968" s="20"/>
      <c r="AX968" s="20"/>
    </row>
    <row r="969" spans="31:50">
      <c r="AE969" s="26">
        <f>Data!A964</f>
        <v>41563</v>
      </c>
      <c r="AF969" s="35">
        <f>Data!B964</f>
        <v>72.95</v>
      </c>
      <c r="AG969" s="35">
        <f>Data!F964</f>
        <v>1814173</v>
      </c>
      <c r="AH969" s="35">
        <f>Data!C964</f>
        <v>73.790000000000006</v>
      </c>
      <c r="AI969" s="35">
        <f>Data!D964</f>
        <v>72.72</v>
      </c>
      <c r="AJ969" s="35">
        <f>Data!E964</f>
        <v>73.72</v>
      </c>
      <c r="AK969" s="35">
        <f>Data!F964</f>
        <v>1814173</v>
      </c>
      <c r="AL969" s="35">
        <f t="shared" si="147"/>
        <v>73.72</v>
      </c>
      <c r="AM969" s="35">
        <f t="shared" si="146"/>
        <v>-0.48833423765599487</v>
      </c>
      <c r="AN969" s="35">
        <f t="shared" si="145"/>
        <v>22.140611727767968</v>
      </c>
      <c r="AO969" s="35" t="str">
        <f t="shared" ref="AO969:AO1032" si="148">IF(AN969&lt;-8,"FITS BITCH",IF(AN969&gt;-8,"no"))</f>
        <v>no</v>
      </c>
      <c r="AP969" s="35" t="str">
        <f t="shared" ref="AP969:AQ1014" si="149">IF(AH970&lt;AH969,"FITS BITCH",IF(AH970&gt;AH969,"no"))</f>
        <v>FITS BITCH</v>
      </c>
      <c r="AQ969" s="35" t="str">
        <f t="shared" si="149"/>
        <v>FITS BITCH</v>
      </c>
      <c r="AR969" s="35" t="str">
        <f t="shared" ref="AR969:AR1032" si="150">IF(AJ969&lt;AH970,"FITS BITCH",IF(AJ969&gt;AH970,"no"))</f>
        <v>no</v>
      </c>
      <c r="AS969" s="35" t="str">
        <f t="shared" ref="AS969:AS1032" si="151">IF(AJ969&gt;AJ970,"FITS BITCH",IF(AJ969&lt;AJ970,"no"))</f>
        <v>FITS BITCH</v>
      </c>
      <c r="AT969" s="20" t="str">
        <f t="shared" ref="AT969:AT1032" si="152">IF(AND($AO969="FITS BITCH",$AP969="FITS BITCH",$AR969="FITS BITCH"),"BULLISH","")</f>
        <v/>
      </c>
      <c r="AU969" s="20" t="str">
        <f t="shared" ref="AU969:AU1032" si="153">IF(AND($AO969="FITS BITCH",$AQ969="FITS BITCH",$AS969="FITS BITCH"),"BEARISH","")</f>
        <v/>
      </c>
      <c r="AV969" s="20"/>
      <c r="AW969" s="20"/>
      <c r="AX969" s="20"/>
    </row>
    <row r="970" spans="31:50">
      <c r="AE970" s="26">
        <f>Data!A965</f>
        <v>41562</v>
      </c>
      <c r="AF970" s="35">
        <f>Data!B965</f>
        <v>72.540000000000006</v>
      </c>
      <c r="AG970" s="35">
        <f>Data!F965</f>
        <v>1791176</v>
      </c>
      <c r="AH970" s="35">
        <f>Data!C965</f>
        <v>72.7</v>
      </c>
      <c r="AI970" s="35">
        <f>Data!D965</f>
        <v>72.180000000000007</v>
      </c>
      <c r="AJ970" s="35">
        <f>Data!E965</f>
        <v>72.319999999999993</v>
      </c>
      <c r="AK970" s="35">
        <f>Data!F965</f>
        <v>1791176</v>
      </c>
      <c r="AL970" s="35">
        <f t="shared" si="147"/>
        <v>72.319999999999993</v>
      </c>
      <c r="AM970" s="35">
        <f t="shared" si="146"/>
        <v>-1.9358407079646101</v>
      </c>
      <c r="AN970" s="35">
        <f t="shared" ref="AN970:AN1033" si="154">(AK970-AK969)/AK970*100</f>
        <v>-1.2839050992197305</v>
      </c>
      <c r="AO970" s="35" t="str">
        <f t="shared" si="148"/>
        <v>no</v>
      </c>
      <c r="AP970" s="35" t="str">
        <f t="shared" si="149"/>
        <v>no</v>
      </c>
      <c r="AQ970" s="35" t="str">
        <f t="shared" si="149"/>
        <v>FITS BITCH</v>
      </c>
      <c r="AR970" s="35" t="str">
        <f t="shared" si="150"/>
        <v>FITS BITCH</v>
      </c>
      <c r="AS970" s="35" t="str">
        <f t="shared" si="151"/>
        <v>no</v>
      </c>
      <c r="AT970" s="20" t="str">
        <f t="shared" si="152"/>
        <v/>
      </c>
      <c r="AU970" s="20" t="str">
        <f t="shared" si="153"/>
        <v/>
      </c>
      <c r="AV970" s="20"/>
      <c r="AW970" s="20"/>
      <c r="AX970" s="20"/>
    </row>
    <row r="971" spans="31:50">
      <c r="AE971" s="26">
        <f>Data!A966</f>
        <v>41561</v>
      </c>
      <c r="AF971" s="35">
        <f>Data!B966</f>
        <v>72.36</v>
      </c>
      <c r="AG971" s="35">
        <f>Data!F966</f>
        <v>987343</v>
      </c>
      <c r="AH971" s="35">
        <f>Data!C966</f>
        <v>72.89</v>
      </c>
      <c r="AI971" s="35">
        <f>Data!D966</f>
        <v>72.14</v>
      </c>
      <c r="AJ971" s="35">
        <f>Data!E966</f>
        <v>72.86</v>
      </c>
      <c r="AK971" s="35">
        <f>Data!F966</f>
        <v>987343</v>
      </c>
      <c r="AL971" s="35">
        <f t="shared" si="147"/>
        <v>72.86</v>
      </c>
      <c r="AM971" s="35">
        <f t="shared" si="146"/>
        <v>0.74114740598408768</v>
      </c>
      <c r="AN971" s="35">
        <f t="shared" si="154"/>
        <v>-81.413753882895818</v>
      </c>
      <c r="AO971" s="35" t="str">
        <f t="shared" si="148"/>
        <v>FITS BITCH</v>
      </c>
      <c r="AP971" s="35" t="str">
        <f t="shared" si="149"/>
        <v>FITS BITCH</v>
      </c>
      <c r="AQ971" s="35" t="str">
        <f t="shared" si="149"/>
        <v>FITS BITCH</v>
      </c>
      <c r="AR971" s="35" t="str">
        <f t="shared" si="150"/>
        <v>no</v>
      </c>
      <c r="AS971" s="35" t="str">
        <f t="shared" si="151"/>
        <v>FITS BITCH</v>
      </c>
      <c r="AT971" s="20" t="str">
        <f t="shared" si="152"/>
        <v/>
      </c>
      <c r="AU971" s="20" t="str">
        <f t="shared" si="153"/>
        <v>BEARISH</v>
      </c>
      <c r="AV971" s="20"/>
      <c r="AW971" s="20"/>
      <c r="AX971" s="20"/>
    </row>
    <row r="972" spans="31:50">
      <c r="AE972" s="26">
        <f>Data!A967</f>
        <v>41558</v>
      </c>
      <c r="AF972" s="35">
        <f>Data!B967</f>
        <v>71.260000000000005</v>
      </c>
      <c r="AG972" s="35">
        <f>Data!F967</f>
        <v>1076046</v>
      </c>
      <c r="AH972" s="35">
        <f>Data!C967</f>
        <v>72.53</v>
      </c>
      <c r="AI972" s="35">
        <f>Data!D967</f>
        <v>71.22</v>
      </c>
      <c r="AJ972" s="35">
        <f>Data!E967</f>
        <v>72.510000000000005</v>
      </c>
      <c r="AK972" s="35">
        <f>Data!F967</f>
        <v>1076046</v>
      </c>
      <c r="AL972" s="35">
        <f t="shared" si="147"/>
        <v>72.510000000000005</v>
      </c>
      <c r="AM972" s="35">
        <f t="shared" si="146"/>
        <v>-0.4826920424768919</v>
      </c>
      <c r="AN972" s="35">
        <f t="shared" si="154"/>
        <v>8.2434208202995034</v>
      </c>
      <c r="AO972" s="35" t="str">
        <f t="shared" si="148"/>
        <v>no</v>
      </c>
      <c r="AP972" s="35" t="str">
        <f t="shared" si="149"/>
        <v>FITS BITCH</v>
      </c>
      <c r="AQ972" s="35" t="str">
        <f t="shared" si="149"/>
        <v>FITS BITCH</v>
      </c>
      <c r="AR972" s="35" t="str">
        <f t="shared" si="150"/>
        <v>no</v>
      </c>
      <c r="AS972" s="35" t="str">
        <f t="shared" si="151"/>
        <v>FITS BITCH</v>
      </c>
      <c r="AT972" s="20" t="str">
        <f t="shared" si="152"/>
        <v/>
      </c>
      <c r="AU972" s="20" t="str">
        <f t="shared" si="153"/>
        <v/>
      </c>
      <c r="AV972" s="20"/>
      <c r="AW972" s="20"/>
      <c r="AX972" s="20"/>
    </row>
    <row r="973" spans="31:50">
      <c r="AE973" s="26">
        <f>Data!A968</f>
        <v>41557</v>
      </c>
      <c r="AF973" s="35">
        <f>Data!B968</f>
        <v>70.84</v>
      </c>
      <c r="AG973" s="35">
        <f>Data!F968</f>
        <v>1402502</v>
      </c>
      <c r="AH973" s="35">
        <f>Data!C968</f>
        <v>71.930000000000007</v>
      </c>
      <c r="AI973" s="35">
        <f>Data!D968</f>
        <v>70.61</v>
      </c>
      <c r="AJ973" s="35">
        <f>Data!E968</f>
        <v>71.81</v>
      </c>
      <c r="AK973" s="35">
        <f>Data!F968</f>
        <v>1402502</v>
      </c>
      <c r="AL973" s="35">
        <f t="shared" si="147"/>
        <v>71.81</v>
      </c>
      <c r="AM973" s="35">
        <f t="shared" si="146"/>
        <v>-0.97479459685280989</v>
      </c>
      <c r="AN973" s="35">
        <f t="shared" si="154"/>
        <v>23.276686949466026</v>
      </c>
      <c r="AO973" s="35" t="str">
        <f t="shared" si="148"/>
        <v>no</v>
      </c>
      <c r="AP973" s="35" t="str">
        <f t="shared" si="149"/>
        <v>FITS BITCH</v>
      </c>
      <c r="AQ973" s="35" t="str">
        <f t="shared" si="149"/>
        <v>FITS BITCH</v>
      </c>
      <c r="AR973" s="35" t="str">
        <f t="shared" si="150"/>
        <v>no</v>
      </c>
      <c r="AS973" s="35" t="str">
        <f t="shared" si="151"/>
        <v>FITS BITCH</v>
      </c>
      <c r="AT973" s="20" t="str">
        <f t="shared" si="152"/>
        <v/>
      </c>
      <c r="AU973" s="20" t="str">
        <f t="shared" si="153"/>
        <v/>
      </c>
      <c r="AV973" s="20"/>
      <c r="AW973" s="20"/>
      <c r="AX973" s="20"/>
    </row>
    <row r="974" spans="31:50">
      <c r="AE974" s="26">
        <f>Data!A969</f>
        <v>41556</v>
      </c>
      <c r="AF974" s="35">
        <f>Data!B969</f>
        <v>70.25</v>
      </c>
      <c r="AG974" s="35">
        <f>Data!F969</f>
        <v>1415390</v>
      </c>
      <c r="AH974" s="35">
        <f>Data!C969</f>
        <v>70.599999999999994</v>
      </c>
      <c r="AI974" s="35">
        <f>Data!D969</f>
        <v>69.91</v>
      </c>
      <c r="AJ974" s="35">
        <f>Data!E969</f>
        <v>70.28</v>
      </c>
      <c r="AK974" s="35">
        <f>Data!F969</f>
        <v>1415390</v>
      </c>
      <c r="AL974" s="35">
        <f t="shared" si="147"/>
        <v>70.28</v>
      </c>
      <c r="AM974" s="35">
        <f t="shared" si="146"/>
        <v>-2.1770062606716012</v>
      </c>
      <c r="AN974" s="35">
        <f t="shared" si="154"/>
        <v>0.91056175329767775</v>
      </c>
      <c r="AO974" s="35" t="str">
        <f t="shared" si="148"/>
        <v>no</v>
      </c>
      <c r="AP974" s="35" t="str">
        <f t="shared" si="149"/>
        <v>no</v>
      </c>
      <c r="AQ974" s="35" t="str">
        <f t="shared" si="149"/>
        <v>no</v>
      </c>
      <c r="AR974" s="35" t="str">
        <f t="shared" si="150"/>
        <v>FITS BITCH</v>
      </c>
      <c r="AS974" s="35" t="str">
        <f t="shared" si="151"/>
        <v>FITS BITCH</v>
      </c>
      <c r="AT974" s="20" t="str">
        <f t="shared" si="152"/>
        <v/>
      </c>
      <c r="AU974" s="20" t="str">
        <f t="shared" si="153"/>
        <v/>
      </c>
      <c r="AV974" s="20"/>
      <c r="AW974" s="20"/>
      <c r="AX974" s="20"/>
    </row>
    <row r="975" spans="31:50">
      <c r="AE975" s="26">
        <f>Data!A970</f>
        <v>41555</v>
      </c>
      <c r="AF975" s="35">
        <f>Data!B970</f>
        <v>71.14</v>
      </c>
      <c r="AG975" s="35">
        <f>Data!F970</f>
        <v>1503077</v>
      </c>
      <c r="AH975" s="35">
        <f>Data!C970</f>
        <v>71.239999999999995</v>
      </c>
      <c r="AI975" s="35">
        <f>Data!D970</f>
        <v>70.17</v>
      </c>
      <c r="AJ975" s="35">
        <f>Data!E970</f>
        <v>70.239999999999995</v>
      </c>
      <c r="AK975" s="35">
        <f>Data!F970</f>
        <v>1503077</v>
      </c>
      <c r="AL975" s="35">
        <f t="shared" si="147"/>
        <v>70.239999999999995</v>
      </c>
      <c r="AM975" s="35">
        <f t="shared" si="146"/>
        <v>-5.6947608200464489E-2</v>
      </c>
      <c r="AN975" s="35">
        <f t="shared" si="154"/>
        <v>5.8338328641846031</v>
      </c>
      <c r="AO975" s="35" t="str">
        <f t="shared" si="148"/>
        <v>no</v>
      </c>
      <c r="AP975" s="35" t="str">
        <f t="shared" si="149"/>
        <v>no</v>
      </c>
      <c r="AQ975" s="35" t="str">
        <f t="shared" si="149"/>
        <v>no</v>
      </c>
      <c r="AR975" s="35" t="str">
        <f t="shared" si="150"/>
        <v>FITS BITCH</v>
      </c>
      <c r="AS975" s="35" t="str">
        <f t="shared" si="151"/>
        <v>no</v>
      </c>
      <c r="AT975" s="20" t="str">
        <f t="shared" si="152"/>
        <v/>
      </c>
      <c r="AU975" s="20" t="str">
        <f t="shared" si="153"/>
        <v/>
      </c>
      <c r="AV975" s="20"/>
      <c r="AW975" s="20"/>
      <c r="AX975" s="20"/>
    </row>
    <row r="976" spans="31:50">
      <c r="AE976" s="26">
        <f>Data!A971</f>
        <v>41554</v>
      </c>
      <c r="AF976" s="35">
        <f>Data!B971</f>
        <v>70.89</v>
      </c>
      <c r="AG976" s="35">
        <f>Data!F971</f>
        <v>880558</v>
      </c>
      <c r="AH976" s="35">
        <f>Data!C971</f>
        <v>71.349999999999994</v>
      </c>
      <c r="AI976" s="35">
        <f>Data!D971</f>
        <v>70.52</v>
      </c>
      <c r="AJ976" s="35">
        <f>Data!E971</f>
        <v>71.02</v>
      </c>
      <c r="AK976" s="35">
        <f>Data!F971</f>
        <v>880558</v>
      </c>
      <c r="AL976" s="35">
        <f t="shared" si="147"/>
        <v>71.02</v>
      </c>
      <c r="AM976" s="35">
        <f t="shared" si="146"/>
        <v>1.0982821740354844</v>
      </c>
      <c r="AN976" s="35">
        <f t="shared" si="154"/>
        <v>-70.695967784064194</v>
      </c>
      <c r="AO976" s="35" t="str">
        <f t="shared" si="148"/>
        <v>FITS BITCH</v>
      </c>
      <c r="AP976" s="35" t="str">
        <f t="shared" si="149"/>
        <v>no</v>
      </c>
      <c r="AQ976" s="35" t="str">
        <f t="shared" si="149"/>
        <v>no</v>
      </c>
      <c r="AR976" s="35" t="str">
        <f t="shared" si="150"/>
        <v>FITS BITCH</v>
      </c>
      <c r="AS976" s="35" t="str">
        <f t="shared" si="151"/>
        <v>no</v>
      </c>
      <c r="AT976" s="20" t="str">
        <f t="shared" si="152"/>
        <v/>
      </c>
      <c r="AU976" s="20" t="str">
        <f t="shared" si="153"/>
        <v/>
      </c>
      <c r="AV976" s="20"/>
      <c r="AW976" s="20"/>
      <c r="AX976" s="20"/>
    </row>
    <row r="977" spans="31:50">
      <c r="AE977" s="26">
        <f>Data!A972</f>
        <v>41551</v>
      </c>
      <c r="AF977" s="35">
        <f>Data!B972</f>
        <v>71.260000000000005</v>
      </c>
      <c r="AG977" s="35">
        <f>Data!F972</f>
        <v>1240975</v>
      </c>
      <c r="AH977" s="35">
        <f>Data!C972</f>
        <v>71.61</v>
      </c>
      <c r="AI977" s="35">
        <f>Data!D972</f>
        <v>70.94</v>
      </c>
      <c r="AJ977" s="35">
        <f>Data!E972</f>
        <v>71.52</v>
      </c>
      <c r="AK977" s="35">
        <f>Data!F972</f>
        <v>1240975</v>
      </c>
      <c r="AL977" s="35">
        <f t="shared" si="147"/>
        <v>71.52</v>
      </c>
      <c r="AM977" s="35">
        <f t="shared" si="146"/>
        <v>0.69910514541387025</v>
      </c>
      <c r="AN977" s="35">
        <f t="shared" si="154"/>
        <v>29.043050826970727</v>
      </c>
      <c r="AO977" s="35" t="str">
        <f t="shared" si="148"/>
        <v>no</v>
      </c>
      <c r="AP977" s="35" t="str">
        <f t="shared" si="149"/>
        <v>no</v>
      </c>
      <c r="AQ977" s="35" t="str">
        <f t="shared" si="149"/>
        <v>FITS BITCH</v>
      </c>
      <c r="AR977" s="35" t="str">
        <f t="shared" si="150"/>
        <v>FITS BITCH</v>
      </c>
      <c r="AS977" s="35" t="str">
        <f t="shared" si="151"/>
        <v>FITS BITCH</v>
      </c>
      <c r="AT977" s="20" t="str">
        <f t="shared" si="152"/>
        <v/>
      </c>
      <c r="AU977" s="20" t="str">
        <f t="shared" si="153"/>
        <v/>
      </c>
      <c r="AV977" s="20"/>
      <c r="AW977" s="20"/>
      <c r="AX977" s="20"/>
    </row>
    <row r="978" spans="31:50">
      <c r="AE978" s="26">
        <f>Data!A973</f>
        <v>41550</v>
      </c>
      <c r="AF978" s="35">
        <f>Data!B973</f>
        <v>71.709999999999994</v>
      </c>
      <c r="AG978" s="35">
        <f>Data!F973</f>
        <v>1362596</v>
      </c>
      <c r="AH978" s="35">
        <f>Data!C973</f>
        <v>72</v>
      </c>
      <c r="AI978" s="35">
        <f>Data!D973</f>
        <v>70.89</v>
      </c>
      <c r="AJ978" s="35">
        <f>Data!E973</f>
        <v>71.099999999999994</v>
      </c>
      <c r="AK978" s="35">
        <f>Data!F973</f>
        <v>1362596</v>
      </c>
      <c r="AL978" s="35">
        <f t="shared" si="147"/>
        <v>71.099999999999994</v>
      </c>
      <c r="AM978" s="35">
        <f t="shared" si="146"/>
        <v>-0.59071729957806152</v>
      </c>
      <c r="AN978" s="35">
        <f t="shared" si="154"/>
        <v>8.9256830344430771</v>
      </c>
      <c r="AO978" s="35" t="str">
        <f t="shared" si="148"/>
        <v>no</v>
      </c>
      <c r="AP978" s="35" t="str">
        <f t="shared" si="149"/>
        <v>no</v>
      </c>
      <c r="AQ978" s="35" t="str">
        <f t="shared" si="149"/>
        <v>no</v>
      </c>
      <c r="AR978" s="35" t="str">
        <f t="shared" si="150"/>
        <v>FITS BITCH</v>
      </c>
      <c r="AS978" s="35" t="str">
        <f t="shared" si="151"/>
        <v>no</v>
      </c>
      <c r="AT978" s="20" t="str">
        <f t="shared" si="152"/>
        <v/>
      </c>
      <c r="AU978" s="20" t="str">
        <f t="shared" si="153"/>
        <v/>
      </c>
      <c r="AV978" s="20"/>
      <c r="AW978" s="20"/>
      <c r="AX978" s="20"/>
    </row>
    <row r="979" spans="31:50">
      <c r="AE979" s="26">
        <f>Data!A974</f>
        <v>41549</v>
      </c>
      <c r="AF979" s="35">
        <f>Data!B974</f>
        <v>72</v>
      </c>
      <c r="AG979" s="35">
        <f>Data!F974</f>
        <v>1729688</v>
      </c>
      <c r="AH979" s="35">
        <f>Data!C974</f>
        <v>72.099999999999994</v>
      </c>
      <c r="AI979" s="35">
        <f>Data!D974</f>
        <v>71.66</v>
      </c>
      <c r="AJ979" s="35">
        <f>Data!E974</f>
        <v>72.02</v>
      </c>
      <c r="AK979" s="35">
        <f>Data!F974</f>
        <v>1729688</v>
      </c>
      <c r="AL979" s="35">
        <f t="shared" si="147"/>
        <v>72.02</v>
      </c>
      <c r="AM979" s="35">
        <f t="shared" si="146"/>
        <v>1.27742293807276</v>
      </c>
      <c r="AN979" s="35">
        <f t="shared" si="154"/>
        <v>21.223018255315409</v>
      </c>
      <c r="AO979" s="35" t="str">
        <f t="shared" si="148"/>
        <v>no</v>
      </c>
      <c r="AP979" s="35" t="str">
        <f t="shared" si="149"/>
        <v>no</v>
      </c>
      <c r="AQ979" s="35" t="str">
        <f t="shared" si="149"/>
        <v>no</v>
      </c>
      <c r="AR979" s="35" t="str">
        <f t="shared" si="150"/>
        <v>FITS BITCH</v>
      </c>
      <c r="AS979" s="35" t="str">
        <f t="shared" si="151"/>
        <v>no</v>
      </c>
      <c r="AT979" s="20" t="str">
        <f t="shared" si="152"/>
        <v/>
      </c>
      <c r="AU979" s="20" t="str">
        <f t="shared" si="153"/>
        <v/>
      </c>
      <c r="AV979" s="20"/>
      <c r="AW979" s="20"/>
      <c r="AX979" s="20"/>
    </row>
    <row r="980" spans="31:50">
      <c r="AE980" s="26">
        <f>Data!A975</f>
        <v>41548</v>
      </c>
      <c r="AF980" s="35">
        <f>Data!B975</f>
        <v>72.58</v>
      </c>
      <c r="AG980" s="35">
        <f>Data!F975</f>
        <v>1485427</v>
      </c>
      <c r="AH980" s="35">
        <f>Data!C975</f>
        <v>72.58</v>
      </c>
      <c r="AI980" s="35">
        <f>Data!D975</f>
        <v>71.89</v>
      </c>
      <c r="AJ980" s="35">
        <f>Data!E975</f>
        <v>72.16</v>
      </c>
      <c r="AK980" s="35">
        <f>Data!F975</f>
        <v>1485427</v>
      </c>
      <c r="AL980" s="35">
        <f t="shared" si="147"/>
        <v>72.16</v>
      </c>
      <c r="AM980" s="35">
        <f t="shared" si="146"/>
        <v>0.19401330376940212</v>
      </c>
      <c r="AN980" s="35">
        <f t="shared" si="154"/>
        <v>-16.443823897101641</v>
      </c>
      <c r="AO980" s="35" t="str">
        <f t="shared" si="148"/>
        <v>FITS BITCH</v>
      </c>
      <c r="AP980" s="35" t="str">
        <f t="shared" si="149"/>
        <v>FITS BITCH</v>
      </c>
      <c r="AQ980" s="35" t="b">
        <f t="shared" si="149"/>
        <v>0</v>
      </c>
      <c r="AR980" s="35" t="str">
        <f t="shared" si="150"/>
        <v>FITS BITCH</v>
      </c>
      <c r="AS980" s="35" t="str">
        <f t="shared" si="151"/>
        <v>no</v>
      </c>
      <c r="AT980" s="20" t="str">
        <f t="shared" si="152"/>
        <v>BULLISH</v>
      </c>
      <c r="AU980" s="20" t="str">
        <f t="shared" si="153"/>
        <v/>
      </c>
      <c r="AV980" s="20"/>
      <c r="AW980" s="20"/>
      <c r="AX980" s="20"/>
    </row>
    <row r="981" spans="31:50">
      <c r="AE981" s="26">
        <f>Data!A976</f>
        <v>41547</v>
      </c>
      <c r="AF981" s="35">
        <f>Data!B976</f>
        <v>72.31</v>
      </c>
      <c r="AG981" s="35">
        <f>Data!F976</f>
        <v>1762344</v>
      </c>
      <c r="AH981" s="35">
        <f>Data!C976</f>
        <v>72.510000000000005</v>
      </c>
      <c r="AI981" s="35">
        <f>Data!D976</f>
        <v>71.89</v>
      </c>
      <c r="AJ981" s="35">
        <f>Data!E976</f>
        <v>72.38</v>
      </c>
      <c r="AK981" s="35">
        <f>Data!F976</f>
        <v>1762344</v>
      </c>
      <c r="AL981" s="35">
        <f t="shared" si="147"/>
        <v>72.38</v>
      </c>
      <c r="AM981" s="35">
        <f t="shared" si="146"/>
        <v>0.30395136778115345</v>
      </c>
      <c r="AN981" s="35">
        <f t="shared" si="154"/>
        <v>15.71299360397289</v>
      </c>
      <c r="AO981" s="35" t="str">
        <f t="shared" si="148"/>
        <v>no</v>
      </c>
      <c r="AP981" s="35" t="str">
        <f t="shared" si="149"/>
        <v>no</v>
      </c>
      <c r="AQ981" s="35" t="str">
        <f t="shared" si="149"/>
        <v>FITS BITCH</v>
      </c>
      <c r="AR981" s="35" t="str">
        <f t="shared" si="150"/>
        <v>FITS BITCH</v>
      </c>
      <c r="AS981" s="35" t="str">
        <f t="shared" si="151"/>
        <v>no</v>
      </c>
      <c r="AT981" s="20" t="str">
        <f t="shared" si="152"/>
        <v/>
      </c>
      <c r="AU981" s="20" t="str">
        <f t="shared" si="153"/>
        <v/>
      </c>
      <c r="AV981" s="20"/>
      <c r="AW981" s="20"/>
      <c r="AX981" s="20"/>
    </row>
    <row r="982" spans="31:50">
      <c r="AE982" s="26">
        <f>Data!A977</f>
        <v>41544</v>
      </c>
      <c r="AF982" s="35">
        <f>Data!B977</f>
        <v>72.7</v>
      </c>
      <c r="AG982" s="35">
        <f>Data!F977</f>
        <v>1396033</v>
      </c>
      <c r="AH982" s="35">
        <f>Data!C977</f>
        <v>72.73</v>
      </c>
      <c r="AI982" s="35">
        <f>Data!D977</f>
        <v>71.61</v>
      </c>
      <c r="AJ982" s="35">
        <f>Data!E977</f>
        <v>72.56</v>
      </c>
      <c r="AK982" s="35">
        <f>Data!F977</f>
        <v>1396033</v>
      </c>
      <c r="AL982" s="35">
        <f t="shared" si="147"/>
        <v>72.56</v>
      </c>
      <c r="AM982" s="35">
        <f t="shared" si="146"/>
        <v>0.24807056229328392</v>
      </c>
      <c r="AN982" s="35">
        <f t="shared" si="154"/>
        <v>-26.239422707056352</v>
      </c>
      <c r="AO982" s="35" t="str">
        <f t="shared" si="148"/>
        <v>FITS BITCH</v>
      </c>
      <c r="AP982" s="35" t="str">
        <f t="shared" si="149"/>
        <v>no</v>
      </c>
      <c r="AQ982" s="35" t="str">
        <f t="shared" si="149"/>
        <v>no</v>
      </c>
      <c r="AR982" s="35" t="str">
        <f t="shared" si="150"/>
        <v>FITS BITCH</v>
      </c>
      <c r="AS982" s="35" t="str">
        <f t="shared" si="151"/>
        <v>no</v>
      </c>
      <c r="AT982" s="20" t="str">
        <f t="shared" si="152"/>
        <v/>
      </c>
      <c r="AU982" s="20" t="str">
        <f t="shared" si="153"/>
        <v/>
      </c>
      <c r="AV982" s="20"/>
      <c r="AW982" s="20"/>
      <c r="AX982" s="20"/>
    </row>
    <row r="983" spans="31:50">
      <c r="AE983" s="26">
        <f>Data!A978</f>
        <v>41543</v>
      </c>
      <c r="AF983" s="35">
        <f>Data!B978</f>
        <v>72.83</v>
      </c>
      <c r="AG983" s="35">
        <f>Data!F978</f>
        <v>1199344</v>
      </c>
      <c r="AH983" s="35">
        <f>Data!C978</f>
        <v>73.2</v>
      </c>
      <c r="AI983" s="35">
        <f>Data!D978</f>
        <v>72.569999999999993</v>
      </c>
      <c r="AJ983" s="35">
        <f>Data!E978</f>
        <v>72.92</v>
      </c>
      <c r="AK983" s="35">
        <f>Data!F978</f>
        <v>1199344</v>
      </c>
      <c r="AL983" s="35">
        <f t="shared" si="147"/>
        <v>72.92</v>
      </c>
      <c r="AM983" s="35">
        <f t="shared" si="146"/>
        <v>0.49369171695008152</v>
      </c>
      <c r="AN983" s="35">
        <f t="shared" si="154"/>
        <v>-16.399715177630441</v>
      </c>
      <c r="AO983" s="35" t="str">
        <f t="shared" si="148"/>
        <v>FITS BITCH</v>
      </c>
      <c r="AP983" s="35" t="str">
        <f t="shared" si="149"/>
        <v>no</v>
      </c>
      <c r="AQ983" s="35" t="str">
        <f t="shared" si="149"/>
        <v>FITS BITCH</v>
      </c>
      <c r="AR983" s="35" t="str">
        <f t="shared" si="150"/>
        <v>FITS BITCH</v>
      </c>
      <c r="AS983" s="35" t="str">
        <f t="shared" si="151"/>
        <v>FITS BITCH</v>
      </c>
      <c r="AT983" s="20" t="str">
        <f t="shared" si="152"/>
        <v/>
      </c>
      <c r="AU983" s="20" t="str">
        <f t="shared" si="153"/>
        <v>BEARISH</v>
      </c>
      <c r="AV983" s="20"/>
      <c r="AW983" s="20"/>
      <c r="AX983" s="20"/>
    </row>
    <row r="984" spans="31:50">
      <c r="AE984" s="26">
        <f>Data!A979</f>
        <v>41542</v>
      </c>
      <c r="AF984" s="35">
        <f>Data!B979</f>
        <v>73.09</v>
      </c>
      <c r="AG984" s="35">
        <f>Data!F979</f>
        <v>1172515</v>
      </c>
      <c r="AH984" s="35">
        <f>Data!C979</f>
        <v>73.22</v>
      </c>
      <c r="AI984" s="35">
        <f>Data!D979</f>
        <v>72.319999999999993</v>
      </c>
      <c r="AJ984" s="35">
        <f>Data!E979</f>
        <v>72.52</v>
      </c>
      <c r="AK984" s="35">
        <f>Data!F979</f>
        <v>1172515</v>
      </c>
      <c r="AL984" s="35">
        <f t="shared" si="147"/>
        <v>72.52</v>
      </c>
      <c r="AM984" s="35">
        <f t="shared" si="146"/>
        <v>-0.55157198014341657</v>
      </c>
      <c r="AN984" s="35">
        <f t="shared" si="154"/>
        <v>-2.2881583604474143</v>
      </c>
      <c r="AO984" s="35" t="str">
        <f t="shared" si="148"/>
        <v>no</v>
      </c>
      <c r="AP984" s="35" t="str">
        <f t="shared" si="149"/>
        <v>no</v>
      </c>
      <c r="AQ984" s="35" t="str">
        <f t="shared" si="149"/>
        <v>FITS BITCH</v>
      </c>
      <c r="AR984" s="35" t="str">
        <f t="shared" si="150"/>
        <v>FITS BITCH</v>
      </c>
      <c r="AS984" s="35" t="str">
        <f t="shared" si="151"/>
        <v>no</v>
      </c>
      <c r="AT984" s="20" t="str">
        <f t="shared" si="152"/>
        <v/>
      </c>
      <c r="AU984" s="20" t="str">
        <f t="shared" si="153"/>
        <v/>
      </c>
      <c r="AV984" s="20"/>
      <c r="AW984" s="20"/>
      <c r="AX984" s="20"/>
    </row>
    <row r="985" spans="31:50">
      <c r="AE985" s="26">
        <f>Data!A980</f>
        <v>41541</v>
      </c>
      <c r="AF985" s="35">
        <f>Data!B980</f>
        <v>72.45</v>
      </c>
      <c r="AG985" s="35">
        <f>Data!F980</f>
        <v>1918665</v>
      </c>
      <c r="AH985" s="35">
        <f>Data!C980</f>
        <v>73.3</v>
      </c>
      <c r="AI985" s="35">
        <f>Data!D980</f>
        <v>72.290000000000006</v>
      </c>
      <c r="AJ985" s="35">
        <f>Data!E980</f>
        <v>72.95</v>
      </c>
      <c r="AK985" s="35">
        <f>Data!F980</f>
        <v>1918665</v>
      </c>
      <c r="AL985" s="35">
        <f t="shared" si="147"/>
        <v>72.95</v>
      </c>
      <c r="AM985" s="35">
        <f t="shared" si="146"/>
        <v>0.58944482522276465</v>
      </c>
      <c r="AN985" s="35">
        <f t="shared" si="154"/>
        <v>38.889019187820701</v>
      </c>
      <c r="AO985" s="35" t="str">
        <f t="shared" si="148"/>
        <v>no</v>
      </c>
      <c r="AP985" s="35" t="str">
        <f t="shared" si="149"/>
        <v>no</v>
      </c>
      <c r="AQ985" s="35" t="str">
        <f t="shared" si="149"/>
        <v>no</v>
      </c>
      <c r="AR985" s="35" t="str">
        <f t="shared" si="150"/>
        <v>FITS BITCH</v>
      </c>
      <c r="AS985" s="35" t="str">
        <f t="shared" si="151"/>
        <v>no</v>
      </c>
      <c r="AT985" s="20" t="str">
        <f t="shared" si="152"/>
        <v/>
      </c>
      <c r="AU985" s="20" t="str">
        <f t="shared" si="153"/>
        <v/>
      </c>
      <c r="AV985" s="20"/>
      <c r="AW985" s="20"/>
      <c r="AX985" s="20"/>
    </row>
    <row r="986" spans="31:50">
      <c r="AE986" s="26">
        <f>Data!A981</f>
        <v>41540</v>
      </c>
      <c r="AF986" s="35">
        <f>Data!B981</f>
        <v>74.2</v>
      </c>
      <c r="AG986" s="35">
        <f>Data!F981</f>
        <v>3039147</v>
      </c>
      <c r="AH986" s="35">
        <f>Data!C981</f>
        <v>74.62</v>
      </c>
      <c r="AI986" s="35">
        <f>Data!D981</f>
        <v>72.709999999999994</v>
      </c>
      <c r="AJ986" s="35">
        <f>Data!E981</f>
        <v>73.13</v>
      </c>
      <c r="AK986" s="35">
        <f>Data!F981</f>
        <v>3039147</v>
      </c>
      <c r="AL986" s="35">
        <f t="shared" si="147"/>
        <v>73.13</v>
      </c>
      <c r="AM986" s="35">
        <f t="shared" si="146"/>
        <v>0.24613701627238155</v>
      </c>
      <c r="AN986" s="35">
        <f t="shared" si="154"/>
        <v>36.868305481768402</v>
      </c>
      <c r="AO986" s="35" t="str">
        <f t="shared" si="148"/>
        <v>no</v>
      </c>
      <c r="AP986" s="35" t="str">
        <f t="shared" si="149"/>
        <v>no</v>
      </c>
      <c r="AQ986" s="35" t="str">
        <f t="shared" si="149"/>
        <v>no</v>
      </c>
      <c r="AR986" s="35" t="str">
        <f t="shared" si="150"/>
        <v>FITS BITCH</v>
      </c>
      <c r="AS986" s="35" t="str">
        <f t="shared" si="151"/>
        <v>no</v>
      </c>
      <c r="AT986" s="20" t="str">
        <f t="shared" si="152"/>
        <v/>
      </c>
      <c r="AU986" s="20" t="str">
        <f t="shared" si="153"/>
        <v/>
      </c>
      <c r="AV986" s="20"/>
      <c r="AW986" s="20"/>
      <c r="AX986" s="20"/>
    </row>
    <row r="987" spans="31:50">
      <c r="AE987" s="26">
        <f>Data!A982</f>
        <v>41537</v>
      </c>
      <c r="AF987" s="35">
        <f>Data!B982</f>
        <v>74.760000000000005</v>
      </c>
      <c r="AG987" s="35">
        <f>Data!F982</f>
        <v>2410343</v>
      </c>
      <c r="AH987" s="35">
        <f>Data!C982</f>
        <v>74.88</v>
      </c>
      <c r="AI987" s="35">
        <f>Data!D982</f>
        <v>74.36</v>
      </c>
      <c r="AJ987" s="35">
        <f>Data!E982</f>
        <v>74.430000000000007</v>
      </c>
      <c r="AK987" s="35">
        <f>Data!F982</f>
        <v>2410343</v>
      </c>
      <c r="AL987" s="35">
        <f t="shared" si="147"/>
        <v>74.430000000000007</v>
      </c>
      <c r="AM987" s="35">
        <f t="shared" si="146"/>
        <v>1.7466075507188112</v>
      </c>
      <c r="AN987" s="35">
        <f t="shared" si="154"/>
        <v>-26.087739379831003</v>
      </c>
      <c r="AO987" s="35" t="str">
        <f t="shared" si="148"/>
        <v>FITS BITCH</v>
      </c>
      <c r="AP987" s="35" t="str">
        <f t="shared" si="149"/>
        <v>no</v>
      </c>
      <c r="AQ987" s="35" t="str">
        <f t="shared" si="149"/>
        <v>no</v>
      </c>
      <c r="AR987" s="35" t="str">
        <f t="shared" si="150"/>
        <v>FITS BITCH</v>
      </c>
      <c r="AS987" s="35" t="str">
        <f t="shared" si="151"/>
        <v>no</v>
      </c>
      <c r="AT987" s="20" t="str">
        <f t="shared" si="152"/>
        <v/>
      </c>
      <c r="AU987" s="20" t="str">
        <f t="shared" si="153"/>
        <v/>
      </c>
      <c r="AV987" s="20"/>
      <c r="AW987" s="20"/>
      <c r="AX987" s="20"/>
    </row>
    <row r="988" spans="31:50">
      <c r="AE988" s="26">
        <f>Data!A983</f>
        <v>41536</v>
      </c>
      <c r="AF988" s="35">
        <f>Data!B983</f>
        <v>74.89</v>
      </c>
      <c r="AG988" s="35">
        <f>Data!F983</f>
        <v>1657367</v>
      </c>
      <c r="AH988" s="35">
        <f>Data!C983</f>
        <v>74.95</v>
      </c>
      <c r="AI988" s="35">
        <f>Data!D983</f>
        <v>74.48</v>
      </c>
      <c r="AJ988" s="35">
        <f>Data!E983</f>
        <v>74.680000000000007</v>
      </c>
      <c r="AK988" s="35">
        <f>Data!F983</f>
        <v>1657367</v>
      </c>
      <c r="AL988" s="35">
        <f t="shared" si="147"/>
        <v>74.680000000000007</v>
      </c>
      <c r="AM988" s="35">
        <f t="shared" si="146"/>
        <v>0.33476164970540967</v>
      </c>
      <c r="AN988" s="35">
        <f t="shared" si="154"/>
        <v>-45.432061818535061</v>
      </c>
      <c r="AO988" s="35" t="str">
        <f t="shared" si="148"/>
        <v>FITS BITCH</v>
      </c>
      <c r="AP988" s="35" t="str">
        <f t="shared" si="149"/>
        <v>FITS BITCH</v>
      </c>
      <c r="AQ988" s="35" t="str">
        <f t="shared" si="149"/>
        <v>FITS BITCH</v>
      </c>
      <c r="AR988" s="35" t="str">
        <f t="shared" si="150"/>
        <v>FITS BITCH</v>
      </c>
      <c r="AS988" s="35" t="str">
        <f t="shared" si="151"/>
        <v>no</v>
      </c>
      <c r="AT988" s="20" t="str">
        <f t="shared" si="152"/>
        <v>BULLISH</v>
      </c>
      <c r="AU988" s="20" t="str">
        <f t="shared" si="153"/>
        <v/>
      </c>
      <c r="AV988" s="20"/>
      <c r="AW988" s="20"/>
      <c r="AX988" s="20"/>
    </row>
    <row r="989" spans="31:50">
      <c r="AE989" s="26">
        <f>Data!A984</f>
        <v>41535</v>
      </c>
      <c r="AF989" s="35">
        <f>Data!B984</f>
        <v>74.17</v>
      </c>
      <c r="AG989" s="35">
        <f>Data!F984</f>
        <v>1654128</v>
      </c>
      <c r="AH989" s="35">
        <f>Data!C984</f>
        <v>74.86</v>
      </c>
      <c r="AI989" s="35">
        <f>Data!D984</f>
        <v>73.75</v>
      </c>
      <c r="AJ989" s="35">
        <f>Data!E984</f>
        <v>74.739999999999995</v>
      </c>
      <c r="AK989" s="35">
        <f>Data!F984</f>
        <v>1654128</v>
      </c>
      <c r="AL989" s="35">
        <f t="shared" si="147"/>
        <v>74.739999999999995</v>
      </c>
      <c r="AM989" s="35">
        <f t="shared" si="146"/>
        <v>8.0278298100064316E-2</v>
      </c>
      <c r="AN989" s="35">
        <f t="shared" si="154"/>
        <v>-0.19581314142557288</v>
      </c>
      <c r="AO989" s="35" t="str">
        <f t="shared" si="148"/>
        <v>no</v>
      </c>
      <c r="AP989" s="35" t="str">
        <f t="shared" si="149"/>
        <v>FITS BITCH</v>
      </c>
      <c r="AQ989" s="35" t="str">
        <f t="shared" si="149"/>
        <v>no</v>
      </c>
      <c r="AR989" s="35" t="str">
        <f t="shared" si="150"/>
        <v>no</v>
      </c>
      <c r="AS989" s="35" t="str">
        <f t="shared" si="151"/>
        <v>FITS BITCH</v>
      </c>
      <c r="AT989" s="20" t="str">
        <f t="shared" si="152"/>
        <v/>
      </c>
      <c r="AU989" s="20" t="str">
        <f t="shared" si="153"/>
        <v/>
      </c>
      <c r="AV989" s="20"/>
      <c r="AW989" s="20"/>
      <c r="AX989" s="20"/>
    </row>
    <row r="990" spans="31:50">
      <c r="AE990" s="26">
        <f>Data!A985</f>
        <v>41534</v>
      </c>
      <c r="AF990" s="35">
        <f>Data!B985</f>
        <v>74.239999999999995</v>
      </c>
      <c r="AG990" s="35">
        <f>Data!F985</f>
        <v>2295138</v>
      </c>
      <c r="AH990" s="35">
        <f>Data!C985</f>
        <v>74.41</v>
      </c>
      <c r="AI990" s="35">
        <f>Data!D985</f>
        <v>73.900000000000006</v>
      </c>
      <c r="AJ990" s="35">
        <f>Data!E985</f>
        <v>74.16</v>
      </c>
      <c r="AK990" s="35">
        <f>Data!F985</f>
        <v>2295138</v>
      </c>
      <c r="AL990" s="35">
        <f t="shared" si="147"/>
        <v>74.16</v>
      </c>
      <c r="AM990" s="35">
        <f t="shared" si="146"/>
        <v>-0.7820927723840323</v>
      </c>
      <c r="AN990" s="35">
        <f t="shared" si="154"/>
        <v>27.929039561019859</v>
      </c>
      <c r="AO990" s="35" t="str">
        <f t="shared" si="148"/>
        <v>no</v>
      </c>
      <c r="AP990" s="35" t="str">
        <f t="shared" si="149"/>
        <v>no</v>
      </c>
      <c r="AQ990" s="35" t="str">
        <f t="shared" si="149"/>
        <v>no</v>
      </c>
      <c r="AR990" s="35" t="str">
        <f t="shared" si="150"/>
        <v>FITS BITCH</v>
      </c>
      <c r="AS990" s="35" t="str">
        <f t="shared" si="151"/>
        <v>FITS BITCH</v>
      </c>
      <c r="AT990" s="20" t="str">
        <f t="shared" si="152"/>
        <v/>
      </c>
      <c r="AU990" s="20" t="str">
        <f t="shared" si="153"/>
        <v/>
      </c>
      <c r="AV990" s="20"/>
      <c r="AW990" s="20"/>
      <c r="AX990" s="20"/>
    </row>
    <row r="991" spans="31:50">
      <c r="AE991" s="26">
        <f>Data!A986</f>
        <v>41533</v>
      </c>
      <c r="AF991" s="35">
        <f>Data!B986</f>
        <v>74.849999999999994</v>
      </c>
      <c r="AG991" s="35">
        <f>Data!F986</f>
        <v>1977515</v>
      </c>
      <c r="AH991" s="35">
        <f>Data!C986</f>
        <v>74.930000000000007</v>
      </c>
      <c r="AI991" s="35">
        <f>Data!D986</f>
        <v>74.03</v>
      </c>
      <c r="AJ991" s="35">
        <f>Data!E986</f>
        <v>74.099999999999994</v>
      </c>
      <c r="AK991" s="35">
        <f>Data!F986</f>
        <v>1977515</v>
      </c>
      <c r="AL991" s="35">
        <f t="shared" si="147"/>
        <v>74.099999999999994</v>
      </c>
      <c r="AM991" s="35">
        <f t="shared" si="146"/>
        <v>-8.0971659919031422E-2</v>
      </c>
      <c r="AN991" s="35">
        <f t="shared" si="154"/>
        <v>-16.061723931297614</v>
      </c>
      <c r="AO991" s="35" t="str">
        <f t="shared" si="148"/>
        <v>FITS BITCH</v>
      </c>
      <c r="AP991" s="35" t="str">
        <f t="shared" si="149"/>
        <v>FITS BITCH</v>
      </c>
      <c r="AQ991" s="35" t="str">
        <f t="shared" si="149"/>
        <v>FITS BITCH</v>
      </c>
      <c r="AR991" s="35" t="str">
        <f t="shared" si="150"/>
        <v>FITS BITCH</v>
      </c>
      <c r="AS991" s="35" t="str">
        <f t="shared" si="151"/>
        <v>FITS BITCH</v>
      </c>
      <c r="AT991" s="20" t="str">
        <f t="shared" si="152"/>
        <v>BULLISH</v>
      </c>
      <c r="AU991" s="20" t="str">
        <f t="shared" si="153"/>
        <v>BEARISH</v>
      </c>
      <c r="AV991" s="20"/>
      <c r="AW991" s="20"/>
      <c r="AX991" s="20"/>
    </row>
    <row r="992" spans="31:50">
      <c r="AE992" s="26">
        <f>Data!A987</f>
        <v>41530</v>
      </c>
      <c r="AF992" s="35">
        <f>Data!B987</f>
        <v>74.23</v>
      </c>
      <c r="AG992" s="35">
        <f>Data!F987</f>
        <v>1882355</v>
      </c>
      <c r="AH992" s="35">
        <f>Data!C987</f>
        <v>74.33</v>
      </c>
      <c r="AI992" s="35">
        <f>Data!D987</f>
        <v>73.459999999999994</v>
      </c>
      <c r="AJ992" s="35">
        <f>Data!E987</f>
        <v>74.09</v>
      </c>
      <c r="AK992" s="35">
        <f>Data!F987</f>
        <v>1882355</v>
      </c>
      <c r="AL992" s="35">
        <f t="shared" si="147"/>
        <v>74.09</v>
      </c>
      <c r="AM992" s="35">
        <f t="shared" si="146"/>
        <v>-1.3497098123891084E-2</v>
      </c>
      <c r="AN992" s="35">
        <f t="shared" si="154"/>
        <v>-5.0553694706896408</v>
      </c>
      <c r="AO992" s="35" t="str">
        <f t="shared" si="148"/>
        <v>no</v>
      </c>
      <c r="AP992" s="35" t="str">
        <f t="shared" si="149"/>
        <v>no</v>
      </c>
      <c r="AQ992" s="35" t="str">
        <f t="shared" si="149"/>
        <v>no</v>
      </c>
      <c r="AR992" s="35" t="str">
        <f t="shared" si="150"/>
        <v>FITS BITCH</v>
      </c>
      <c r="AS992" s="35" t="str">
        <f t="shared" si="151"/>
        <v>no</v>
      </c>
      <c r="AT992" s="20" t="str">
        <f t="shared" si="152"/>
        <v/>
      </c>
      <c r="AU992" s="20" t="str">
        <f t="shared" si="153"/>
        <v/>
      </c>
      <c r="AV992" s="20"/>
      <c r="AW992" s="20"/>
      <c r="AX992" s="20"/>
    </row>
    <row r="993" spans="31:50">
      <c r="AE993" s="26">
        <f>Data!A988</f>
        <v>41529</v>
      </c>
      <c r="AF993" s="35">
        <f>Data!B988</f>
        <v>73.91</v>
      </c>
      <c r="AG993" s="35">
        <f>Data!F988</f>
        <v>1336110</v>
      </c>
      <c r="AH993" s="35">
        <f>Data!C988</f>
        <v>74.510000000000005</v>
      </c>
      <c r="AI993" s="35">
        <f>Data!D988</f>
        <v>73.75</v>
      </c>
      <c r="AJ993" s="35">
        <f>Data!E988</f>
        <v>74.180000000000007</v>
      </c>
      <c r="AK993" s="35">
        <f>Data!F988</f>
        <v>1336110</v>
      </c>
      <c r="AL993" s="35">
        <f t="shared" si="147"/>
        <v>74.180000000000007</v>
      </c>
      <c r="AM993" s="35">
        <f t="shared" si="146"/>
        <v>0.12132650310057078</v>
      </c>
      <c r="AN993" s="35">
        <f t="shared" si="154"/>
        <v>-40.883235661734439</v>
      </c>
      <c r="AO993" s="35" t="str">
        <f t="shared" si="148"/>
        <v>FITS BITCH</v>
      </c>
      <c r="AP993" s="35" t="str">
        <f t="shared" si="149"/>
        <v>FITS BITCH</v>
      </c>
      <c r="AQ993" s="35" t="str">
        <f t="shared" si="149"/>
        <v>FITS BITCH</v>
      </c>
      <c r="AR993" s="35" t="str">
        <f t="shared" si="150"/>
        <v>no</v>
      </c>
      <c r="AS993" s="35" t="str">
        <f t="shared" si="151"/>
        <v>FITS BITCH</v>
      </c>
      <c r="AT993" s="20" t="str">
        <f t="shared" si="152"/>
        <v/>
      </c>
      <c r="AU993" s="20" t="str">
        <f t="shared" si="153"/>
        <v>BEARISH</v>
      </c>
      <c r="AV993" s="20"/>
      <c r="AW993" s="20"/>
      <c r="AX993" s="20"/>
    </row>
    <row r="994" spans="31:50">
      <c r="AE994" s="26">
        <f>Data!A989</f>
        <v>41528</v>
      </c>
      <c r="AF994" s="35">
        <f>Data!B989</f>
        <v>73.36</v>
      </c>
      <c r="AG994" s="35">
        <f>Data!F989</f>
        <v>2952591</v>
      </c>
      <c r="AH994" s="35">
        <f>Data!C989</f>
        <v>74.099999999999994</v>
      </c>
      <c r="AI994" s="35">
        <f>Data!D989</f>
        <v>73.180000000000007</v>
      </c>
      <c r="AJ994" s="35">
        <f>Data!E989</f>
        <v>74.010000000000005</v>
      </c>
      <c r="AK994" s="35">
        <f>Data!F989</f>
        <v>2952591</v>
      </c>
      <c r="AL994" s="35">
        <f t="shared" si="147"/>
        <v>74.010000000000005</v>
      </c>
      <c r="AM994" s="35">
        <f t="shared" si="146"/>
        <v>-0.22969868936630417</v>
      </c>
      <c r="AN994" s="35">
        <f t="shared" si="154"/>
        <v>54.747880759644666</v>
      </c>
      <c r="AO994" s="35" t="str">
        <f t="shared" si="148"/>
        <v>no</v>
      </c>
      <c r="AP994" s="35" t="str">
        <f t="shared" si="149"/>
        <v>no</v>
      </c>
      <c r="AQ994" s="35" t="str">
        <f t="shared" si="149"/>
        <v>no</v>
      </c>
      <c r="AR994" s="35" t="str">
        <f t="shared" si="150"/>
        <v>FITS BITCH</v>
      </c>
      <c r="AS994" s="35" t="str">
        <f t="shared" si="151"/>
        <v>FITS BITCH</v>
      </c>
      <c r="AT994" s="20" t="str">
        <f t="shared" si="152"/>
        <v/>
      </c>
      <c r="AU994" s="20" t="str">
        <f t="shared" si="153"/>
        <v/>
      </c>
      <c r="AV994" s="20"/>
      <c r="AW994" s="20"/>
      <c r="AX994" s="20"/>
    </row>
    <row r="995" spans="31:50">
      <c r="AE995" s="26">
        <f>Data!A990</f>
        <v>41527</v>
      </c>
      <c r="AF995" s="35">
        <f>Data!B990</f>
        <v>74.38</v>
      </c>
      <c r="AG995" s="35">
        <f>Data!F990</f>
        <v>3155981</v>
      </c>
      <c r="AH995" s="35">
        <f>Data!C990</f>
        <v>74.38</v>
      </c>
      <c r="AI995" s="35">
        <f>Data!D990</f>
        <v>73.739999999999995</v>
      </c>
      <c r="AJ995" s="35">
        <f>Data!E990</f>
        <v>73.739999999999995</v>
      </c>
      <c r="AK995" s="35">
        <f>Data!F990</f>
        <v>3155981</v>
      </c>
      <c r="AL995" s="35">
        <f t="shared" si="147"/>
        <v>73.739999999999995</v>
      </c>
      <c r="AM995" s="35">
        <f t="shared" si="146"/>
        <v>-0.36615134255493659</v>
      </c>
      <c r="AN995" s="35">
        <f t="shared" si="154"/>
        <v>6.4445888615932727</v>
      </c>
      <c r="AO995" s="35" t="str">
        <f t="shared" si="148"/>
        <v>no</v>
      </c>
      <c r="AP995" s="35" t="str">
        <f t="shared" si="149"/>
        <v>FITS BITCH</v>
      </c>
      <c r="AQ995" s="35" t="str">
        <f t="shared" si="149"/>
        <v>FITS BITCH</v>
      </c>
      <c r="AR995" s="35" t="str">
        <f t="shared" si="150"/>
        <v>FITS BITCH</v>
      </c>
      <c r="AS995" s="35" t="str">
        <f t="shared" si="151"/>
        <v>no</v>
      </c>
      <c r="AT995" s="20" t="str">
        <f t="shared" si="152"/>
        <v/>
      </c>
      <c r="AU995" s="20" t="str">
        <f t="shared" si="153"/>
        <v/>
      </c>
      <c r="AV995" s="20"/>
      <c r="AW995" s="20"/>
      <c r="AX995" s="20"/>
    </row>
    <row r="996" spans="31:50">
      <c r="AE996" s="26">
        <f>Data!A991</f>
        <v>41526</v>
      </c>
      <c r="AF996" s="35">
        <f>Data!B991</f>
        <v>73.14</v>
      </c>
      <c r="AG996" s="35">
        <f>Data!F991</f>
        <v>1701303</v>
      </c>
      <c r="AH996" s="35">
        <f>Data!C991</f>
        <v>73.94</v>
      </c>
      <c r="AI996" s="35">
        <f>Data!D991</f>
        <v>73.14</v>
      </c>
      <c r="AJ996" s="35">
        <f>Data!E991</f>
        <v>73.790000000000006</v>
      </c>
      <c r="AK996" s="35">
        <f>Data!F991</f>
        <v>1701303</v>
      </c>
      <c r="AL996" s="35">
        <f t="shared" si="147"/>
        <v>73.790000000000006</v>
      </c>
      <c r="AM996" s="35">
        <f t="shared" si="146"/>
        <v>6.7759859059508556E-2</v>
      </c>
      <c r="AN996" s="35">
        <f t="shared" si="154"/>
        <v>-85.503758001954978</v>
      </c>
      <c r="AO996" s="35" t="str">
        <f t="shared" si="148"/>
        <v>FITS BITCH</v>
      </c>
      <c r="AP996" s="35" t="str">
        <f t="shared" si="149"/>
        <v>FITS BITCH</v>
      </c>
      <c r="AQ996" s="35" t="str">
        <f t="shared" si="149"/>
        <v>FITS BITCH</v>
      </c>
      <c r="AR996" s="35" t="str">
        <f t="shared" si="150"/>
        <v>no</v>
      </c>
      <c r="AS996" s="35" t="str">
        <f t="shared" si="151"/>
        <v>FITS BITCH</v>
      </c>
      <c r="AT996" s="20" t="str">
        <f t="shared" si="152"/>
        <v/>
      </c>
      <c r="AU996" s="20" t="str">
        <f t="shared" si="153"/>
        <v>BEARISH</v>
      </c>
      <c r="AV996" s="20"/>
      <c r="AW996" s="20"/>
      <c r="AX996" s="20"/>
    </row>
    <row r="997" spans="31:50">
      <c r="AE997" s="26">
        <f>Data!A992</f>
        <v>41523</v>
      </c>
      <c r="AF997" s="35">
        <f>Data!B992</f>
        <v>72.45</v>
      </c>
      <c r="AG997" s="35">
        <f>Data!F992</f>
        <v>2315684</v>
      </c>
      <c r="AH997" s="35">
        <f>Data!C992</f>
        <v>73.28</v>
      </c>
      <c r="AI997" s="35">
        <f>Data!D992</f>
        <v>71.37</v>
      </c>
      <c r="AJ997" s="35">
        <f>Data!E992</f>
        <v>73.13</v>
      </c>
      <c r="AK997" s="35">
        <f>Data!F992</f>
        <v>2315684</v>
      </c>
      <c r="AL997" s="35">
        <f t="shared" si="147"/>
        <v>73.13</v>
      </c>
      <c r="AM997" s="35">
        <f t="shared" si="146"/>
        <v>-0.90250239299878421</v>
      </c>
      <c r="AN997" s="35">
        <f t="shared" si="154"/>
        <v>26.531297016345928</v>
      </c>
      <c r="AO997" s="35" t="str">
        <f t="shared" si="148"/>
        <v>no</v>
      </c>
      <c r="AP997" s="35" t="str">
        <f t="shared" si="149"/>
        <v>FITS BITCH</v>
      </c>
      <c r="AQ997" s="35" t="str">
        <f t="shared" si="149"/>
        <v>no</v>
      </c>
      <c r="AR997" s="35" t="str">
        <f t="shared" si="150"/>
        <v>no</v>
      </c>
      <c r="AS997" s="35" t="str">
        <f t="shared" si="151"/>
        <v>FITS BITCH</v>
      </c>
      <c r="AT997" s="20" t="str">
        <f t="shared" si="152"/>
        <v/>
      </c>
      <c r="AU997" s="20" t="str">
        <f t="shared" si="153"/>
        <v/>
      </c>
      <c r="AV997" s="20"/>
      <c r="AW997" s="20"/>
      <c r="AX997" s="20"/>
    </row>
    <row r="998" spans="31:50">
      <c r="AE998" s="26">
        <f>Data!A993</f>
        <v>41522</v>
      </c>
      <c r="AF998" s="35">
        <f>Data!B993</f>
        <v>71.83</v>
      </c>
      <c r="AG998" s="35">
        <f>Data!F993</f>
        <v>1167603</v>
      </c>
      <c r="AH998" s="35">
        <f>Data!C993</f>
        <v>72.38</v>
      </c>
      <c r="AI998" s="35">
        <f>Data!D993</f>
        <v>71.790000000000006</v>
      </c>
      <c r="AJ998" s="35">
        <f>Data!E993</f>
        <v>72.34</v>
      </c>
      <c r="AK998" s="35">
        <f>Data!F993</f>
        <v>1167603</v>
      </c>
      <c r="AL998" s="35">
        <f t="shared" si="147"/>
        <v>72.34</v>
      </c>
      <c r="AM998" s="35">
        <f t="shared" si="146"/>
        <v>-1.0920652474426209</v>
      </c>
      <c r="AN998" s="35">
        <f t="shared" si="154"/>
        <v>-98.328027591570077</v>
      </c>
      <c r="AO998" s="35" t="str">
        <f t="shared" si="148"/>
        <v>FITS BITCH</v>
      </c>
      <c r="AP998" s="35" t="str">
        <f t="shared" si="149"/>
        <v>FITS BITCH</v>
      </c>
      <c r="AQ998" s="35" t="str">
        <f t="shared" si="149"/>
        <v>FITS BITCH</v>
      </c>
      <c r="AR998" s="35" t="str">
        <f t="shared" si="150"/>
        <v>no</v>
      </c>
      <c r="AS998" s="35" t="str">
        <f t="shared" si="151"/>
        <v>FITS BITCH</v>
      </c>
      <c r="AT998" s="20" t="str">
        <f t="shared" si="152"/>
        <v/>
      </c>
      <c r="AU998" s="20" t="str">
        <f t="shared" si="153"/>
        <v>BEARISH</v>
      </c>
      <c r="AV998" s="20"/>
      <c r="AW998" s="20"/>
      <c r="AX998" s="20"/>
    </row>
    <row r="999" spans="31:50">
      <c r="AE999" s="26">
        <f>Data!A994</f>
        <v>41521</v>
      </c>
      <c r="AF999" s="35">
        <f>Data!B994</f>
        <v>70.09</v>
      </c>
      <c r="AG999" s="35">
        <f>Data!F994</f>
        <v>1672351</v>
      </c>
      <c r="AH999" s="35">
        <f>Data!C994</f>
        <v>72.12</v>
      </c>
      <c r="AI999" s="35">
        <f>Data!D994</f>
        <v>69.760000000000005</v>
      </c>
      <c r="AJ999" s="35">
        <f>Data!E994</f>
        <v>72.05</v>
      </c>
      <c r="AK999" s="35">
        <f>Data!F994</f>
        <v>1672351</v>
      </c>
      <c r="AL999" s="35">
        <f t="shared" si="147"/>
        <v>72.05</v>
      </c>
      <c r="AM999" s="35">
        <f t="shared" si="146"/>
        <v>-0.40249826509369363</v>
      </c>
      <c r="AN999" s="35">
        <f t="shared" si="154"/>
        <v>30.181941470420981</v>
      </c>
      <c r="AO999" s="35" t="str">
        <f t="shared" si="148"/>
        <v>no</v>
      </c>
      <c r="AP999" s="35" t="str">
        <f t="shared" si="149"/>
        <v>no</v>
      </c>
      <c r="AQ999" s="35" t="str">
        <f t="shared" si="149"/>
        <v>no</v>
      </c>
      <c r="AR999" s="35" t="str">
        <f t="shared" si="150"/>
        <v>FITS BITCH</v>
      </c>
      <c r="AS999" s="35" t="str">
        <f t="shared" si="151"/>
        <v>FITS BITCH</v>
      </c>
      <c r="AT999" s="20" t="str">
        <f t="shared" si="152"/>
        <v/>
      </c>
      <c r="AU999" s="20" t="str">
        <f t="shared" si="153"/>
        <v/>
      </c>
      <c r="AV999" s="20"/>
      <c r="AW999" s="20"/>
      <c r="AX999" s="20"/>
    </row>
    <row r="1000" spans="31:50">
      <c r="AE1000" s="26">
        <f>Data!A995</f>
        <v>41520</v>
      </c>
      <c r="AF1000" s="35">
        <f>Data!B995</f>
        <v>71.98</v>
      </c>
      <c r="AG1000" s="35">
        <f>Data!F995</f>
        <v>1816191</v>
      </c>
      <c r="AH1000" s="35">
        <f>Data!C995</f>
        <v>72.45</v>
      </c>
      <c r="AI1000" s="35">
        <f>Data!D995</f>
        <v>71</v>
      </c>
      <c r="AJ1000" s="35">
        <f>Data!E995</f>
        <v>71.41</v>
      </c>
      <c r="AK1000" s="35">
        <f>Data!F995</f>
        <v>1816191</v>
      </c>
      <c r="AL1000" s="35">
        <f t="shared" si="147"/>
        <v>71.41</v>
      </c>
      <c r="AM1000" s="35">
        <f t="shared" si="146"/>
        <v>-0.89623302058535292</v>
      </c>
      <c r="AN1000" s="35">
        <f t="shared" si="154"/>
        <v>7.9198718636971543</v>
      </c>
      <c r="AO1000" s="35" t="str">
        <f t="shared" si="148"/>
        <v>no</v>
      </c>
      <c r="AP1000" s="35" t="str">
        <f t="shared" si="149"/>
        <v>FITS BITCH</v>
      </c>
      <c r="AQ1000" s="35" t="str">
        <f t="shared" si="149"/>
        <v>FITS BITCH</v>
      </c>
      <c r="AR1000" s="35" t="str">
        <f t="shared" si="150"/>
        <v>no</v>
      </c>
      <c r="AS1000" s="35" t="str">
        <f t="shared" si="151"/>
        <v>FITS BITCH</v>
      </c>
      <c r="AT1000" s="20" t="str">
        <f t="shared" si="152"/>
        <v/>
      </c>
      <c r="AU1000" s="20" t="str">
        <f t="shared" si="153"/>
        <v/>
      </c>
      <c r="AV1000" s="20"/>
      <c r="AW1000" s="20"/>
      <c r="AX1000" s="20"/>
    </row>
    <row r="1001" spans="31:50">
      <c r="AE1001" s="26">
        <f>Data!A996</f>
        <v>41516</v>
      </c>
      <c r="AF1001" s="35">
        <f>Data!B996</f>
        <v>71.290000000000006</v>
      </c>
      <c r="AG1001" s="35">
        <f>Data!F996</f>
        <v>1505990</v>
      </c>
      <c r="AH1001" s="35">
        <f>Data!C996</f>
        <v>71.31</v>
      </c>
      <c r="AI1001" s="35">
        <f>Data!D996</f>
        <v>70.760000000000005</v>
      </c>
      <c r="AJ1001" s="35">
        <f>Data!E996</f>
        <v>71.16</v>
      </c>
      <c r="AK1001" s="35">
        <f>Data!F996</f>
        <v>1505990</v>
      </c>
      <c r="AL1001" s="35">
        <f t="shared" si="147"/>
        <v>71.16</v>
      </c>
      <c r="AM1001" s="35">
        <f t="shared" si="146"/>
        <v>-0.35132096683530073</v>
      </c>
      <c r="AN1001" s="35">
        <f t="shared" si="154"/>
        <v>-20.597812734480307</v>
      </c>
      <c r="AO1001" s="35" t="str">
        <f t="shared" si="148"/>
        <v>FITS BITCH</v>
      </c>
      <c r="AP1001" s="35" t="str">
        <f t="shared" si="149"/>
        <v>no</v>
      </c>
      <c r="AQ1001" s="35" t="str">
        <f t="shared" si="149"/>
        <v>FITS BITCH</v>
      </c>
      <c r="AR1001" s="35" t="str">
        <f t="shared" si="150"/>
        <v>FITS BITCH</v>
      </c>
      <c r="AS1001" s="35" t="str">
        <f t="shared" si="151"/>
        <v>no</v>
      </c>
      <c r="AT1001" s="20" t="str">
        <f t="shared" si="152"/>
        <v/>
      </c>
      <c r="AU1001" s="20" t="str">
        <f t="shared" si="153"/>
        <v/>
      </c>
      <c r="AV1001" s="20"/>
      <c r="AW1001" s="20"/>
      <c r="AX1001" s="20"/>
    </row>
    <row r="1002" spans="31:50">
      <c r="AE1002" s="26">
        <f>Data!A997</f>
        <v>41515</v>
      </c>
      <c r="AF1002" s="35">
        <f>Data!B997</f>
        <v>70.78</v>
      </c>
      <c r="AG1002" s="35">
        <f>Data!F997</f>
        <v>1417651</v>
      </c>
      <c r="AH1002" s="35">
        <f>Data!C997</f>
        <v>71.64</v>
      </c>
      <c r="AI1002" s="35">
        <f>Data!D997</f>
        <v>70.42</v>
      </c>
      <c r="AJ1002" s="35">
        <f>Data!E997</f>
        <v>71.3</v>
      </c>
      <c r="AK1002" s="35">
        <f>Data!F997</f>
        <v>1417651</v>
      </c>
      <c r="AL1002" s="35">
        <f t="shared" si="147"/>
        <v>71.3</v>
      </c>
      <c r="AM1002" s="35">
        <f t="shared" si="146"/>
        <v>0.19635343618513404</v>
      </c>
      <c r="AN1002" s="35">
        <f t="shared" si="154"/>
        <v>-6.2313644190283783</v>
      </c>
      <c r="AO1002" s="35" t="str">
        <f t="shared" si="148"/>
        <v>no</v>
      </c>
      <c r="AP1002" s="35" t="str">
        <f t="shared" si="149"/>
        <v>FITS BITCH</v>
      </c>
      <c r="AQ1002" s="35" t="str">
        <f t="shared" si="149"/>
        <v>no</v>
      </c>
      <c r="AR1002" s="35" t="str">
        <f t="shared" si="150"/>
        <v>FITS BITCH</v>
      </c>
      <c r="AS1002" s="35" t="str">
        <f t="shared" si="151"/>
        <v>FITS BITCH</v>
      </c>
      <c r="AT1002" s="20" t="str">
        <f t="shared" si="152"/>
        <v/>
      </c>
      <c r="AU1002" s="20" t="str">
        <f t="shared" si="153"/>
        <v/>
      </c>
      <c r="AV1002" s="20"/>
      <c r="AW1002" s="20"/>
      <c r="AX1002" s="20"/>
    </row>
    <row r="1003" spans="31:50">
      <c r="AE1003" s="26">
        <f>Data!A998</f>
        <v>41514</v>
      </c>
      <c r="AF1003" s="35">
        <f>Data!B998</f>
        <v>71.12</v>
      </c>
      <c r="AG1003" s="35">
        <f>Data!F998</f>
        <v>1589228</v>
      </c>
      <c r="AH1003" s="35">
        <f>Data!C998</f>
        <v>71.400000000000006</v>
      </c>
      <c r="AI1003" s="35">
        <f>Data!D998</f>
        <v>70.849999999999994</v>
      </c>
      <c r="AJ1003" s="35">
        <f>Data!E998</f>
        <v>70.94</v>
      </c>
      <c r="AK1003" s="35">
        <f>Data!F998</f>
        <v>1589228</v>
      </c>
      <c r="AL1003" s="35">
        <f t="shared" si="147"/>
        <v>70.94</v>
      </c>
      <c r="AM1003" s="35">
        <f t="shared" si="146"/>
        <v>-0.50747110234000481</v>
      </c>
      <c r="AN1003" s="35">
        <f t="shared" si="154"/>
        <v>10.796248241284449</v>
      </c>
      <c r="AO1003" s="35" t="str">
        <f t="shared" si="148"/>
        <v>no</v>
      </c>
      <c r="AP1003" s="35" t="str">
        <f t="shared" si="149"/>
        <v>no</v>
      </c>
      <c r="AQ1003" s="35" t="str">
        <f t="shared" si="149"/>
        <v>no</v>
      </c>
      <c r="AR1003" s="35" t="str">
        <f t="shared" si="150"/>
        <v>FITS BITCH</v>
      </c>
      <c r="AS1003" s="35" t="b">
        <f t="shared" si="151"/>
        <v>0</v>
      </c>
      <c r="AT1003" s="20" t="str">
        <f t="shared" si="152"/>
        <v/>
      </c>
      <c r="AU1003" s="20" t="str">
        <f t="shared" si="153"/>
        <v/>
      </c>
      <c r="AV1003" s="20"/>
      <c r="AW1003" s="20"/>
      <c r="AX1003" s="20"/>
    </row>
    <row r="1004" spans="31:50">
      <c r="AE1004" s="26">
        <f>Data!A999</f>
        <v>41513</v>
      </c>
      <c r="AF1004" s="35">
        <f>Data!B999</f>
        <v>71.22</v>
      </c>
      <c r="AG1004" s="35">
        <f>Data!F999</f>
        <v>1631774</v>
      </c>
      <c r="AH1004" s="35">
        <f>Data!C999</f>
        <v>71.58</v>
      </c>
      <c r="AI1004" s="35">
        <f>Data!D999</f>
        <v>70.900000000000006</v>
      </c>
      <c r="AJ1004" s="35">
        <f>Data!E999</f>
        <v>70.94</v>
      </c>
      <c r="AK1004" s="35">
        <f>Data!F999</f>
        <v>1631774</v>
      </c>
      <c r="AL1004" s="35">
        <f t="shared" si="147"/>
        <v>70.94</v>
      </c>
      <c r="AM1004" s="35">
        <f t="shared" si="146"/>
        <v>0</v>
      </c>
      <c r="AN1004" s="35">
        <f t="shared" si="154"/>
        <v>2.6073463604641329</v>
      </c>
      <c r="AO1004" s="35" t="str">
        <f t="shared" si="148"/>
        <v>no</v>
      </c>
      <c r="AP1004" s="35" t="str">
        <f t="shared" si="149"/>
        <v>no</v>
      </c>
      <c r="AQ1004" s="35" t="str">
        <f t="shared" si="149"/>
        <v>FITS BITCH</v>
      </c>
      <c r="AR1004" s="35" t="str">
        <f t="shared" si="150"/>
        <v>FITS BITCH</v>
      </c>
      <c r="AS1004" s="35" t="str">
        <f t="shared" si="151"/>
        <v>no</v>
      </c>
      <c r="AT1004" s="20" t="str">
        <f t="shared" si="152"/>
        <v/>
      </c>
      <c r="AU1004" s="20" t="str">
        <f t="shared" si="153"/>
        <v/>
      </c>
      <c r="AV1004" s="20"/>
      <c r="AW1004" s="20"/>
      <c r="AX1004" s="20"/>
    </row>
    <row r="1005" spans="31:50">
      <c r="AE1005" s="26">
        <f>Data!A1000</f>
        <v>41512</v>
      </c>
      <c r="AF1005" s="35">
        <f>Data!B1000</f>
        <v>69.89</v>
      </c>
      <c r="AG1005" s="35">
        <f>Data!F1000</f>
        <v>1099136</v>
      </c>
      <c r="AH1005" s="35">
        <f>Data!C1000</f>
        <v>72.48</v>
      </c>
      <c r="AI1005" s="35">
        <f>Data!D1000</f>
        <v>69.89</v>
      </c>
      <c r="AJ1005" s="35">
        <f>Data!E1000</f>
        <v>72.03</v>
      </c>
      <c r="AK1005" s="35">
        <f>Data!F1000</f>
        <v>1099136</v>
      </c>
      <c r="AL1005" s="35">
        <f t="shared" si="147"/>
        <v>72.03</v>
      </c>
      <c r="AM1005" s="35">
        <f t="shared" si="146"/>
        <v>1.5132583645703226</v>
      </c>
      <c r="AN1005" s="35">
        <f t="shared" si="154"/>
        <v>-48.459699254687315</v>
      </c>
      <c r="AO1005" s="35" t="str">
        <f t="shared" si="148"/>
        <v>FITS BITCH</v>
      </c>
      <c r="AP1005" s="35" t="str">
        <f t="shared" si="149"/>
        <v>no</v>
      </c>
      <c r="AQ1005" s="35" t="str">
        <f t="shared" si="149"/>
        <v>no</v>
      </c>
      <c r="AR1005" s="35" t="str">
        <f t="shared" si="150"/>
        <v>FITS BITCH</v>
      </c>
      <c r="AS1005" s="35" t="str">
        <f t="shared" si="151"/>
        <v>no</v>
      </c>
      <c r="AT1005" s="20" t="str">
        <f t="shared" si="152"/>
        <v/>
      </c>
      <c r="AU1005" s="20" t="str">
        <f t="shared" si="153"/>
        <v/>
      </c>
      <c r="AV1005" s="20"/>
      <c r="AW1005" s="20"/>
      <c r="AX1005" s="20"/>
    </row>
    <row r="1006" spans="31:50">
      <c r="AE1006" s="26">
        <f>Data!A1001</f>
        <v>41509</v>
      </c>
      <c r="AF1006" s="35">
        <f>Data!B1001</f>
        <v>72.48</v>
      </c>
      <c r="AG1006" s="35">
        <f>Data!F1001</f>
        <v>1324695</v>
      </c>
      <c r="AH1006" s="35">
        <f>Data!C1001</f>
        <v>72.56</v>
      </c>
      <c r="AI1006" s="35">
        <f>Data!D1001</f>
        <v>72.010000000000005</v>
      </c>
      <c r="AJ1006" s="35">
        <f>Data!E1001</f>
        <v>72.28</v>
      </c>
      <c r="AK1006" s="35">
        <f>Data!F1001</f>
        <v>1324695</v>
      </c>
      <c r="AL1006" s="35">
        <f t="shared" si="147"/>
        <v>72.28</v>
      </c>
      <c r="AM1006" s="35">
        <f t="shared" ref="AM1006:AM1042" si="155">(AL1006-AL1005)/AL1006*100</f>
        <v>0.34587714443829554</v>
      </c>
      <c r="AN1006" s="35">
        <f t="shared" si="154"/>
        <v>17.027240232657327</v>
      </c>
      <c r="AO1006" s="35" t="str">
        <f t="shared" si="148"/>
        <v>no</v>
      </c>
      <c r="AP1006" s="35" t="str">
        <f t="shared" si="149"/>
        <v>no</v>
      </c>
      <c r="AQ1006" s="35" t="str">
        <f t="shared" si="149"/>
        <v>FITS BITCH</v>
      </c>
      <c r="AR1006" s="35" t="str">
        <f t="shared" si="150"/>
        <v>FITS BITCH</v>
      </c>
      <c r="AS1006" s="35" t="str">
        <f t="shared" si="151"/>
        <v>no</v>
      </c>
      <c r="AT1006" s="20" t="str">
        <f t="shared" si="152"/>
        <v/>
      </c>
      <c r="AU1006" s="20" t="str">
        <f t="shared" si="153"/>
        <v/>
      </c>
      <c r="AV1006" s="20"/>
      <c r="AW1006" s="20"/>
      <c r="AX1006" s="20"/>
    </row>
    <row r="1007" spans="31:50">
      <c r="AE1007" s="26">
        <f>Data!A1002</f>
        <v>41508</v>
      </c>
      <c r="AF1007" s="35">
        <f>Data!B1002</f>
        <v>72.010000000000005</v>
      </c>
      <c r="AG1007" s="35">
        <f>Data!F1002</f>
        <v>809488</v>
      </c>
      <c r="AH1007" s="35">
        <f>Data!C1002</f>
        <v>72.64</v>
      </c>
      <c r="AI1007" s="35">
        <f>Data!D1002</f>
        <v>71.900000000000006</v>
      </c>
      <c r="AJ1007" s="35">
        <f>Data!E1002</f>
        <v>72.44</v>
      </c>
      <c r="AK1007" s="35">
        <f>Data!F1002</f>
        <v>809488</v>
      </c>
      <c r="AL1007" s="35">
        <f t="shared" si="147"/>
        <v>72.44</v>
      </c>
      <c r="AM1007" s="35">
        <f t="shared" si="155"/>
        <v>0.22087244616233653</v>
      </c>
      <c r="AN1007" s="35">
        <f t="shared" si="154"/>
        <v>-63.646033048050121</v>
      </c>
      <c r="AO1007" s="35" t="str">
        <f t="shared" si="148"/>
        <v>FITS BITCH</v>
      </c>
      <c r="AP1007" s="35" t="str">
        <f t="shared" si="149"/>
        <v>FITS BITCH</v>
      </c>
      <c r="AQ1007" s="35" t="str">
        <f t="shared" si="149"/>
        <v>FITS BITCH</v>
      </c>
      <c r="AR1007" s="35" t="str">
        <f t="shared" si="150"/>
        <v>no</v>
      </c>
      <c r="AS1007" s="35" t="str">
        <f t="shared" si="151"/>
        <v>FITS BITCH</v>
      </c>
      <c r="AT1007" s="20" t="str">
        <f t="shared" si="152"/>
        <v/>
      </c>
      <c r="AU1007" s="20" t="str">
        <f t="shared" si="153"/>
        <v>BEARISH</v>
      </c>
      <c r="AV1007" s="20"/>
      <c r="AW1007" s="20"/>
      <c r="AX1007" s="20"/>
    </row>
    <row r="1008" spans="31:50">
      <c r="AE1008" s="26">
        <f>Data!A1003</f>
        <v>41507</v>
      </c>
      <c r="AF1008" s="35">
        <f>Data!B1003</f>
        <v>72.150000000000006</v>
      </c>
      <c r="AG1008" s="35">
        <f>Data!F1003</f>
        <v>1564370</v>
      </c>
      <c r="AH1008" s="35">
        <f>Data!C1003</f>
        <v>72.38</v>
      </c>
      <c r="AI1008" s="35">
        <f>Data!D1003</f>
        <v>71.61</v>
      </c>
      <c r="AJ1008" s="35">
        <f>Data!E1003</f>
        <v>71.83</v>
      </c>
      <c r="AK1008" s="35">
        <f>Data!F1003</f>
        <v>1564370</v>
      </c>
      <c r="AL1008" s="35">
        <f t="shared" si="147"/>
        <v>71.83</v>
      </c>
      <c r="AM1008" s="35">
        <f t="shared" si="155"/>
        <v>-0.84922734233607056</v>
      </c>
      <c r="AN1008" s="35">
        <f t="shared" si="154"/>
        <v>48.254696778895017</v>
      </c>
      <c r="AO1008" s="35" t="str">
        <f t="shared" si="148"/>
        <v>no</v>
      </c>
      <c r="AP1008" s="35" t="str">
        <f t="shared" si="149"/>
        <v>no</v>
      </c>
      <c r="AQ1008" s="35" t="str">
        <f t="shared" si="149"/>
        <v>no</v>
      </c>
      <c r="AR1008" s="35" t="str">
        <f t="shared" si="150"/>
        <v>FITS BITCH</v>
      </c>
      <c r="AS1008" s="35" t="str">
        <f t="shared" si="151"/>
        <v>no</v>
      </c>
      <c r="AT1008" s="20" t="str">
        <f t="shared" si="152"/>
        <v/>
      </c>
      <c r="AU1008" s="20" t="str">
        <f t="shared" si="153"/>
        <v/>
      </c>
      <c r="AV1008" s="20"/>
      <c r="AW1008" s="20"/>
      <c r="AX1008" s="20"/>
    </row>
    <row r="1009" spans="31:50">
      <c r="AE1009" s="26">
        <f>Data!A1004</f>
        <v>41506</v>
      </c>
      <c r="AF1009" s="35">
        <f>Data!B1004</f>
        <v>71.790000000000006</v>
      </c>
      <c r="AG1009" s="35">
        <f>Data!F1004</f>
        <v>1229977</v>
      </c>
      <c r="AH1009" s="35">
        <f>Data!C1004</f>
        <v>72.510000000000005</v>
      </c>
      <c r="AI1009" s="35">
        <f>Data!D1004</f>
        <v>71.75</v>
      </c>
      <c r="AJ1009" s="35">
        <f>Data!E1004</f>
        <v>72.34</v>
      </c>
      <c r="AK1009" s="35">
        <f>Data!F1004</f>
        <v>1229977</v>
      </c>
      <c r="AL1009" s="35">
        <f t="shared" si="147"/>
        <v>72.34</v>
      </c>
      <c r="AM1009" s="35">
        <f t="shared" si="155"/>
        <v>0.70500414708322512</v>
      </c>
      <c r="AN1009" s="35">
        <f t="shared" si="154"/>
        <v>-27.186931137736721</v>
      </c>
      <c r="AO1009" s="35" t="str">
        <f t="shared" si="148"/>
        <v>FITS BITCH</v>
      </c>
      <c r="AP1009" s="35" t="str">
        <f t="shared" si="149"/>
        <v>FITS BITCH</v>
      </c>
      <c r="AQ1009" s="35" t="str">
        <f t="shared" si="149"/>
        <v>FITS BITCH</v>
      </c>
      <c r="AR1009" s="35" t="str">
        <f t="shared" si="150"/>
        <v>no</v>
      </c>
      <c r="AS1009" s="35" t="str">
        <f t="shared" si="151"/>
        <v>FITS BITCH</v>
      </c>
      <c r="AT1009" s="20" t="str">
        <f t="shared" si="152"/>
        <v/>
      </c>
      <c r="AU1009" s="20" t="str">
        <f t="shared" si="153"/>
        <v>BEARISH</v>
      </c>
      <c r="AV1009" s="20"/>
      <c r="AW1009" s="20"/>
      <c r="AX1009" s="20"/>
    </row>
    <row r="1010" spans="31:50">
      <c r="AE1010" s="26">
        <f>Data!A1005</f>
        <v>41505</v>
      </c>
      <c r="AF1010" s="35">
        <f>Data!B1005</f>
        <v>71.61</v>
      </c>
      <c r="AG1010" s="35">
        <f>Data!F1005</f>
        <v>1393107</v>
      </c>
      <c r="AH1010" s="35">
        <f>Data!C1005</f>
        <v>72.239999999999995</v>
      </c>
      <c r="AI1010" s="35">
        <f>Data!D1005</f>
        <v>71.61</v>
      </c>
      <c r="AJ1010" s="35">
        <f>Data!E1005</f>
        <v>71.900000000000006</v>
      </c>
      <c r="AK1010" s="35">
        <f>Data!F1005</f>
        <v>1393107</v>
      </c>
      <c r="AL1010" s="35">
        <f t="shared" si="147"/>
        <v>71.900000000000006</v>
      </c>
      <c r="AM1010" s="35">
        <f t="shared" si="155"/>
        <v>-0.61196105702364079</v>
      </c>
      <c r="AN1010" s="35">
        <f t="shared" si="154"/>
        <v>11.709796878488156</v>
      </c>
      <c r="AO1010" s="35" t="str">
        <f t="shared" si="148"/>
        <v>no</v>
      </c>
      <c r="AP1010" s="35" t="str">
        <f t="shared" si="149"/>
        <v>FITS BITCH</v>
      </c>
      <c r="AQ1010" s="35" t="str">
        <f t="shared" si="149"/>
        <v>FITS BITCH</v>
      </c>
      <c r="AR1010" s="35" t="str">
        <f t="shared" si="150"/>
        <v>FITS BITCH</v>
      </c>
      <c r="AS1010" s="35" t="str">
        <f t="shared" si="151"/>
        <v>FITS BITCH</v>
      </c>
      <c r="AT1010" s="20" t="str">
        <f t="shared" si="152"/>
        <v/>
      </c>
      <c r="AU1010" s="20" t="str">
        <f t="shared" si="153"/>
        <v/>
      </c>
      <c r="AV1010" s="20"/>
      <c r="AW1010" s="20"/>
      <c r="AX1010" s="20"/>
    </row>
    <row r="1011" spans="31:50">
      <c r="AE1011" s="26">
        <f>Data!A1006</f>
        <v>41502</v>
      </c>
      <c r="AF1011" s="35">
        <f>Data!B1006</f>
        <v>71.47</v>
      </c>
      <c r="AG1011" s="35">
        <f>Data!F1006</f>
        <v>1792894</v>
      </c>
      <c r="AH1011" s="35">
        <f>Data!C1006</f>
        <v>72.08</v>
      </c>
      <c r="AI1011" s="35">
        <f>Data!D1006</f>
        <v>71.38</v>
      </c>
      <c r="AJ1011" s="35">
        <f>Data!E1006</f>
        <v>71.89</v>
      </c>
      <c r="AK1011" s="35">
        <f>Data!F1006</f>
        <v>1792894</v>
      </c>
      <c r="AL1011" s="35">
        <f t="shared" si="147"/>
        <v>71.89</v>
      </c>
      <c r="AM1011" s="35">
        <f t="shared" si="155"/>
        <v>-1.3910140492426091E-2</v>
      </c>
      <c r="AN1011" s="35">
        <f t="shared" si="154"/>
        <v>22.298418088297467</v>
      </c>
      <c r="AO1011" s="35" t="str">
        <f t="shared" si="148"/>
        <v>no</v>
      </c>
      <c r="AP1011" s="35" t="str">
        <f t="shared" si="149"/>
        <v>no</v>
      </c>
      <c r="AQ1011" s="35" t="str">
        <f t="shared" si="149"/>
        <v>FITS BITCH</v>
      </c>
      <c r="AR1011" s="35" t="str">
        <f t="shared" si="150"/>
        <v>FITS BITCH</v>
      </c>
      <c r="AS1011" s="35" t="str">
        <f t="shared" si="151"/>
        <v>FITS BITCH</v>
      </c>
      <c r="AT1011" s="20" t="str">
        <f t="shared" si="152"/>
        <v/>
      </c>
      <c r="AU1011" s="20" t="str">
        <f t="shared" si="153"/>
        <v/>
      </c>
      <c r="AV1011" s="20"/>
      <c r="AW1011" s="20"/>
      <c r="AX1011" s="20"/>
    </row>
    <row r="1012" spans="31:50">
      <c r="AE1012" s="26">
        <f>Data!A1007</f>
        <v>41501</v>
      </c>
      <c r="AF1012" s="35">
        <f>Data!B1007</f>
        <v>72.22</v>
      </c>
      <c r="AG1012" s="35">
        <f>Data!F1007</f>
        <v>1553649</v>
      </c>
      <c r="AH1012" s="35">
        <f>Data!C1007</f>
        <v>72.239999999999995</v>
      </c>
      <c r="AI1012" s="35">
        <f>Data!D1007</f>
        <v>71.349999999999994</v>
      </c>
      <c r="AJ1012" s="35">
        <f>Data!E1007</f>
        <v>71.61</v>
      </c>
      <c r="AK1012" s="35">
        <f>Data!F1007</f>
        <v>1553649</v>
      </c>
      <c r="AL1012" s="35">
        <f t="shared" si="147"/>
        <v>71.61</v>
      </c>
      <c r="AM1012" s="35">
        <f t="shared" si="155"/>
        <v>-0.39100684261974739</v>
      </c>
      <c r="AN1012" s="35">
        <f t="shared" si="154"/>
        <v>-15.398909277449411</v>
      </c>
      <c r="AO1012" s="35" t="str">
        <f t="shared" si="148"/>
        <v>FITS BITCH</v>
      </c>
      <c r="AP1012" s="35" t="str">
        <f t="shared" si="149"/>
        <v>no</v>
      </c>
      <c r="AQ1012" s="35" t="str">
        <f t="shared" si="149"/>
        <v>no</v>
      </c>
      <c r="AR1012" s="35" t="str">
        <f t="shared" si="150"/>
        <v>FITS BITCH</v>
      </c>
      <c r="AS1012" s="35" t="str">
        <f t="shared" si="151"/>
        <v>no</v>
      </c>
      <c r="AT1012" s="20" t="str">
        <f t="shared" si="152"/>
        <v/>
      </c>
      <c r="AU1012" s="20" t="str">
        <f t="shared" si="153"/>
        <v/>
      </c>
      <c r="AV1012" s="20"/>
      <c r="AW1012" s="20"/>
      <c r="AX1012" s="20"/>
    </row>
    <row r="1013" spans="31:50">
      <c r="AE1013" s="26">
        <f>Data!A1008</f>
        <v>41500</v>
      </c>
      <c r="AF1013" s="35">
        <f>Data!B1008</f>
        <v>72.84</v>
      </c>
      <c r="AG1013" s="35">
        <f>Data!F1008</f>
        <v>1391818</v>
      </c>
      <c r="AH1013" s="35">
        <f>Data!C1008</f>
        <v>73.08</v>
      </c>
      <c r="AI1013" s="35">
        <f>Data!D1008</f>
        <v>72.64</v>
      </c>
      <c r="AJ1013" s="35">
        <f>Data!E1008</f>
        <v>72.680000000000007</v>
      </c>
      <c r="AK1013" s="35">
        <f>Data!F1008</f>
        <v>1391818</v>
      </c>
      <c r="AL1013" s="35">
        <f t="shared" si="147"/>
        <v>72.680000000000007</v>
      </c>
      <c r="AM1013" s="35">
        <f t="shared" si="155"/>
        <v>1.4722069345074398</v>
      </c>
      <c r="AN1013" s="35">
        <f t="shared" si="154"/>
        <v>-11.627310467316848</v>
      </c>
      <c r="AO1013" s="35" t="str">
        <f t="shared" si="148"/>
        <v>FITS BITCH</v>
      </c>
      <c r="AP1013" s="35" t="str">
        <f t="shared" si="149"/>
        <v>FITS BITCH</v>
      </c>
      <c r="AQ1013" s="35" t="b">
        <f t="shared" si="149"/>
        <v>0</v>
      </c>
      <c r="AR1013" s="35" t="str">
        <f t="shared" si="150"/>
        <v>FITS BITCH</v>
      </c>
      <c r="AS1013" s="35" t="str">
        <f t="shared" si="151"/>
        <v>no</v>
      </c>
      <c r="AT1013" s="20" t="str">
        <f t="shared" si="152"/>
        <v>BULLISH</v>
      </c>
      <c r="AU1013" s="20" t="str">
        <f t="shared" si="153"/>
        <v/>
      </c>
      <c r="AV1013" s="20"/>
      <c r="AW1013" s="20"/>
      <c r="AX1013" s="20"/>
    </row>
    <row r="1014" spans="31:50">
      <c r="AE1014" s="26">
        <f>Data!A1009</f>
        <v>41499</v>
      </c>
      <c r="AF1014" s="35">
        <f>Data!B1009</f>
        <v>72.989999999999995</v>
      </c>
      <c r="AG1014" s="35">
        <f>Data!F1009</f>
        <v>2495228</v>
      </c>
      <c r="AH1014" s="35">
        <f>Data!C1009</f>
        <v>73.03</v>
      </c>
      <c r="AI1014" s="35">
        <f>Data!D1009</f>
        <v>72.64</v>
      </c>
      <c r="AJ1014" s="35">
        <f>Data!E1009</f>
        <v>72.989999999999995</v>
      </c>
      <c r="AK1014" s="35">
        <f>Data!F1009</f>
        <v>2495228</v>
      </c>
      <c r="AL1014" s="35">
        <f t="shared" si="147"/>
        <v>72.989999999999995</v>
      </c>
      <c r="AM1014" s="35">
        <f t="shared" si="155"/>
        <v>0.42471571448141948</v>
      </c>
      <c r="AN1014" s="35">
        <f t="shared" si="154"/>
        <v>44.220808679607636</v>
      </c>
      <c r="AO1014" s="35" t="str">
        <f t="shared" si="148"/>
        <v>no</v>
      </c>
      <c r="AP1014" s="35" t="str">
        <f t="shared" si="149"/>
        <v>FITS BITCH</v>
      </c>
      <c r="AQ1014" s="35" t="str">
        <f t="shared" si="149"/>
        <v>FITS BITCH</v>
      </c>
      <c r="AR1014" s="35" t="str">
        <f t="shared" si="150"/>
        <v>no</v>
      </c>
      <c r="AS1014" s="35" t="str">
        <f t="shared" si="151"/>
        <v>FITS BITCH</v>
      </c>
      <c r="AT1014" s="20" t="str">
        <f t="shared" si="152"/>
        <v/>
      </c>
      <c r="AU1014" s="20" t="str">
        <f t="shared" si="153"/>
        <v/>
      </c>
    </row>
    <row r="1015" spans="31:50">
      <c r="AE1015" s="26">
        <f>Data!A1010</f>
        <v>41498</v>
      </c>
      <c r="AF1015" s="35">
        <f>Data!B1010</f>
        <v>72.010000000000005</v>
      </c>
      <c r="AG1015" s="35">
        <f>Data!F1010</f>
        <v>1275638</v>
      </c>
      <c r="AH1015" s="35">
        <f>Data!C1010</f>
        <v>72.83</v>
      </c>
      <c r="AI1015" s="35">
        <f>Data!D1010</f>
        <v>71.900000000000006</v>
      </c>
      <c r="AJ1015" s="35">
        <f>Data!E1010</f>
        <v>72.8</v>
      </c>
      <c r="AK1015" s="35">
        <f>Data!F1010</f>
        <v>1275638</v>
      </c>
      <c r="AL1015" s="35">
        <f t="shared" si="147"/>
        <v>72.8</v>
      </c>
      <c r="AM1015" s="35">
        <f t="shared" si="155"/>
        <v>-0.2609890109890079</v>
      </c>
      <c r="AN1015" s="35">
        <f t="shared" si="154"/>
        <v>-95.606277015893227</v>
      </c>
      <c r="AO1015" s="35" t="str">
        <f t="shared" si="148"/>
        <v>FITS BITCH</v>
      </c>
      <c r="AP1015" s="35" t="str">
        <f t="shared" ref="AP1015:AQ1042" si="156">IF(AH1016&lt;AH1015,"FITS BITCH",IF(AH1016&gt;AH1015,"no"))</f>
        <v>FITS BITCH</v>
      </c>
      <c r="AQ1015" s="35" t="str">
        <f t="shared" si="156"/>
        <v>no</v>
      </c>
      <c r="AR1015" s="35" t="str">
        <f t="shared" si="150"/>
        <v>no</v>
      </c>
      <c r="AS1015" s="35" t="str">
        <f t="shared" si="151"/>
        <v>FITS BITCH</v>
      </c>
      <c r="AT1015" s="20" t="str">
        <f t="shared" si="152"/>
        <v/>
      </c>
      <c r="AU1015" s="20" t="str">
        <f t="shared" si="153"/>
        <v/>
      </c>
    </row>
    <row r="1016" spans="31:50">
      <c r="AE1016" s="26">
        <f>Data!A1011</f>
        <v>41495</v>
      </c>
      <c r="AF1016" s="35">
        <f>Data!B1011</f>
        <v>72.069999999999993</v>
      </c>
      <c r="AG1016" s="35">
        <f>Data!F1011</f>
        <v>1238833</v>
      </c>
      <c r="AH1016" s="35">
        <f>Data!C1011</f>
        <v>72.599999999999994</v>
      </c>
      <c r="AI1016" s="35">
        <f>Data!D1011</f>
        <v>71.94</v>
      </c>
      <c r="AJ1016" s="35">
        <f>Data!E1011</f>
        <v>72.459999999999994</v>
      </c>
      <c r="AK1016" s="35">
        <f>Data!F1011</f>
        <v>1238833</v>
      </c>
      <c r="AL1016" s="35">
        <f t="shared" si="147"/>
        <v>72.459999999999994</v>
      </c>
      <c r="AM1016" s="35">
        <f t="shared" si="155"/>
        <v>-0.46922439966878748</v>
      </c>
      <c r="AN1016" s="35">
        <f t="shared" si="154"/>
        <v>-2.9709412003070632</v>
      </c>
      <c r="AO1016" s="35" t="str">
        <f t="shared" si="148"/>
        <v>no</v>
      </c>
      <c r="AP1016" s="35" t="str">
        <f t="shared" si="156"/>
        <v>no</v>
      </c>
      <c r="AQ1016" s="35" t="str">
        <f t="shared" si="156"/>
        <v>no</v>
      </c>
      <c r="AR1016" s="35" t="str">
        <f t="shared" si="150"/>
        <v>FITS BITCH</v>
      </c>
      <c r="AS1016" s="35" t="str">
        <f t="shared" si="151"/>
        <v>FITS BITCH</v>
      </c>
      <c r="AT1016" s="20" t="str">
        <f t="shared" si="152"/>
        <v/>
      </c>
      <c r="AU1016" s="20" t="str">
        <f t="shared" si="153"/>
        <v/>
      </c>
    </row>
    <row r="1017" spans="31:50">
      <c r="AE1017" s="26">
        <f>Data!A1012</f>
        <v>41494</v>
      </c>
      <c r="AF1017" s="35">
        <f>Data!B1012</f>
        <v>72.36</v>
      </c>
      <c r="AG1017" s="35">
        <f>Data!F1012</f>
        <v>1375407</v>
      </c>
      <c r="AH1017" s="35">
        <f>Data!C1012</f>
        <v>72.650000000000006</v>
      </c>
      <c r="AI1017" s="35">
        <f>Data!D1012</f>
        <v>71.95</v>
      </c>
      <c r="AJ1017" s="35">
        <f>Data!E1012</f>
        <v>72.34</v>
      </c>
      <c r="AK1017" s="35">
        <f>Data!F1012</f>
        <v>1375407</v>
      </c>
      <c r="AL1017" s="35">
        <f t="shared" si="147"/>
        <v>72.34</v>
      </c>
      <c r="AM1017" s="35">
        <f t="shared" si="155"/>
        <v>-0.16588332872544972</v>
      </c>
      <c r="AN1017" s="35">
        <f t="shared" si="154"/>
        <v>9.9297153497110315</v>
      </c>
      <c r="AO1017" s="35" t="str">
        <f t="shared" si="148"/>
        <v>no</v>
      </c>
      <c r="AP1017" s="35" t="str">
        <f t="shared" si="156"/>
        <v>FITS BITCH</v>
      </c>
      <c r="AQ1017" s="35" t="str">
        <f t="shared" si="156"/>
        <v>FITS BITCH</v>
      </c>
      <c r="AR1017" s="35" t="str">
        <f t="shared" si="150"/>
        <v>no</v>
      </c>
      <c r="AS1017" s="35" t="str">
        <f t="shared" si="151"/>
        <v>FITS BITCH</v>
      </c>
      <c r="AT1017" s="20" t="str">
        <f t="shared" si="152"/>
        <v/>
      </c>
      <c r="AU1017" s="20" t="str">
        <f t="shared" si="153"/>
        <v/>
      </c>
    </row>
    <row r="1018" spans="31:50">
      <c r="AE1018" s="26">
        <f>Data!A1013</f>
        <v>41493</v>
      </c>
      <c r="AF1018" s="35">
        <f>Data!B1013</f>
        <v>72.11</v>
      </c>
      <c r="AG1018" s="35">
        <f>Data!F1013</f>
        <v>1461908</v>
      </c>
      <c r="AH1018" s="35">
        <f>Data!C1013</f>
        <v>72.28</v>
      </c>
      <c r="AI1018" s="35">
        <f>Data!D1013</f>
        <v>71.67</v>
      </c>
      <c r="AJ1018" s="35">
        <f>Data!E1013</f>
        <v>71.989999999999995</v>
      </c>
      <c r="AK1018" s="35">
        <f>Data!F1013</f>
        <v>1461908</v>
      </c>
      <c r="AL1018" s="35">
        <f t="shared" si="147"/>
        <v>71.989999999999995</v>
      </c>
      <c r="AM1018" s="35">
        <f t="shared" si="155"/>
        <v>-0.4861786359216676</v>
      </c>
      <c r="AN1018" s="35">
        <f t="shared" si="154"/>
        <v>5.9169934086139486</v>
      </c>
      <c r="AO1018" s="35" t="str">
        <f t="shared" si="148"/>
        <v>no</v>
      </c>
      <c r="AP1018" s="35" t="str">
        <f t="shared" si="156"/>
        <v>no</v>
      </c>
      <c r="AQ1018" s="35" t="str">
        <f t="shared" si="156"/>
        <v>FITS BITCH</v>
      </c>
      <c r="AR1018" s="35" t="str">
        <f t="shared" si="150"/>
        <v>FITS BITCH</v>
      </c>
      <c r="AS1018" s="35" t="str">
        <f t="shared" si="151"/>
        <v>no</v>
      </c>
      <c r="AT1018" s="20" t="str">
        <f t="shared" si="152"/>
        <v/>
      </c>
      <c r="AU1018" s="20" t="str">
        <f t="shared" si="153"/>
        <v/>
      </c>
    </row>
    <row r="1019" spans="31:50">
      <c r="AE1019" s="26">
        <f>Data!A1014</f>
        <v>41492</v>
      </c>
      <c r="AF1019" s="35">
        <f>Data!B1014</f>
        <v>71.48</v>
      </c>
      <c r="AG1019" s="35">
        <f>Data!F1014</f>
        <v>1692103</v>
      </c>
      <c r="AH1019" s="35">
        <f>Data!C1014</f>
        <v>72.38</v>
      </c>
      <c r="AI1019" s="35">
        <f>Data!D1014</f>
        <v>71.099999999999994</v>
      </c>
      <c r="AJ1019" s="35">
        <f>Data!E1014</f>
        <v>72.239999999999995</v>
      </c>
      <c r="AK1019" s="35">
        <f>Data!F1014</f>
        <v>1692103</v>
      </c>
      <c r="AL1019" s="35">
        <f t="shared" si="147"/>
        <v>72.239999999999995</v>
      </c>
      <c r="AM1019" s="35">
        <f t="shared" si="155"/>
        <v>0.34606866002214842</v>
      </c>
      <c r="AN1019" s="35">
        <f t="shared" si="154"/>
        <v>13.604077293167141</v>
      </c>
      <c r="AO1019" s="35" t="str">
        <f t="shared" si="148"/>
        <v>no</v>
      </c>
      <c r="AP1019" s="35" t="str">
        <f t="shared" si="156"/>
        <v>FITS BITCH</v>
      </c>
      <c r="AQ1019" s="35" t="str">
        <f t="shared" si="156"/>
        <v>no</v>
      </c>
      <c r="AR1019" s="35" t="str">
        <f t="shared" si="150"/>
        <v>no</v>
      </c>
      <c r="AS1019" s="35" t="str">
        <f t="shared" si="151"/>
        <v>FITS BITCH</v>
      </c>
      <c r="AT1019" s="20" t="str">
        <f t="shared" si="152"/>
        <v/>
      </c>
      <c r="AU1019" s="20" t="str">
        <f t="shared" si="153"/>
        <v/>
      </c>
    </row>
    <row r="1020" spans="31:50">
      <c r="AE1020" s="26">
        <f>Data!A1015</f>
        <v>41491</v>
      </c>
      <c r="AF1020" s="35">
        <f>Data!B1015</f>
        <v>71.53</v>
      </c>
      <c r="AG1020" s="35">
        <f>Data!F1015</f>
        <v>2032055</v>
      </c>
      <c r="AH1020" s="35">
        <f>Data!C1015</f>
        <v>71.709999999999994</v>
      </c>
      <c r="AI1020" s="35">
        <f>Data!D1015</f>
        <v>71.16</v>
      </c>
      <c r="AJ1020" s="35">
        <f>Data!E1015</f>
        <v>71.599999999999994</v>
      </c>
      <c r="AK1020" s="35">
        <f>Data!F1015</f>
        <v>2032055</v>
      </c>
      <c r="AL1020" s="35">
        <f t="shared" si="147"/>
        <v>71.599999999999994</v>
      </c>
      <c r="AM1020" s="35">
        <f t="shared" si="155"/>
        <v>-0.89385474860335279</v>
      </c>
      <c r="AN1020" s="35">
        <f t="shared" si="154"/>
        <v>16.729468444505684</v>
      </c>
      <c r="AO1020" s="35" t="str">
        <f t="shared" si="148"/>
        <v>no</v>
      </c>
      <c r="AP1020" s="35" t="str">
        <f t="shared" si="156"/>
        <v>FITS BITCH</v>
      </c>
      <c r="AQ1020" s="35" t="str">
        <f t="shared" si="156"/>
        <v>FITS BITCH</v>
      </c>
      <c r="AR1020" s="35" t="str">
        <f t="shared" si="150"/>
        <v>FITS BITCH</v>
      </c>
      <c r="AS1020" s="35" t="str">
        <f t="shared" si="151"/>
        <v>FITS BITCH</v>
      </c>
      <c r="AT1020" s="20" t="str">
        <f t="shared" si="152"/>
        <v/>
      </c>
      <c r="AU1020" s="20" t="str">
        <f t="shared" si="153"/>
        <v/>
      </c>
    </row>
    <row r="1021" spans="31:50">
      <c r="AE1021" s="26">
        <f>Data!A1016</f>
        <v>41488</v>
      </c>
      <c r="AF1021" s="35">
        <f>Data!B1016</f>
        <v>71.22</v>
      </c>
      <c r="AG1021" s="35">
        <f>Data!F1016</f>
        <v>2091594</v>
      </c>
      <c r="AH1021" s="35">
        <f>Data!C1016</f>
        <v>71.62</v>
      </c>
      <c r="AI1021" s="35">
        <f>Data!D1016</f>
        <v>70.86</v>
      </c>
      <c r="AJ1021" s="35">
        <f>Data!E1016</f>
        <v>71.58</v>
      </c>
      <c r="AK1021" s="35">
        <f>Data!F1016</f>
        <v>2091594</v>
      </c>
      <c r="AL1021" s="35">
        <f t="shared" si="147"/>
        <v>71.58</v>
      </c>
      <c r="AM1021" s="35">
        <f t="shared" si="155"/>
        <v>-2.7940765576971251E-2</v>
      </c>
      <c r="AN1021" s="35">
        <f t="shared" si="154"/>
        <v>2.8465849490866777</v>
      </c>
      <c r="AO1021" s="35" t="str">
        <f t="shared" si="148"/>
        <v>no</v>
      </c>
      <c r="AP1021" s="35" t="str">
        <f t="shared" si="156"/>
        <v>no</v>
      </c>
      <c r="AQ1021" s="35" t="str">
        <f t="shared" si="156"/>
        <v>FITS BITCH</v>
      </c>
      <c r="AR1021" s="35" t="str">
        <f t="shared" si="150"/>
        <v>FITS BITCH</v>
      </c>
      <c r="AS1021" s="35" t="str">
        <f t="shared" si="151"/>
        <v>no</v>
      </c>
      <c r="AT1021" s="20" t="str">
        <f t="shared" si="152"/>
        <v/>
      </c>
      <c r="AU1021" s="20" t="str">
        <f t="shared" si="153"/>
        <v/>
      </c>
    </row>
    <row r="1022" spans="31:50">
      <c r="AE1022" s="26">
        <f>Data!A1017</f>
        <v>41487</v>
      </c>
      <c r="AF1022" s="35">
        <f>Data!B1017</f>
        <v>70.510000000000005</v>
      </c>
      <c r="AG1022" s="35">
        <f>Data!F1017</f>
        <v>2311956</v>
      </c>
      <c r="AH1022" s="35">
        <f>Data!C1017</f>
        <v>72.02</v>
      </c>
      <c r="AI1022" s="35">
        <f>Data!D1017</f>
        <v>70.11</v>
      </c>
      <c r="AJ1022" s="35">
        <f>Data!E1017</f>
        <v>71.849999999999994</v>
      </c>
      <c r="AK1022" s="35">
        <f>Data!F1017</f>
        <v>2311956</v>
      </c>
      <c r="AL1022" s="35">
        <f t="shared" si="147"/>
        <v>71.849999999999994</v>
      </c>
      <c r="AM1022" s="35">
        <f t="shared" si="155"/>
        <v>0.37578288100208218</v>
      </c>
      <c r="AN1022" s="35">
        <f t="shared" si="154"/>
        <v>9.531409767313912</v>
      </c>
      <c r="AO1022" s="35" t="str">
        <f t="shared" si="148"/>
        <v>no</v>
      </c>
      <c r="AP1022" s="35" t="str">
        <f t="shared" si="156"/>
        <v>no</v>
      </c>
      <c r="AQ1022" s="35" t="str">
        <f t="shared" si="156"/>
        <v>no</v>
      </c>
      <c r="AR1022" s="35" t="str">
        <f t="shared" si="150"/>
        <v>FITS BITCH</v>
      </c>
      <c r="AS1022" s="35" t="str">
        <f t="shared" si="151"/>
        <v>no</v>
      </c>
      <c r="AT1022" s="20" t="str">
        <f t="shared" si="152"/>
        <v/>
      </c>
      <c r="AU1022" s="20" t="str">
        <f t="shared" si="153"/>
        <v/>
      </c>
    </row>
    <row r="1023" spans="31:50">
      <c r="AE1023" s="26">
        <f>Data!A1018</f>
        <v>41486</v>
      </c>
      <c r="AF1023" s="35">
        <f>Data!B1018</f>
        <v>72.62</v>
      </c>
      <c r="AG1023" s="35">
        <f>Data!F1018</f>
        <v>2185462</v>
      </c>
      <c r="AH1023" s="35">
        <f>Data!C1018</f>
        <v>72.78</v>
      </c>
      <c r="AI1023" s="35">
        <f>Data!D1018</f>
        <v>72.040000000000006</v>
      </c>
      <c r="AJ1023" s="35">
        <f>Data!E1018</f>
        <v>72.09</v>
      </c>
      <c r="AK1023" s="35">
        <f>Data!F1018</f>
        <v>2185462</v>
      </c>
      <c r="AL1023" s="35">
        <f t="shared" si="147"/>
        <v>72.09</v>
      </c>
      <c r="AM1023" s="35">
        <f t="shared" si="155"/>
        <v>0.33291718684978372</v>
      </c>
      <c r="AN1023" s="35">
        <f t="shared" si="154"/>
        <v>-5.7879752656417729</v>
      </c>
      <c r="AO1023" s="35" t="str">
        <f t="shared" si="148"/>
        <v>no</v>
      </c>
      <c r="AP1023" s="35" t="str">
        <f t="shared" si="156"/>
        <v>FITS BITCH</v>
      </c>
      <c r="AQ1023" s="35" t="str">
        <f t="shared" si="156"/>
        <v>FITS BITCH</v>
      </c>
      <c r="AR1023" s="35" t="str">
        <f t="shared" si="150"/>
        <v>FITS BITCH</v>
      </c>
      <c r="AS1023" s="35" t="str">
        <f t="shared" si="151"/>
        <v>no</v>
      </c>
      <c r="AT1023" s="20" t="str">
        <f t="shared" si="152"/>
        <v/>
      </c>
      <c r="AU1023" s="20" t="str">
        <f t="shared" si="153"/>
        <v/>
      </c>
    </row>
    <row r="1024" spans="31:50">
      <c r="AE1024" s="26">
        <f>Data!A1019</f>
        <v>41485</v>
      </c>
      <c r="AF1024" s="35">
        <f>Data!B1019</f>
        <v>72.69</v>
      </c>
      <c r="AG1024" s="35">
        <f>Data!F1019</f>
        <v>1252524</v>
      </c>
      <c r="AH1024" s="35">
        <f>Data!C1019</f>
        <v>72.69</v>
      </c>
      <c r="AI1024" s="35">
        <f>Data!D1019</f>
        <v>72.010000000000005</v>
      </c>
      <c r="AJ1024" s="35">
        <f>Data!E1019</f>
        <v>72.14</v>
      </c>
      <c r="AK1024" s="35">
        <f>Data!F1019</f>
        <v>1252524</v>
      </c>
      <c r="AL1024" s="35">
        <f t="shared" si="147"/>
        <v>72.14</v>
      </c>
      <c r="AM1024" s="35">
        <f t="shared" si="155"/>
        <v>6.9309675630714107E-2</v>
      </c>
      <c r="AN1024" s="35">
        <f t="shared" si="154"/>
        <v>-74.484640613672866</v>
      </c>
      <c r="AO1024" s="35" t="str">
        <f t="shared" si="148"/>
        <v>FITS BITCH</v>
      </c>
      <c r="AP1024" s="35" t="str">
        <f t="shared" si="156"/>
        <v>FITS BITCH</v>
      </c>
      <c r="AQ1024" s="35" t="str">
        <f t="shared" si="156"/>
        <v>FITS BITCH</v>
      </c>
      <c r="AR1024" s="35" t="str">
        <f t="shared" si="150"/>
        <v>FITS BITCH</v>
      </c>
      <c r="AS1024" s="35" t="str">
        <f t="shared" si="151"/>
        <v>FITS BITCH</v>
      </c>
      <c r="AT1024" s="20" t="str">
        <f t="shared" si="152"/>
        <v>BULLISH</v>
      </c>
      <c r="AU1024" s="20" t="str">
        <f t="shared" si="153"/>
        <v>BEARISH</v>
      </c>
    </row>
    <row r="1025" spans="31:47">
      <c r="AE1025" s="26">
        <f>Data!A1020</f>
        <v>41484</v>
      </c>
      <c r="AF1025" s="35">
        <f>Data!B1020</f>
        <v>72.16</v>
      </c>
      <c r="AG1025" s="35">
        <f>Data!F1020</f>
        <v>926092</v>
      </c>
      <c r="AH1025" s="35">
        <f>Data!C1020</f>
        <v>72.489999999999995</v>
      </c>
      <c r="AI1025" s="35">
        <f>Data!D1020</f>
        <v>71.849999999999994</v>
      </c>
      <c r="AJ1025" s="35">
        <f>Data!E1020</f>
        <v>72.099999999999994</v>
      </c>
      <c r="AK1025" s="35">
        <f>Data!F1020</f>
        <v>926092</v>
      </c>
      <c r="AL1025" s="35">
        <f t="shared" si="147"/>
        <v>72.099999999999994</v>
      </c>
      <c r="AM1025" s="35">
        <f t="shared" si="155"/>
        <v>-5.5478502080452498E-2</v>
      </c>
      <c r="AN1025" s="35">
        <f t="shared" si="154"/>
        <v>-35.248333858839075</v>
      </c>
      <c r="AO1025" s="35" t="str">
        <f t="shared" si="148"/>
        <v>FITS BITCH</v>
      </c>
      <c r="AP1025" s="35" t="str">
        <f t="shared" si="156"/>
        <v>no</v>
      </c>
      <c r="AQ1025" s="35" t="str">
        <f t="shared" si="156"/>
        <v>FITS BITCH</v>
      </c>
      <c r="AR1025" s="35" t="str">
        <f t="shared" si="150"/>
        <v>FITS BITCH</v>
      </c>
      <c r="AS1025" s="35" t="str">
        <f t="shared" si="151"/>
        <v>no</v>
      </c>
      <c r="AT1025" s="20" t="str">
        <f t="shared" si="152"/>
        <v/>
      </c>
      <c r="AU1025" s="20" t="str">
        <f t="shared" si="153"/>
        <v/>
      </c>
    </row>
    <row r="1026" spans="31:47">
      <c r="AE1026" s="26">
        <f>Data!A1021</f>
        <v>41481</v>
      </c>
      <c r="AF1026" s="35">
        <f>Data!B1021</f>
        <v>72.05</v>
      </c>
      <c r="AG1026" s="35">
        <f>Data!F1021</f>
        <v>1426583</v>
      </c>
      <c r="AH1026" s="35">
        <f>Data!C1021</f>
        <v>72.5</v>
      </c>
      <c r="AI1026" s="35">
        <f>Data!D1021</f>
        <v>71.709999999999994</v>
      </c>
      <c r="AJ1026" s="35">
        <f>Data!E1021</f>
        <v>72.48</v>
      </c>
      <c r="AK1026" s="35">
        <f>Data!F1021</f>
        <v>1426583</v>
      </c>
      <c r="AL1026" s="35">
        <f t="shared" si="147"/>
        <v>72.48</v>
      </c>
      <c r="AM1026" s="35">
        <f t="shared" si="155"/>
        <v>0.5242825607064151</v>
      </c>
      <c r="AN1026" s="35">
        <f t="shared" si="154"/>
        <v>35.083202309294307</v>
      </c>
      <c r="AO1026" s="35" t="str">
        <f t="shared" si="148"/>
        <v>no</v>
      </c>
      <c r="AP1026" s="35" t="str">
        <f t="shared" si="156"/>
        <v>FITS BITCH</v>
      </c>
      <c r="AQ1026" s="35" t="str">
        <f t="shared" si="156"/>
        <v>FITS BITCH</v>
      </c>
      <c r="AR1026" s="35" t="str">
        <f t="shared" si="150"/>
        <v>no</v>
      </c>
      <c r="AS1026" s="35" t="str">
        <f t="shared" si="151"/>
        <v>FITS BITCH</v>
      </c>
      <c r="AT1026" s="20" t="str">
        <f t="shared" si="152"/>
        <v/>
      </c>
      <c r="AU1026" s="20" t="str">
        <f t="shared" si="153"/>
        <v/>
      </c>
    </row>
    <row r="1027" spans="31:47">
      <c r="AE1027" s="26">
        <f>Data!A1022</f>
        <v>41480</v>
      </c>
      <c r="AF1027" s="35">
        <f>Data!B1022</f>
        <v>72.180000000000007</v>
      </c>
      <c r="AG1027" s="35">
        <f>Data!F1022</f>
        <v>1572601</v>
      </c>
      <c r="AH1027" s="35">
        <f>Data!C1022</f>
        <v>72.400000000000006</v>
      </c>
      <c r="AI1027" s="35">
        <f>Data!D1022</f>
        <v>71.66</v>
      </c>
      <c r="AJ1027" s="35">
        <f>Data!E1022</f>
        <v>72.17</v>
      </c>
      <c r="AK1027" s="35">
        <f>Data!F1022</f>
        <v>1572601</v>
      </c>
      <c r="AL1027" s="35">
        <f t="shared" si="147"/>
        <v>72.17</v>
      </c>
      <c r="AM1027" s="35">
        <f t="shared" si="155"/>
        <v>-0.42954136067618437</v>
      </c>
      <c r="AN1027" s="35">
        <f t="shared" si="154"/>
        <v>9.2851269966126182</v>
      </c>
      <c r="AO1027" s="35" t="str">
        <f t="shared" si="148"/>
        <v>no</v>
      </c>
      <c r="AP1027" s="35" t="str">
        <f t="shared" si="156"/>
        <v>no</v>
      </c>
      <c r="AQ1027" s="35" t="str">
        <f t="shared" si="156"/>
        <v>no</v>
      </c>
      <c r="AR1027" s="35" t="str">
        <f t="shared" si="150"/>
        <v>FITS BITCH</v>
      </c>
      <c r="AS1027" s="35" t="str">
        <f t="shared" si="151"/>
        <v>no</v>
      </c>
      <c r="AT1027" s="20" t="str">
        <f t="shared" si="152"/>
        <v/>
      </c>
      <c r="AU1027" s="20" t="str">
        <f t="shared" si="153"/>
        <v/>
      </c>
    </row>
    <row r="1028" spans="31:47">
      <c r="AE1028" s="26">
        <f>Data!A1023</f>
        <v>41479</v>
      </c>
      <c r="AF1028" s="35">
        <f>Data!B1023</f>
        <v>72.95</v>
      </c>
      <c r="AG1028" s="35">
        <f>Data!F1023</f>
        <v>1286077</v>
      </c>
      <c r="AH1028" s="35">
        <f>Data!C1023</f>
        <v>72.95</v>
      </c>
      <c r="AI1028" s="35">
        <f>Data!D1023</f>
        <v>72.05</v>
      </c>
      <c r="AJ1028" s="35">
        <f>Data!E1023</f>
        <v>72.22</v>
      </c>
      <c r="AK1028" s="35">
        <f>Data!F1023</f>
        <v>1286077</v>
      </c>
      <c r="AL1028" s="35">
        <f t="shared" si="147"/>
        <v>72.22</v>
      </c>
      <c r="AM1028" s="35">
        <f t="shared" si="155"/>
        <v>6.9232899473826021E-2</v>
      </c>
      <c r="AN1028" s="35">
        <f t="shared" si="154"/>
        <v>-22.278914870571516</v>
      </c>
      <c r="AO1028" s="35" t="str">
        <f t="shared" si="148"/>
        <v>FITS BITCH</v>
      </c>
      <c r="AP1028" s="35" t="str">
        <f t="shared" si="156"/>
        <v>no</v>
      </c>
      <c r="AQ1028" s="35" t="str">
        <f t="shared" si="156"/>
        <v>no</v>
      </c>
      <c r="AR1028" s="35" t="str">
        <f t="shared" si="150"/>
        <v>FITS BITCH</v>
      </c>
      <c r="AS1028" s="35" t="str">
        <f t="shared" si="151"/>
        <v>no</v>
      </c>
      <c r="AT1028" s="20" t="str">
        <f t="shared" si="152"/>
        <v/>
      </c>
      <c r="AU1028" s="20" t="str">
        <f t="shared" si="153"/>
        <v/>
      </c>
    </row>
    <row r="1029" spans="31:47">
      <c r="AE1029" s="26">
        <f>Data!A1024</f>
        <v>41478</v>
      </c>
      <c r="AF1029" s="35">
        <f>Data!B1024</f>
        <v>73.17</v>
      </c>
      <c r="AG1029" s="35">
        <f>Data!F1024</f>
        <v>1540757</v>
      </c>
      <c r="AH1029" s="35">
        <f>Data!C1024</f>
        <v>73.33</v>
      </c>
      <c r="AI1029" s="35">
        <f>Data!D1024</f>
        <v>72.48</v>
      </c>
      <c r="AJ1029" s="35">
        <f>Data!E1024</f>
        <v>72.489999999999995</v>
      </c>
      <c r="AK1029" s="35">
        <f>Data!F1024</f>
        <v>1540757</v>
      </c>
      <c r="AL1029" s="35">
        <f t="shared" si="147"/>
        <v>72.489999999999995</v>
      </c>
      <c r="AM1029" s="35">
        <f t="shared" si="155"/>
        <v>0.37246516760931997</v>
      </c>
      <c r="AN1029" s="35">
        <f t="shared" si="154"/>
        <v>16.529537104163733</v>
      </c>
      <c r="AO1029" s="35" t="str">
        <f t="shared" si="148"/>
        <v>no</v>
      </c>
      <c r="AP1029" s="35" t="str">
        <f t="shared" si="156"/>
        <v>no</v>
      </c>
      <c r="AQ1029" s="35" t="str">
        <f t="shared" si="156"/>
        <v>no</v>
      </c>
      <c r="AR1029" s="35" t="str">
        <f t="shared" si="150"/>
        <v>FITS BITCH</v>
      </c>
      <c r="AS1029" s="35" t="str">
        <f t="shared" si="151"/>
        <v>no</v>
      </c>
      <c r="AT1029" s="20" t="str">
        <f t="shared" si="152"/>
        <v/>
      </c>
      <c r="AU1029" s="20" t="str">
        <f t="shared" si="153"/>
        <v/>
      </c>
    </row>
    <row r="1030" spans="31:47">
      <c r="AE1030" s="26">
        <f>Data!A1025</f>
        <v>41477</v>
      </c>
      <c r="AF1030" s="35">
        <f>Data!B1025</f>
        <v>73.790000000000006</v>
      </c>
      <c r="AG1030" s="35">
        <f>Data!F1025</f>
        <v>1603254</v>
      </c>
      <c r="AH1030" s="35">
        <f>Data!C1025</f>
        <v>73.83</v>
      </c>
      <c r="AI1030" s="35">
        <f>Data!D1025</f>
        <v>72.790000000000006</v>
      </c>
      <c r="AJ1030" s="35">
        <f>Data!E1025</f>
        <v>73.16</v>
      </c>
      <c r="AK1030" s="35">
        <f>Data!F1025</f>
        <v>1603254</v>
      </c>
      <c r="AL1030" s="35">
        <f t="shared" ref="AL1030:AL1042" si="157">AJ1030</f>
        <v>73.16</v>
      </c>
      <c r="AM1030" s="35">
        <f t="shared" si="155"/>
        <v>0.91580098414434352</v>
      </c>
      <c r="AN1030" s="35">
        <f t="shared" si="154"/>
        <v>3.8981346686176992</v>
      </c>
      <c r="AO1030" s="35" t="str">
        <f t="shared" si="148"/>
        <v>no</v>
      </c>
      <c r="AP1030" s="35" t="str">
        <f t="shared" si="156"/>
        <v>FITS BITCH</v>
      </c>
      <c r="AQ1030" s="35" t="str">
        <f t="shared" si="156"/>
        <v>FITS BITCH</v>
      </c>
      <c r="AR1030" s="35" t="str">
        <f t="shared" si="150"/>
        <v>FITS BITCH</v>
      </c>
      <c r="AS1030" s="35" t="str">
        <f t="shared" si="151"/>
        <v>FITS BITCH</v>
      </c>
      <c r="AT1030" s="20" t="str">
        <f t="shared" si="152"/>
        <v/>
      </c>
      <c r="AU1030" s="20" t="str">
        <f t="shared" si="153"/>
        <v/>
      </c>
    </row>
    <row r="1031" spans="31:47">
      <c r="AE1031" s="26">
        <f>Data!A1026</f>
        <v>41474</v>
      </c>
      <c r="AF1031" s="35">
        <f>Data!B1026</f>
        <v>73.14</v>
      </c>
      <c r="AG1031" s="35">
        <f>Data!F1026</f>
        <v>2265347</v>
      </c>
      <c r="AH1031" s="35">
        <f>Data!C1026</f>
        <v>73.17</v>
      </c>
      <c r="AI1031" s="35">
        <f>Data!D1026</f>
        <v>72.260000000000005</v>
      </c>
      <c r="AJ1031" s="35">
        <f>Data!E1026</f>
        <v>72.88</v>
      </c>
      <c r="AK1031" s="35">
        <f>Data!F1026</f>
        <v>2265347</v>
      </c>
      <c r="AL1031" s="35">
        <f t="shared" si="157"/>
        <v>72.88</v>
      </c>
      <c r="AM1031" s="35">
        <f t="shared" si="155"/>
        <v>-0.38419319429198839</v>
      </c>
      <c r="AN1031" s="35">
        <f t="shared" si="154"/>
        <v>29.22700142627156</v>
      </c>
      <c r="AO1031" s="35" t="str">
        <f t="shared" si="148"/>
        <v>no</v>
      </c>
      <c r="AP1031" s="35" t="str">
        <f t="shared" si="156"/>
        <v>FITS BITCH</v>
      </c>
      <c r="AQ1031" s="35" t="str">
        <f t="shared" si="156"/>
        <v>no</v>
      </c>
      <c r="AR1031" s="35" t="str">
        <f t="shared" si="150"/>
        <v>FITS BITCH</v>
      </c>
      <c r="AS1031" s="35" t="str">
        <f t="shared" si="151"/>
        <v>FITS BITCH</v>
      </c>
      <c r="AT1031" s="20" t="str">
        <f t="shared" si="152"/>
        <v/>
      </c>
      <c r="AU1031" s="20" t="str">
        <f t="shared" si="153"/>
        <v/>
      </c>
    </row>
    <row r="1032" spans="31:47">
      <c r="AE1032" s="26">
        <f>Data!A1027</f>
        <v>41473</v>
      </c>
      <c r="AF1032" s="35">
        <f>Data!B1027</f>
        <v>72.67</v>
      </c>
      <c r="AG1032" s="35">
        <f>Data!F1027</f>
        <v>1281095</v>
      </c>
      <c r="AH1032" s="35">
        <f>Data!C1027</f>
        <v>73.05</v>
      </c>
      <c r="AI1032" s="35">
        <f>Data!D1027</f>
        <v>72.56</v>
      </c>
      <c r="AJ1032" s="35">
        <f>Data!E1027</f>
        <v>72.819999999999993</v>
      </c>
      <c r="AK1032" s="35">
        <f>Data!F1027</f>
        <v>1281095</v>
      </c>
      <c r="AL1032" s="35">
        <f t="shared" si="157"/>
        <v>72.819999999999993</v>
      </c>
      <c r="AM1032" s="35">
        <f t="shared" si="155"/>
        <v>-8.2394946443287945E-2</v>
      </c>
      <c r="AN1032" s="35">
        <f t="shared" si="154"/>
        <v>-76.828962723295305</v>
      </c>
      <c r="AO1032" s="35" t="str">
        <f t="shared" si="148"/>
        <v>FITS BITCH</v>
      </c>
      <c r="AP1032" s="35" t="str">
        <f t="shared" si="156"/>
        <v>FITS BITCH</v>
      </c>
      <c r="AQ1032" s="35" t="str">
        <f t="shared" si="156"/>
        <v>FITS BITCH</v>
      </c>
      <c r="AR1032" s="35" t="str">
        <f t="shared" si="150"/>
        <v>FITS BITCH</v>
      </c>
      <c r="AS1032" s="35" t="str">
        <f t="shared" si="151"/>
        <v>FITS BITCH</v>
      </c>
      <c r="AT1032" s="20" t="str">
        <f t="shared" si="152"/>
        <v>BULLISH</v>
      </c>
      <c r="AU1032" s="20" t="str">
        <f t="shared" si="153"/>
        <v>BEARISH</v>
      </c>
    </row>
    <row r="1033" spans="31:47">
      <c r="AE1033" s="26">
        <f>Data!A1028</f>
        <v>41472</v>
      </c>
      <c r="AF1033" s="35">
        <f>Data!B1028</f>
        <v>72.67</v>
      </c>
      <c r="AG1033" s="35">
        <f>Data!F1028</f>
        <v>1890260</v>
      </c>
      <c r="AH1033" s="35">
        <f>Data!C1028</f>
        <v>72.849999999999994</v>
      </c>
      <c r="AI1033" s="35">
        <f>Data!D1028</f>
        <v>72.260000000000005</v>
      </c>
      <c r="AJ1033" s="35">
        <f>Data!E1028</f>
        <v>72.319999999999993</v>
      </c>
      <c r="AK1033" s="35">
        <f>Data!F1028</f>
        <v>1890260</v>
      </c>
      <c r="AL1033" s="35">
        <f t="shared" si="157"/>
        <v>72.319999999999993</v>
      </c>
      <c r="AM1033" s="35">
        <f t="shared" si="155"/>
        <v>-0.6913716814159292</v>
      </c>
      <c r="AN1033" s="35">
        <f t="shared" si="154"/>
        <v>32.226519103192153</v>
      </c>
      <c r="AO1033" s="35" t="str">
        <f t="shared" ref="AO1033:AO1042" si="158">IF(AN1033&lt;-8,"FITS BITCH",IF(AN1033&gt;-8,"no"))</f>
        <v>no</v>
      </c>
      <c r="AP1033" s="35" t="str">
        <f t="shared" si="156"/>
        <v>FITS BITCH</v>
      </c>
      <c r="AQ1033" s="35" t="str">
        <f t="shared" si="156"/>
        <v>FITS BITCH</v>
      </c>
      <c r="AR1033" s="35" t="str">
        <f t="shared" ref="AR1033:AR1042" si="159">IF(AJ1033&lt;AH1034,"FITS BITCH",IF(AJ1033&gt;AH1034,"no"))</f>
        <v>FITS BITCH</v>
      </c>
      <c r="AS1033" s="35" t="str">
        <f t="shared" ref="AS1033:AS1042" si="160">IF(AJ1033&gt;AJ1034,"FITS BITCH",IF(AJ1033&lt;AJ1034,"no"))</f>
        <v>FITS BITCH</v>
      </c>
      <c r="AT1033" s="20" t="str">
        <f t="shared" ref="AT1033:AT1042" si="161">IF(AND($AO1033="FITS BITCH",$AP1033="FITS BITCH",$AR1033="FITS BITCH"),"BULLISH","")</f>
        <v/>
      </c>
      <c r="AU1033" s="20" t="str">
        <f t="shared" ref="AU1033:AU1042" si="162">IF(AND($AO1033="FITS BITCH",$AQ1033="FITS BITCH",$AS1033="FITS BITCH"),"BEARISH","")</f>
        <v/>
      </c>
    </row>
    <row r="1034" spans="31:47">
      <c r="AE1034" s="26">
        <f>Data!A1029</f>
        <v>41471</v>
      </c>
      <c r="AF1034" s="35">
        <f>Data!B1029</f>
        <v>72.540000000000006</v>
      </c>
      <c r="AG1034" s="35">
        <f>Data!F1029</f>
        <v>1303799</v>
      </c>
      <c r="AH1034" s="35">
        <f>Data!C1029</f>
        <v>72.63</v>
      </c>
      <c r="AI1034" s="35">
        <f>Data!D1029</f>
        <v>72.069999999999993</v>
      </c>
      <c r="AJ1034" s="35">
        <f>Data!E1029</f>
        <v>72.3</v>
      </c>
      <c r="AK1034" s="35">
        <f>Data!F1029</f>
        <v>1303799</v>
      </c>
      <c r="AL1034" s="35">
        <f t="shared" si="157"/>
        <v>72.3</v>
      </c>
      <c r="AM1034" s="35">
        <f t="shared" si="155"/>
        <v>-2.7662517289067802E-2</v>
      </c>
      <c r="AN1034" s="35">
        <f t="shared" ref="AN1034:AN1042" si="163">(AK1034-AK1033)/AK1034*100</f>
        <v>-44.980936478705694</v>
      </c>
      <c r="AO1034" s="35" t="str">
        <f t="shared" si="158"/>
        <v>FITS BITCH</v>
      </c>
      <c r="AP1034" s="35" t="str">
        <f t="shared" si="156"/>
        <v>no</v>
      </c>
      <c r="AQ1034" s="35" t="str">
        <f t="shared" si="156"/>
        <v>no</v>
      </c>
      <c r="AR1034" s="35" t="str">
        <f t="shared" si="159"/>
        <v>FITS BITCH</v>
      </c>
      <c r="AS1034" s="35" t="str">
        <f t="shared" si="160"/>
        <v>no</v>
      </c>
      <c r="AT1034" s="20" t="str">
        <f t="shared" si="161"/>
        <v/>
      </c>
      <c r="AU1034" s="20" t="str">
        <f t="shared" si="162"/>
        <v/>
      </c>
    </row>
    <row r="1035" spans="31:47">
      <c r="AE1035" s="26">
        <f>Data!A1030</f>
        <v>41470</v>
      </c>
      <c r="AF1035" s="35">
        <f>Data!B1030</f>
        <v>73.25</v>
      </c>
      <c r="AG1035" s="35">
        <f>Data!F1030</f>
        <v>2081721</v>
      </c>
      <c r="AH1035" s="35">
        <f>Data!C1030</f>
        <v>73.319999999999993</v>
      </c>
      <c r="AI1035" s="35">
        <f>Data!D1030</f>
        <v>72.22</v>
      </c>
      <c r="AJ1035" s="35">
        <f>Data!E1030</f>
        <v>72.36</v>
      </c>
      <c r="AK1035" s="35">
        <f>Data!F1030</f>
        <v>2081721</v>
      </c>
      <c r="AL1035" s="35">
        <f t="shared" si="157"/>
        <v>72.36</v>
      </c>
      <c r="AM1035" s="35">
        <f t="shared" si="155"/>
        <v>8.2918739635160693E-2</v>
      </c>
      <c r="AN1035" s="35">
        <f t="shared" si="163"/>
        <v>37.369176753272896</v>
      </c>
      <c r="AO1035" s="35" t="str">
        <f t="shared" si="158"/>
        <v>no</v>
      </c>
      <c r="AP1035" s="35" t="str">
        <f t="shared" si="156"/>
        <v>no</v>
      </c>
      <c r="AQ1035" s="35" t="str">
        <f t="shared" si="156"/>
        <v>FITS BITCH</v>
      </c>
      <c r="AR1035" s="35" t="str">
        <f t="shared" si="159"/>
        <v>FITS BITCH</v>
      </c>
      <c r="AS1035" s="35" t="str">
        <f t="shared" si="160"/>
        <v>no</v>
      </c>
      <c r="AT1035" s="20" t="str">
        <f t="shared" si="161"/>
        <v/>
      </c>
      <c r="AU1035" s="20" t="str">
        <f t="shared" si="162"/>
        <v/>
      </c>
    </row>
    <row r="1036" spans="31:47">
      <c r="AE1036" s="26">
        <f>Data!A1031</f>
        <v>41467</v>
      </c>
      <c r="AF1036" s="35">
        <f>Data!B1031</f>
        <v>71.989999999999995</v>
      </c>
      <c r="AG1036" s="35">
        <f>Data!F1031</f>
        <v>2808998</v>
      </c>
      <c r="AH1036" s="35">
        <f>Data!C1031</f>
        <v>73.44</v>
      </c>
      <c r="AI1036" s="35">
        <f>Data!D1031</f>
        <v>71.930000000000007</v>
      </c>
      <c r="AJ1036" s="35">
        <f>Data!E1031</f>
        <v>73.41</v>
      </c>
      <c r="AK1036" s="35">
        <f>Data!F1031</f>
        <v>2808998</v>
      </c>
      <c r="AL1036" s="35">
        <f t="shared" si="157"/>
        <v>73.41</v>
      </c>
      <c r="AM1036" s="35">
        <f t="shared" si="155"/>
        <v>1.430322844299138</v>
      </c>
      <c r="AN1036" s="35">
        <f t="shared" si="163"/>
        <v>25.890976070470678</v>
      </c>
      <c r="AO1036" s="35" t="str">
        <f t="shared" si="158"/>
        <v>no</v>
      </c>
      <c r="AP1036" s="35" t="str">
        <f t="shared" si="156"/>
        <v>FITS BITCH</v>
      </c>
      <c r="AQ1036" s="35" t="str">
        <f t="shared" si="156"/>
        <v>FITS BITCH</v>
      </c>
      <c r="AR1036" s="35" t="str">
        <f t="shared" si="159"/>
        <v>no</v>
      </c>
      <c r="AS1036" s="35" t="str">
        <f t="shared" si="160"/>
        <v>FITS BITCH</v>
      </c>
      <c r="AT1036" s="20" t="str">
        <f t="shared" si="161"/>
        <v/>
      </c>
      <c r="AU1036" s="20" t="str">
        <f t="shared" si="162"/>
        <v/>
      </c>
    </row>
    <row r="1037" spans="31:47">
      <c r="AE1037" s="26">
        <f>Data!A1032</f>
        <v>41466</v>
      </c>
      <c r="AF1037" s="35">
        <f>Data!B1032</f>
        <v>72.22</v>
      </c>
      <c r="AG1037" s="35">
        <f>Data!F1032</f>
        <v>2252796</v>
      </c>
      <c r="AH1037" s="35">
        <f>Data!C1032</f>
        <v>72.59</v>
      </c>
      <c r="AI1037" s="35">
        <f>Data!D1032</f>
        <v>71.75</v>
      </c>
      <c r="AJ1037" s="35">
        <f>Data!E1032</f>
        <v>71.849999999999994</v>
      </c>
      <c r="AK1037" s="35">
        <f>Data!F1032</f>
        <v>2252796</v>
      </c>
      <c r="AL1037" s="35">
        <f t="shared" si="157"/>
        <v>71.849999999999994</v>
      </c>
      <c r="AM1037" s="35">
        <f t="shared" si="155"/>
        <v>-2.1711899791231768</v>
      </c>
      <c r="AN1037" s="35">
        <f t="shared" si="163"/>
        <v>-24.689408184318509</v>
      </c>
      <c r="AO1037" s="35" t="str">
        <f t="shared" si="158"/>
        <v>FITS BITCH</v>
      </c>
      <c r="AP1037" s="35" t="str">
        <f t="shared" si="156"/>
        <v>FITS BITCH</v>
      </c>
      <c r="AQ1037" s="35" t="str">
        <f t="shared" si="156"/>
        <v>FITS BITCH</v>
      </c>
      <c r="AR1037" s="35" t="str">
        <f t="shared" si="159"/>
        <v>FITS BITCH</v>
      </c>
      <c r="AS1037" s="35" t="str">
        <f t="shared" si="160"/>
        <v>FITS BITCH</v>
      </c>
      <c r="AT1037" s="20" t="str">
        <f t="shared" si="161"/>
        <v>BULLISH</v>
      </c>
      <c r="AU1037" s="20" t="str">
        <f t="shared" si="162"/>
        <v>BEARISH</v>
      </c>
    </row>
    <row r="1038" spans="31:47">
      <c r="AE1038" s="26">
        <f>Data!A1033</f>
        <v>41465</v>
      </c>
      <c r="AF1038" s="35">
        <f>Data!B1033</f>
        <v>70.86</v>
      </c>
      <c r="AG1038" s="35">
        <f>Data!F1033</f>
        <v>1688738</v>
      </c>
      <c r="AH1038" s="35">
        <f>Data!C1033</f>
        <v>71.87</v>
      </c>
      <c r="AI1038" s="35">
        <f>Data!D1033</f>
        <v>70.84</v>
      </c>
      <c r="AJ1038" s="35">
        <f>Data!E1033</f>
        <v>71.75</v>
      </c>
      <c r="AK1038" s="35">
        <f>Data!F1033</f>
        <v>1688738</v>
      </c>
      <c r="AL1038" s="35">
        <f t="shared" si="157"/>
        <v>71.75</v>
      </c>
      <c r="AM1038" s="35">
        <f t="shared" si="155"/>
        <v>-0.13937282229964365</v>
      </c>
      <c r="AN1038" s="35">
        <f t="shared" si="163"/>
        <v>-33.401155182153772</v>
      </c>
      <c r="AO1038" s="35" t="str">
        <f t="shared" si="158"/>
        <v>FITS BITCH</v>
      </c>
      <c r="AP1038" s="35" t="str">
        <f t="shared" si="156"/>
        <v>FITS BITCH</v>
      </c>
      <c r="AQ1038" s="35" t="str">
        <f t="shared" si="156"/>
        <v>no</v>
      </c>
      <c r="AR1038" s="35" t="str">
        <f t="shared" si="159"/>
        <v>no</v>
      </c>
      <c r="AS1038" s="35" t="str">
        <f t="shared" si="160"/>
        <v>FITS BITCH</v>
      </c>
      <c r="AT1038" s="20" t="str">
        <f t="shared" si="161"/>
        <v/>
      </c>
      <c r="AU1038" s="20" t="str">
        <f t="shared" si="162"/>
        <v/>
      </c>
    </row>
    <row r="1039" spans="31:47">
      <c r="AE1039" s="26">
        <f>Data!A1034</f>
        <v>41464</v>
      </c>
      <c r="AF1039" s="35">
        <f>Data!B1034</f>
        <v>71</v>
      </c>
      <c r="AG1039" s="35">
        <f>Data!F1034</f>
        <v>1486083</v>
      </c>
      <c r="AH1039" s="35">
        <f>Data!C1034</f>
        <v>71.34</v>
      </c>
      <c r="AI1039" s="35">
        <f>Data!D1034</f>
        <v>70.89</v>
      </c>
      <c r="AJ1039" s="35">
        <f>Data!E1034</f>
        <v>71.040000000000006</v>
      </c>
      <c r="AK1039" s="35">
        <f>Data!F1034</f>
        <v>1486083</v>
      </c>
      <c r="AL1039" s="35">
        <f t="shared" si="157"/>
        <v>71.040000000000006</v>
      </c>
      <c r="AM1039" s="35">
        <f t="shared" si="155"/>
        <v>-0.99943693693692814</v>
      </c>
      <c r="AN1039" s="35">
        <f t="shared" si="163"/>
        <v>-13.636856084081442</v>
      </c>
      <c r="AO1039" s="35" t="str">
        <f t="shared" si="158"/>
        <v>FITS BITCH</v>
      </c>
      <c r="AP1039" s="35" t="str">
        <f t="shared" si="156"/>
        <v>FITS BITCH</v>
      </c>
      <c r="AQ1039" s="35" t="str">
        <f t="shared" si="156"/>
        <v>FITS BITCH</v>
      </c>
      <c r="AR1039" s="35" t="str">
        <f t="shared" si="159"/>
        <v>FITS BITCH</v>
      </c>
      <c r="AS1039" s="35" t="str">
        <f t="shared" si="160"/>
        <v>FITS BITCH</v>
      </c>
      <c r="AT1039" s="20" t="str">
        <f t="shared" si="161"/>
        <v>BULLISH</v>
      </c>
      <c r="AU1039" s="20" t="str">
        <f t="shared" si="162"/>
        <v>BEARISH</v>
      </c>
    </row>
    <row r="1040" spans="31:47">
      <c r="AE1040" s="26">
        <f>Data!A1035</f>
        <v>41463</v>
      </c>
      <c r="AF1040" s="35">
        <f>Data!B1035</f>
        <v>70.88</v>
      </c>
      <c r="AG1040" s="35">
        <f>Data!F1035</f>
        <v>1357681</v>
      </c>
      <c r="AH1040" s="35">
        <f>Data!C1035</f>
        <v>71.27</v>
      </c>
      <c r="AI1040" s="35">
        <f>Data!D1035</f>
        <v>70.77</v>
      </c>
      <c r="AJ1040" s="35">
        <f>Data!E1035</f>
        <v>70.97</v>
      </c>
      <c r="AK1040" s="35">
        <f>Data!F1035</f>
        <v>1357681</v>
      </c>
      <c r="AL1040" s="35">
        <f t="shared" si="157"/>
        <v>70.97</v>
      </c>
      <c r="AM1040" s="35">
        <f t="shared" si="155"/>
        <v>-9.8633225306477931E-2</v>
      </c>
      <c r="AN1040" s="35">
        <f t="shared" si="163"/>
        <v>-9.4574498722453946</v>
      </c>
      <c r="AO1040" s="35" t="str">
        <f t="shared" si="158"/>
        <v>FITS BITCH</v>
      </c>
      <c r="AP1040" s="35" t="str">
        <f t="shared" si="156"/>
        <v>FITS BITCH</v>
      </c>
      <c r="AQ1040" s="35" t="str">
        <f t="shared" si="156"/>
        <v>FITS BITCH</v>
      </c>
      <c r="AR1040" s="35" t="str">
        <f t="shared" si="159"/>
        <v>FITS BITCH</v>
      </c>
      <c r="AS1040" s="35" t="str">
        <f t="shared" si="160"/>
        <v>FITS BITCH</v>
      </c>
      <c r="AT1040" s="20" t="str">
        <f t="shared" si="161"/>
        <v>BULLISH</v>
      </c>
      <c r="AU1040" s="20" t="str">
        <f t="shared" si="162"/>
        <v>BEARISH</v>
      </c>
    </row>
    <row r="1041" spans="31:47">
      <c r="AE1041" s="26">
        <f>Data!A1036</f>
        <v>41460</v>
      </c>
      <c r="AF1041" s="35">
        <f>Data!B1036</f>
        <v>70.64</v>
      </c>
      <c r="AG1041" s="35">
        <f>Data!F1036</f>
        <v>1534636</v>
      </c>
      <c r="AH1041" s="35">
        <f>Data!C1036</f>
        <v>71.17</v>
      </c>
      <c r="AI1041" s="35">
        <f>Data!D1036</f>
        <v>70</v>
      </c>
      <c r="AJ1041" s="35">
        <f>Data!E1036</f>
        <v>70.75</v>
      </c>
      <c r="AK1041" s="35">
        <f>Data!F1036</f>
        <v>1534636</v>
      </c>
      <c r="AL1041" s="35">
        <f t="shared" si="157"/>
        <v>70.75</v>
      </c>
      <c r="AM1041" s="35">
        <f t="shared" si="155"/>
        <v>-0.31095406360423866</v>
      </c>
      <c r="AN1041" s="35">
        <f t="shared" si="163"/>
        <v>11.530747356376365</v>
      </c>
      <c r="AO1041" s="35" t="str">
        <f t="shared" si="158"/>
        <v>no</v>
      </c>
      <c r="AP1041" s="35" t="str">
        <f t="shared" si="156"/>
        <v>FITS BITCH</v>
      </c>
      <c r="AQ1041" s="35" t="str">
        <f t="shared" si="156"/>
        <v>FITS BITCH</v>
      </c>
      <c r="AR1041" s="35" t="str">
        <f t="shared" si="159"/>
        <v>no</v>
      </c>
      <c r="AS1041" s="35" t="str">
        <f t="shared" si="160"/>
        <v>FITS BITCH</v>
      </c>
      <c r="AT1041" s="20" t="str">
        <f t="shared" si="161"/>
        <v/>
      </c>
      <c r="AU1041" s="20" t="str">
        <f t="shared" si="162"/>
        <v/>
      </c>
    </row>
    <row r="1042" spans="31:47">
      <c r="AE1042" s="26">
        <f>Data!A1037</f>
        <v>0</v>
      </c>
      <c r="AF1042" s="35">
        <f>Data!B1037</f>
        <v>0</v>
      </c>
      <c r="AG1042" s="35">
        <f>Data!F1037</f>
        <v>0</v>
      </c>
      <c r="AH1042" s="35">
        <f>Data!C1037</f>
        <v>0</v>
      </c>
      <c r="AI1042" s="35">
        <f>Data!D1037</f>
        <v>0</v>
      </c>
      <c r="AJ1042" s="35">
        <f>Data!E1037</f>
        <v>0</v>
      </c>
      <c r="AK1042" s="35">
        <f>Data!F1037</f>
        <v>0</v>
      </c>
      <c r="AL1042" s="35">
        <f t="shared" si="157"/>
        <v>0</v>
      </c>
      <c r="AM1042" s="35" t="e">
        <f t="shared" si="155"/>
        <v>#DIV/0!</v>
      </c>
      <c r="AN1042" s="35" t="e">
        <f t="shared" si="163"/>
        <v>#DIV/0!</v>
      </c>
      <c r="AO1042" s="35" t="e">
        <f t="shared" si="158"/>
        <v>#DIV/0!</v>
      </c>
      <c r="AP1042" s="35" t="b">
        <f t="shared" si="156"/>
        <v>0</v>
      </c>
      <c r="AQ1042" s="35" t="b">
        <f t="shared" si="156"/>
        <v>0</v>
      </c>
      <c r="AR1042" s="35" t="b">
        <f t="shared" si="159"/>
        <v>0</v>
      </c>
      <c r="AS1042" s="35" t="b">
        <f t="shared" si="160"/>
        <v>0</v>
      </c>
      <c r="AT1042" s="20" t="e">
        <f t="shared" si="161"/>
        <v>#DIV/0!</v>
      </c>
      <c r="AU1042" s="20" t="e">
        <f t="shared" si="162"/>
        <v>#DIV/0!</v>
      </c>
    </row>
    <row r="1043" spans="31:47">
      <c r="AE1043" s="26"/>
      <c r="AF1043" s="35"/>
      <c r="AG1043" s="35"/>
      <c r="AH1043" s="35"/>
      <c r="AI1043" s="35"/>
      <c r="AJ1043" s="35"/>
      <c r="AK1043" s="35"/>
      <c r="AL1043" s="35"/>
    </row>
    <row r="1044" spans="31:47">
      <c r="AE1044" s="26"/>
      <c r="AF1044" s="35"/>
      <c r="AG1044" s="35"/>
      <c r="AH1044" s="35"/>
      <c r="AI1044" s="35"/>
      <c r="AJ1044" s="35"/>
      <c r="AK1044" s="35"/>
      <c r="AL1044" s="35"/>
    </row>
    <row r="1045" spans="31:47">
      <c r="AE1045" s="26"/>
      <c r="AF1045" s="35"/>
      <c r="AG1045" s="35"/>
      <c r="AH1045" s="35"/>
      <c r="AI1045" s="35"/>
      <c r="AJ1045" s="35"/>
      <c r="AK1045" s="35"/>
      <c r="AL1045" s="35"/>
    </row>
    <row r="1046" spans="31:47">
      <c r="AE1046" s="26"/>
      <c r="AF1046" s="35"/>
      <c r="AG1046" s="35"/>
      <c r="AH1046" s="35"/>
      <c r="AI1046" s="35"/>
      <c r="AJ1046" s="35"/>
      <c r="AK1046" s="35"/>
      <c r="AL1046" s="35"/>
    </row>
    <row r="1047" spans="31:47">
      <c r="AE1047" s="26"/>
      <c r="AF1047" s="35"/>
      <c r="AG1047" s="35"/>
      <c r="AH1047" s="35"/>
      <c r="AI1047" s="35"/>
      <c r="AJ1047" s="35"/>
      <c r="AK1047" s="35"/>
      <c r="AL1047" s="35"/>
    </row>
    <row r="1048" spans="31:47">
      <c r="AE1048" s="26"/>
      <c r="AF1048" s="35"/>
      <c r="AG1048" s="35"/>
      <c r="AH1048" s="35"/>
      <c r="AI1048" s="35"/>
      <c r="AJ1048" s="35"/>
      <c r="AK1048" s="35"/>
      <c r="AL1048" s="35"/>
    </row>
    <row r="1049" spans="31:47">
      <c r="AE1049" s="26"/>
      <c r="AF1049" s="35"/>
      <c r="AG1049" s="35"/>
      <c r="AH1049" s="35"/>
      <c r="AI1049" s="35"/>
      <c r="AJ1049" s="35"/>
      <c r="AK1049" s="35"/>
      <c r="AL1049" s="35"/>
    </row>
    <row r="1050" spans="31:47">
      <c r="AE1050" s="26"/>
      <c r="AF1050" s="35"/>
      <c r="AG1050" s="35"/>
      <c r="AH1050" s="35"/>
      <c r="AI1050" s="35"/>
      <c r="AJ1050" s="35"/>
      <c r="AK1050" s="35"/>
      <c r="AL1050" s="35"/>
    </row>
    <row r="1051" spans="31:47">
      <c r="AE1051" s="26"/>
      <c r="AF1051" s="35"/>
      <c r="AG1051" s="35"/>
      <c r="AH1051" s="35"/>
      <c r="AI1051" s="35"/>
      <c r="AJ1051" s="35"/>
      <c r="AK1051" s="35"/>
      <c r="AL1051" s="35"/>
    </row>
    <row r="1052" spans="31:47">
      <c r="AE1052" s="26"/>
      <c r="AF1052" s="35"/>
      <c r="AG1052" s="35"/>
      <c r="AH1052" s="35"/>
      <c r="AI1052" s="35"/>
      <c r="AJ1052" s="35"/>
      <c r="AK1052" s="35"/>
      <c r="AL1052" s="35"/>
    </row>
    <row r="1053" spans="31:47">
      <c r="AE1053" s="26"/>
      <c r="AF1053" s="35"/>
      <c r="AG1053" s="35"/>
      <c r="AH1053" s="35"/>
      <c r="AI1053" s="35"/>
      <c r="AJ1053" s="35"/>
      <c r="AK1053" s="35"/>
      <c r="AL1053" s="35"/>
    </row>
    <row r="1054" spans="31:47">
      <c r="AE1054" s="26"/>
      <c r="AF1054" s="35"/>
      <c r="AG1054" s="35"/>
      <c r="AH1054" s="35"/>
      <c r="AI1054" s="35"/>
      <c r="AJ1054" s="35"/>
      <c r="AK1054" s="35"/>
      <c r="AL1054" s="35"/>
    </row>
    <row r="1055" spans="31:47">
      <c r="AE1055" s="26"/>
      <c r="AF1055" s="35"/>
      <c r="AG1055" s="35"/>
      <c r="AH1055" s="35"/>
      <c r="AI1055" s="35"/>
      <c r="AJ1055" s="35"/>
      <c r="AK1055" s="35"/>
      <c r="AL1055" s="35"/>
    </row>
    <row r="1056" spans="31:47">
      <c r="AE1056" s="26"/>
      <c r="AF1056" s="35"/>
      <c r="AG1056" s="35"/>
      <c r="AH1056" s="35"/>
      <c r="AI1056" s="35"/>
      <c r="AJ1056" s="35"/>
      <c r="AK1056" s="35"/>
      <c r="AL1056" s="35"/>
    </row>
    <row r="1057" spans="31:38">
      <c r="AE1057" s="26"/>
      <c r="AF1057" s="35"/>
      <c r="AG1057" s="35"/>
      <c r="AH1057" s="35"/>
      <c r="AI1057" s="35"/>
      <c r="AJ1057" s="35"/>
      <c r="AK1057" s="35"/>
      <c r="AL1057" s="35"/>
    </row>
    <row r="1058" spans="31:38">
      <c r="AE1058" s="26"/>
      <c r="AF1058" s="35"/>
      <c r="AG1058" s="35"/>
      <c r="AH1058" s="35"/>
      <c r="AI1058" s="35"/>
      <c r="AJ1058" s="35"/>
      <c r="AK1058" s="35"/>
      <c r="AL1058" s="35"/>
    </row>
    <row r="1059" spans="31:38">
      <c r="AE1059" s="26"/>
      <c r="AF1059" s="35"/>
      <c r="AG1059" s="35"/>
      <c r="AH1059" s="35"/>
      <c r="AI1059" s="35"/>
      <c r="AJ1059" s="35"/>
      <c r="AK1059" s="35"/>
      <c r="AL1059" s="35"/>
    </row>
    <row r="1060" spans="31:38">
      <c r="AE1060" s="26"/>
      <c r="AF1060" s="35"/>
      <c r="AG1060" s="35"/>
      <c r="AH1060" s="35"/>
      <c r="AI1060" s="35"/>
      <c r="AJ1060" s="35"/>
      <c r="AK1060" s="35"/>
      <c r="AL1060" s="35"/>
    </row>
    <row r="1061" spans="31:38">
      <c r="AE1061" s="26"/>
      <c r="AF1061" s="35"/>
      <c r="AG1061" s="35"/>
      <c r="AH1061" s="35"/>
      <c r="AI1061" s="35"/>
      <c r="AJ1061" s="35"/>
      <c r="AK1061" s="35"/>
      <c r="AL1061" s="35"/>
    </row>
    <row r="1062" spans="31:38">
      <c r="AE1062" s="26"/>
      <c r="AF1062" s="35"/>
      <c r="AG1062" s="35"/>
      <c r="AH1062" s="35"/>
      <c r="AI1062" s="35"/>
      <c r="AJ1062" s="35"/>
      <c r="AK1062" s="35"/>
      <c r="AL1062" s="35"/>
    </row>
    <row r="1063" spans="31:38">
      <c r="AE1063" s="26"/>
      <c r="AF1063" s="35"/>
      <c r="AG1063" s="35"/>
      <c r="AH1063" s="35"/>
      <c r="AI1063" s="35"/>
      <c r="AJ1063" s="35"/>
      <c r="AK1063" s="35"/>
      <c r="AL1063" s="35"/>
    </row>
    <row r="1064" spans="31:38">
      <c r="AE1064" s="26"/>
      <c r="AF1064" s="35"/>
      <c r="AG1064" s="35"/>
      <c r="AH1064" s="35"/>
      <c r="AI1064" s="35"/>
      <c r="AJ1064" s="35"/>
      <c r="AK1064" s="35"/>
      <c r="AL1064" s="35"/>
    </row>
    <row r="1065" spans="31:38">
      <c r="AE1065" s="26"/>
      <c r="AF1065" s="35"/>
      <c r="AG1065" s="35"/>
      <c r="AH1065" s="35"/>
      <c r="AI1065" s="35"/>
      <c r="AJ1065" s="35"/>
      <c r="AK1065" s="35"/>
      <c r="AL1065" s="35"/>
    </row>
    <row r="1066" spans="31:38">
      <c r="AE1066" s="26"/>
      <c r="AF1066" s="35"/>
      <c r="AG1066" s="35"/>
      <c r="AH1066" s="35"/>
      <c r="AI1066" s="35"/>
      <c r="AJ1066" s="35"/>
      <c r="AK1066" s="35"/>
      <c r="AL1066" s="35"/>
    </row>
    <row r="1067" spans="31:38">
      <c r="AE1067" s="26"/>
      <c r="AF1067" s="35"/>
      <c r="AG1067" s="35"/>
      <c r="AH1067" s="35"/>
      <c r="AI1067" s="35"/>
      <c r="AJ1067" s="35"/>
      <c r="AK1067" s="35"/>
      <c r="AL1067" s="35"/>
    </row>
    <row r="1068" spans="31:38">
      <c r="AE1068" s="26"/>
      <c r="AF1068" s="35"/>
      <c r="AG1068" s="35"/>
      <c r="AH1068" s="35"/>
      <c r="AI1068" s="35"/>
      <c r="AJ1068" s="35"/>
      <c r="AK1068" s="35"/>
      <c r="AL1068" s="35"/>
    </row>
    <row r="1069" spans="31:38">
      <c r="AE1069" s="26"/>
      <c r="AF1069" s="35"/>
      <c r="AG1069" s="35"/>
      <c r="AH1069" s="35"/>
      <c r="AI1069" s="35"/>
      <c r="AJ1069" s="35"/>
      <c r="AK1069" s="35"/>
      <c r="AL1069" s="35"/>
    </row>
    <row r="1070" spans="31:38">
      <c r="AE1070" s="26"/>
      <c r="AF1070" s="35"/>
      <c r="AG1070" s="35"/>
      <c r="AH1070" s="35"/>
      <c r="AI1070" s="35"/>
      <c r="AJ1070" s="35"/>
      <c r="AK1070" s="35"/>
      <c r="AL1070" s="35"/>
    </row>
    <row r="1071" spans="31:38">
      <c r="AE1071" s="26"/>
      <c r="AF1071" s="35"/>
      <c r="AG1071" s="35"/>
      <c r="AH1071" s="35"/>
      <c r="AI1071" s="35"/>
      <c r="AJ1071" s="35"/>
      <c r="AK1071" s="35"/>
      <c r="AL1071" s="35"/>
    </row>
    <row r="1072" spans="31:38">
      <c r="AE1072" s="26"/>
      <c r="AF1072" s="35"/>
      <c r="AG1072" s="35"/>
      <c r="AH1072" s="35"/>
      <c r="AI1072" s="35"/>
      <c r="AJ1072" s="35"/>
      <c r="AK1072" s="35"/>
      <c r="AL1072" s="35"/>
    </row>
    <row r="1073" spans="31:38">
      <c r="AE1073" s="26"/>
      <c r="AF1073" s="35"/>
      <c r="AG1073" s="35"/>
      <c r="AH1073" s="35"/>
      <c r="AI1073" s="35"/>
      <c r="AJ1073" s="35"/>
      <c r="AK1073" s="35"/>
      <c r="AL1073" s="35"/>
    </row>
    <row r="1074" spans="31:38">
      <c r="AE1074" s="26"/>
      <c r="AF1074" s="35"/>
      <c r="AG1074" s="35"/>
      <c r="AH1074" s="35"/>
      <c r="AI1074" s="35"/>
      <c r="AJ1074" s="35"/>
      <c r="AK1074" s="35"/>
      <c r="AL1074" s="35"/>
    </row>
    <row r="1075" spans="31:38">
      <c r="AE1075" s="26"/>
      <c r="AF1075" s="35"/>
      <c r="AG1075" s="35"/>
      <c r="AH1075" s="35"/>
      <c r="AI1075" s="35"/>
      <c r="AJ1075" s="35"/>
      <c r="AK1075" s="35"/>
      <c r="AL1075" s="35"/>
    </row>
    <row r="1076" spans="31:38">
      <c r="AE1076" s="26"/>
      <c r="AF1076" s="35"/>
      <c r="AG1076" s="35"/>
      <c r="AH1076" s="35"/>
      <c r="AI1076" s="35"/>
      <c r="AJ1076" s="35"/>
      <c r="AK1076" s="35"/>
      <c r="AL1076" s="35"/>
    </row>
    <row r="1077" spans="31:38">
      <c r="AE1077" s="26"/>
      <c r="AF1077" s="35"/>
      <c r="AG1077" s="35"/>
      <c r="AH1077" s="35"/>
      <c r="AI1077" s="35"/>
      <c r="AJ1077" s="35"/>
      <c r="AK1077" s="35"/>
      <c r="AL1077" s="35"/>
    </row>
    <row r="1078" spans="31:38">
      <c r="AE1078" s="26"/>
      <c r="AF1078" s="35"/>
      <c r="AG1078" s="35"/>
      <c r="AH1078" s="35"/>
      <c r="AI1078" s="35"/>
      <c r="AJ1078" s="35"/>
      <c r="AK1078" s="35"/>
      <c r="AL1078" s="35"/>
    </row>
    <row r="1079" spans="31:38">
      <c r="AE1079" s="26"/>
      <c r="AF1079" s="35"/>
      <c r="AG1079" s="35"/>
      <c r="AH1079" s="35"/>
      <c r="AI1079" s="35"/>
      <c r="AJ1079" s="35"/>
      <c r="AK1079" s="35"/>
      <c r="AL1079" s="35"/>
    </row>
    <row r="1080" spans="31:38">
      <c r="AE1080" s="26"/>
      <c r="AF1080" s="35"/>
      <c r="AG1080" s="35"/>
      <c r="AH1080" s="35"/>
      <c r="AI1080" s="35"/>
      <c r="AJ1080" s="35"/>
      <c r="AK1080" s="35"/>
      <c r="AL1080" s="35"/>
    </row>
    <row r="1081" spans="31:38">
      <c r="AE1081" s="26"/>
      <c r="AF1081" s="35"/>
      <c r="AG1081" s="35"/>
      <c r="AH1081" s="35"/>
      <c r="AI1081" s="35"/>
      <c r="AJ1081" s="35"/>
      <c r="AK1081" s="35"/>
      <c r="AL1081" s="35"/>
    </row>
    <row r="1082" spans="31:38">
      <c r="AE1082" s="26"/>
      <c r="AF1082" s="35"/>
      <c r="AG1082" s="35"/>
      <c r="AH1082" s="35"/>
      <c r="AI1082" s="35"/>
      <c r="AJ1082" s="35"/>
      <c r="AK1082" s="35"/>
      <c r="AL1082" s="35"/>
    </row>
    <row r="1083" spans="31:38">
      <c r="AE1083" s="26"/>
      <c r="AF1083" s="35"/>
      <c r="AG1083" s="35"/>
      <c r="AH1083" s="35"/>
      <c r="AI1083" s="35"/>
      <c r="AJ1083" s="35"/>
      <c r="AK1083" s="35"/>
      <c r="AL1083" s="35"/>
    </row>
    <row r="1084" spans="31:38">
      <c r="AE1084" s="26"/>
      <c r="AF1084" s="35"/>
      <c r="AG1084" s="35"/>
      <c r="AH1084" s="35"/>
      <c r="AI1084" s="35"/>
      <c r="AJ1084" s="35"/>
      <c r="AK1084" s="35"/>
      <c r="AL1084" s="35"/>
    </row>
    <row r="1085" spans="31:38">
      <c r="AE1085" s="26"/>
      <c r="AF1085" s="35"/>
      <c r="AG1085" s="35"/>
      <c r="AH1085" s="35"/>
      <c r="AI1085" s="35"/>
      <c r="AJ1085" s="35"/>
      <c r="AK1085" s="35"/>
      <c r="AL1085" s="35"/>
    </row>
    <row r="1086" spans="31:38">
      <c r="AE1086" s="26"/>
      <c r="AF1086" s="35"/>
      <c r="AG1086" s="35"/>
      <c r="AH1086" s="35"/>
      <c r="AI1086" s="35"/>
      <c r="AJ1086" s="35"/>
      <c r="AK1086" s="35"/>
      <c r="AL1086" s="35"/>
    </row>
    <row r="1087" spans="31:38">
      <c r="AE1087" s="26"/>
      <c r="AF1087" s="35"/>
      <c r="AG1087" s="35"/>
      <c r="AH1087" s="35"/>
      <c r="AI1087" s="35"/>
      <c r="AJ1087" s="35"/>
      <c r="AK1087" s="35"/>
      <c r="AL1087" s="35"/>
    </row>
    <row r="1088" spans="31:38">
      <c r="AE1088" s="26"/>
      <c r="AF1088" s="35"/>
      <c r="AG1088" s="35"/>
      <c r="AH1088" s="35"/>
      <c r="AI1088" s="35"/>
      <c r="AJ1088" s="35"/>
      <c r="AK1088" s="35"/>
      <c r="AL1088" s="35"/>
    </row>
    <row r="1089" spans="31:38">
      <c r="AE1089" s="26"/>
      <c r="AF1089" s="35"/>
      <c r="AG1089" s="35"/>
      <c r="AH1089" s="35"/>
      <c r="AI1089" s="35"/>
      <c r="AJ1089" s="35"/>
      <c r="AK1089" s="35"/>
      <c r="AL1089" s="35"/>
    </row>
    <row r="1090" spans="31:38">
      <c r="AE1090" s="26"/>
      <c r="AF1090" s="35"/>
      <c r="AG1090" s="35"/>
      <c r="AH1090" s="35"/>
      <c r="AI1090" s="35"/>
      <c r="AJ1090" s="35"/>
      <c r="AK1090" s="35"/>
      <c r="AL1090" s="35"/>
    </row>
    <row r="1091" spans="31:38">
      <c r="AE1091" s="26"/>
      <c r="AF1091" s="35"/>
      <c r="AG1091" s="35"/>
      <c r="AH1091" s="35"/>
      <c r="AI1091" s="35"/>
      <c r="AJ1091" s="35"/>
      <c r="AK1091" s="35"/>
      <c r="AL1091" s="35"/>
    </row>
    <row r="1092" spans="31:38">
      <c r="AE1092" s="26"/>
      <c r="AF1092" s="35"/>
      <c r="AG1092" s="35"/>
      <c r="AH1092" s="35"/>
      <c r="AI1092" s="35"/>
      <c r="AJ1092" s="35"/>
      <c r="AK1092" s="35"/>
      <c r="AL1092" s="35"/>
    </row>
    <row r="1093" spans="31:38">
      <c r="AE1093" s="26"/>
      <c r="AF1093" s="35"/>
      <c r="AG1093" s="35"/>
      <c r="AH1093" s="35"/>
      <c r="AI1093" s="35"/>
      <c r="AJ1093" s="35"/>
      <c r="AK1093" s="35"/>
      <c r="AL1093" s="35"/>
    </row>
    <row r="1094" spans="31:38">
      <c r="AE1094" s="26"/>
      <c r="AF1094" s="35"/>
      <c r="AG1094" s="35"/>
      <c r="AH1094" s="35"/>
      <c r="AI1094" s="35"/>
      <c r="AJ1094" s="35"/>
      <c r="AK1094" s="35"/>
      <c r="AL1094" s="35"/>
    </row>
    <row r="1095" spans="31:38">
      <c r="AE1095" s="26"/>
      <c r="AF1095" s="35"/>
      <c r="AG1095" s="35"/>
      <c r="AH1095" s="35"/>
      <c r="AI1095" s="35"/>
      <c r="AJ1095" s="35"/>
      <c r="AK1095" s="35"/>
      <c r="AL1095" s="35"/>
    </row>
    <row r="1096" spans="31:38">
      <c r="AE1096" s="26"/>
      <c r="AF1096" s="35"/>
      <c r="AG1096" s="35"/>
      <c r="AH1096" s="35"/>
      <c r="AI1096" s="35"/>
      <c r="AJ1096" s="35"/>
      <c r="AK1096" s="35"/>
      <c r="AL1096" s="35"/>
    </row>
    <row r="1097" spans="31:38">
      <c r="AE1097" s="26"/>
      <c r="AF1097" s="35"/>
      <c r="AG1097" s="35"/>
      <c r="AH1097" s="35"/>
      <c r="AI1097" s="35"/>
      <c r="AJ1097" s="35"/>
      <c r="AK1097" s="35"/>
      <c r="AL1097" s="35"/>
    </row>
    <row r="1098" spans="31:38">
      <c r="AE1098" s="26"/>
      <c r="AF1098" s="35"/>
      <c r="AG1098" s="35"/>
      <c r="AH1098" s="35"/>
      <c r="AI1098" s="35"/>
      <c r="AJ1098" s="35"/>
      <c r="AK1098" s="35"/>
      <c r="AL1098" s="35"/>
    </row>
    <row r="1099" spans="31:38">
      <c r="AE1099" s="26"/>
      <c r="AF1099" s="35"/>
      <c r="AG1099" s="35"/>
      <c r="AH1099" s="35"/>
      <c r="AI1099" s="35"/>
      <c r="AJ1099" s="35"/>
      <c r="AK1099" s="35"/>
      <c r="AL1099" s="35"/>
    </row>
    <row r="1100" spans="31:38">
      <c r="AE1100" s="26"/>
      <c r="AF1100" s="35"/>
      <c r="AG1100" s="35"/>
      <c r="AH1100" s="35"/>
      <c r="AI1100" s="35"/>
      <c r="AJ1100" s="35"/>
      <c r="AK1100" s="35"/>
      <c r="AL1100" s="35"/>
    </row>
    <row r="1101" spans="31:38">
      <c r="AE1101" s="26"/>
      <c r="AF1101" s="35"/>
      <c r="AG1101" s="35"/>
      <c r="AH1101" s="35"/>
      <c r="AI1101" s="35"/>
      <c r="AJ1101" s="35"/>
      <c r="AK1101" s="35"/>
      <c r="AL1101" s="35"/>
    </row>
    <row r="1102" spans="31:38">
      <c r="AE1102" s="26"/>
      <c r="AF1102" s="35"/>
      <c r="AG1102" s="35"/>
      <c r="AH1102" s="35"/>
      <c r="AI1102" s="35"/>
      <c r="AJ1102" s="35"/>
      <c r="AK1102" s="35"/>
      <c r="AL1102" s="35"/>
    </row>
    <row r="1103" spans="31:38">
      <c r="AE1103" s="26"/>
      <c r="AF1103" s="35"/>
      <c r="AG1103" s="35"/>
      <c r="AH1103" s="35"/>
      <c r="AI1103" s="35"/>
      <c r="AJ1103" s="35"/>
      <c r="AK1103" s="35"/>
      <c r="AL1103" s="35"/>
    </row>
    <row r="1104" spans="31:38">
      <c r="AE1104" s="26"/>
      <c r="AF1104" s="35"/>
      <c r="AG1104" s="35"/>
      <c r="AH1104" s="35"/>
      <c r="AI1104" s="35"/>
      <c r="AJ1104" s="35"/>
      <c r="AK1104" s="35"/>
      <c r="AL1104" s="35"/>
    </row>
    <row r="1105" spans="31:38">
      <c r="AE1105" s="26"/>
      <c r="AF1105" s="35"/>
      <c r="AG1105" s="35"/>
      <c r="AH1105" s="35"/>
      <c r="AI1105" s="35"/>
      <c r="AJ1105" s="35"/>
      <c r="AK1105" s="35"/>
      <c r="AL1105" s="35"/>
    </row>
    <row r="1106" spans="31:38">
      <c r="AE1106" s="26"/>
      <c r="AF1106" s="35"/>
      <c r="AG1106" s="35"/>
      <c r="AH1106" s="35"/>
      <c r="AI1106" s="35"/>
      <c r="AJ1106" s="35"/>
      <c r="AK1106" s="35"/>
      <c r="AL1106" s="35"/>
    </row>
    <row r="1107" spans="31:38">
      <c r="AE1107" s="26"/>
      <c r="AF1107" s="35"/>
      <c r="AG1107" s="35"/>
      <c r="AH1107" s="35"/>
      <c r="AI1107" s="35"/>
      <c r="AJ1107" s="35"/>
      <c r="AK1107" s="35"/>
      <c r="AL1107" s="35"/>
    </row>
    <row r="1108" spans="31:38">
      <c r="AE1108" s="26"/>
      <c r="AF1108" s="35"/>
      <c r="AG1108" s="35"/>
      <c r="AH1108" s="35"/>
      <c r="AI1108" s="35"/>
      <c r="AJ1108" s="35"/>
      <c r="AK1108" s="35"/>
      <c r="AL1108" s="35"/>
    </row>
    <row r="1109" spans="31:38">
      <c r="AE1109" s="26"/>
      <c r="AF1109" s="35"/>
      <c r="AG1109" s="35"/>
      <c r="AH1109" s="35"/>
      <c r="AI1109" s="35"/>
      <c r="AJ1109" s="35"/>
      <c r="AK1109" s="35"/>
      <c r="AL1109" s="35"/>
    </row>
    <row r="1110" spans="31:38">
      <c r="AE1110" s="26"/>
      <c r="AF1110" s="35"/>
      <c r="AG1110" s="35"/>
      <c r="AH1110" s="35"/>
      <c r="AI1110" s="35"/>
      <c r="AJ1110" s="35"/>
      <c r="AK1110" s="35"/>
      <c r="AL1110" s="35"/>
    </row>
    <row r="1111" spans="31:38">
      <c r="AE1111" s="26"/>
      <c r="AF1111" s="35"/>
      <c r="AG1111" s="35"/>
      <c r="AH1111" s="35"/>
      <c r="AI1111" s="35"/>
      <c r="AJ1111" s="35"/>
      <c r="AK1111" s="35"/>
      <c r="AL1111" s="35"/>
    </row>
    <row r="1112" spans="31:38">
      <c r="AE1112" s="26"/>
      <c r="AF1112" s="35"/>
      <c r="AG1112" s="35"/>
      <c r="AH1112" s="35"/>
      <c r="AI1112" s="35"/>
      <c r="AJ1112" s="35"/>
      <c r="AK1112" s="35"/>
      <c r="AL1112" s="35"/>
    </row>
    <row r="1113" spans="31:38">
      <c r="AE1113" s="26"/>
      <c r="AF1113" s="35"/>
      <c r="AG1113" s="35"/>
      <c r="AH1113" s="35"/>
      <c r="AI1113" s="35"/>
      <c r="AJ1113" s="35"/>
      <c r="AK1113" s="35"/>
      <c r="AL1113" s="35"/>
    </row>
    <row r="1114" spans="31:38">
      <c r="AE1114" s="26"/>
      <c r="AF1114" s="35"/>
      <c r="AG1114" s="35"/>
      <c r="AH1114" s="35"/>
      <c r="AI1114" s="35"/>
      <c r="AJ1114" s="35"/>
      <c r="AK1114" s="35"/>
      <c r="AL1114" s="35"/>
    </row>
    <row r="1115" spans="31:38">
      <c r="AE1115" s="26"/>
      <c r="AF1115" s="35"/>
      <c r="AG1115" s="35"/>
      <c r="AH1115" s="35"/>
      <c r="AI1115" s="35"/>
      <c r="AJ1115" s="35"/>
      <c r="AK1115" s="35"/>
      <c r="AL1115" s="35"/>
    </row>
    <row r="1116" spans="31:38">
      <c r="AE1116" s="26"/>
      <c r="AF1116" s="35"/>
      <c r="AG1116" s="35"/>
      <c r="AH1116" s="35"/>
      <c r="AI1116" s="35"/>
      <c r="AJ1116" s="35"/>
      <c r="AK1116" s="35"/>
      <c r="AL1116" s="35"/>
    </row>
    <row r="1117" spans="31:38">
      <c r="AE1117" s="26"/>
      <c r="AF1117" s="35"/>
      <c r="AG1117" s="35"/>
      <c r="AH1117" s="35"/>
      <c r="AI1117" s="35"/>
      <c r="AJ1117" s="35"/>
      <c r="AK1117" s="35"/>
      <c r="AL1117" s="35"/>
    </row>
    <row r="1118" spans="31:38">
      <c r="AE1118" s="26"/>
      <c r="AF1118" s="35"/>
      <c r="AG1118" s="35"/>
      <c r="AH1118" s="35"/>
      <c r="AI1118" s="35"/>
      <c r="AJ1118" s="35"/>
      <c r="AK1118" s="35"/>
      <c r="AL1118" s="35"/>
    </row>
    <row r="1119" spans="31:38">
      <c r="AE1119" s="26"/>
      <c r="AF1119" s="35"/>
      <c r="AG1119" s="35"/>
      <c r="AH1119" s="35"/>
      <c r="AI1119" s="35"/>
      <c r="AJ1119" s="35"/>
      <c r="AK1119" s="35"/>
      <c r="AL1119" s="35"/>
    </row>
    <row r="1120" spans="31:38">
      <c r="AE1120" s="26"/>
      <c r="AF1120" s="35"/>
      <c r="AG1120" s="35"/>
      <c r="AH1120" s="35"/>
      <c r="AI1120" s="35"/>
      <c r="AJ1120" s="35"/>
      <c r="AK1120" s="35"/>
      <c r="AL1120" s="35"/>
    </row>
    <row r="1121" spans="31:38">
      <c r="AE1121" s="26"/>
      <c r="AF1121" s="35"/>
      <c r="AG1121" s="35"/>
      <c r="AH1121" s="35"/>
      <c r="AI1121" s="35"/>
      <c r="AJ1121" s="35"/>
      <c r="AK1121" s="35"/>
      <c r="AL1121" s="35"/>
    </row>
  </sheetData>
  <sheetProtection password="F7EA" sheet="1" objects="1" scenarios="1" formatColumns="0" formatRows="0" selectLockedCells="1" selectUnlockedCells="1"/>
  <sortState xmlns:xlrd2="http://schemas.microsoft.com/office/spreadsheetml/2017/richdata2" ref="CL8:CL477">
    <sortCondition descending="1" ref="CL375"/>
  </sortState>
  <mergeCells count="20">
    <mergeCell ref="C98:E98"/>
    <mergeCell ref="C99:E99"/>
    <mergeCell ref="C91:E91"/>
    <mergeCell ref="C92:E92"/>
    <mergeCell ref="C93:E93"/>
    <mergeCell ref="C94:E94"/>
    <mergeCell ref="C95:E95"/>
    <mergeCell ref="C97:E97"/>
    <mergeCell ref="C90:E90"/>
    <mergeCell ref="B1:N1"/>
    <mergeCell ref="AE1:AM1"/>
    <mergeCell ref="BR1:CJ1"/>
    <mergeCell ref="B2:G2"/>
    <mergeCell ref="B5:E5"/>
    <mergeCell ref="V6:AC6"/>
    <mergeCell ref="C85:E85"/>
    <mergeCell ref="C86:E86"/>
    <mergeCell ref="C87:E87"/>
    <mergeCell ref="C88:E88"/>
    <mergeCell ref="C89:E89"/>
  </mergeCells>
  <conditionalFormatting sqref="H11">
    <cfRule type="containsText" dxfId="50" priority="55" operator="containsText" text="even">
      <formula>NOT(ISERROR(SEARCH("even",H11)))</formula>
    </cfRule>
    <cfRule type="containsText" dxfId="49" priority="56" operator="containsText" text="High Volatility">
      <formula>NOT(ISERROR(SEARCH("High Volatility",H11)))</formula>
    </cfRule>
    <cfRule type="containsText" dxfId="48" priority="57" operator="containsText" text="Low Volatility">
      <formula>NOT(ISERROR(SEARCH("Low Volatility",H11)))</formula>
    </cfRule>
  </conditionalFormatting>
  <conditionalFormatting sqref="D9:D10 C8:E8">
    <cfRule type="containsText" dxfId="47" priority="54" operator="containsText" text="High">
      <formula>NOT(ISERROR(SEARCH("High",C8)))</formula>
    </cfRule>
  </conditionalFormatting>
  <conditionalFormatting sqref="C8:E8 D9:D10">
    <cfRule type="containsText" dxfId="46" priority="52" operator="containsText" text="Medium">
      <formula>NOT(ISERROR(SEARCH("Medium",C8)))</formula>
    </cfRule>
    <cfRule type="containsText" dxfId="45" priority="53" operator="containsText" text="Low">
      <formula>NOT(ISERROR(SEARCH("Low",C8)))</formula>
    </cfRule>
  </conditionalFormatting>
  <conditionalFormatting sqref="D8:D10">
    <cfRule type="containsText" dxfId="44" priority="51" operator="containsText" text="Average">
      <formula>NOT(ISERROR(SEARCH("Average",D8)))</formula>
    </cfRule>
  </conditionalFormatting>
  <conditionalFormatting sqref="I11">
    <cfRule type="containsText" dxfId="43" priority="49" operator="containsText" text="current close is above 52 week avg">
      <formula>NOT(ISERROR(SEARCH("current close is above 52 week avg",I11)))</formula>
    </cfRule>
    <cfRule type="containsText" dxfId="42" priority="50" operator="containsText" text="current close is below 52 week avg">
      <formula>NOT(ISERROR(SEARCH("current close is below 52 week avg",I11)))</formula>
    </cfRule>
  </conditionalFormatting>
  <conditionalFormatting sqref="J11">
    <cfRule type="containsText" dxfId="41" priority="22" operator="containsText" text="Part mind No heart">
      <formula>NOT(ISERROR(SEARCH("Part mind No heart",J11)))</formula>
    </cfRule>
    <cfRule type="containsText" dxfId="40" priority="43" operator="containsText" text="Heart is there">
      <formula>NOT(ISERROR(SEARCH("Heart is there",J11)))</formula>
    </cfRule>
    <cfRule type="containsText" dxfId="39" priority="44" operator="containsText" text="Mind is there">
      <formula>NOT(ISERROR(SEARCH("Mind is there",J11)))</formula>
    </cfRule>
    <cfRule type="containsText" dxfId="38" priority="47" operator="containsText" text="Heart and mind aint there at all">
      <formula>NOT(ISERROR(SEARCH("Heart and mind aint there at all",J11)))</formula>
    </cfRule>
    <cfRule type="containsText" dxfId="37" priority="48" operator="containsText" text="Heart and mind kick ass">
      <formula>NOT(ISERROR(SEARCH("Heart and mind kick ass",J11)))</formula>
    </cfRule>
  </conditionalFormatting>
  <conditionalFormatting sqref="L18">
    <cfRule type="containsText" dxfId="36" priority="45" operator="containsText" text="Part mind No heart">
      <formula>NOT(ISERROR(SEARCH("Part mind No heart",L18)))</formula>
    </cfRule>
    <cfRule type="containsText" dxfId="35" priority="46" operator="containsText" text="Part mind No heart">
      <formula>NOT(ISERROR(SEARCH("Part mind No heart",L18)))</formula>
    </cfRule>
  </conditionalFormatting>
  <conditionalFormatting sqref="L11">
    <cfRule type="containsText" dxfId="34" priority="41" operator="containsText" text="This gets you a decent amount compared to industry standard">
      <formula>NOT(ISERROR(SEARCH("This gets you a decent amount compared to industry standard",L11)))</formula>
    </cfRule>
    <cfRule type="containsText" dxfId="33" priority="42" operator="containsText" text="Spend a lot of dollars to get 1">
      <formula>NOT(ISERROR(SEARCH("Spend a lot of dollars to get 1",L11)))</formula>
    </cfRule>
  </conditionalFormatting>
  <conditionalFormatting sqref="H12">
    <cfRule type="containsText" dxfId="32" priority="39" operator="containsText" text="no">
      <formula>NOT(ISERROR(SEARCH("no",H12)))</formula>
    </cfRule>
    <cfRule type="containsText" dxfId="31" priority="40" operator="containsText" text="yes">
      <formula>NOT(ISERROR(SEARCH("yes",H12)))</formula>
    </cfRule>
  </conditionalFormatting>
  <conditionalFormatting sqref="I12">
    <cfRule type="containsText" dxfId="30" priority="37" operator="containsText" text="yes">
      <formula>NOT(ISERROR(SEARCH("yes",I12)))</formula>
    </cfRule>
    <cfRule type="containsText" dxfId="29" priority="38" operator="containsText" text="no">
      <formula>NOT(ISERROR(SEARCH("no",I12)))</formula>
    </cfRule>
  </conditionalFormatting>
  <conditionalFormatting sqref="N8">
    <cfRule type="containsText" dxfId="28" priority="23" operator="containsText" text="Not a straight stock buy, so move onto step 2 as option is more likely">
      <formula>NOT(ISERROR(SEARCH("Not a straight stock buy, so move onto step 2 as option is more likely",N8)))</formula>
    </cfRule>
    <cfRule type="containsText" dxfId="27" priority="35" operator="containsText" text="Not a buy, so move onto step 2">
      <formula>NOT(ISERROR(SEARCH("Not a buy, so move onto step 2",N8)))</formula>
    </cfRule>
    <cfRule type="containsText" dxfId="26" priority="36" operator="containsText" text="Great Buy">
      <formula>NOT(ISERROR(SEARCH("Great Buy",N8)))</formula>
    </cfRule>
  </conditionalFormatting>
  <conditionalFormatting sqref="BL41">
    <cfRule type="iconSet" priority="34">
      <iconSet iconSet="5Arrows">
        <cfvo type="percent" val="0"/>
        <cfvo type="percent" val="20"/>
        <cfvo type="percent" val="40"/>
        <cfvo type="percent" val="60"/>
        <cfvo type="percent" val="80"/>
      </iconSet>
    </cfRule>
  </conditionalFormatting>
  <conditionalFormatting sqref="BM19">
    <cfRule type="cellIs" dxfId="25" priority="32" operator="lessThan">
      <formula>$BM$16</formula>
    </cfRule>
    <cfRule type="cellIs" dxfId="24" priority="33" operator="greaterThan">
      <formula>$BM$16</formula>
    </cfRule>
  </conditionalFormatting>
  <conditionalFormatting sqref="BM20">
    <cfRule type="cellIs" dxfId="23" priority="30" operator="greaterThan">
      <formula>$BM$17</formula>
    </cfRule>
    <cfRule type="cellIs" dxfId="22" priority="31" operator="lessThan">
      <formula>$BM$17</formula>
    </cfRule>
  </conditionalFormatting>
  <conditionalFormatting sqref="BB69:BK69">
    <cfRule type="iconSet" priority="59">
      <iconSet>
        <cfvo type="percent" val="0"/>
        <cfvo type="num" val="0.33"/>
        <cfvo type="num" val="0.66"/>
      </iconSet>
    </cfRule>
  </conditionalFormatting>
  <conditionalFormatting sqref="BB98:BK98">
    <cfRule type="iconSet" priority="60">
      <iconSet>
        <cfvo type="percent" val="0"/>
        <cfvo type="num" val="0.33"/>
        <cfvo type="num" val="0.66"/>
      </iconSet>
    </cfRule>
  </conditionalFormatting>
  <conditionalFormatting sqref="AZ6">
    <cfRule type="containsText" dxfId="21" priority="16" operator="containsText" text="Down - Regression is low">
      <formula>NOT(ISERROR(SEARCH("Down - Regression is low",AZ6)))</formula>
    </cfRule>
    <cfRule type="containsText" dxfId="20" priority="17" operator="containsText" text="Down - Regression is ok">
      <formula>NOT(ISERROR(SEARCH("Down - Regression is ok",AZ6)))</formula>
    </cfRule>
    <cfRule type="containsText" dxfId="19" priority="18" operator="containsText" text="Down - Regression is great">
      <formula>NOT(ISERROR(SEARCH("Down - Regression is great",AZ6)))</formula>
    </cfRule>
    <cfRule type="containsText" dxfId="18" priority="19" operator="containsText" text="Up - Regression is great">
      <formula>NOT(ISERROR(SEARCH("Up - Regression is great",AZ6)))</formula>
    </cfRule>
    <cfRule type="containsText" dxfId="17" priority="20" operator="containsText" text="Up - Regression is ok">
      <formula>NOT(ISERROR(SEARCH("Up - Regression is ok",AZ6)))</formula>
    </cfRule>
    <cfRule type="containsText" dxfId="16" priority="21" operator="containsText" text="Up - Regression is low">
      <formula>NOT(ISERROR(SEARCH("Up - Regression is low",AZ6)))</formula>
    </cfRule>
    <cfRule type="containsText" dxfId="15" priority="27" operator="containsText" text="Neutral">
      <formula>NOT(ISERROR(SEARCH("Neutral",AZ6)))</formula>
    </cfRule>
    <cfRule type="containsText" dxfId="14" priority="28" operator="containsText" text="Down">
      <formula>NOT(ISERROR(SEARCH("Down",AZ6)))</formula>
    </cfRule>
    <cfRule type="containsText" dxfId="13" priority="29" operator="containsText" text="Up">
      <formula>NOT(ISERROR(SEARCH("Up",AZ6)))</formula>
    </cfRule>
  </conditionalFormatting>
  <conditionalFormatting sqref="BH6">
    <cfRule type="containsText" dxfId="12" priority="24" operator="containsText" text="Neutral">
      <formula>NOT(ISERROR(SEARCH("Neutral",BH6)))</formula>
    </cfRule>
    <cfRule type="containsText" dxfId="11" priority="25" operator="containsText" text="Down">
      <formula>NOT(ISERROR(SEARCH("Down",BH6)))</formula>
    </cfRule>
    <cfRule type="containsText" dxfId="10" priority="26" operator="containsText" text="Up">
      <formula>NOT(ISERROR(SEARCH("Up",BH6)))</formula>
    </cfRule>
  </conditionalFormatting>
  <conditionalFormatting sqref="D8">
    <cfRule type="containsText" dxfId="9" priority="13" operator="containsText" text="Low Profits">
      <formula>NOT(ISERROR(SEARCH("Low Profits",D8)))</formula>
    </cfRule>
    <cfRule type="containsText" dxfId="8" priority="14" operator="containsText" text="Average Profits">
      <formula>NOT(ISERROR(SEARCH("Average Profits",D8)))</formula>
    </cfRule>
    <cfRule type="containsText" dxfId="7" priority="15" operator="containsText" text="High Profits">
      <formula>NOT(ISERROR(SEARCH("High Profits",D8)))</formula>
    </cfRule>
  </conditionalFormatting>
  <conditionalFormatting sqref="D9">
    <cfRule type="containsText" dxfId="6" priority="10" operator="containsText" text="Average Efficiency">
      <formula>NOT(ISERROR(SEARCH("Average Efficiency",D9)))</formula>
    </cfRule>
    <cfRule type="containsText" dxfId="5" priority="11" operator="containsText" text="High Efficiency">
      <formula>NOT(ISERROR(SEARCH("High Efficiency",D9)))</formula>
    </cfRule>
    <cfRule type="containsText" dxfId="4" priority="12" operator="containsText" text="Low Efficiency">
      <formula>NOT(ISERROR(SEARCH("Low Efficiency",D9)))</formula>
    </cfRule>
  </conditionalFormatting>
  <conditionalFormatting sqref="D10">
    <cfRule type="containsText" dxfId="3" priority="7" operator="containsText" text="High Growth">
      <formula>NOT(ISERROR(SEARCH("High Growth",D10)))</formula>
    </cfRule>
    <cfRule type="containsText" dxfId="2" priority="8" operator="containsText" text="Average Growth">
      <formula>NOT(ISERROR(SEARCH("Average Growth",D10)))</formula>
    </cfRule>
    <cfRule type="containsText" dxfId="1" priority="9" operator="containsText" text="Low Growth">
      <formula>NOT(ISERROR(SEARCH("Low Growth",D10)))</formula>
    </cfRule>
  </conditionalFormatting>
  <conditionalFormatting sqref="E8">
    <cfRule type="containsText" dxfId="0" priority="6" operator="containsText" text="Average">
      <formula>NOT(ISERROR(SEARCH("Average",E8)))</formula>
    </cfRule>
  </conditionalFormatting>
  <conditionalFormatting sqref="BA69">
    <cfRule type="iconSet" priority="2">
      <iconSet>
        <cfvo type="percent" val="0"/>
        <cfvo type="num" val="0.33"/>
        <cfvo type="num" val="0.66"/>
      </iconSet>
    </cfRule>
  </conditionalFormatting>
  <conditionalFormatting sqref="BC39:BK39 BA39">
    <cfRule type="iconSet" priority="64">
      <iconSet>
        <cfvo type="percent" val="0"/>
        <cfvo type="num" val="0.33"/>
        <cfvo type="num" val="0.66"/>
      </iconSet>
    </cfRule>
  </conditionalFormatting>
  <conditionalFormatting sqref="BA98">
    <cfRule type="iconSet" priority="1">
      <iconSet>
        <cfvo type="percent" val="0"/>
        <cfvo type="num" val="0.33"/>
        <cfvo type="num" val="0.66"/>
      </iconSet>
    </cfRule>
  </conditionalFormatting>
  <dataValidations disablePrompts="1" count="1">
    <dataValidation showInputMessage="1" showErrorMessage="1" sqref="BH6 AZ6" xr:uid="{00000000-0002-0000-0100-000000000000}"/>
  </dataValidations>
  <printOptions horizontalCentered="1" verticalCentered="1" gridLines="1"/>
  <pageMargins left="0.75" right="0.75" top="1" bottom="1" header="0.5" footer="0.5"/>
  <pageSetup scale="66" orientation="landscape"/>
  <headerFooter alignWithMargins="0">
    <oddHeader>&amp;Rwww.280group.com&amp;L280 Group, LLC.</oddHeader>
    <oddFooter>&amp;R&amp;P&amp;LCopyright © 2007 280 Group, LLC.  Content Copyright © 2007 Blackblot.  Used by permission.  All rights reserved.</oddFooter>
  </headerFooter>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100-000001000000}">
          <x14:formula1>
            <xm:f>'Drop Down Sheet'!$A$3:$A$5</xm:f>
          </x14:formula1>
          <xm:sqref>C8</xm:sqref>
        </x14:dataValidation>
        <x14:dataValidation type="list" showInputMessage="1" showErrorMessage="1" xr:uid="{00000000-0002-0000-0100-000002000000}">
          <x14:formula1>
            <xm:f>'Drop Down Sheet'!$B$3:$B$5</xm:f>
          </x14:formula1>
          <xm:sqref>D8</xm:sqref>
        </x14:dataValidation>
        <x14:dataValidation type="list" showInputMessage="1" showErrorMessage="1" xr:uid="{00000000-0002-0000-0100-000003000000}">
          <x14:formula1>
            <xm:f>'Drop Down Sheet'!$C$3:$C$5</xm:f>
          </x14:formula1>
          <xm:sqref>D9</xm:sqref>
        </x14:dataValidation>
        <x14:dataValidation type="list" showInputMessage="1" showErrorMessage="1" xr:uid="{00000000-0002-0000-0100-000004000000}">
          <x14:formula1>
            <xm:f>'Drop Down Sheet'!$D$3:$D$5</xm:f>
          </x14:formula1>
          <xm:sqref>D10</xm:sqref>
        </x14:dataValidation>
        <x14:dataValidation type="list" showInputMessage="1" showErrorMessage="1" xr:uid="{00000000-0002-0000-0100-000005000000}">
          <x14:formula1>
            <xm:f>'Drop Down Sheet'!$E$3:$E$5</xm:f>
          </x14:formula1>
          <xm:sqref>E8</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F1036"/>
  <sheetViews>
    <sheetView topLeftCell="A1003" workbookViewId="0">
      <selection activeCell="A2" sqref="A2:F1035"/>
    </sheetView>
  </sheetViews>
  <sheetFormatPr defaultColWidth="11.42578125" defaultRowHeight="12"/>
  <cols>
    <col min="1" max="7" width="12.85546875" customWidth="1"/>
  </cols>
  <sheetData>
    <row r="1" spans="1:6">
      <c r="A1" s="35" t="s">
        <v>156</v>
      </c>
      <c r="B1" s="35" t="s">
        <v>157</v>
      </c>
      <c r="C1" s="35" t="s">
        <v>100</v>
      </c>
      <c r="D1" s="35" t="s">
        <v>158</v>
      </c>
      <c r="E1" s="35" t="s">
        <v>159</v>
      </c>
      <c r="F1" s="35" t="s">
        <v>160</v>
      </c>
    </row>
    <row r="2" spans="1:6">
      <c r="A2" s="146">
        <v>42958</v>
      </c>
      <c r="B2" s="35">
        <v>108.77</v>
      </c>
      <c r="C2" s="35">
        <v>109.68</v>
      </c>
      <c r="D2" s="35">
        <v>108.22</v>
      </c>
      <c r="E2" s="35">
        <v>108.81</v>
      </c>
      <c r="F2" s="35">
        <v>4639179</v>
      </c>
    </row>
    <row r="3" spans="1:6">
      <c r="A3" s="146">
        <v>42957</v>
      </c>
      <c r="B3" s="35">
        <v>108.8</v>
      </c>
      <c r="C3" s="35">
        <v>109.84</v>
      </c>
      <c r="D3" s="35">
        <v>107.9</v>
      </c>
      <c r="E3" s="35">
        <v>108.9</v>
      </c>
      <c r="F3" s="35">
        <v>4881486</v>
      </c>
    </row>
    <row r="4" spans="1:6">
      <c r="A4" s="146">
        <v>42956</v>
      </c>
      <c r="B4" s="35">
        <v>108.84</v>
      </c>
      <c r="C4" s="35">
        <v>110.11</v>
      </c>
      <c r="D4" s="35">
        <v>108.06</v>
      </c>
      <c r="E4" s="35">
        <v>109.66</v>
      </c>
      <c r="F4" s="35">
        <v>8389744</v>
      </c>
    </row>
    <row r="5" spans="1:6">
      <c r="A5" s="146">
        <v>42955</v>
      </c>
      <c r="B5" s="35">
        <v>112.2</v>
      </c>
      <c r="C5" s="35">
        <v>112.56</v>
      </c>
      <c r="D5" s="35">
        <v>108.07</v>
      </c>
      <c r="E5" s="35">
        <v>108.51</v>
      </c>
      <c r="F5" s="35">
        <v>9711206</v>
      </c>
    </row>
    <row r="6" spans="1:6">
      <c r="A6" s="146">
        <v>42954</v>
      </c>
      <c r="B6" s="35">
        <v>111.5</v>
      </c>
      <c r="C6" s="35">
        <v>114</v>
      </c>
      <c r="D6" s="35">
        <v>111.05</v>
      </c>
      <c r="E6" s="35">
        <v>112.17</v>
      </c>
      <c r="F6" s="35">
        <v>4012798</v>
      </c>
    </row>
    <row r="7" spans="1:6">
      <c r="A7" s="146">
        <v>42951</v>
      </c>
      <c r="B7" s="35">
        <v>113.5</v>
      </c>
      <c r="C7" s="35">
        <v>113.92</v>
      </c>
      <c r="D7" s="35">
        <v>110.1</v>
      </c>
      <c r="E7" s="35">
        <v>111.39</v>
      </c>
      <c r="F7" s="35">
        <v>8109438</v>
      </c>
    </row>
    <row r="8" spans="1:6">
      <c r="A8" s="146">
        <v>42950</v>
      </c>
      <c r="B8" s="35">
        <v>113.69</v>
      </c>
      <c r="C8" s="35">
        <v>113.85</v>
      </c>
      <c r="D8" s="35">
        <v>111</v>
      </c>
      <c r="E8" s="35">
        <v>111.77</v>
      </c>
      <c r="F8" s="35">
        <v>9003417</v>
      </c>
    </row>
    <row r="9" spans="1:6">
      <c r="A9" s="146">
        <v>42949</v>
      </c>
      <c r="B9" s="35">
        <v>115.65</v>
      </c>
      <c r="C9" s="35">
        <v>116.44</v>
      </c>
      <c r="D9" s="35">
        <v>114.12</v>
      </c>
      <c r="E9" s="35">
        <v>115.25</v>
      </c>
      <c r="F9" s="35">
        <v>9973140</v>
      </c>
    </row>
    <row r="10" spans="1:6">
      <c r="A10" s="146">
        <v>42948</v>
      </c>
      <c r="B10" s="35">
        <v>118.79</v>
      </c>
      <c r="C10" s="35">
        <v>119.38</v>
      </c>
      <c r="D10" s="35">
        <v>116.33</v>
      </c>
      <c r="E10" s="35">
        <v>116.78</v>
      </c>
      <c r="F10" s="35">
        <v>5612306</v>
      </c>
    </row>
    <row r="11" spans="1:6">
      <c r="A11" s="146">
        <v>42947</v>
      </c>
      <c r="B11" s="35">
        <v>118</v>
      </c>
      <c r="C11" s="35">
        <v>121.77</v>
      </c>
      <c r="D11" s="35">
        <v>117.87</v>
      </c>
      <c r="E11" s="35">
        <v>118.91</v>
      </c>
      <c r="F11" s="35">
        <v>8185980</v>
      </c>
    </row>
    <row r="12" spans="1:6">
      <c r="A12" s="146">
        <v>42944</v>
      </c>
      <c r="B12" s="35">
        <v>115.25</v>
      </c>
      <c r="C12" s="35">
        <v>117.66</v>
      </c>
      <c r="D12" s="35">
        <v>115</v>
      </c>
      <c r="E12" s="35">
        <v>117.38</v>
      </c>
      <c r="F12" s="35">
        <v>7880377</v>
      </c>
    </row>
    <row r="13" spans="1:6">
      <c r="A13" s="146">
        <v>42943</v>
      </c>
      <c r="B13" s="35">
        <v>103.5</v>
      </c>
      <c r="C13" s="35">
        <v>120</v>
      </c>
      <c r="D13" s="35">
        <v>103.5</v>
      </c>
      <c r="E13" s="35">
        <v>115.63</v>
      </c>
      <c r="F13" s="35">
        <v>29837591</v>
      </c>
    </row>
    <row r="14" spans="1:6">
      <c r="A14" s="146">
        <v>42942</v>
      </c>
      <c r="B14" s="35">
        <v>103.56</v>
      </c>
      <c r="C14" s="35">
        <v>106.06</v>
      </c>
      <c r="D14" s="35">
        <v>103.02</v>
      </c>
      <c r="E14" s="35">
        <v>105.98</v>
      </c>
      <c r="F14" s="35">
        <v>5618274</v>
      </c>
    </row>
    <row r="15" spans="1:6">
      <c r="A15" s="146">
        <v>42941</v>
      </c>
      <c r="B15" s="35">
        <v>103.69</v>
      </c>
      <c r="C15" s="35">
        <v>104.05</v>
      </c>
      <c r="D15" s="35">
        <v>102.7</v>
      </c>
      <c r="E15" s="35">
        <v>103.18</v>
      </c>
      <c r="F15" s="35">
        <v>3231286</v>
      </c>
    </row>
    <row r="16" spans="1:6">
      <c r="A16" s="146">
        <v>42940</v>
      </c>
      <c r="B16" s="35">
        <v>104.34</v>
      </c>
      <c r="C16" s="35">
        <v>104.44</v>
      </c>
      <c r="D16" s="35">
        <v>102.46</v>
      </c>
      <c r="E16" s="35">
        <v>103.54</v>
      </c>
      <c r="F16" s="35">
        <v>5402195</v>
      </c>
    </row>
    <row r="17" spans="1:6">
      <c r="A17" s="146">
        <v>42937</v>
      </c>
      <c r="B17" s="35">
        <v>102.68</v>
      </c>
      <c r="C17" s="35">
        <v>104.94</v>
      </c>
      <c r="D17" s="35">
        <v>102.68</v>
      </c>
      <c r="E17" s="35">
        <v>104.58</v>
      </c>
      <c r="F17" s="35">
        <v>3722249</v>
      </c>
    </row>
    <row r="18" spans="1:6">
      <c r="A18" s="146">
        <v>42936</v>
      </c>
      <c r="B18" s="35">
        <v>102.93</v>
      </c>
      <c r="C18" s="35">
        <v>103.47</v>
      </c>
      <c r="D18" s="35">
        <v>102.83</v>
      </c>
      <c r="E18" s="35">
        <v>103.34</v>
      </c>
      <c r="F18" s="35">
        <v>3110934</v>
      </c>
    </row>
    <row r="19" spans="1:6">
      <c r="A19" s="146">
        <v>42935</v>
      </c>
      <c r="B19" s="35">
        <v>101.5</v>
      </c>
      <c r="C19" s="35">
        <v>103.07</v>
      </c>
      <c r="D19" s="35">
        <v>101.2</v>
      </c>
      <c r="E19" s="35">
        <v>102.75</v>
      </c>
      <c r="F19" s="35">
        <v>3678461</v>
      </c>
    </row>
    <row r="20" spans="1:6">
      <c r="A20" s="146">
        <v>42934</v>
      </c>
      <c r="B20" s="35">
        <v>100.94</v>
      </c>
      <c r="C20" s="35">
        <v>101.38</v>
      </c>
      <c r="D20" s="35">
        <v>100.51</v>
      </c>
      <c r="E20" s="35">
        <v>101.3</v>
      </c>
      <c r="F20" s="35">
        <v>2377671</v>
      </c>
    </row>
    <row r="21" spans="1:6">
      <c r="A21" s="146">
        <v>42933</v>
      </c>
      <c r="B21" s="35">
        <v>101.38</v>
      </c>
      <c r="C21" s="35">
        <v>101.81</v>
      </c>
      <c r="D21" s="35">
        <v>101.22</v>
      </c>
      <c r="E21" s="35">
        <v>101.7</v>
      </c>
      <c r="F21" s="35">
        <v>3149451</v>
      </c>
    </row>
    <row r="22" spans="1:6">
      <c r="A22" s="146">
        <v>42930</v>
      </c>
      <c r="B22" s="35">
        <v>101.61</v>
      </c>
      <c r="C22" s="35">
        <v>101.9</v>
      </c>
      <c r="D22" s="35">
        <v>101.24</v>
      </c>
      <c r="E22" s="35">
        <v>101.35</v>
      </c>
      <c r="F22" s="35">
        <v>2837393</v>
      </c>
    </row>
    <row r="23" spans="1:6">
      <c r="A23" s="146">
        <v>42929</v>
      </c>
      <c r="B23" s="35">
        <v>102.49</v>
      </c>
      <c r="C23" s="35">
        <v>102.68</v>
      </c>
      <c r="D23" s="35">
        <v>101.42</v>
      </c>
      <c r="E23" s="35">
        <v>101.63</v>
      </c>
      <c r="F23" s="35">
        <v>4710200</v>
      </c>
    </row>
    <row r="24" spans="1:6">
      <c r="A24" s="146">
        <v>42928</v>
      </c>
      <c r="B24" s="35">
        <v>102.8</v>
      </c>
      <c r="C24" s="35">
        <v>103.46</v>
      </c>
      <c r="D24" s="35">
        <v>102.33</v>
      </c>
      <c r="E24" s="35">
        <v>102.5</v>
      </c>
      <c r="F24" s="35">
        <v>3086237</v>
      </c>
    </row>
    <row r="25" spans="1:6">
      <c r="A25" s="146">
        <v>42927</v>
      </c>
      <c r="B25" s="35">
        <v>103.23</v>
      </c>
      <c r="C25" s="35">
        <v>103.6</v>
      </c>
      <c r="D25" s="35">
        <v>101.15</v>
      </c>
      <c r="E25" s="35">
        <v>101.84</v>
      </c>
      <c r="F25" s="35">
        <v>5087742</v>
      </c>
    </row>
    <row r="26" spans="1:6">
      <c r="A26" s="146">
        <v>42926</v>
      </c>
      <c r="B26" s="35">
        <v>105</v>
      </c>
      <c r="C26" s="35">
        <v>105.37</v>
      </c>
      <c r="D26" s="35">
        <v>103.64</v>
      </c>
      <c r="E26" s="35">
        <v>103.66</v>
      </c>
      <c r="F26" s="35">
        <v>5423027</v>
      </c>
    </row>
    <row r="27" spans="1:6">
      <c r="A27" s="146">
        <v>42923</v>
      </c>
      <c r="B27" s="35">
        <v>103.75</v>
      </c>
      <c r="C27" s="35">
        <v>105.41</v>
      </c>
      <c r="D27" s="35">
        <v>103.42</v>
      </c>
      <c r="E27" s="35">
        <v>105.14</v>
      </c>
      <c r="F27" s="35">
        <v>2774122</v>
      </c>
    </row>
    <row r="28" spans="1:6">
      <c r="A28" s="146">
        <v>42922</v>
      </c>
      <c r="B28" s="35">
        <v>103.76</v>
      </c>
      <c r="C28" s="35">
        <v>103.76</v>
      </c>
      <c r="D28" s="35">
        <v>102.8</v>
      </c>
      <c r="E28" s="35">
        <v>103.44</v>
      </c>
      <c r="F28" s="35">
        <v>2724710</v>
      </c>
    </row>
    <row r="29" spans="1:6">
      <c r="A29" s="146">
        <v>42921</v>
      </c>
      <c r="B29" s="35">
        <v>102.81</v>
      </c>
      <c r="C29" s="35">
        <v>104.12</v>
      </c>
      <c r="D29" s="35">
        <v>101.88</v>
      </c>
      <c r="E29" s="35">
        <v>104.07</v>
      </c>
      <c r="F29" s="35">
        <v>2836689</v>
      </c>
    </row>
    <row r="30" spans="1:6">
      <c r="A30" s="146">
        <v>42919</v>
      </c>
      <c r="B30" s="35">
        <v>101.98</v>
      </c>
      <c r="C30" s="35">
        <v>103.14</v>
      </c>
      <c r="D30" s="35">
        <v>101.91</v>
      </c>
      <c r="E30" s="35">
        <v>102.42</v>
      </c>
      <c r="F30" s="35">
        <v>1591065</v>
      </c>
    </row>
    <row r="31" spans="1:6">
      <c r="A31" s="146">
        <v>42916</v>
      </c>
      <c r="B31" s="35">
        <v>102.19</v>
      </c>
      <c r="C31" s="35">
        <v>102.81</v>
      </c>
      <c r="D31" s="35">
        <v>101.76</v>
      </c>
      <c r="E31" s="35">
        <v>102.46</v>
      </c>
      <c r="F31" s="35">
        <v>2958583</v>
      </c>
    </row>
    <row r="32" spans="1:6">
      <c r="A32" s="146">
        <v>42915</v>
      </c>
      <c r="B32" s="35">
        <v>102.4</v>
      </c>
      <c r="C32" s="35">
        <v>102.54</v>
      </c>
      <c r="D32" s="35">
        <v>101.07</v>
      </c>
      <c r="E32" s="35">
        <v>101.46</v>
      </c>
      <c r="F32" s="35">
        <v>3799772</v>
      </c>
    </row>
    <row r="33" spans="1:6">
      <c r="A33" s="146">
        <v>42914</v>
      </c>
      <c r="B33" s="35">
        <v>101.8</v>
      </c>
      <c r="C33" s="35">
        <v>102.84</v>
      </c>
      <c r="D33" s="35">
        <v>100.56</v>
      </c>
      <c r="E33" s="35">
        <v>102.68</v>
      </c>
      <c r="F33" s="35">
        <v>2934774</v>
      </c>
    </row>
    <row r="34" spans="1:6">
      <c r="A34" s="146">
        <v>42913</v>
      </c>
      <c r="B34" s="35">
        <v>101.84</v>
      </c>
      <c r="C34" s="35">
        <v>102.61</v>
      </c>
      <c r="D34" s="35">
        <v>101.49</v>
      </c>
      <c r="E34" s="35">
        <v>101.5</v>
      </c>
      <c r="F34" s="35">
        <v>2882168</v>
      </c>
    </row>
    <row r="35" spans="1:6">
      <c r="A35" s="146">
        <v>42912</v>
      </c>
      <c r="B35" s="35">
        <v>101.66</v>
      </c>
      <c r="C35" s="35">
        <v>102.28</v>
      </c>
      <c r="D35" s="35">
        <v>101.44</v>
      </c>
      <c r="E35" s="35">
        <v>102.21</v>
      </c>
      <c r="F35" s="35">
        <v>2412580</v>
      </c>
    </row>
    <row r="36" spans="1:6">
      <c r="A36" s="146">
        <v>42909</v>
      </c>
      <c r="B36" s="35">
        <v>101.81</v>
      </c>
      <c r="C36" s="35">
        <v>102.03</v>
      </c>
      <c r="D36" s="35">
        <v>101.28</v>
      </c>
      <c r="E36" s="35">
        <v>101.41</v>
      </c>
      <c r="F36" s="35">
        <v>2835440</v>
      </c>
    </row>
    <row r="37" spans="1:6">
      <c r="A37" s="146">
        <v>42908</v>
      </c>
      <c r="B37" s="35">
        <v>102.69</v>
      </c>
      <c r="C37" s="35">
        <v>102.69</v>
      </c>
      <c r="D37" s="35">
        <v>101.37</v>
      </c>
      <c r="E37" s="35">
        <v>101.91</v>
      </c>
      <c r="F37" s="35">
        <v>2326444</v>
      </c>
    </row>
    <row r="38" spans="1:6">
      <c r="A38" s="146">
        <v>42907</v>
      </c>
      <c r="B38" s="35">
        <v>103.74</v>
      </c>
      <c r="C38" s="35">
        <v>103.74</v>
      </c>
      <c r="D38" s="35">
        <v>102.05</v>
      </c>
      <c r="E38" s="35">
        <v>102.5</v>
      </c>
      <c r="F38" s="35">
        <v>3087771</v>
      </c>
    </row>
    <row r="39" spans="1:6">
      <c r="A39" s="146">
        <v>42906</v>
      </c>
      <c r="B39" s="35">
        <v>102.52</v>
      </c>
      <c r="C39" s="35">
        <v>103.39</v>
      </c>
      <c r="D39" s="35">
        <v>102.44</v>
      </c>
      <c r="E39" s="35">
        <v>102.48</v>
      </c>
      <c r="F39" s="35">
        <v>3590273</v>
      </c>
    </row>
    <row r="40" spans="1:6">
      <c r="A40" s="146">
        <v>42905</v>
      </c>
      <c r="B40" s="35">
        <v>103.73</v>
      </c>
      <c r="C40" s="35">
        <v>104.16</v>
      </c>
      <c r="D40" s="35">
        <v>103.26</v>
      </c>
      <c r="E40" s="35">
        <v>104.11</v>
      </c>
      <c r="F40" s="35">
        <v>2019721</v>
      </c>
    </row>
    <row r="41" spans="1:6">
      <c r="A41" s="146">
        <v>42902</v>
      </c>
      <c r="B41" s="35">
        <v>101.65</v>
      </c>
      <c r="C41" s="35">
        <v>103.72</v>
      </c>
      <c r="D41" s="35">
        <v>101.65</v>
      </c>
      <c r="E41" s="35">
        <v>103.49</v>
      </c>
      <c r="F41" s="35">
        <v>3572702</v>
      </c>
    </row>
    <row r="42" spans="1:6">
      <c r="A42" s="146">
        <v>42901</v>
      </c>
      <c r="B42" s="35">
        <v>100.88</v>
      </c>
      <c r="C42" s="35">
        <v>102.3</v>
      </c>
      <c r="D42" s="35">
        <v>100.6</v>
      </c>
      <c r="E42" s="35">
        <v>102.17</v>
      </c>
      <c r="F42" s="35">
        <v>1618889</v>
      </c>
    </row>
    <row r="43" spans="1:6">
      <c r="A43" s="146">
        <v>42900</v>
      </c>
      <c r="B43" s="35">
        <v>102.19</v>
      </c>
      <c r="C43" s="35">
        <v>102.31</v>
      </c>
      <c r="D43" s="35">
        <v>100.83</v>
      </c>
      <c r="E43" s="35">
        <v>101.25</v>
      </c>
      <c r="F43" s="35">
        <v>2679894</v>
      </c>
    </row>
    <row r="44" spans="1:6">
      <c r="A44" s="146">
        <v>42899</v>
      </c>
      <c r="B44" s="35">
        <v>101.61</v>
      </c>
      <c r="C44" s="35">
        <v>102.08</v>
      </c>
      <c r="D44" s="35">
        <v>101.15</v>
      </c>
      <c r="E44" s="35">
        <v>101.87</v>
      </c>
      <c r="F44" s="35">
        <v>2358256</v>
      </c>
    </row>
    <row r="45" spans="1:6">
      <c r="A45" s="146">
        <v>42898</v>
      </c>
      <c r="B45" s="35">
        <v>100.37</v>
      </c>
      <c r="C45" s="35">
        <v>101.56</v>
      </c>
      <c r="D45" s="35">
        <v>100.02</v>
      </c>
      <c r="E45" s="35">
        <v>101.54</v>
      </c>
      <c r="F45" s="35">
        <v>2030061</v>
      </c>
    </row>
    <row r="46" spans="1:6">
      <c r="A46" s="146">
        <v>42895</v>
      </c>
      <c r="B46" s="35">
        <v>100.86</v>
      </c>
      <c r="C46" s="35">
        <v>101.26</v>
      </c>
      <c r="D46" s="35">
        <v>99.85</v>
      </c>
      <c r="E46" s="35">
        <v>100.11</v>
      </c>
      <c r="F46" s="35">
        <v>4273958</v>
      </c>
    </row>
    <row r="47" spans="1:6">
      <c r="A47" s="146">
        <v>42894</v>
      </c>
      <c r="B47" s="35">
        <v>101.11</v>
      </c>
      <c r="C47" s="35">
        <v>101.26</v>
      </c>
      <c r="D47" s="35">
        <v>100.44</v>
      </c>
      <c r="E47" s="35">
        <v>100.77</v>
      </c>
      <c r="F47" s="35">
        <v>2613062</v>
      </c>
    </row>
    <row r="48" spans="1:6">
      <c r="A48" s="146">
        <v>42893</v>
      </c>
      <c r="B48" s="35">
        <v>101.01</v>
      </c>
      <c r="C48" s="35">
        <v>101.5</v>
      </c>
      <c r="D48" s="35">
        <v>100.69</v>
      </c>
      <c r="E48" s="35">
        <v>100.94</v>
      </c>
      <c r="F48" s="35">
        <v>2359529</v>
      </c>
    </row>
    <row r="49" spans="1:6">
      <c r="A49" s="146">
        <v>42892</v>
      </c>
      <c r="B49" s="35">
        <v>101</v>
      </c>
      <c r="C49" s="35">
        <v>101.72</v>
      </c>
      <c r="D49" s="35">
        <v>100.65</v>
      </c>
      <c r="E49" s="35">
        <v>101.2</v>
      </c>
      <c r="F49" s="35">
        <v>1992199</v>
      </c>
    </row>
    <row r="50" spans="1:6">
      <c r="A50" s="146">
        <v>42891</v>
      </c>
      <c r="B50" s="35">
        <v>101.1</v>
      </c>
      <c r="C50" s="35">
        <v>101.62</v>
      </c>
      <c r="D50" s="35">
        <v>100.88</v>
      </c>
      <c r="E50" s="35">
        <v>101.1</v>
      </c>
      <c r="F50" s="35">
        <v>3138573</v>
      </c>
    </row>
    <row r="51" spans="1:6">
      <c r="A51" s="146">
        <v>42888</v>
      </c>
      <c r="B51" s="35">
        <v>100.12</v>
      </c>
      <c r="C51" s="35">
        <v>101.08</v>
      </c>
      <c r="D51" s="35">
        <v>98.5</v>
      </c>
      <c r="E51" s="35">
        <v>100.98</v>
      </c>
      <c r="F51" s="35">
        <v>8135692</v>
      </c>
    </row>
    <row r="52" spans="1:6">
      <c r="A52" s="146">
        <v>42887</v>
      </c>
      <c r="B52" s="35">
        <v>103</v>
      </c>
      <c r="C52" s="35">
        <v>103.4</v>
      </c>
      <c r="D52" s="35">
        <v>102.01</v>
      </c>
      <c r="E52" s="35">
        <v>103.35</v>
      </c>
      <c r="F52" s="35">
        <v>2432234</v>
      </c>
    </row>
    <row r="53" spans="1:6">
      <c r="A53" s="146">
        <v>42886</v>
      </c>
      <c r="B53" s="35">
        <v>101.7</v>
      </c>
      <c r="C53" s="35">
        <v>102.5</v>
      </c>
      <c r="D53" s="35">
        <v>101.51</v>
      </c>
      <c r="E53" s="35">
        <v>102.37</v>
      </c>
      <c r="F53" s="35">
        <v>3173099</v>
      </c>
    </row>
    <row r="54" spans="1:6">
      <c r="A54" s="146">
        <v>42885</v>
      </c>
      <c r="B54" s="35">
        <v>101.21</v>
      </c>
      <c r="C54" s="35">
        <v>101.66</v>
      </c>
      <c r="D54" s="35">
        <v>100.54</v>
      </c>
      <c r="E54" s="35">
        <v>101.53</v>
      </c>
      <c r="F54" s="35">
        <v>1728899</v>
      </c>
    </row>
    <row r="55" spans="1:6">
      <c r="A55" s="146">
        <v>42881</v>
      </c>
      <c r="B55" s="35">
        <v>101.23</v>
      </c>
      <c r="C55" s="35">
        <v>101.53</v>
      </c>
      <c r="D55" s="35">
        <v>100.91</v>
      </c>
      <c r="E55" s="35">
        <v>101.35</v>
      </c>
      <c r="F55" s="35">
        <v>1919119</v>
      </c>
    </row>
    <row r="56" spans="1:6">
      <c r="A56" s="146">
        <v>42880</v>
      </c>
      <c r="B56" s="35">
        <v>100.27</v>
      </c>
      <c r="C56" s="35">
        <v>101.43</v>
      </c>
      <c r="D56" s="35">
        <v>100.03</v>
      </c>
      <c r="E56" s="35">
        <v>101.16</v>
      </c>
      <c r="F56" s="35">
        <v>1832479</v>
      </c>
    </row>
    <row r="57" spans="1:6">
      <c r="A57" s="146">
        <v>42879</v>
      </c>
      <c r="B57" s="35">
        <v>99.49</v>
      </c>
      <c r="C57" s="35">
        <v>100.06</v>
      </c>
      <c r="D57" s="35">
        <v>99.43</v>
      </c>
      <c r="E57" s="35">
        <v>99.98</v>
      </c>
      <c r="F57" s="35">
        <v>1942989</v>
      </c>
    </row>
    <row r="58" spans="1:6">
      <c r="A58" s="146">
        <v>42878</v>
      </c>
      <c r="B58" s="35">
        <v>99.37</v>
      </c>
      <c r="C58" s="35">
        <v>99.54</v>
      </c>
      <c r="D58" s="35">
        <v>99.06</v>
      </c>
      <c r="E58" s="35">
        <v>99.53</v>
      </c>
      <c r="F58" s="35">
        <v>1398899</v>
      </c>
    </row>
    <row r="59" spans="1:6">
      <c r="A59" s="146">
        <v>42877</v>
      </c>
      <c r="B59" s="35">
        <v>98.48</v>
      </c>
      <c r="C59" s="35">
        <v>99.56</v>
      </c>
      <c r="D59" s="35">
        <v>98.44</v>
      </c>
      <c r="E59" s="35">
        <v>99.45</v>
      </c>
      <c r="F59" s="35">
        <v>2015167</v>
      </c>
    </row>
    <row r="60" spans="1:6">
      <c r="A60" s="146">
        <v>42874</v>
      </c>
      <c r="B60" s="35">
        <v>98.34</v>
      </c>
      <c r="C60" s="35">
        <v>98.92</v>
      </c>
      <c r="D60" s="35">
        <v>97.89</v>
      </c>
      <c r="E60" s="35">
        <v>98.62</v>
      </c>
      <c r="F60" s="35">
        <v>2790653</v>
      </c>
    </row>
    <row r="61" spans="1:6">
      <c r="A61" s="146">
        <v>42873</v>
      </c>
      <c r="B61" s="35">
        <v>97.15</v>
      </c>
      <c r="C61" s="35">
        <v>98.65</v>
      </c>
      <c r="D61" s="35">
        <v>96.8</v>
      </c>
      <c r="E61" s="35">
        <v>98.35</v>
      </c>
      <c r="F61" s="35">
        <v>2197346</v>
      </c>
    </row>
    <row r="62" spans="1:6">
      <c r="A62" s="146">
        <v>42872</v>
      </c>
      <c r="B62" s="35">
        <v>97.7</v>
      </c>
      <c r="C62" s="35">
        <v>98.08</v>
      </c>
      <c r="D62" s="35">
        <v>97.23</v>
      </c>
      <c r="E62" s="35">
        <v>97.3</v>
      </c>
      <c r="F62" s="35">
        <v>2802578</v>
      </c>
    </row>
    <row r="63" spans="1:6">
      <c r="A63" s="146">
        <v>42871</v>
      </c>
      <c r="B63" s="35">
        <v>98.39</v>
      </c>
      <c r="C63" s="35">
        <v>98.76</v>
      </c>
      <c r="D63" s="35">
        <v>98.15</v>
      </c>
      <c r="E63" s="35">
        <v>98.32</v>
      </c>
      <c r="F63" s="35">
        <v>2213286</v>
      </c>
    </row>
    <row r="64" spans="1:6">
      <c r="A64" s="146">
        <v>42870</v>
      </c>
      <c r="B64" s="35">
        <v>97.01</v>
      </c>
      <c r="C64" s="35">
        <v>98.54</v>
      </c>
      <c r="D64" s="35">
        <v>96.76</v>
      </c>
      <c r="E64" s="35">
        <v>98.45</v>
      </c>
      <c r="F64" s="35">
        <v>3364035</v>
      </c>
    </row>
    <row r="65" spans="1:6">
      <c r="A65" s="146">
        <v>42867</v>
      </c>
      <c r="B65" s="35">
        <v>96.57</v>
      </c>
      <c r="C65" s="35">
        <v>97.3</v>
      </c>
      <c r="D65" s="35">
        <v>96.25</v>
      </c>
      <c r="E65" s="35">
        <v>97.17</v>
      </c>
      <c r="F65" s="35">
        <v>1957341</v>
      </c>
    </row>
    <row r="66" spans="1:6">
      <c r="A66" s="146">
        <v>42866</v>
      </c>
      <c r="B66" s="35">
        <v>96.53</v>
      </c>
      <c r="C66" s="35">
        <v>96.6</v>
      </c>
      <c r="D66" s="35">
        <v>95.87</v>
      </c>
      <c r="E66" s="35">
        <v>96.46</v>
      </c>
      <c r="F66" s="35">
        <v>3029071</v>
      </c>
    </row>
    <row r="67" spans="1:6">
      <c r="A67" s="146">
        <v>42865</v>
      </c>
      <c r="B67" s="35">
        <v>96.97</v>
      </c>
      <c r="C67" s="35">
        <v>97.5</v>
      </c>
      <c r="D67" s="35">
        <v>95.85</v>
      </c>
      <c r="E67" s="35">
        <v>96.63</v>
      </c>
      <c r="F67" s="35">
        <v>2919989</v>
      </c>
    </row>
    <row r="68" spans="1:6">
      <c r="A68" s="146">
        <v>42864</v>
      </c>
      <c r="B68" s="35">
        <v>96.63</v>
      </c>
      <c r="C68" s="35">
        <v>97.43</v>
      </c>
      <c r="D68" s="35">
        <v>96.17</v>
      </c>
      <c r="E68" s="35">
        <v>97.08</v>
      </c>
      <c r="F68" s="35">
        <v>2625166</v>
      </c>
    </row>
    <row r="69" spans="1:6">
      <c r="A69" s="146">
        <v>42863</v>
      </c>
      <c r="B69" s="35">
        <v>99.5</v>
      </c>
      <c r="C69" s="35">
        <v>99.65</v>
      </c>
      <c r="D69" s="35">
        <v>96.42</v>
      </c>
      <c r="E69" s="35">
        <v>96.7</v>
      </c>
      <c r="F69" s="35">
        <v>4799832</v>
      </c>
    </row>
    <row r="70" spans="1:6">
      <c r="A70" s="146">
        <v>42860</v>
      </c>
      <c r="B70" s="35">
        <v>99.35</v>
      </c>
      <c r="C70" s="35">
        <v>99.53</v>
      </c>
      <c r="D70" s="35">
        <v>98.64</v>
      </c>
      <c r="E70" s="35">
        <v>99.29</v>
      </c>
      <c r="F70" s="35">
        <v>1858701</v>
      </c>
    </row>
    <row r="71" spans="1:6">
      <c r="A71" s="146">
        <v>42859</v>
      </c>
      <c r="B71" s="35">
        <v>98.31</v>
      </c>
      <c r="C71" s="35">
        <v>99.13</v>
      </c>
      <c r="D71" s="35">
        <v>97.59</v>
      </c>
      <c r="E71" s="35">
        <v>99.1</v>
      </c>
      <c r="F71" s="35">
        <v>3377997</v>
      </c>
    </row>
    <row r="72" spans="1:6">
      <c r="A72" s="146">
        <v>42858</v>
      </c>
      <c r="B72" s="35">
        <v>98.95</v>
      </c>
      <c r="C72" s="35">
        <v>99.62</v>
      </c>
      <c r="D72" s="35">
        <v>95.5</v>
      </c>
      <c r="E72" s="35">
        <v>97.51</v>
      </c>
      <c r="F72" s="35">
        <v>6336007</v>
      </c>
    </row>
    <row r="73" spans="1:6">
      <c r="A73" s="146">
        <v>42857</v>
      </c>
      <c r="B73" s="35">
        <v>104.19</v>
      </c>
      <c r="C73" s="35">
        <v>104.43</v>
      </c>
      <c r="D73" s="35">
        <v>103.6</v>
      </c>
      <c r="E73" s="35">
        <v>104.01</v>
      </c>
      <c r="F73" s="35">
        <v>2254321</v>
      </c>
    </row>
    <row r="74" spans="1:6">
      <c r="A74" s="146">
        <v>42856</v>
      </c>
      <c r="B74" s="35">
        <v>104.29</v>
      </c>
      <c r="C74" s="35">
        <v>104.41</v>
      </c>
      <c r="D74" s="35">
        <v>103.59</v>
      </c>
      <c r="E74" s="35">
        <v>103.97</v>
      </c>
      <c r="F74" s="35">
        <v>1406147</v>
      </c>
    </row>
    <row r="75" spans="1:6">
      <c r="A75" s="146">
        <v>42853</v>
      </c>
      <c r="B75" s="35">
        <v>105.03</v>
      </c>
      <c r="C75" s="35">
        <v>105.28</v>
      </c>
      <c r="D75" s="35">
        <v>104.29</v>
      </c>
      <c r="E75" s="35">
        <v>104.49</v>
      </c>
      <c r="F75" s="35">
        <v>1610922</v>
      </c>
    </row>
    <row r="76" spans="1:6">
      <c r="A76" s="146">
        <v>42852</v>
      </c>
      <c r="B76" s="35">
        <v>105.26</v>
      </c>
      <c r="C76" s="35">
        <v>105.68</v>
      </c>
      <c r="D76" s="35">
        <v>104.65</v>
      </c>
      <c r="E76" s="35">
        <v>105.16</v>
      </c>
      <c r="F76" s="35">
        <v>1505235</v>
      </c>
    </row>
    <row r="77" spans="1:6">
      <c r="A77" s="146">
        <v>42851</v>
      </c>
      <c r="B77" s="35">
        <v>104.51</v>
      </c>
      <c r="C77" s="35">
        <v>105.15</v>
      </c>
      <c r="D77" s="35">
        <v>104.31</v>
      </c>
      <c r="E77" s="35">
        <v>104.86</v>
      </c>
      <c r="F77" s="35">
        <v>1431106</v>
      </c>
    </row>
    <row r="78" spans="1:6">
      <c r="A78" s="146">
        <v>42850</v>
      </c>
      <c r="B78" s="35">
        <v>104.14</v>
      </c>
      <c r="C78" s="35">
        <v>105.22</v>
      </c>
      <c r="D78" s="35">
        <v>104.09</v>
      </c>
      <c r="E78" s="35">
        <v>105.01</v>
      </c>
      <c r="F78" s="35">
        <v>1306521</v>
      </c>
    </row>
    <row r="79" spans="1:6">
      <c r="A79" s="146">
        <v>42849</v>
      </c>
      <c r="B79" s="35">
        <v>104</v>
      </c>
      <c r="C79" s="35">
        <v>104.19</v>
      </c>
      <c r="D79" s="35">
        <v>103.1</v>
      </c>
      <c r="E79" s="35">
        <v>104.14</v>
      </c>
      <c r="F79" s="35">
        <v>1887063</v>
      </c>
    </row>
    <row r="80" spans="1:6">
      <c r="A80" s="146">
        <v>42846</v>
      </c>
      <c r="B80" s="35">
        <v>103.04</v>
      </c>
      <c r="C80" s="35">
        <v>103.48</v>
      </c>
      <c r="D80" s="35">
        <v>102.49</v>
      </c>
      <c r="E80" s="35">
        <v>102.69</v>
      </c>
      <c r="F80" s="35">
        <v>1528866</v>
      </c>
    </row>
    <row r="81" spans="1:6">
      <c r="A81" s="146">
        <v>42845</v>
      </c>
      <c r="B81" s="35">
        <v>102.34</v>
      </c>
      <c r="C81" s="35">
        <v>103.32</v>
      </c>
      <c r="D81" s="35">
        <v>102.23</v>
      </c>
      <c r="E81" s="35">
        <v>103.04</v>
      </c>
      <c r="F81" s="35">
        <v>1218209</v>
      </c>
    </row>
    <row r="82" spans="1:6">
      <c r="A82" s="146">
        <v>42844</v>
      </c>
      <c r="B82" s="35">
        <v>102.1</v>
      </c>
      <c r="C82" s="35">
        <v>102.56</v>
      </c>
      <c r="D82" s="35">
        <v>101.78</v>
      </c>
      <c r="E82" s="35">
        <v>102.07</v>
      </c>
      <c r="F82" s="35">
        <v>1113025</v>
      </c>
    </row>
    <row r="83" spans="1:6">
      <c r="A83" s="146">
        <v>42843</v>
      </c>
      <c r="B83" s="35">
        <v>101.57</v>
      </c>
      <c r="C83" s="35">
        <v>102.47</v>
      </c>
      <c r="D83" s="35">
        <v>100.08</v>
      </c>
      <c r="E83" s="35">
        <v>101.93</v>
      </c>
      <c r="F83" s="35">
        <v>1570970</v>
      </c>
    </row>
    <row r="84" spans="1:6">
      <c r="A84" s="146">
        <v>42842</v>
      </c>
      <c r="B84" s="35">
        <v>101.95</v>
      </c>
      <c r="C84" s="35">
        <v>102</v>
      </c>
      <c r="D84" s="35">
        <v>101.36</v>
      </c>
      <c r="E84" s="35">
        <v>101.86</v>
      </c>
      <c r="F84" s="35">
        <v>1215383</v>
      </c>
    </row>
    <row r="85" spans="1:6">
      <c r="A85" s="146">
        <v>42838</v>
      </c>
      <c r="B85" s="35">
        <v>102.26</v>
      </c>
      <c r="C85" s="35">
        <v>102.26</v>
      </c>
      <c r="D85" s="35">
        <v>101.24</v>
      </c>
      <c r="E85" s="35">
        <v>101.26</v>
      </c>
      <c r="F85" s="35">
        <v>1218656</v>
      </c>
    </row>
    <row r="86" spans="1:6">
      <c r="A86" s="146">
        <v>42837</v>
      </c>
      <c r="B86" s="35">
        <v>101.73</v>
      </c>
      <c r="C86" s="35">
        <v>102.1</v>
      </c>
      <c r="D86" s="35">
        <v>101.49</v>
      </c>
      <c r="E86" s="35">
        <v>101.95</v>
      </c>
      <c r="F86" s="35">
        <v>1812265</v>
      </c>
    </row>
    <row r="87" spans="1:6">
      <c r="A87" s="146">
        <v>42836</v>
      </c>
      <c r="B87" s="35">
        <v>101.88</v>
      </c>
      <c r="C87" s="35">
        <v>102.43</v>
      </c>
      <c r="D87" s="35">
        <v>101.33</v>
      </c>
      <c r="E87" s="35">
        <v>102.09</v>
      </c>
      <c r="F87" s="35">
        <v>908733</v>
      </c>
    </row>
    <row r="88" spans="1:6">
      <c r="A88" s="146">
        <v>42835</v>
      </c>
      <c r="B88" s="35">
        <v>102.16</v>
      </c>
      <c r="C88" s="35">
        <v>102.68</v>
      </c>
      <c r="D88" s="35">
        <v>101.79</v>
      </c>
      <c r="E88" s="35">
        <v>102.14</v>
      </c>
      <c r="F88" s="35">
        <v>979983</v>
      </c>
    </row>
    <row r="89" spans="1:6">
      <c r="A89" s="146">
        <v>42832</v>
      </c>
      <c r="B89" s="35">
        <v>101.87</v>
      </c>
      <c r="C89" s="35">
        <v>102.42</v>
      </c>
      <c r="D89" s="35">
        <v>101.46</v>
      </c>
      <c r="E89" s="35">
        <v>102.19</v>
      </c>
      <c r="F89" s="35">
        <v>1601267</v>
      </c>
    </row>
    <row r="90" spans="1:6">
      <c r="A90" s="146">
        <v>42831</v>
      </c>
      <c r="B90" s="35">
        <v>101.89</v>
      </c>
      <c r="C90" s="35">
        <v>101.91</v>
      </c>
      <c r="D90" s="35">
        <v>101.45</v>
      </c>
      <c r="E90" s="35">
        <v>101.75</v>
      </c>
      <c r="F90" s="35">
        <v>1087075</v>
      </c>
    </row>
    <row r="91" spans="1:6">
      <c r="A91" s="146">
        <v>42830</v>
      </c>
      <c r="B91" s="35">
        <v>101.81</v>
      </c>
      <c r="C91" s="35">
        <v>103.01</v>
      </c>
      <c r="D91" s="35">
        <v>101.24</v>
      </c>
      <c r="E91" s="35">
        <v>101.93</v>
      </c>
      <c r="F91" s="35">
        <v>1693915</v>
      </c>
    </row>
    <row r="92" spans="1:6">
      <c r="A92" s="146">
        <v>42829</v>
      </c>
      <c r="B92" s="35">
        <v>101.33</v>
      </c>
      <c r="C92" s="35">
        <v>101.53</v>
      </c>
      <c r="D92" s="35">
        <v>100.86</v>
      </c>
      <c r="E92" s="35">
        <v>101.45</v>
      </c>
      <c r="F92" s="35">
        <v>1143284</v>
      </c>
    </row>
    <row r="93" spans="1:6">
      <c r="A93" s="146">
        <v>42828</v>
      </c>
      <c r="B93" s="35">
        <v>102.23</v>
      </c>
      <c r="C93" s="35">
        <v>102.57</v>
      </c>
      <c r="D93" s="35">
        <v>101.02</v>
      </c>
      <c r="E93" s="35">
        <v>101.27</v>
      </c>
      <c r="F93" s="35">
        <v>1637602</v>
      </c>
    </row>
    <row r="94" spans="1:6">
      <c r="A94" s="146">
        <v>42825</v>
      </c>
      <c r="B94" s="35">
        <v>102.14</v>
      </c>
      <c r="C94" s="35">
        <v>102.62</v>
      </c>
      <c r="D94" s="35">
        <v>101.98</v>
      </c>
      <c r="E94" s="35">
        <v>102.39</v>
      </c>
      <c r="F94" s="35">
        <v>1374619</v>
      </c>
    </row>
    <row r="95" spans="1:6">
      <c r="A95" s="146">
        <v>42824</v>
      </c>
      <c r="B95" s="35">
        <v>102.07</v>
      </c>
      <c r="C95" s="35">
        <v>102.44</v>
      </c>
      <c r="D95" s="35">
        <v>101.77</v>
      </c>
      <c r="E95" s="35">
        <v>102.17</v>
      </c>
      <c r="F95" s="35">
        <v>1225705</v>
      </c>
    </row>
    <row r="96" spans="1:6">
      <c r="A96" s="146">
        <v>42823</v>
      </c>
      <c r="B96" s="35">
        <v>102.91</v>
      </c>
      <c r="C96" s="35">
        <v>103.03</v>
      </c>
      <c r="D96" s="35">
        <v>101.88</v>
      </c>
      <c r="E96" s="35">
        <v>102.13</v>
      </c>
      <c r="F96" s="35">
        <v>2245094</v>
      </c>
    </row>
    <row r="97" spans="1:6">
      <c r="A97" s="146">
        <v>42822</v>
      </c>
      <c r="B97" s="35">
        <v>102.53</v>
      </c>
      <c r="C97" s="35">
        <v>103.62</v>
      </c>
      <c r="D97" s="35">
        <v>102.21</v>
      </c>
      <c r="E97" s="35">
        <v>103.28</v>
      </c>
      <c r="F97" s="35">
        <v>1485979</v>
      </c>
    </row>
    <row r="98" spans="1:6">
      <c r="A98" s="146">
        <v>42821</v>
      </c>
      <c r="B98" s="35">
        <v>102.73</v>
      </c>
      <c r="C98" s="35">
        <v>103.26</v>
      </c>
      <c r="D98" s="35">
        <v>102.37</v>
      </c>
      <c r="E98" s="35">
        <v>102.91</v>
      </c>
      <c r="F98" s="35">
        <v>1504466</v>
      </c>
    </row>
    <row r="99" spans="1:6">
      <c r="A99" s="146">
        <v>42818</v>
      </c>
      <c r="B99" s="35">
        <v>103.75</v>
      </c>
      <c r="C99" s="35">
        <v>104.17</v>
      </c>
      <c r="D99" s="35">
        <v>103.06</v>
      </c>
      <c r="E99" s="35">
        <v>103.38</v>
      </c>
      <c r="F99" s="35">
        <v>1359886</v>
      </c>
    </row>
    <row r="100" spans="1:6">
      <c r="A100" s="146">
        <v>42817</v>
      </c>
      <c r="B100" s="35">
        <v>103.49</v>
      </c>
      <c r="C100" s="35">
        <v>104.25</v>
      </c>
      <c r="D100" s="35">
        <v>103.1</v>
      </c>
      <c r="E100" s="35">
        <v>103.52</v>
      </c>
      <c r="F100" s="35">
        <v>1010177</v>
      </c>
    </row>
    <row r="101" spans="1:6">
      <c r="A101" s="146">
        <v>42816</v>
      </c>
      <c r="B101" s="35">
        <v>103.35</v>
      </c>
      <c r="C101" s="35">
        <v>103.74</v>
      </c>
      <c r="D101" s="35">
        <v>102.89</v>
      </c>
      <c r="E101" s="35">
        <v>103.68</v>
      </c>
      <c r="F101" s="35">
        <v>2011038</v>
      </c>
    </row>
    <row r="102" spans="1:6">
      <c r="A102" s="146">
        <v>42815</v>
      </c>
      <c r="B102" s="35">
        <v>104.9</v>
      </c>
      <c r="C102" s="35">
        <v>104.96</v>
      </c>
      <c r="D102" s="35">
        <v>102.99</v>
      </c>
      <c r="E102" s="35">
        <v>103.12</v>
      </c>
      <c r="F102" s="35">
        <v>1612663</v>
      </c>
    </row>
    <row r="103" spans="1:6">
      <c r="A103" s="146">
        <v>42814</v>
      </c>
      <c r="B103" s="35">
        <v>105.17</v>
      </c>
      <c r="C103" s="35">
        <v>105.18</v>
      </c>
      <c r="D103" s="35">
        <v>104.22</v>
      </c>
      <c r="E103" s="35">
        <v>104.45</v>
      </c>
      <c r="F103" s="35">
        <v>1323403</v>
      </c>
    </row>
    <row r="104" spans="1:6">
      <c r="A104" s="146">
        <v>42811</v>
      </c>
      <c r="B104" s="35">
        <v>104.31</v>
      </c>
      <c r="C104" s="35">
        <v>105.2</v>
      </c>
      <c r="D104" s="35">
        <v>104.03</v>
      </c>
      <c r="E104" s="35">
        <v>105.11</v>
      </c>
      <c r="F104" s="35">
        <v>2890349</v>
      </c>
    </row>
    <row r="105" spans="1:6">
      <c r="A105" s="146">
        <v>42810</v>
      </c>
      <c r="B105" s="35">
        <v>104.65</v>
      </c>
      <c r="C105" s="35">
        <v>104.89</v>
      </c>
      <c r="D105" s="35">
        <v>103.9</v>
      </c>
      <c r="E105" s="35">
        <v>104.25</v>
      </c>
      <c r="F105" s="35">
        <v>1231091</v>
      </c>
    </row>
    <row r="106" spans="1:6">
      <c r="A106" s="146">
        <v>42809</v>
      </c>
      <c r="B106" s="35">
        <v>104.27</v>
      </c>
      <c r="C106" s="35">
        <v>104.79</v>
      </c>
      <c r="D106" s="35">
        <v>103.66</v>
      </c>
      <c r="E106" s="35">
        <v>104.67</v>
      </c>
      <c r="F106" s="35">
        <v>1500187</v>
      </c>
    </row>
    <row r="107" spans="1:6">
      <c r="A107" s="146">
        <v>42808</v>
      </c>
      <c r="B107" s="35">
        <v>104.66</v>
      </c>
      <c r="C107" s="35">
        <v>104.76</v>
      </c>
      <c r="D107" s="35">
        <v>103.69</v>
      </c>
      <c r="E107" s="35">
        <v>103.97</v>
      </c>
      <c r="F107" s="35">
        <v>1848326</v>
      </c>
    </row>
    <row r="108" spans="1:6">
      <c r="A108" s="146">
        <v>42807</v>
      </c>
      <c r="B108" s="35">
        <v>104.49</v>
      </c>
      <c r="C108" s="35">
        <v>104.9</v>
      </c>
      <c r="D108" s="35">
        <v>104.14</v>
      </c>
      <c r="E108" s="35">
        <v>104.84</v>
      </c>
      <c r="F108" s="35">
        <v>1802650</v>
      </c>
    </row>
    <row r="109" spans="1:6">
      <c r="A109" s="146">
        <v>42804</v>
      </c>
      <c r="B109" s="35">
        <v>103.87</v>
      </c>
      <c r="C109" s="35">
        <v>104.63</v>
      </c>
      <c r="D109" s="35">
        <v>103.54</v>
      </c>
      <c r="E109" s="35">
        <v>104.55</v>
      </c>
      <c r="F109" s="35">
        <v>1556780</v>
      </c>
    </row>
    <row r="110" spans="1:6">
      <c r="A110" s="146">
        <v>42803</v>
      </c>
      <c r="B110" s="35">
        <v>103.57</v>
      </c>
      <c r="C110" s="35">
        <v>104.08</v>
      </c>
      <c r="D110" s="35">
        <v>102.92</v>
      </c>
      <c r="E110" s="35">
        <v>103.4</v>
      </c>
      <c r="F110" s="35">
        <v>1393832</v>
      </c>
    </row>
    <row r="111" spans="1:6">
      <c r="A111" s="146">
        <v>42802</v>
      </c>
      <c r="B111" s="35">
        <v>103.62</v>
      </c>
      <c r="C111" s="35">
        <v>104.13</v>
      </c>
      <c r="D111" s="35">
        <v>103.34</v>
      </c>
      <c r="E111" s="35">
        <v>103.71</v>
      </c>
      <c r="F111" s="35">
        <v>1577185</v>
      </c>
    </row>
    <row r="112" spans="1:6">
      <c r="A112" s="146">
        <v>42801</v>
      </c>
      <c r="B112" s="35">
        <v>104.54</v>
      </c>
      <c r="C112" s="35">
        <v>104.85</v>
      </c>
      <c r="D112" s="35">
        <v>103.9</v>
      </c>
      <c r="E112" s="35">
        <v>104.27</v>
      </c>
      <c r="F112" s="35">
        <v>1881528</v>
      </c>
    </row>
    <row r="113" spans="1:6">
      <c r="A113" s="146">
        <v>42800</v>
      </c>
      <c r="B113" s="35">
        <v>103.88</v>
      </c>
      <c r="C113" s="35">
        <v>105</v>
      </c>
      <c r="D113" s="35">
        <v>103.88</v>
      </c>
      <c r="E113" s="35">
        <v>104.95</v>
      </c>
      <c r="F113" s="35">
        <v>1678307</v>
      </c>
    </row>
    <row r="114" spans="1:6">
      <c r="A114" s="146">
        <v>42797</v>
      </c>
      <c r="B114" s="35">
        <v>103.95</v>
      </c>
      <c r="C114" s="35">
        <v>104.61</v>
      </c>
      <c r="D114" s="35">
        <v>103.63</v>
      </c>
      <c r="E114" s="35">
        <v>104.5</v>
      </c>
      <c r="F114" s="35">
        <v>1216370</v>
      </c>
    </row>
    <row r="115" spans="1:6">
      <c r="A115" s="146">
        <v>42796</v>
      </c>
      <c r="B115" s="35">
        <v>104.14</v>
      </c>
      <c r="C115" s="35">
        <v>104.37</v>
      </c>
      <c r="D115" s="35">
        <v>103.86</v>
      </c>
      <c r="E115" s="35">
        <v>104.07</v>
      </c>
      <c r="F115" s="35">
        <v>1697190</v>
      </c>
    </row>
    <row r="116" spans="1:6">
      <c r="A116" s="146">
        <v>42795</v>
      </c>
      <c r="B116" s="35">
        <v>103.66</v>
      </c>
      <c r="C116" s="35">
        <v>104.71</v>
      </c>
      <c r="D116" s="35">
        <v>103.23</v>
      </c>
      <c r="E116" s="35">
        <v>104.53</v>
      </c>
      <c r="F116" s="35">
        <v>1828233</v>
      </c>
    </row>
    <row r="117" spans="1:6">
      <c r="A117" s="146">
        <v>42794</v>
      </c>
      <c r="B117" s="35">
        <v>102.68</v>
      </c>
      <c r="C117" s="35">
        <v>102.81</v>
      </c>
      <c r="D117" s="35">
        <v>102.24</v>
      </c>
      <c r="E117" s="35">
        <v>102.62</v>
      </c>
      <c r="F117" s="35">
        <v>2060663</v>
      </c>
    </row>
    <row r="118" spans="1:6">
      <c r="A118" s="146">
        <v>42793</v>
      </c>
      <c r="B118" s="35">
        <v>102.93</v>
      </c>
      <c r="C118" s="35">
        <v>103.14</v>
      </c>
      <c r="D118" s="35">
        <v>102.47</v>
      </c>
      <c r="E118" s="35">
        <v>102.7</v>
      </c>
      <c r="F118" s="35">
        <v>1188346</v>
      </c>
    </row>
    <row r="119" spans="1:6">
      <c r="A119" s="146">
        <v>42790</v>
      </c>
      <c r="B119" s="35">
        <v>101.63</v>
      </c>
      <c r="C119" s="35">
        <v>103.01</v>
      </c>
      <c r="D119" s="35">
        <v>101.3</v>
      </c>
      <c r="E119" s="35">
        <v>103</v>
      </c>
      <c r="F119" s="35">
        <v>1774494</v>
      </c>
    </row>
    <row r="120" spans="1:6">
      <c r="A120" s="146">
        <v>42789</v>
      </c>
      <c r="B120" s="35">
        <v>100.79</v>
      </c>
      <c r="C120" s="35">
        <v>101.78</v>
      </c>
      <c r="D120" s="35">
        <v>100.49</v>
      </c>
      <c r="E120" s="35">
        <v>101.64</v>
      </c>
      <c r="F120" s="35">
        <v>1459263</v>
      </c>
    </row>
    <row r="121" spans="1:6">
      <c r="A121" s="146">
        <v>42788</v>
      </c>
      <c r="B121" s="35">
        <v>99.09</v>
      </c>
      <c r="C121" s="35">
        <v>100.68</v>
      </c>
      <c r="D121" s="35">
        <v>99.09</v>
      </c>
      <c r="E121" s="35">
        <v>100.42</v>
      </c>
      <c r="F121" s="35">
        <v>1677855</v>
      </c>
    </row>
    <row r="122" spans="1:6">
      <c r="A122" s="146">
        <v>42787</v>
      </c>
      <c r="B122" s="35">
        <v>99.39</v>
      </c>
      <c r="C122" s="35">
        <v>99.59</v>
      </c>
      <c r="D122" s="35">
        <v>98.75</v>
      </c>
      <c r="E122" s="35">
        <v>99.22</v>
      </c>
      <c r="F122" s="35">
        <v>2099415</v>
      </c>
    </row>
    <row r="123" spans="1:6">
      <c r="A123" s="146">
        <v>42783</v>
      </c>
      <c r="B123" s="35">
        <v>99.6</v>
      </c>
      <c r="C123" s="35">
        <v>99.7</v>
      </c>
      <c r="D123" s="35">
        <v>98.82</v>
      </c>
      <c r="E123" s="35">
        <v>99.68</v>
      </c>
      <c r="F123" s="35">
        <v>1577550</v>
      </c>
    </row>
    <row r="124" spans="1:6">
      <c r="A124" s="146">
        <v>42782</v>
      </c>
      <c r="B124" s="35">
        <v>99.59</v>
      </c>
      <c r="C124" s="35">
        <v>99.88</v>
      </c>
      <c r="D124" s="35">
        <v>99.19</v>
      </c>
      <c r="E124" s="35">
        <v>99.88</v>
      </c>
      <c r="F124" s="35">
        <v>1314754</v>
      </c>
    </row>
    <row r="125" spans="1:6">
      <c r="A125" s="146">
        <v>42781</v>
      </c>
      <c r="B125" s="35">
        <v>98.89</v>
      </c>
      <c r="C125" s="35">
        <v>99.66</v>
      </c>
      <c r="D125" s="35">
        <v>98.54</v>
      </c>
      <c r="E125" s="35">
        <v>99.65</v>
      </c>
      <c r="F125" s="35">
        <v>1579762</v>
      </c>
    </row>
    <row r="126" spans="1:6">
      <c r="A126" s="146">
        <v>42780</v>
      </c>
      <c r="B126" s="35">
        <v>98.42</v>
      </c>
      <c r="C126" s="35">
        <v>99.6</v>
      </c>
      <c r="D126" s="35">
        <v>98.32</v>
      </c>
      <c r="E126" s="35">
        <v>99.44</v>
      </c>
      <c r="F126" s="35">
        <v>1615005</v>
      </c>
    </row>
    <row r="127" spans="1:6">
      <c r="A127" s="146">
        <v>42779</v>
      </c>
      <c r="B127" s="35">
        <v>98.06</v>
      </c>
      <c r="C127" s="35">
        <v>98.6</v>
      </c>
      <c r="D127" s="35">
        <v>98.06</v>
      </c>
      <c r="E127" s="35">
        <v>98.58</v>
      </c>
      <c r="F127" s="35">
        <v>1500759</v>
      </c>
    </row>
    <row r="128" spans="1:6">
      <c r="A128" s="146">
        <v>42776</v>
      </c>
      <c r="B128" s="35">
        <v>97.7</v>
      </c>
      <c r="C128" s="35">
        <v>98.3</v>
      </c>
      <c r="D128" s="35">
        <v>97.46</v>
      </c>
      <c r="E128" s="35">
        <v>97.82</v>
      </c>
      <c r="F128" s="35">
        <v>1214696</v>
      </c>
    </row>
    <row r="129" spans="1:6">
      <c r="A129" s="146">
        <v>42775</v>
      </c>
      <c r="B129" s="35">
        <v>96.77</v>
      </c>
      <c r="C129" s="35">
        <v>97.99</v>
      </c>
      <c r="D129" s="35">
        <v>96.31</v>
      </c>
      <c r="E129" s="35">
        <v>97.65</v>
      </c>
      <c r="F129" s="35">
        <v>3380808</v>
      </c>
    </row>
    <row r="130" spans="1:6">
      <c r="A130" s="146">
        <v>42774</v>
      </c>
      <c r="B130" s="35">
        <v>96.19</v>
      </c>
      <c r="C130" s="35">
        <v>97.06</v>
      </c>
      <c r="D130" s="35">
        <v>96.05</v>
      </c>
      <c r="E130" s="35">
        <v>96.58</v>
      </c>
      <c r="F130" s="35">
        <v>1297972</v>
      </c>
    </row>
    <row r="131" spans="1:6">
      <c r="A131" s="146">
        <v>42773</v>
      </c>
      <c r="B131" s="35">
        <v>96.5</v>
      </c>
      <c r="C131" s="35">
        <v>96.86</v>
      </c>
      <c r="D131" s="35">
        <v>95.91</v>
      </c>
      <c r="E131" s="35">
        <v>96.29</v>
      </c>
      <c r="F131" s="35">
        <v>1521355</v>
      </c>
    </row>
    <row r="132" spans="1:6">
      <c r="A132" s="146">
        <v>42772</v>
      </c>
      <c r="B132" s="35">
        <v>96.68</v>
      </c>
      <c r="C132" s="35">
        <v>97.07</v>
      </c>
      <c r="D132" s="35">
        <v>96.07</v>
      </c>
      <c r="E132" s="35">
        <v>96.47</v>
      </c>
      <c r="F132" s="35">
        <v>1770640</v>
      </c>
    </row>
    <row r="133" spans="1:6">
      <c r="A133" s="146">
        <v>42769</v>
      </c>
      <c r="B133" s="35">
        <v>97.21</v>
      </c>
      <c r="C133" s="35">
        <v>97.4</v>
      </c>
      <c r="D133" s="35">
        <v>96.51</v>
      </c>
      <c r="E133" s="35">
        <v>96.87</v>
      </c>
      <c r="F133" s="35">
        <v>2936592</v>
      </c>
    </row>
    <row r="134" spans="1:6">
      <c r="A134" s="146">
        <v>42768</v>
      </c>
      <c r="B134" s="35">
        <v>95.23</v>
      </c>
      <c r="C134" s="35">
        <v>97.19</v>
      </c>
      <c r="D134" s="35">
        <v>95.03</v>
      </c>
      <c r="E134" s="35">
        <v>96.32</v>
      </c>
      <c r="F134" s="35">
        <v>3975500</v>
      </c>
    </row>
    <row r="135" spans="1:6">
      <c r="A135" s="146">
        <v>42767</v>
      </c>
      <c r="B135" s="35">
        <v>96.03</v>
      </c>
      <c r="C135" s="35">
        <v>97.32</v>
      </c>
      <c r="D135" s="35">
        <v>94.11</v>
      </c>
      <c r="E135" s="35">
        <v>95.25</v>
      </c>
      <c r="F135" s="35">
        <v>8013843</v>
      </c>
    </row>
    <row r="136" spans="1:6">
      <c r="A136" s="146">
        <v>42766</v>
      </c>
      <c r="B136" s="35">
        <v>101.79</v>
      </c>
      <c r="C136" s="35">
        <v>102.13</v>
      </c>
      <c r="D136" s="35">
        <v>100.77</v>
      </c>
      <c r="E136" s="35">
        <v>100.99</v>
      </c>
      <c r="F136" s="35">
        <v>2610235</v>
      </c>
    </row>
    <row r="137" spans="1:6">
      <c r="A137" s="146">
        <v>42765</v>
      </c>
      <c r="B137" s="35">
        <v>101.56</v>
      </c>
      <c r="C137" s="35">
        <v>102.01</v>
      </c>
      <c r="D137" s="35">
        <v>100.9</v>
      </c>
      <c r="E137" s="35">
        <v>101.97</v>
      </c>
      <c r="F137" s="35">
        <v>1648288</v>
      </c>
    </row>
    <row r="138" spans="1:6">
      <c r="A138" s="146">
        <v>42762</v>
      </c>
      <c r="B138" s="35">
        <v>101.44</v>
      </c>
      <c r="C138" s="35">
        <v>102.15</v>
      </c>
      <c r="D138" s="35">
        <v>101.18</v>
      </c>
      <c r="E138" s="35">
        <v>101.71</v>
      </c>
      <c r="F138" s="35">
        <v>1804455</v>
      </c>
    </row>
    <row r="139" spans="1:6">
      <c r="A139" s="146">
        <v>42761</v>
      </c>
      <c r="B139" s="35">
        <v>102.41</v>
      </c>
      <c r="C139" s="35">
        <v>102.66</v>
      </c>
      <c r="D139" s="35">
        <v>102</v>
      </c>
      <c r="E139" s="35">
        <v>102.04</v>
      </c>
      <c r="F139" s="35">
        <v>2119697</v>
      </c>
    </row>
    <row r="140" spans="1:6">
      <c r="A140" s="146">
        <v>42760</v>
      </c>
      <c r="B140" s="35">
        <v>103.46</v>
      </c>
      <c r="C140" s="35">
        <v>103.65</v>
      </c>
      <c r="D140" s="35">
        <v>102.38</v>
      </c>
      <c r="E140" s="35">
        <v>102.7</v>
      </c>
      <c r="F140" s="35">
        <v>1979432</v>
      </c>
    </row>
    <row r="141" spans="1:6">
      <c r="A141" s="146">
        <v>42759</v>
      </c>
      <c r="B141" s="35">
        <v>102.25</v>
      </c>
      <c r="C141" s="35">
        <v>103.35</v>
      </c>
      <c r="D141" s="35">
        <v>102.14</v>
      </c>
      <c r="E141" s="35">
        <v>103.24</v>
      </c>
      <c r="F141" s="35">
        <v>1687913</v>
      </c>
    </row>
    <row r="142" spans="1:6">
      <c r="A142" s="146">
        <v>42758</v>
      </c>
      <c r="B142" s="35">
        <v>102.81</v>
      </c>
      <c r="C142" s="35">
        <v>103.1</v>
      </c>
      <c r="D142" s="35">
        <v>101.86</v>
      </c>
      <c r="E142" s="35">
        <v>102.2</v>
      </c>
      <c r="F142" s="35">
        <v>1486737</v>
      </c>
    </row>
    <row r="143" spans="1:6">
      <c r="A143" s="146">
        <v>42755</v>
      </c>
      <c r="B143" s="35">
        <v>103</v>
      </c>
      <c r="C143" s="35">
        <v>103.74</v>
      </c>
      <c r="D143" s="35">
        <v>102.8</v>
      </c>
      <c r="E143" s="35">
        <v>103.24</v>
      </c>
      <c r="F143" s="35">
        <v>1653207</v>
      </c>
    </row>
    <row r="144" spans="1:6">
      <c r="A144" s="146">
        <v>42754</v>
      </c>
      <c r="B144" s="35">
        <v>102.79</v>
      </c>
      <c r="C144" s="35">
        <v>103.26</v>
      </c>
      <c r="D144" s="35">
        <v>102.7</v>
      </c>
      <c r="E144" s="35">
        <v>102.97</v>
      </c>
      <c r="F144" s="35">
        <v>1530993</v>
      </c>
    </row>
    <row r="145" spans="1:6">
      <c r="A145" s="146">
        <v>42753</v>
      </c>
      <c r="B145" s="35">
        <v>103.49</v>
      </c>
      <c r="C145" s="35">
        <v>103.49</v>
      </c>
      <c r="D145" s="35">
        <v>102.73</v>
      </c>
      <c r="E145" s="35">
        <v>102.91</v>
      </c>
      <c r="F145" s="35">
        <v>1485900</v>
      </c>
    </row>
    <row r="146" spans="1:6">
      <c r="A146" s="146">
        <v>42752</v>
      </c>
      <c r="B146" s="35">
        <v>103.32</v>
      </c>
      <c r="C146" s="35">
        <v>103.54</v>
      </c>
      <c r="D146" s="35">
        <v>102.89</v>
      </c>
      <c r="E146" s="35">
        <v>103.07</v>
      </c>
      <c r="F146" s="35">
        <v>1276993</v>
      </c>
    </row>
    <row r="147" spans="1:6">
      <c r="A147" s="146">
        <v>42748</v>
      </c>
      <c r="B147" s="35">
        <v>103.77</v>
      </c>
      <c r="C147" s="35">
        <v>104.09</v>
      </c>
      <c r="D147" s="35">
        <v>103.17</v>
      </c>
      <c r="E147" s="35">
        <v>103.77</v>
      </c>
      <c r="F147" s="35">
        <v>1628270</v>
      </c>
    </row>
    <row r="148" spans="1:6">
      <c r="A148" s="146">
        <v>42747</v>
      </c>
      <c r="B148" s="35">
        <v>102.98</v>
      </c>
      <c r="C148" s="35">
        <v>103.92</v>
      </c>
      <c r="D148" s="35">
        <v>102.24</v>
      </c>
      <c r="E148" s="35">
        <v>103.8</v>
      </c>
      <c r="F148" s="35">
        <v>1546666</v>
      </c>
    </row>
    <row r="149" spans="1:6">
      <c r="A149" s="146">
        <v>42746</v>
      </c>
      <c r="B149" s="35">
        <v>102.27</v>
      </c>
      <c r="C149" s="35">
        <v>103.58</v>
      </c>
      <c r="D149" s="35">
        <v>102.27</v>
      </c>
      <c r="E149" s="35">
        <v>103.2</v>
      </c>
      <c r="F149" s="35">
        <v>1783842</v>
      </c>
    </row>
    <row r="150" spans="1:6">
      <c r="A150" s="146">
        <v>42745</v>
      </c>
      <c r="B150" s="35">
        <v>102.25</v>
      </c>
      <c r="C150" s="35">
        <v>103.04</v>
      </c>
      <c r="D150" s="35">
        <v>102.04</v>
      </c>
      <c r="E150" s="35">
        <v>102.2</v>
      </c>
      <c r="F150" s="35">
        <v>1639355</v>
      </c>
    </row>
    <row r="151" spans="1:6">
      <c r="A151" s="146">
        <v>42744</v>
      </c>
      <c r="B151" s="35">
        <v>102.95</v>
      </c>
      <c r="C151" s="35">
        <v>103.24</v>
      </c>
      <c r="D151" s="35">
        <v>102.47</v>
      </c>
      <c r="E151" s="35">
        <v>102.47</v>
      </c>
      <c r="F151" s="35">
        <v>1379273</v>
      </c>
    </row>
    <row r="152" spans="1:6">
      <c r="A152" s="146">
        <v>42741</v>
      </c>
      <c r="B152" s="35">
        <v>103.23</v>
      </c>
      <c r="C152" s="35">
        <v>103.27</v>
      </c>
      <c r="D152" s="35">
        <v>102.27</v>
      </c>
      <c r="E152" s="35">
        <v>103.11</v>
      </c>
      <c r="F152" s="35">
        <v>2016595</v>
      </c>
    </row>
    <row r="153" spans="1:6">
      <c r="A153" s="146">
        <v>42740</v>
      </c>
      <c r="B153" s="35">
        <v>103.46</v>
      </c>
      <c r="C153" s="35">
        <v>103.89</v>
      </c>
      <c r="D153" s="35">
        <v>102.4</v>
      </c>
      <c r="E153" s="35">
        <v>103.04</v>
      </c>
      <c r="F153" s="35">
        <v>2215362</v>
      </c>
    </row>
    <row r="154" spans="1:6">
      <c r="A154" s="146">
        <v>42739</v>
      </c>
      <c r="B154" s="35">
        <v>103.41</v>
      </c>
      <c r="C154" s="35">
        <v>103.98</v>
      </c>
      <c r="D154" s="35">
        <v>103.25</v>
      </c>
      <c r="E154" s="35">
        <v>103.66</v>
      </c>
      <c r="F154" s="35">
        <v>2498459</v>
      </c>
    </row>
    <row r="155" spans="1:6">
      <c r="A155" s="146">
        <v>42738</v>
      </c>
      <c r="B155" s="35">
        <v>102.38</v>
      </c>
      <c r="C155" s="35">
        <v>103.58</v>
      </c>
      <c r="D155" s="35">
        <v>102.31</v>
      </c>
      <c r="E155" s="35">
        <v>103.5</v>
      </c>
      <c r="F155" s="35">
        <v>2227449</v>
      </c>
    </row>
    <row r="156" spans="1:6">
      <c r="A156" s="146">
        <v>42734</v>
      </c>
      <c r="B156" s="35">
        <v>103.38</v>
      </c>
      <c r="C156" s="35">
        <v>103.44</v>
      </c>
      <c r="D156" s="35">
        <v>102</v>
      </c>
      <c r="E156" s="35">
        <v>102.78</v>
      </c>
      <c r="F156" s="35">
        <v>2008839</v>
      </c>
    </row>
    <row r="157" spans="1:6">
      <c r="A157" s="146">
        <v>42733</v>
      </c>
      <c r="B157" s="35">
        <v>103.27</v>
      </c>
      <c r="C157" s="35">
        <v>103.85</v>
      </c>
      <c r="D157" s="35">
        <v>103</v>
      </c>
      <c r="E157" s="35">
        <v>103.45</v>
      </c>
      <c r="F157" s="35">
        <v>1264492</v>
      </c>
    </row>
    <row r="158" spans="1:6">
      <c r="A158" s="146">
        <v>42732</v>
      </c>
      <c r="B158" s="35">
        <v>103.53</v>
      </c>
      <c r="C158" s="35">
        <v>103.88</v>
      </c>
      <c r="D158" s="35">
        <v>103.02</v>
      </c>
      <c r="E158" s="35">
        <v>103.05</v>
      </c>
      <c r="F158" s="35">
        <v>1559082</v>
      </c>
    </row>
    <row r="159" spans="1:6">
      <c r="A159" s="146">
        <v>42731</v>
      </c>
      <c r="B159" s="35">
        <v>102.86</v>
      </c>
      <c r="C159" s="35">
        <v>103.78</v>
      </c>
      <c r="D159" s="35">
        <v>102.78</v>
      </c>
      <c r="E159" s="35">
        <v>103.31</v>
      </c>
      <c r="F159" s="35">
        <v>929959</v>
      </c>
    </row>
    <row r="160" spans="1:6">
      <c r="A160" s="146">
        <v>42727</v>
      </c>
      <c r="B160" s="35">
        <v>102.52</v>
      </c>
      <c r="C160" s="35">
        <v>102.96</v>
      </c>
      <c r="D160" s="35">
        <v>102.51</v>
      </c>
      <c r="E160" s="35">
        <v>102.93</v>
      </c>
      <c r="F160" s="35">
        <v>777989</v>
      </c>
    </row>
    <row r="161" spans="1:6">
      <c r="A161" s="146">
        <v>42726</v>
      </c>
      <c r="B161" s="35">
        <v>102.64</v>
      </c>
      <c r="C161" s="35">
        <v>102.81</v>
      </c>
      <c r="D161" s="35">
        <v>101.89</v>
      </c>
      <c r="E161" s="35">
        <v>102.6</v>
      </c>
      <c r="F161" s="35">
        <v>1568211</v>
      </c>
    </row>
    <row r="162" spans="1:6">
      <c r="A162" s="146">
        <v>42725</v>
      </c>
      <c r="B162" s="35">
        <v>102.26</v>
      </c>
      <c r="C162" s="35">
        <v>102.82</v>
      </c>
      <c r="D162" s="35">
        <v>101.69</v>
      </c>
      <c r="E162" s="35">
        <v>102.47</v>
      </c>
      <c r="F162" s="35">
        <v>2042866</v>
      </c>
    </row>
    <row r="163" spans="1:6">
      <c r="A163" s="146">
        <v>42724</v>
      </c>
      <c r="B163" s="35">
        <v>101.74</v>
      </c>
      <c r="C163" s="35">
        <v>102.66</v>
      </c>
      <c r="D163" s="35">
        <v>101.4</v>
      </c>
      <c r="E163" s="35">
        <v>102.33</v>
      </c>
      <c r="F163" s="35">
        <v>2396875</v>
      </c>
    </row>
    <row r="164" spans="1:6">
      <c r="A164" s="146">
        <v>42723</v>
      </c>
      <c r="B164" s="35">
        <v>100.72</v>
      </c>
      <c r="C164" s="35">
        <v>101.6</v>
      </c>
      <c r="D164" s="35">
        <v>100.58</v>
      </c>
      <c r="E164" s="35">
        <v>101.09</v>
      </c>
      <c r="F164" s="35">
        <v>1993229</v>
      </c>
    </row>
    <row r="165" spans="1:6">
      <c r="A165" s="146">
        <v>42720</v>
      </c>
      <c r="B165" s="35">
        <v>100.32</v>
      </c>
      <c r="C165" s="35">
        <v>101.58</v>
      </c>
      <c r="D165" s="35">
        <v>99.34</v>
      </c>
      <c r="E165" s="35">
        <v>100.85</v>
      </c>
      <c r="F165" s="35">
        <v>5682594</v>
      </c>
    </row>
    <row r="166" spans="1:6">
      <c r="A166" s="146">
        <v>42719</v>
      </c>
      <c r="B166" s="35">
        <v>97.82</v>
      </c>
      <c r="C166" s="35">
        <v>99.13</v>
      </c>
      <c r="D166" s="35">
        <v>97.51</v>
      </c>
      <c r="E166" s="35">
        <v>98.76</v>
      </c>
      <c r="F166" s="35">
        <v>1717955</v>
      </c>
    </row>
    <row r="167" spans="1:6">
      <c r="A167" s="146">
        <v>42718</v>
      </c>
      <c r="B167" s="35">
        <v>98.4</v>
      </c>
      <c r="C167" s="35">
        <v>98.85</v>
      </c>
      <c r="D167" s="35">
        <v>97.52</v>
      </c>
      <c r="E167" s="35">
        <v>97.69</v>
      </c>
      <c r="F167" s="35">
        <v>1896926</v>
      </c>
    </row>
    <row r="168" spans="1:6">
      <c r="A168" s="146">
        <v>42717</v>
      </c>
      <c r="B168" s="35">
        <v>98.64</v>
      </c>
      <c r="C168" s="35">
        <v>99.25</v>
      </c>
      <c r="D168" s="35">
        <v>98.04</v>
      </c>
      <c r="E168" s="35">
        <v>98.4</v>
      </c>
      <c r="F168" s="35">
        <v>2093816</v>
      </c>
    </row>
    <row r="169" spans="1:6">
      <c r="A169" s="146">
        <v>42716</v>
      </c>
      <c r="B169" s="35">
        <v>98.13</v>
      </c>
      <c r="C169" s="35">
        <v>98.55</v>
      </c>
      <c r="D169" s="35">
        <v>97.84</v>
      </c>
      <c r="E169" s="35">
        <v>98.06</v>
      </c>
      <c r="F169" s="35">
        <v>1769933</v>
      </c>
    </row>
    <row r="170" spans="1:6">
      <c r="A170" s="146">
        <v>42713</v>
      </c>
      <c r="B170" s="35">
        <v>98.07</v>
      </c>
      <c r="C170" s="35">
        <v>98.3</v>
      </c>
      <c r="D170" s="35">
        <v>97.57</v>
      </c>
      <c r="E170" s="35">
        <v>98.22</v>
      </c>
      <c r="F170" s="35">
        <v>3350650</v>
      </c>
    </row>
    <row r="171" spans="1:6">
      <c r="A171" s="146">
        <v>42712</v>
      </c>
      <c r="B171" s="35">
        <v>97.53</v>
      </c>
      <c r="C171" s="35">
        <v>98.36</v>
      </c>
      <c r="D171" s="35">
        <v>97.36</v>
      </c>
      <c r="E171" s="35">
        <v>98.19</v>
      </c>
      <c r="F171" s="35">
        <v>2075682</v>
      </c>
    </row>
    <row r="172" spans="1:6">
      <c r="A172" s="146">
        <v>42711</v>
      </c>
      <c r="B172" s="35">
        <v>95.33</v>
      </c>
      <c r="C172" s="35">
        <v>97.72</v>
      </c>
      <c r="D172" s="35">
        <v>95.33</v>
      </c>
      <c r="E172" s="35">
        <v>97.57</v>
      </c>
      <c r="F172" s="35">
        <v>2245264</v>
      </c>
    </row>
    <row r="173" spans="1:6">
      <c r="A173" s="146">
        <v>42710</v>
      </c>
      <c r="B173" s="35">
        <v>96.15</v>
      </c>
      <c r="C173" s="35">
        <v>96.45</v>
      </c>
      <c r="D173" s="35">
        <v>95.15</v>
      </c>
      <c r="E173" s="35">
        <v>96</v>
      </c>
      <c r="F173" s="35">
        <v>1817753</v>
      </c>
    </row>
    <row r="174" spans="1:6">
      <c r="A174" s="146">
        <v>42709</v>
      </c>
      <c r="B174" s="35">
        <v>95.86</v>
      </c>
      <c r="C174" s="35">
        <v>96.22</v>
      </c>
      <c r="D174" s="35">
        <v>95.45</v>
      </c>
      <c r="E174" s="35">
        <v>96.05</v>
      </c>
      <c r="F174" s="35">
        <v>2485664</v>
      </c>
    </row>
    <row r="175" spans="1:6">
      <c r="A175" s="146">
        <v>42706</v>
      </c>
      <c r="B175" s="35">
        <v>95.46</v>
      </c>
      <c r="C175" s="35">
        <v>96.1</v>
      </c>
      <c r="D175" s="35">
        <v>94.99</v>
      </c>
      <c r="E175" s="35">
        <v>95.24</v>
      </c>
      <c r="F175" s="35">
        <v>1711203</v>
      </c>
    </row>
    <row r="176" spans="1:6">
      <c r="A176" s="146">
        <v>42705</v>
      </c>
      <c r="B176" s="35">
        <v>95.99</v>
      </c>
      <c r="C176" s="35">
        <v>96.2</v>
      </c>
      <c r="D176" s="35">
        <v>95.2</v>
      </c>
      <c r="E176" s="35">
        <v>95.77</v>
      </c>
      <c r="F176" s="35">
        <v>2056944</v>
      </c>
    </row>
    <row r="177" spans="1:6">
      <c r="A177" s="146">
        <v>42704</v>
      </c>
      <c r="B177" s="35">
        <v>97.14</v>
      </c>
      <c r="C177" s="35">
        <v>97.54</v>
      </c>
      <c r="D177" s="35">
        <v>96.01</v>
      </c>
      <c r="E177" s="35">
        <v>96.02</v>
      </c>
      <c r="F177" s="35">
        <v>2812477</v>
      </c>
    </row>
    <row r="178" spans="1:6">
      <c r="A178" s="146">
        <v>42703</v>
      </c>
      <c r="B178" s="35">
        <v>96.71</v>
      </c>
      <c r="C178" s="35">
        <v>97.37</v>
      </c>
      <c r="D178" s="35">
        <v>96.43</v>
      </c>
      <c r="E178" s="35">
        <v>97.04</v>
      </c>
      <c r="F178" s="35">
        <v>1590936</v>
      </c>
    </row>
    <row r="179" spans="1:6">
      <c r="A179" s="146">
        <v>42702</v>
      </c>
      <c r="B179" s="35">
        <v>96.63</v>
      </c>
      <c r="C179" s="35">
        <v>96.94</v>
      </c>
      <c r="D179" s="35">
        <v>96</v>
      </c>
      <c r="E179" s="35">
        <v>96.57</v>
      </c>
      <c r="F179" s="35">
        <v>1968349</v>
      </c>
    </row>
    <row r="180" spans="1:6">
      <c r="A180" s="146">
        <v>42699</v>
      </c>
      <c r="B180" s="35">
        <v>96.68</v>
      </c>
      <c r="C180" s="35">
        <v>97.15</v>
      </c>
      <c r="D180" s="35">
        <v>96.5</v>
      </c>
      <c r="E180" s="35">
        <v>96.92</v>
      </c>
      <c r="F180" s="35">
        <v>724798</v>
      </c>
    </row>
    <row r="181" spans="1:6">
      <c r="A181" s="146">
        <v>42697</v>
      </c>
      <c r="B181" s="35">
        <v>96.59</v>
      </c>
      <c r="C181" s="35">
        <v>97.43</v>
      </c>
      <c r="D181" s="35">
        <v>96.47</v>
      </c>
      <c r="E181" s="35">
        <v>96.65</v>
      </c>
      <c r="F181" s="35">
        <v>2968015</v>
      </c>
    </row>
    <row r="182" spans="1:6">
      <c r="A182" s="146">
        <v>42696</v>
      </c>
      <c r="B182" s="35">
        <v>95.65</v>
      </c>
      <c r="C182" s="35">
        <v>96.59</v>
      </c>
      <c r="D182" s="35">
        <v>95.34</v>
      </c>
      <c r="E182" s="35">
        <v>96.39</v>
      </c>
      <c r="F182" s="35">
        <v>2433464</v>
      </c>
    </row>
    <row r="183" spans="1:6">
      <c r="A183" s="146">
        <v>42695</v>
      </c>
      <c r="B183" s="35">
        <v>94.47</v>
      </c>
      <c r="C183" s="35">
        <v>95.62</v>
      </c>
      <c r="D183" s="35">
        <v>94.38</v>
      </c>
      <c r="E183" s="35">
        <v>95.59</v>
      </c>
      <c r="F183" s="35">
        <v>2251978</v>
      </c>
    </row>
    <row r="184" spans="1:6">
      <c r="A184" s="146">
        <v>42692</v>
      </c>
      <c r="B184" s="35">
        <v>94.31</v>
      </c>
      <c r="C184" s="35">
        <v>94.6</v>
      </c>
      <c r="D184" s="35">
        <v>93.95</v>
      </c>
      <c r="E184" s="35">
        <v>94.39</v>
      </c>
      <c r="F184" s="35">
        <v>1636557</v>
      </c>
    </row>
    <row r="185" spans="1:6">
      <c r="A185" s="146">
        <v>42691</v>
      </c>
      <c r="B185" s="35">
        <v>93.15</v>
      </c>
      <c r="C185" s="35">
        <v>94.43</v>
      </c>
      <c r="D185" s="35">
        <v>93.09</v>
      </c>
      <c r="E185" s="35">
        <v>94.38</v>
      </c>
      <c r="F185" s="35">
        <v>2030773</v>
      </c>
    </row>
    <row r="186" spans="1:6">
      <c r="A186" s="146">
        <v>42690</v>
      </c>
      <c r="B186" s="35">
        <v>92.34</v>
      </c>
      <c r="C186" s="35">
        <v>93.35</v>
      </c>
      <c r="D186" s="35">
        <v>91.6</v>
      </c>
      <c r="E186" s="35">
        <v>93.27</v>
      </c>
      <c r="F186" s="35">
        <v>1962015</v>
      </c>
    </row>
    <row r="187" spans="1:6">
      <c r="A187" s="146">
        <v>42689</v>
      </c>
      <c r="B187" s="35">
        <v>92.13</v>
      </c>
      <c r="C187" s="35">
        <v>92.62</v>
      </c>
      <c r="D187" s="35">
        <v>91.88</v>
      </c>
      <c r="E187" s="35">
        <v>92.34</v>
      </c>
      <c r="F187" s="35">
        <v>2034154</v>
      </c>
    </row>
    <row r="188" spans="1:6">
      <c r="A188" s="146">
        <v>42688</v>
      </c>
      <c r="B188" s="35">
        <v>91.4</v>
      </c>
      <c r="C188" s="35">
        <v>92.36</v>
      </c>
      <c r="D188" s="35">
        <v>90.9</v>
      </c>
      <c r="E188" s="35">
        <v>91.89</v>
      </c>
      <c r="F188" s="35">
        <v>2961381</v>
      </c>
    </row>
    <row r="189" spans="1:6">
      <c r="A189" s="146">
        <v>42685</v>
      </c>
      <c r="B189" s="35">
        <v>90.94</v>
      </c>
      <c r="C189" s="35">
        <v>91.94</v>
      </c>
      <c r="D189" s="35">
        <v>90.45</v>
      </c>
      <c r="E189" s="35">
        <v>91.08</v>
      </c>
      <c r="F189" s="35">
        <v>2098022</v>
      </c>
    </row>
    <row r="190" spans="1:6">
      <c r="A190" s="146">
        <v>42684</v>
      </c>
      <c r="B190" s="35">
        <v>91.44</v>
      </c>
      <c r="C190" s="35">
        <v>91.89</v>
      </c>
      <c r="D190" s="35">
        <v>90.13</v>
      </c>
      <c r="E190" s="35">
        <v>91.39</v>
      </c>
      <c r="F190" s="35">
        <v>2555420</v>
      </c>
    </row>
    <row r="191" spans="1:6">
      <c r="A191" s="146">
        <v>42683</v>
      </c>
      <c r="B191" s="35">
        <v>87.89</v>
      </c>
      <c r="C191" s="35">
        <v>91.2</v>
      </c>
      <c r="D191" s="35">
        <v>87.58</v>
      </c>
      <c r="E191" s="35">
        <v>90.9</v>
      </c>
      <c r="F191" s="35">
        <v>2861443</v>
      </c>
    </row>
    <row r="192" spans="1:6">
      <c r="A192" s="146">
        <v>42682</v>
      </c>
      <c r="B192" s="35">
        <v>90.75</v>
      </c>
      <c r="C192" s="35">
        <v>91.6</v>
      </c>
      <c r="D192" s="35">
        <v>90.55</v>
      </c>
      <c r="E192" s="35">
        <v>91.15</v>
      </c>
      <c r="F192" s="35">
        <v>1668288</v>
      </c>
    </row>
    <row r="193" spans="1:6">
      <c r="A193" s="146">
        <v>42681</v>
      </c>
      <c r="B193" s="35">
        <v>90.35</v>
      </c>
      <c r="C193" s="35">
        <v>90.86</v>
      </c>
      <c r="D193" s="35">
        <v>89.94</v>
      </c>
      <c r="E193" s="35">
        <v>90.6</v>
      </c>
      <c r="F193" s="35">
        <v>2244789</v>
      </c>
    </row>
    <row r="194" spans="1:6">
      <c r="A194" s="146">
        <v>42678</v>
      </c>
      <c r="B194" s="35">
        <v>88.03</v>
      </c>
      <c r="C194" s="35">
        <v>89.75</v>
      </c>
      <c r="D194" s="35">
        <v>88.03</v>
      </c>
      <c r="E194" s="35">
        <v>89.08</v>
      </c>
      <c r="F194" s="35">
        <v>2093152</v>
      </c>
    </row>
    <row r="195" spans="1:6">
      <c r="A195" s="146">
        <v>42677</v>
      </c>
      <c r="B195" s="35">
        <v>89.97</v>
      </c>
      <c r="C195" s="35">
        <v>90</v>
      </c>
      <c r="D195" s="35">
        <v>88.91</v>
      </c>
      <c r="E195" s="35">
        <v>89.33</v>
      </c>
      <c r="F195" s="35">
        <v>2514517</v>
      </c>
    </row>
    <row r="196" spans="1:6">
      <c r="A196" s="146">
        <v>42676</v>
      </c>
      <c r="B196" s="35">
        <v>88.1</v>
      </c>
      <c r="C196" s="35">
        <v>90.89</v>
      </c>
      <c r="D196" s="35">
        <v>88.1</v>
      </c>
      <c r="E196" s="35">
        <v>89.98</v>
      </c>
      <c r="F196" s="35">
        <v>5357148</v>
      </c>
    </row>
    <row r="197" spans="1:6">
      <c r="A197" s="146">
        <v>42675</v>
      </c>
      <c r="B197" s="35">
        <v>87.3</v>
      </c>
      <c r="C197" s="35">
        <v>87.5</v>
      </c>
      <c r="D197" s="35">
        <v>86.53</v>
      </c>
      <c r="E197" s="35">
        <v>86.92</v>
      </c>
      <c r="F197" s="35">
        <v>3065622</v>
      </c>
    </row>
    <row r="198" spans="1:6">
      <c r="A198" s="146">
        <v>42674</v>
      </c>
      <c r="B198" s="35">
        <v>87.57</v>
      </c>
      <c r="C198" s="35">
        <v>87.71</v>
      </c>
      <c r="D198" s="35">
        <v>86.98</v>
      </c>
      <c r="E198" s="35">
        <v>87.06</v>
      </c>
      <c r="F198" s="35">
        <v>2488570</v>
      </c>
    </row>
    <row r="199" spans="1:6">
      <c r="A199" s="146">
        <v>42671</v>
      </c>
      <c r="B199" s="35">
        <v>86.74</v>
      </c>
      <c r="C199" s="35">
        <v>87.65</v>
      </c>
      <c r="D199" s="35">
        <v>86.6</v>
      </c>
      <c r="E199" s="35">
        <v>87.16</v>
      </c>
      <c r="F199" s="35">
        <v>2129318</v>
      </c>
    </row>
    <row r="200" spans="1:6">
      <c r="A200" s="146">
        <v>42670</v>
      </c>
      <c r="B200" s="35">
        <v>87.36</v>
      </c>
      <c r="C200" s="35">
        <v>87.43</v>
      </c>
      <c r="D200" s="35">
        <v>86.63</v>
      </c>
      <c r="E200" s="35">
        <v>86.66</v>
      </c>
      <c r="F200" s="35">
        <v>1773701</v>
      </c>
    </row>
    <row r="201" spans="1:6">
      <c r="A201" s="146">
        <v>42669</v>
      </c>
      <c r="B201" s="35">
        <v>87.26</v>
      </c>
      <c r="C201" s="35">
        <v>87.74</v>
      </c>
      <c r="D201" s="35">
        <v>87.02</v>
      </c>
      <c r="E201" s="35">
        <v>87.19</v>
      </c>
      <c r="F201" s="35">
        <v>1331494</v>
      </c>
    </row>
    <row r="202" spans="1:6">
      <c r="A202" s="146">
        <v>42668</v>
      </c>
      <c r="B202" s="35">
        <v>87.55</v>
      </c>
      <c r="C202" s="35">
        <v>87.75</v>
      </c>
      <c r="D202" s="35">
        <v>87.2</v>
      </c>
      <c r="E202" s="35">
        <v>87.5</v>
      </c>
      <c r="F202" s="35">
        <v>1299210</v>
      </c>
    </row>
    <row r="203" spans="1:6">
      <c r="A203" s="146">
        <v>42667</v>
      </c>
      <c r="B203" s="35">
        <v>87.34</v>
      </c>
      <c r="C203" s="35">
        <v>87.81</v>
      </c>
      <c r="D203" s="35">
        <v>87.19</v>
      </c>
      <c r="E203" s="35">
        <v>87.67</v>
      </c>
      <c r="F203" s="35">
        <v>1025500</v>
      </c>
    </row>
    <row r="204" spans="1:6">
      <c r="A204" s="146">
        <v>42664</v>
      </c>
      <c r="B204" s="35">
        <v>86.49</v>
      </c>
      <c r="C204" s="35">
        <v>86.82</v>
      </c>
      <c r="D204" s="35">
        <v>85.48</v>
      </c>
      <c r="E204" s="35">
        <v>86.72</v>
      </c>
      <c r="F204" s="35">
        <v>1277715</v>
      </c>
    </row>
    <row r="205" spans="1:6">
      <c r="A205" s="146">
        <v>42663</v>
      </c>
      <c r="B205" s="35">
        <v>87.2</v>
      </c>
      <c r="C205" s="35">
        <v>87.56</v>
      </c>
      <c r="D205" s="35">
        <v>86.49</v>
      </c>
      <c r="E205" s="35">
        <v>86.84</v>
      </c>
      <c r="F205" s="35">
        <v>1420374</v>
      </c>
    </row>
    <row r="206" spans="1:6">
      <c r="A206" s="146">
        <v>42662</v>
      </c>
      <c r="B206" s="35">
        <v>87.58</v>
      </c>
      <c r="C206" s="35">
        <v>87.73</v>
      </c>
      <c r="D206" s="35">
        <v>87.34</v>
      </c>
      <c r="E206" s="35">
        <v>87.43</v>
      </c>
      <c r="F206" s="35">
        <v>906356</v>
      </c>
    </row>
    <row r="207" spans="1:6">
      <c r="A207" s="146">
        <v>42661</v>
      </c>
      <c r="B207" s="35">
        <v>88.12</v>
      </c>
      <c r="C207" s="35">
        <v>88.37</v>
      </c>
      <c r="D207" s="35">
        <v>87.32</v>
      </c>
      <c r="E207" s="35">
        <v>87.38</v>
      </c>
      <c r="F207" s="35">
        <v>1109553</v>
      </c>
    </row>
    <row r="208" spans="1:6">
      <c r="A208" s="146">
        <v>42660</v>
      </c>
      <c r="B208" s="35">
        <v>87.58</v>
      </c>
      <c r="C208" s="35">
        <v>87.7</v>
      </c>
      <c r="D208" s="35">
        <v>86.98</v>
      </c>
      <c r="E208" s="35">
        <v>87.24</v>
      </c>
      <c r="F208" s="35">
        <v>1235269</v>
      </c>
    </row>
    <row r="209" spans="1:6">
      <c r="A209" s="146">
        <v>42657</v>
      </c>
      <c r="B209" s="35">
        <v>87.32</v>
      </c>
      <c r="C209" s="35">
        <v>88.05</v>
      </c>
      <c r="D209" s="35">
        <v>86.91</v>
      </c>
      <c r="E209" s="35">
        <v>87.56</v>
      </c>
      <c r="F209" s="35">
        <v>1381436</v>
      </c>
    </row>
    <row r="210" spans="1:6">
      <c r="A210" s="146">
        <v>42656</v>
      </c>
      <c r="B210" s="35">
        <v>86.43</v>
      </c>
      <c r="C210" s="35">
        <v>87.19</v>
      </c>
      <c r="D210" s="35">
        <v>85.95</v>
      </c>
      <c r="E210" s="35">
        <v>86.89</v>
      </c>
      <c r="F210" s="35">
        <v>1367227</v>
      </c>
    </row>
    <row r="211" spans="1:6">
      <c r="A211" s="146">
        <v>42655</v>
      </c>
      <c r="B211" s="35">
        <v>86.28</v>
      </c>
      <c r="C211" s="35">
        <v>87.13</v>
      </c>
      <c r="D211" s="35">
        <v>86.07</v>
      </c>
      <c r="E211" s="35">
        <v>86.87</v>
      </c>
      <c r="F211" s="35">
        <v>1138975</v>
      </c>
    </row>
    <row r="212" spans="1:6">
      <c r="A212" s="146">
        <v>42654</v>
      </c>
      <c r="B212" s="35">
        <v>87.67</v>
      </c>
      <c r="C212" s="35">
        <v>87.67</v>
      </c>
      <c r="D212" s="35">
        <v>85.72</v>
      </c>
      <c r="E212" s="35">
        <v>86.09</v>
      </c>
      <c r="F212" s="35">
        <v>1963464</v>
      </c>
    </row>
    <row r="213" spans="1:6">
      <c r="A213" s="146">
        <v>42653</v>
      </c>
      <c r="B213" s="35">
        <v>87.74</v>
      </c>
      <c r="C213" s="35">
        <v>88.23</v>
      </c>
      <c r="D213" s="35">
        <v>87.63</v>
      </c>
      <c r="E213" s="35">
        <v>87.77</v>
      </c>
      <c r="F213" s="35">
        <v>1021300</v>
      </c>
    </row>
    <row r="214" spans="1:6">
      <c r="A214" s="146">
        <v>42650</v>
      </c>
      <c r="B214" s="35">
        <v>87.79</v>
      </c>
      <c r="C214" s="35">
        <v>87.79</v>
      </c>
      <c r="D214" s="35">
        <v>86.86</v>
      </c>
      <c r="E214" s="35">
        <v>87.37</v>
      </c>
      <c r="F214" s="35">
        <v>1580128</v>
      </c>
    </row>
    <row r="215" spans="1:6">
      <c r="A215" s="146">
        <v>42649</v>
      </c>
      <c r="B215" s="35">
        <v>87.25</v>
      </c>
      <c r="C215" s="35">
        <v>87.7</v>
      </c>
      <c r="D215" s="35">
        <v>86.78</v>
      </c>
      <c r="E215" s="35">
        <v>87.56</v>
      </c>
      <c r="F215" s="35">
        <v>1341061</v>
      </c>
    </row>
    <row r="216" spans="1:6">
      <c r="A216" s="146">
        <v>42648</v>
      </c>
      <c r="B216" s="35">
        <v>87.64</v>
      </c>
      <c r="C216" s="35">
        <v>87.78</v>
      </c>
      <c r="D216" s="35">
        <v>87.08</v>
      </c>
      <c r="E216" s="35">
        <v>87.58</v>
      </c>
      <c r="F216" s="35">
        <v>1315461</v>
      </c>
    </row>
    <row r="217" spans="1:6">
      <c r="A217" s="146">
        <v>42647</v>
      </c>
      <c r="B217" s="35">
        <v>87.82</v>
      </c>
      <c r="C217" s="35">
        <v>87.99</v>
      </c>
      <c r="D217" s="35">
        <v>86.95</v>
      </c>
      <c r="E217" s="35">
        <v>87.17</v>
      </c>
      <c r="F217" s="35">
        <v>1529772</v>
      </c>
    </row>
    <row r="218" spans="1:6">
      <c r="A218" s="146">
        <v>42646</v>
      </c>
      <c r="B218" s="35">
        <v>88.16</v>
      </c>
      <c r="C218" s="35">
        <v>88.16</v>
      </c>
      <c r="D218" s="35">
        <v>87.55</v>
      </c>
      <c r="E218" s="35">
        <v>87.63</v>
      </c>
      <c r="F218" s="35">
        <v>1364044</v>
      </c>
    </row>
    <row r="219" spans="1:6">
      <c r="A219" s="146">
        <v>42643</v>
      </c>
      <c r="B219" s="35">
        <v>87.39</v>
      </c>
      <c r="C219" s="35">
        <v>88.49</v>
      </c>
      <c r="D219" s="35">
        <v>87.17</v>
      </c>
      <c r="E219" s="35">
        <v>88.2</v>
      </c>
      <c r="F219" s="35">
        <v>2689838</v>
      </c>
    </row>
    <row r="220" spans="1:6">
      <c r="A220" s="146">
        <v>42642</v>
      </c>
      <c r="B220" s="35">
        <v>87.41</v>
      </c>
      <c r="C220" s="35">
        <v>88.17</v>
      </c>
      <c r="D220" s="35">
        <v>87.2</v>
      </c>
      <c r="E220" s="35">
        <v>87.21</v>
      </c>
      <c r="F220" s="35">
        <v>1629029</v>
      </c>
    </row>
    <row r="221" spans="1:6">
      <c r="A221" s="146">
        <v>42641</v>
      </c>
      <c r="B221" s="35">
        <v>89.09</v>
      </c>
      <c r="C221" s="35">
        <v>89.09</v>
      </c>
      <c r="D221" s="35">
        <v>87.11</v>
      </c>
      <c r="E221" s="35">
        <v>87.45</v>
      </c>
      <c r="F221" s="35">
        <v>2095348</v>
      </c>
    </row>
    <row r="222" spans="1:6">
      <c r="A222" s="146">
        <v>42640</v>
      </c>
      <c r="B222" s="35">
        <v>88.28</v>
      </c>
      <c r="C222" s="35">
        <v>89.07</v>
      </c>
      <c r="D222" s="35">
        <v>88.1</v>
      </c>
      <c r="E222" s="35">
        <v>88.95</v>
      </c>
      <c r="F222" s="35">
        <v>1269438</v>
      </c>
    </row>
    <row r="223" spans="1:6">
      <c r="A223" s="146">
        <v>42639</v>
      </c>
      <c r="B223" s="35">
        <v>87.91</v>
      </c>
      <c r="C223" s="35">
        <v>88.45</v>
      </c>
      <c r="D223" s="35">
        <v>87.86</v>
      </c>
      <c r="E223" s="35">
        <v>88.19</v>
      </c>
      <c r="F223" s="35">
        <v>1102582</v>
      </c>
    </row>
    <row r="224" spans="1:6">
      <c r="A224" s="146">
        <v>42636</v>
      </c>
      <c r="B224" s="35">
        <v>88.65</v>
      </c>
      <c r="C224" s="35">
        <v>89.24</v>
      </c>
      <c r="D224" s="35">
        <v>88.45</v>
      </c>
      <c r="E224" s="35">
        <v>88.47</v>
      </c>
      <c r="F224" s="35">
        <v>1431964</v>
      </c>
    </row>
    <row r="225" spans="1:6">
      <c r="A225" s="146">
        <v>42635</v>
      </c>
      <c r="B225" s="35">
        <v>89.53</v>
      </c>
      <c r="C225" s="35">
        <v>89.81</v>
      </c>
      <c r="D225" s="35">
        <v>89.17</v>
      </c>
      <c r="E225" s="35">
        <v>89.46</v>
      </c>
      <c r="F225" s="35">
        <v>1622524</v>
      </c>
    </row>
    <row r="226" spans="1:6">
      <c r="A226" s="146">
        <v>42634</v>
      </c>
      <c r="B226" s="35">
        <v>87.82</v>
      </c>
      <c r="C226" s="35">
        <v>88.97</v>
      </c>
      <c r="D226" s="35">
        <v>87.71</v>
      </c>
      <c r="E226" s="35">
        <v>88.88</v>
      </c>
      <c r="F226" s="35">
        <v>1796977</v>
      </c>
    </row>
    <row r="227" spans="1:6">
      <c r="A227" s="146">
        <v>42633</v>
      </c>
      <c r="B227" s="35">
        <v>87.12</v>
      </c>
      <c r="C227" s="35">
        <v>88.09</v>
      </c>
      <c r="D227" s="35">
        <v>86.93</v>
      </c>
      <c r="E227" s="35">
        <v>87.79</v>
      </c>
      <c r="F227" s="35">
        <v>1738728</v>
      </c>
    </row>
    <row r="228" spans="1:6">
      <c r="A228" s="146">
        <v>42632</v>
      </c>
      <c r="B228" s="35">
        <v>87.09</v>
      </c>
      <c r="C228" s="35">
        <v>87.4</v>
      </c>
      <c r="D228" s="35">
        <v>86.45</v>
      </c>
      <c r="E228" s="35">
        <v>86.56</v>
      </c>
      <c r="F228" s="35">
        <v>1690886</v>
      </c>
    </row>
    <row r="229" spans="1:6">
      <c r="A229" s="146">
        <v>42629</v>
      </c>
      <c r="B229" s="35">
        <v>87.15</v>
      </c>
      <c r="C229" s="35">
        <v>87.18</v>
      </c>
      <c r="D229" s="35">
        <v>86.21</v>
      </c>
      <c r="E229" s="35">
        <v>86.75</v>
      </c>
      <c r="F229" s="35">
        <v>2632442</v>
      </c>
    </row>
    <row r="230" spans="1:6">
      <c r="A230" s="146">
        <v>42628</v>
      </c>
      <c r="B230" s="35">
        <v>86.48</v>
      </c>
      <c r="C230" s="35">
        <v>87.79</v>
      </c>
      <c r="D230" s="35">
        <v>86.23</v>
      </c>
      <c r="E230" s="35">
        <v>87.48</v>
      </c>
      <c r="F230" s="35">
        <v>1452086</v>
      </c>
    </row>
    <row r="231" spans="1:6">
      <c r="A231" s="146">
        <v>42627</v>
      </c>
      <c r="B231" s="35">
        <v>86.86</v>
      </c>
      <c r="C231" s="35">
        <v>87.24</v>
      </c>
      <c r="D231" s="35">
        <v>86.45</v>
      </c>
      <c r="E231" s="35">
        <v>86.69</v>
      </c>
      <c r="F231" s="35">
        <v>1173229</v>
      </c>
    </row>
    <row r="232" spans="1:6">
      <c r="A232" s="146">
        <v>42626</v>
      </c>
      <c r="B232" s="35">
        <v>87.32</v>
      </c>
      <c r="C232" s="35">
        <v>87.79</v>
      </c>
      <c r="D232" s="35">
        <v>86.36</v>
      </c>
      <c r="E232" s="35">
        <v>86.69</v>
      </c>
      <c r="F232" s="35">
        <v>1939880</v>
      </c>
    </row>
    <row r="233" spans="1:6">
      <c r="A233" s="146">
        <v>42625</v>
      </c>
      <c r="B233" s="35">
        <v>86.46</v>
      </c>
      <c r="C233" s="35">
        <v>88.24</v>
      </c>
      <c r="D233" s="35">
        <v>86.33</v>
      </c>
      <c r="E233" s="35">
        <v>88.14</v>
      </c>
      <c r="F233" s="35">
        <v>1893661</v>
      </c>
    </row>
    <row r="234" spans="1:6">
      <c r="A234" s="146">
        <v>42622</v>
      </c>
      <c r="B234" s="35">
        <v>88.57</v>
      </c>
      <c r="C234" s="35">
        <v>88.99</v>
      </c>
      <c r="D234" s="35">
        <v>86.55</v>
      </c>
      <c r="E234" s="35">
        <v>86.57</v>
      </c>
      <c r="F234" s="35">
        <v>2013806</v>
      </c>
    </row>
    <row r="235" spans="1:6">
      <c r="A235" s="146">
        <v>42621</v>
      </c>
      <c r="B235" s="35">
        <v>89.71</v>
      </c>
      <c r="C235" s="35">
        <v>90.07</v>
      </c>
      <c r="D235" s="35">
        <v>89.33</v>
      </c>
      <c r="E235" s="35">
        <v>89.47</v>
      </c>
      <c r="F235" s="35">
        <v>1241788</v>
      </c>
    </row>
    <row r="236" spans="1:6">
      <c r="A236" s="146">
        <v>42620</v>
      </c>
      <c r="B236" s="35">
        <v>89.2</v>
      </c>
      <c r="C236" s="35">
        <v>89.99</v>
      </c>
      <c r="D236" s="35">
        <v>89.15</v>
      </c>
      <c r="E236" s="35">
        <v>89.96</v>
      </c>
      <c r="F236" s="35">
        <v>1228772</v>
      </c>
    </row>
    <row r="237" spans="1:6">
      <c r="A237" s="146">
        <v>42619</v>
      </c>
      <c r="B237" s="35">
        <v>89.72</v>
      </c>
      <c r="C237" s="35">
        <v>90.14</v>
      </c>
      <c r="D237" s="35">
        <v>89.44</v>
      </c>
      <c r="E237" s="35">
        <v>89.86</v>
      </c>
      <c r="F237" s="35">
        <v>1728777</v>
      </c>
    </row>
    <row r="238" spans="1:6">
      <c r="A238" s="146">
        <v>42615</v>
      </c>
      <c r="B238" s="35">
        <v>90.88</v>
      </c>
      <c r="C238" s="35">
        <v>90.99</v>
      </c>
      <c r="D238" s="35">
        <v>90.06</v>
      </c>
      <c r="E238" s="35">
        <v>90.39</v>
      </c>
      <c r="F238" s="35">
        <v>1737076</v>
      </c>
    </row>
    <row r="239" spans="1:6">
      <c r="A239" s="146">
        <v>42614</v>
      </c>
      <c r="B239" s="35">
        <v>90.02</v>
      </c>
      <c r="C239" s="35">
        <v>90.63</v>
      </c>
      <c r="D239" s="35">
        <v>89.66</v>
      </c>
      <c r="E239" s="35">
        <v>90.63</v>
      </c>
      <c r="F239" s="35">
        <v>1775623</v>
      </c>
    </row>
    <row r="240" spans="1:6">
      <c r="A240" s="146">
        <v>42613</v>
      </c>
      <c r="B240" s="35">
        <v>89.68</v>
      </c>
      <c r="C240" s="35">
        <v>90.02</v>
      </c>
      <c r="D240" s="35">
        <v>89.41</v>
      </c>
      <c r="E240" s="35">
        <v>89.81</v>
      </c>
      <c r="F240" s="35">
        <v>1300693</v>
      </c>
    </row>
    <row r="241" spans="1:6">
      <c r="A241" s="146">
        <v>42612</v>
      </c>
      <c r="B241" s="35">
        <v>89.81</v>
      </c>
      <c r="C241" s="35">
        <v>90.06</v>
      </c>
      <c r="D241" s="35">
        <v>89.5</v>
      </c>
      <c r="E241" s="35">
        <v>89.79</v>
      </c>
      <c r="F241" s="35">
        <v>1322414</v>
      </c>
    </row>
    <row r="242" spans="1:6">
      <c r="A242" s="146">
        <v>42611</v>
      </c>
      <c r="B242" s="35">
        <v>89.84</v>
      </c>
      <c r="C242" s="35">
        <v>90.3</v>
      </c>
      <c r="D242" s="35">
        <v>89.49</v>
      </c>
      <c r="E242" s="35">
        <v>89.59</v>
      </c>
      <c r="F242" s="35">
        <v>1108761</v>
      </c>
    </row>
    <row r="243" spans="1:6">
      <c r="A243" s="146">
        <v>42608</v>
      </c>
      <c r="B243" s="35">
        <v>89.96</v>
      </c>
      <c r="C243" s="35">
        <v>90.6</v>
      </c>
      <c r="D243" s="35">
        <v>89.32</v>
      </c>
      <c r="E243" s="35">
        <v>89.79</v>
      </c>
      <c r="F243" s="35">
        <v>1365827</v>
      </c>
    </row>
    <row r="244" spans="1:6">
      <c r="A244" s="146">
        <v>42607</v>
      </c>
      <c r="B244" s="35">
        <v>89.72</v>
      </c>
      <c r="C244" s="35">
        <v>89.98</v>
      </c>
      <c r="D244" s="35">
        <v>89.3</v>
      </c>
      <c r="E244" s="35">
        <v>89.77</v>
      </c>
      <c r="F244" s="35">
        <v>1049001</v>
      </c>
    </row>
    <row r="245" spans="1:6">
      <c r="A245" s="146">
        <v>42606</v>
      </c>
      <c r="B245" s="35">
        <v>89.81</v>
      </c>
      <c r="C245" s="35">
        <v>89.91</v>
      </c>
      <c r="D245" s="35">
        <v>89.54</v>
      </c>
      <c r="E245" s="35">
        <v>89.68</v>
      </c>
      <c r="F245" s="35">
        <v>1121715</v>
      </c>
    </row>
    <row r="246" spans="1:6">
      <c r="A246" s="146">
        <v>42605</v>
      </c>
      <c r="B246" s="35">
        <v>90.08</v>
      </c>
      <c r="C246" s="35">
        <v>90.19</v>
      </c>
      <c r="D246" s="35">
        <v>89.78</v>
      </c>
      <c r="E246" s="35">
        <v>89.98</v>
      </c>
      <c r="F246" s="35">
        <v>1181866</v>
      </c>
    </row>
    <row r="247" spans="1:6">
      <c r="A247" s="146">
        <v>42604</v>
      </c>
      <c r="B247" s="35">
        <v>89.82</v>
      </c>
      <c r="C247" s="35">
        <v>90.02</v>
      </c>
      <c r="D247" s="35">
        <v>89.54</v>
      </c>
      <c r="E247" s="35">
        <v>89.91</v>
      </c>
      <c r="F247" s="35">
        <v>1110448</v>
      </c>
    </row>
    <row r="248" spans="1:6">
      <c r="A248" s="146">
        <v>42601</v>
      </c>
      <c r="B248" s="35">
        <v>89.52</v>
      </c>
      <c r="C248" s="35">
        <v>89.97</v>
      </c>
      <c r="D248" s="35">
        <v>89.1</v>
      </c>
      <c r="E248" s="35">
        <v>89.85</v>
      </c>
      <c r="F248" s="35">
        <v>1436610</v>
      </c>
    </row>
    <row r="249" spans="1:6">
      <c r="A249" s="146">
        <v>42600</v>
      </c>
      <c r="B249" s="35">
        <v>89.57</v>
      </c>
      <c r="C249" s="35">
        <v>89.9</v>
      </c>
      <c r="D249" s="35">
        <v>89.39</v>
      </c>
      <c r="E249" s="35">
        <v>89.83</v>
      </c>
      <c r="F249" s="35">
        <v>1025356</v>
      </c>
    </row>
    <row r="250" spans="1:6">
      <c r="A250" s="146">
        <v>42599</v>
      </c>
      <c r="B250" s="35">
        <v>89.8</v>
      </c>
      <c r="C250" s="35">
        <v>89.86</v>
      </c>
      <c r="D250" s="35">
        <v>88.79</v>
      </c>
      <c r="E250" s="35">
        <v>89.33</v>
      </c>
      <c r="F250" s="35">
        <v>1773478</v>
      </c>
    </row>
    <row r="251" spans="1:6">
      <c r="A251" s="146">
        <v>42598</v>
      </c>
      <c r="B251" s="35">
        <v>90.04</v>
      </c>
      <c r="C251" s="35">
        <v>90.25</v>
      </c>
      <c r="D251" s="35">
        <v>89.55</v>
      </c>
      <c r="E251" s="35">
        <v>89.56</v>
      </c>
      <c r="F251" s="35">
        <v>939936</v>
      </c>
    </row>
    <row r="252" spans="1:6">
      <c r="A252" s="146">
        <v>42597</v>
      </c>
      <c r="B252" s="35">
        <v>90.48</v>
      </c>
      <c r="C252" s="35">
        <v>90.66</v>
      </c>
      <c r="D252" s="35">
        <v>90.16</v>
      </c>
      <c r="E252" s="35">
        <v>90.35</v>
      </c>
      <c r="F252" s="35">
        <v>919296</v>
      </c>
    </row>
    <row r="253" spans="1:6">
      <c r="A253" s="146">
        <v>42594</v>
      </c>
      <c r="B253" s="35">
        <v>90.03</v>
      </c>
      <c r="C253" s="35">
        <v>90.4</v>
      </c>
      <c r="D253" s="35">
        <v>90.01</v>
      </c>
      <c r="E253" s="35">
        <v>90.13</v>
      </c>
      <c r="F253" s="35">
        <v>929675</v>
      </c>
    </row>
    <row r="254" spans="1:6">
      <c r="A254" s="146">
        <v>42593</v>
      </c>
      <c r="B254" s="35">
        <v>90.09</v>
      </c>
      <c r="C254" s="35">
        <v>90.65</v>
      </c>
      <c r="D254" s="35">
        <v>90.01</v>
      </c>
      <c r="E254" s="35">
        <v>90.4</v>
      </c>
      <c r="F254" s="35">
        <v>1375864</v>
      </c>
    </row>
    <row r="255" spans="1:6">
      <c r="A255" s="146">
        <v>42592</v>
      </c>
      <c r="B255" s="35">
        <v>89.93</v>
      </c>
      <c r="C255" s="35">
        <v>90.12</v>
      </c>
      <c r="D255" s="35">
        <v>89.51</v>
      </c>
      <c r="E255" s="35">
        <v>90.04</v>
      </c>
      <c r="F255" s="35">
        <v>1102025</v>
      </c>
    </row>
    <row r="256" spans="1:6">
      <c r="A256" s="146">
        <v>42591</v>
      </c>
      <c r="B256" s="35">
        <v>89.44</v>
      </c>
      <c r="C256" s="35">
        <v>90.34</v>
      </c>
      <c r="D256" s="35">
        <v>89.44</v>
      </c>
      <c r="E256" s="35">
        <v>89.97</v>
      </c>
      <c r="F256" s="35">
        <v>1332599</v>
      </c>
    </row>
    <row r="257" spans="1:6">
      <c r="A257" s="146">
        <v>42590</v>
      </c>
      <c r="B257" s="35">
        <v>89.59</v>
      </c>
      <c r="C257" s="35">
        <v>89.88</v>
      </c>
      <c r="D257" s="35">
        <v>89.18</v>
      </c>
      <c r="E257" s="35">
        <v>89.44</v>
      </c>
      <c r="F257" s="35">
        <v>1831005</v>
      </c>
    </row>
    <row r="258" spans="1:6">
      <c r="A258" s="146">
        <v>42587</v>
      </c>
      <c r="B258" s="35">
        <v>89</v>
      </c>
      <c r="C258" s="35">
        <v>89.72</v>
      </c>
      <c r="D258" s="35">
        <v>88.54</v>
      </c>
      <c r="E258" s="35">
        <v>89.67</v>
      </c>
      <c r="F258" s="35">
        <v>1959276</v>
      </c>
    </row>
    <row r="259" spans="1:6">
      <c r="A259" s="146">
        <v>42586</v>
      </c>
      <c r="B259" s="35">
        <v>88.11</v>
      </c>
      <c r="C259" s="35">
        <v>88.66</v>
      </c>
      <c r="D259" s="35">
        <v>88.02</v>
      </c>
      <c r="E259" s="35">
        <v>88.41</v>
      </c>
      <c r="F259" s="35">
        <v>1484048</v>
      </c>
    </row>
    <row r="260" spans="1:6">
      <c r="A260" s="146">
        <v>42585</v>
      </c>
      <c r="B260" s="35">
        <v>88.24</v>
      </c>
      <c r="C260" s="35">
        <v>88.3</v>
      </c>
      <c r="D260" s="35">
        <v>87.55</v>
      </c>
      <c r="E260" s="35">
        <v>88.19</v>
      </c>
      <c r="F260" s="35">
        <v>2249647</v>
      </c>
    </row>
    <row r="261" spans="1:6">
      <c r="A261" s="146">
        <v>42584</v>
      </c>
      <c r="B261" s="35">
        <v>88.7</v>
      </c>
      <c r="C261" s="35">
        <v>88.94</v>
      </c>
      <c r="D261" s="35">
        <v>87.86</v>
      </c>
      <c r="E261" s="35">
        <v>87.97</v>
      </c>
      <c r="F261" s="35">
        <v>2384471</v>
      </c>
    </row>
    <row r="262" spans="1:6">
      <c r="A262" s="146">
        <v>42583</v>
      </c>
      <c r="B262" s="35">
        <v>88.06</v>
      </c>
      <c r="C262" s="35">
        <v>89.71</v>
      </c>
      <c r="D262" s="35">
        <v>87.85</v>
      </c>
      <c r="E262" s="35">
        <v>88.67</v>
      </c>
      <c r="F262" s="35">
        <v>3353733</v>
      </c>
    </row>
    <row r="263" spans="1:6">
      <c r="A263" s="146">
        <v>42580</v>
      </c>
      <c r="B263" s="35">
        <v>91.38</v>
      </c>
      <c r="C263" s="35">
        <v>91.38</v>
      </c>
      <c r="D263" s="35">
        <v>88.92</v>
      </c>
      <c r="E263" s="35">
        <v>88.95</v>
      </c>
      <c r="F263" s="35">
        <v>3899670</v>
      </c>
    </row>
    <row r="264" spans="1:6">
      <c r="A264" s="146">
        <v>42579</v>
      </c>
      <c r="B264" s="35">
        <v>93</v>
      </c>
      <c r="C264" s="35">
        <v>93</v>
      </c>
      <c r="D264" s="35">
        <v>91.37</v>
      </c>
      <c r="E264" s="35">
        <v>91.73</v>
      </c>
      <c r="F264" s="35">
        <v>3609572</v>
      </c>
    </row>
    <row r="265" spans="1:6">
      <c r="A265" s="146">
        <v>42578</v>
      </c>
      <c r="B265" s="35">
        <v>95.66</v>
      </c>
      <c r="C265" s="35">
        <v>95.73</v>
      </c>
      <c r="D265" s="35">
        <v>94.75</v>
      </c>
      <c r="E265" s="35">
        <v>94.93</v>
      </c>
      <c r="F265" s="35">
        <v>2050448</v>
      </c>
    </row>
    <row r="266" spans="1:6">
      <c r="A266" s="146">
        <v>42577</v>
      </c>
      <c r="B266" s="35">
        <v>95.56</v>
      </c>
      <c r="C266" s="35">
        <v>96</v>
      </c>
      <c r="D266" s="35">
        <v>95.08</v>
      </c>
      <c r="E266" s="35">
        <v>95.72</v>
      </c>
      <c r="F266" s="35">
        <v>1412448</v>
      </c>
    </row>
    <row r="267" spans="1:6">
      <c r="A267" s="146">
        <v>42576</v>
      </c>
      <c r="B267" s="35">
        <v>95.16</v>
      </c>
      <c r="C267" s="35">
        <v>95.36</v>
      </c>
      <c r="D267" s="35">
        <v>94.87</v>
      </c>
      <c r="E267" s="35">
        <v>95.29</v>
      </c>
      <c r="F267" s="35">
        <v>1247870</v>
      </c>
    </row>
    <row r="268" spans="1:6">
      <c r="A268" s="146">
        <v>42573</v>
      </c>
      <c r="B268" s="35">
        <v>95.51</v>
      </c>
      <c r="C268" s="35">
        <v>95.69</v>
      </c>
      <c r="D268" s="35">
        <v>94.75</v>
      </c>
      <c r="E268" s="35">
        <v>95.44</v>
      </c>
      <c r="F268" s="35">
        <v>1221373</v>
      </c>
    </row>
    <row r="269" spans="1:6">
      <c r="A269" s="146">
        <v>42572</v>
      </c>
      <c r="B269" s="35">
        <v>95.1</v>
      </c>
      <c r="C269" s="35">
        <v>95.42</v>
      </c>
      <c r="D269" s="35">
        <v>94.38</v>
      </c>
      <c r="E269" s="35">
        <v>94.88</v>
      </c>
      <c r="F269" s="35">
        <v>1262395</v>
      </c>
    </row>
    <row r="270" spans="1:6">
      <c r="A270" s="146">
        <v>42571</v>
      </c>
      <c r="B270" s="35">
        <v>95.56</v>
      </c>
      <c r="C270" s="35">
        <v>95.64</v>
      </c>
      <c r="D270" s="35">
        <v>95.04</v>
      </c>
      <c r="E270" s="35">
        <v>95.39</v>
      </c>
      <c r="F270" s="35">
        <v>1090135</v>
      </c>
    </row>
    <row r="271" spans="1:6">
      <c r="A271" s="146">
        <v>42570</v>
      </c>
      <c r="B271" s="35">
        <v>94.85</v>
      </c>
      <c r="C271" s="35">
        <v>95.05</v>
      </c>
      <c r="D271" s="35">
        <v>94.66</v>
      </c>
      <c r="E271" s="35">
        <v>95.02</v>
      </c>
      <c r="F271" s="35">
        <v>925542</v>
      </c>
    </row>
    <row r="272" spans="1:6">
      <c r="A272" s="146">
        <v>42569</v>
      </c>
      <c r="B272" s="35">
        <v>95.29</v>
      </c>
      <c r="C272" s="35">
        <v>95.38</v>
      </c>
      <c r="D272" s="35">
        <v>94.81</v>
      </c>
      <c r="E272" s="35">
        <v>94.93</v>
      </c>
      <c r="F272" s="35">
        <v>879741</v>
      </c>
    </row>
    <row r="273" spans="1:6">
      <c r="A273" s="146">
        <v>42566</v>
      </c>
      <c r="B273" s="35">
        <v>95.7</v>
      </c>
      <c r="C273" s="35">
        <v>95.77</v>
      </c>
      <c r="D273" s="35">
        <v>94.93</v>
      </c>
      <c r="E273" s="35">
        <v>95.06</v>
      </c>
      <c r="F273" s="35">
        <v>1356035</v>
      </c>
    </row>
    <row r="274" spans="1:6">
      <c r="A274" s="146">
        <v>42565</v>
      </c>
      <c r="B274" s="35">
        <v>95.75</v>
      </c>
      <c r="C274" s="35">
        <v>95.78</v>
      </c>
      <c r="D274" s="35">
        <v>95.01</v>
      </c>
      <c r="E274" s="35">
        <v>95.21</v>
      </c>
      <c r="F274" s="35">
        <v>1330874</v>
      </c>
    </row>
    <row r="275" spans="1:6">
      <c r="A275" s="146">
        <v>42564</v>
      </c>
      <c r="B275" s="35">
        <v>95.29</v>
      </c>
      <c r="C275" s="35">
        <v>95.39</v>
      </c>
      <c r="D275" s="35">
        <v>94.67</v>
      </c>
      <c r="E275" s="35">
        <v>95.14</v>
      </c>
      <c r="F275" s="35">
        <v>1365475</v>
      </c>
    </row>
    <row r="276" spans="1:6">
      <c r="A276" s="146">
        <v>42563</v>
      </c>
      <c r="B276" s="35">
        <v>95.58</v>
      </c>
      <c r="C276" s="35">
        <v>95.73</v>
      </c>
      <c r="D276" s="35">
        <v>94.75</v>
      </c>
      <c r="E276" s="35">
        <v>94.81</v>
      </c>
      <c r="F276" s="35">
        <v>2265507</v>
      </c>
    </row>
    <row r="277" spans="1:6">
      <c r="A277" s="146">
        <v>42562</v>
      </c>
      <c r="B277" s="35">
        <v>95</v>
      </c>
      <c r="C277" s="35">
        <v>95.64</v>
      </c>
      <c r="D277" s="35">
        <v>94.84</v>
      </c>
      <c r="E277" s="35">
        <v>95.14</v>
      </c>
      <c r="F277" s="35">
        <v>1822542</v>
      </c>
    </row>
    <row r="278" spans="1:6">
      <c r="A278" s="146">
        <v>42559</v>
      </c>
      <c r="B278" s="35">
        <v>94.12</v>
      </c>
      <c r="C278" s="35">
        <v>94.59</v>
      </c>
      <c r="D278" s="35">
        <v>93.64</v>
      </c>
      <c r="E278" s="35">
        <v>94.47</v>
      </c>
      <c r="F278" s="35">
        <v>2148166</v>
      </c>
    </row>
    <row r="279" spans="1:6">
      <c r="A279" s="146">
        <v>42558</v>
      </c>
      <c r="B279" s="35">
        <v>93.17</v>
      </c>
      <c r="C279" s="35">
        <v>93.68</v>
      </c>
      <c r="D279" s="35">
        <v>92.87</v>
      </c>
      <c r="E279" s="35">
        <v>93.5</v>
      </c>
      <c r="F279" s="35">
        <v>1734868</v>
      </c>
    </row>
    <row r="280" spans="1:6">
      <c r="A280" s="146">
        <v>42557</v>
      </c>
      <c r="B280" s="35">
        <v>93.43</v>
      </c>
      <c r="C280" s="35">
        <v>93.62</v>
      </c>
      <c r="D280" s="35">
        <v>92.68</v>
      </c>
      <c r="E280" s="35">
        <v>93.42</v>
      </c>
      <c r="F280" s="35">
        <v>2299435</v>
      </c>
    </row>
    <row r="281" spans="1:6">
      <c r="A281" s="146">
        <v>42556</v>
      </c>
      <c r="B281" s="35">
        <v>92.53</v>
      </c>
      <c r="C281" s="35">
        <v>93.65</v>
      </c>
      <c r="D281" s="35">
        <v>92.33</v>
      </c>
      <c r="E281" s="35">
        <v>93.31</v>
      </c>
      <c r="F281" s="35">
        <v>2940489</v>
      </c>
    </row>
    <row r="282" spans="1:6">
      <c r="A282" s="146">
        <v>42552</v>
      </c>
      <c r="B282" s="35">
        <v>92</v>
      </c>
      <c r="C282" s="35">
        <v>92.97</v>
      </c>
      <c r="D282" s="35">
        <v>91.79</v>
      </c>
      <c r="E282" s="35">
        <v>92.75</v>
      </c>
      <c r="F282" s="35">
        <v>2456786</v>
      </c>
    </row>
    <row r="283" spans="1:6">
      <c r="A283" s="146">
        <v>42551</v>
      </c>
      <c r="B283" s="35">
        <v>89.37</v>
      </c>
      <c r="C283" s="35">
        <v>91.87</v>
      </c>
      <c r="D283" s="35">
        <v>88.73</v>
      </c>
      <c r="E283" s="35">
        <v>91.87</v>
      </c>
      <c r="F283" s="35">
        <v>2944786</v>
      </c>
    </row>
    <row r="284" spans="1:6">
      <c r="A284" s="146">
        <v>42550</v>
      </c>
      <c r="B284" s="35">
        <v>88.47</v>
      </c>
      <c r="C284" s="35">
        <v>89.34</v>
      </c>
      <c r="D284" s="35">
        <v>88.28</v>
      </c>
      <c r="E284" s="35">
        <v>89.13</v>
      </c>
      <c r="F284" s="35">
        <v>2274421</v>
      </c>
    </row>
    <row r="285" spans="1:6">
      <c r="A285" s="146">
        <v>42549</v>
      </c>
      <c r="B285" s="35">
        <v>86.31</v>
      </c>
      <c r="C285" s="35">
        <v>87.94</v>
      </c>
      <c r="D285" s="35">
        <v>85.95</v>
      </c>
      <c r="E285" s="35">
        <v>87.92</v>
      </c>
      <c r="F285" s="35">
        <v>2531140</v>
      </c>
    </row>
    <row r="286" spans="1:6">
      <c r="A286" s="146">
        <v>42548</v>
      </c>
      <c r="B286" s="35">
        <v>85.94</v>
      </c>
      <c r="C286" s="35">
        <v>86.4</v>
      </c>
      <c r="D286" s="35">
        <v>85.23</v>
      </c>
      <c r="E286" s="35">
        <v>85.66</v>
      </c>
      <c r="F286" s="35">
        <v>2609431</v>
      </c>
    </row>
    <row r="287" spans="1:6">
      <c r="A287" s="146">
        <v>42545</v>
      </c>
      <c r="B287" s="35">
        <v>86.23</v>
      </c>
      <c r="C287" s="35">
        <v>88.48</v>
      </c>
      <c r="D287" s="35">
        <v>86.04</v>
      </c>
      <c r="E287" s="35">
        <v>86.72</v>
      </c>
      <c r="F287" s="35">
        <v>4044490</v>
      </c>
    </row>
    <row r="288" spans="1:6">
      <c r="A288" s="146">
        <v>42544</v>
      </c>
      <c r="B288" s="35">
        <v>89.74</v>
      </c>
      <c r="C288" s="35">
        <v>89.94</v>
      </c>
      <c r="D288" s="35">
        <v>89.12</v>
      </c>
      <c r="E288" s="35">
        <v>89.94</v>
      </c>
      <c r="F288" s="35">
        <v>1364084</v>
      </c>
    </row>
    <row r="289" spans="1:6">
      <c r="A289" s="146">
        <v>42543</v>
      </c>
      <c r="B289" s="35">
        <v>89.66</v>
      </c>
      <c r="C289" s="35">
        <v>89.76</v>
      </c>
      <c r="D289" s="35">
        <v>88.74</v>
      </c>
      <c r="E289" s="35">
        <v>88.82</v>
      </c>
      <c r="F289" s="35">
        <v>1504403</v>
      </c>
    </row>
    <row r="290" spans="1:6">
      <c r="A290" s="146">
        <v>42542</v>
      </c>
      <c r="B290" s="35">
        <v>89.3</v>
      </c>
      <c r="C290" s="35">
        <v>89.52</v>
      </c>
      <c r="D290" s="35">
        <v>88.92</v>
      </c>
      <c r="E290" s="35">
        <v>89.34</v>
      </c>
      <c r="F290" s="35">
        <v>1725600</v>
      </c>
    </row>
    <row r="291" spans="1:6">
      <c r="A291" s="146">
        <v>42541</v>
      </c>
      <c r="B291" s="35">
        <v>88.67</v>
      </c>
      <c r="C291" s="35">
        <v>89.46</v>
      </c>
      <c r="D291" s="35">
        <v>88.56</v>
      </c>
      <c r="E291" s="35">
        <v>89.04</v>
      </c>
      <c r="F291" s="35">
        <v>2061740</v>
      </c>
    </row>
    <row r="292" spans="1:6">
      <c r="A292" s="146">
        <v>42538</v>
      </c>
      <c r="B292" s="35">
        <v>88.09</v>
      </c>
      <c r="C292" s="35">
        <v>88.15</v>
      </c>
      <c r="D292" s="35">
        <v>86.93</v>
      </c>
      <c r="E292" s="35">
        <v>87.61</v>
      </c>
      <c r="F292" s="35">
        <v>2708741</v>
      </c>
    </row>
    <row r="293" spans="1:6">
      <c r="A293" s="146">
        <v>42537</v>
      </c>
      <c r="B293" s="35">
        <v>87.21</v>
      </c>
      <c r="C293" s="35">
        <v>88.18</v>
      </c>
      <c r="D293" s="35">
        <v>86.92</v>
      </c>
      <c r="E293" s="35">
        <v>88.03</v>
      </c>
      <c r="F293" s="35">
        <v>1469419</v>
      </c>
    </row>
    <row r="294" spans="1:6">
      <c r="A294" s="146">
        <v>42536</v>
      </c>
      <c r="B294" s="35">
        <v>87.53</v>
      </c>
      <c r="C294" s="35">
        <v>88.01</v>
      </c>
      <c r="D294" s="35">
        <v>87.23</v>
      </c>
      <c r="E294" s="35">
        <v>87.61</v>
      </c>
      <c r="F294" s="35">
        <v>2080455</v>
      </c>
    </row>
    <row r="295" spans="1:6">
      <c r="A295" s="146">
        <v>42535</v>
      </c>
      <c r="B295" s="35">
        <v>86.97</v>
      </c>
      <c r="C295" s="35">
        <v>87.58</v>
      </c>
      <c r="D295" s="35">
        <v>86.97</v>
      </c>
      <c r="E295" s="35">
        <v>87.49</v>
      </c>
      <c r="F295" s="35">
        <v>2348466</v>
      </c>
    </row>
    <row r="296" spans="1:6">
      <c r="A296" s="146">
        <v>42534</v>
      </c>
      <c r="B296" s="35">
        <v>87.02</v>
      </c>
      <c r="C296" s="35">
        <v>87.67</v>
      </c>
      <c r="D296" s="35">
        <v>86.91</v>
      </c>
      <c r="E296" s="35">
        <v>87.16</v>
      </c>
      <c r="F296" s="35">
        <v>3191446</v>
      </c>
    </row>
    <row r="297" spans="1:6">
      <c r="A297" s="146">
        <v>42531</v>
      </c>
      <c r="B297" s="35">
        <v>86.55</v>
      </c>
      <c r="C297" s="35">
        <v>87.31</v>
      </c>
      <c r="D297" s="35">
        <v>86.52</v>
      </c>
      <c r="E297" s="35">
        <v>87.09</v>
      </c>
      <c r="F297" s="35">
        <v>1635720</v>
      </c>
    </row>
    <row r="298" spans="1:6">
      <c r="A298" s="146">
        <v>42530</v>
      </c>
      <c r="B298" s="35">
        <v>87.03</v>
      </c>
      <c r="C298" s="35">
        <v>87.66</v>
      </c>
      <c r="D298" s="35">
        <v>86.88</v>
      </c>
      <c r="E298" s="35">
        <v>87.63</v>
      </c>
      <c r="F298" s="35">
        <v>1517709</v>
      </c>
    </row>
    <row r="299" spans="1:6">
      <c r="A299" s="146">
        <v>42529</v>
      </c>
      <c r="B299" s="35">
        <v>86.6</v>
      </c>
      <c r="C299" s="35">
        <v>87.23</v>
      </c>
      <c r="D299" s="35">
        <v>86.31</v>
      </c>
      <c r="E299" s="35">
        <v>87.22</v>
      </c>
      <c r="F299" s="35">
        <v>1797346</v>
      </c>
    </row>
    <row r="300" spans="1:6">
      <c r="A300" s="146">
        <v>42528</v>
      </c>
      <c r="B300" s="35">
        <v>87.7</v>
      </c>
      <c r="C300" s="35">
        <v>87.97</v>
      </c>
      <c r="D300" s="35">
        <v>86.79</v>
      </c>
      <c r="E300" s="35">
        <v>86.87</v>
      </c>
      <c r="F300" s="35">
        <v>2480957</v>
      </c>
    </row>
    <row r="301" spans="1:6">
      <c r="A301" s="146">
        <v>42527</v>
      </c>
      <c r="B301" s="35">
        <v>87.52</v>
      </c>
      <c r="C301" s="35">
        <v>88</v>
      </c>
      <c r="D301" s="35">
        <v>87.36</v>
      </c>
      <c r="E301" s="35">
        <v>87.69</v>
      </c>
      <c r="F301" s="35">
        <v>1392932</v>
      </c>
    </row>
    <row r="302" spans="1:6">
      <c r="A302" s="146">
        <v>42524</v>
      </c>
      <c r="B302" s="35">
        <v>87.65</v>
      </c>
      <c r="C302" s="35">
        <v>87.65</v>
      </c>
      <c r="D302" s="35">
        <v>86.72</v>
      </c>
      <c r="E302" s="35">
        <v>87.33</v>
      </c>
      <c r="F302" s="35">
        <v>1399914</v>
      </c>
    </row>
    <row r="303" spans="1:6">
      <c r="A303" s="146">
        <v>42523</v>
      </c>
      <c r="B303" s="35">
        <v>88.04</v>
      </c>
      <c r="C303" s="35">
        <v>88.12</v>
      </c>
      <c r="D303" s="35">
        <v>87.51</v>
      </c>
      <c r="E303" s="35">
        <v>88.09</v>
      </c>
      <c r="F303" s="35">
        <v>1092520</v>
      </c>
    </row>
    <row r="304" spans="1:6">
      <c r="A304" s="146">
        <v>42522</v>
      </c>
      <c r="B304" s="35">
        <v>87.6</v>
      </c>
      <c r="C304" s="35">
        <v>88.18</v>
      </c>
      <c r="D304" s="35">
        <v>87.45</v>
      </c>
      <c r="E304" s="35">
        <v>88.12</v>
      </c>
      <c r="F304" s="35">
        <v>1685793</v>
      </c>
    </row>
    <row r="305" spans="1:6">
      <c r="A305" s="146">
        <v>42521</v>
      </c>
      <c r="B305" s="35">
        <v>88.37</v>
      </c>
      <c r="C305" s="35">
        <v>88.37</v>
      </c>
      <c r="D305" s="35">
        <v>87.33</v>
      </c>
      <c r="E305" s="35">
        <v>87.84</v>
      </c>
      <c r="F305" s="35">
        <v>2035480</v>
      </c>
    </row>
    <row r="306" spans="1:6">
      <c r="A306" s="146">
        <v>42517</v>
      </c>
      <c r="B306" s="35">
        <v>87.74</v>
      </c>
      <c r="C306" s="35">
        <v>88.08</v>
      </c>
      <c r="D306" s="35">
        <v>87.53</v>
      </c>
      <c r="E306" s="35">
        <v>88.04</v>
      </c>
      <c r="F306" s="35">
        <v>1077983</v>
      </c>
    </row>
    <row r="307" spans="1:6">
      <c r="A307" s="146">
        <v>42516</v>
      </c>
      <c r="B307" s="35">
        <v>87.39</v>
      </c>
      <c r="C307" s="35">
        <v>87.93</v>
      </c>
      <c r="D307" s="35">
        <v>87.09</v>
      </c>
      <c r="E307" s="35">
        <v>87.7</v>
      </c>
      <c r="F307" s="35">
        <v>1040622</v>
      </c>
    </row>
    <row r="308" spans="1:6">
      <c r="A308" s="146">
        <v>42515</v>
      </c>
      <c r="B308" s="35">
        <v>87.67</v>
      </c>
      <c r="C308" s="35">
        <v>88.01</v>
      </c>
      <c r="D308" s="35">
        <v>87.43</v>
      </c>
      <c r="E308" s="35">
        <v>87.52</v>
      </c>
      <c r="F308" s="35">
        <v>1405051</v>
      </c>
    </row>
    <row r="309" spans="1:6">
      <c r="A309" s="146">
        <v>42514</v>
      </c>
      <c r="B309" s="35">
        <v>85.99</v>
      </c>
      <c r="C309" s="35">
        <v>87.49</v>
      </c>
      <c r="D309" s="35">
        <v>85.86</v>
      </c>
      <c r="E309" s="35">
        <v>87.46</v>
      </c>
      <c r="F309" s="35">
        <v>2163254</v>
      </c>
    </row>
    <row r="310" spans="1:6">
      <c r="A310" s="146">
        <v>42513</v>
      </c>
      <c r="B310" s="35">
        <v>85.49</v>
      </c>
      <c r="C310" s="35">
        <v>85.7</v>
      </c>
      <c r="D310" s="35">
        <v>85.2</v>
      </c>
      <c r="E310" s="35">
        <v>85.25</v>
      </c>
      <c r="F310" s="35">
        <v>1070097</v>
      </c>
    </row>
    <row r="311" spans="1:6">
      <c r="A311" s="146">
        <v>42510</v>
      </c>
      <c r="B311" s="35">
        <v>85.46</v>
      </c>
      <c r="C311" s="35">
        <v>86.08</v>
      </c>
      <c r="D311" s="35">
        <v>85.29</v>
      </c>
      <c r="E311" s="35">
        <v>85.47</v>
      </c>
      <c r="F311" s="35">
        <v>1381976</v>
      </c>
    </row>
    <row r="312" spans="1:6">
      <c r="A312" s="146">
        <v>42509</v>
      </c>
      <c r="B312" s="35">
        <v>84.76</v>
      </c>
      <c r="C312" s="35">
        <v>85.26</v>
      </c>
      <c r="D312" s="35">
        <v>84.36</v>
      </c>
      <c r="E312" s="35">
        <v>85.14</v>
      </c>
      <c r="F312" s="35">
        <v>1490470</v>
      </c>
    </row>
    <row r="313" spans="1:6">
      <c r="A313" s="146">
        <v>42508</v>
      </c>
      <c r="B313" s="35">
        <v>85.28</v>
      </c>
      <c r="C313" s="35">
        <v>86.01</v>
      </c>
      <c r="D313" s="35">
        <v>84.91</v>
      </c>
      <c r="E313" s="35">
        <v>85.6</v>
      </c>
      <c r="F313" s="35">
        <v>1269323</v>
      </c>
    </row>
    <row r="314" spans="1:6">
      <c r="A314" s="146">
        <v>42507</v>
      </c>
      <c r="B314" s="35">
        <v>86.33</v>
      </c>
      <c r="C314" s="35">
        <v>86.85</v>
      </c>
      <c r="D314" s="35">
        <v>85.09</v>
      </c>
      <c r="E314" s="35">
        <v>85.35</v>
      </c>
      <c r="F314" s="35">
        <v>1508453</v>
      </c>
    </row>
    <row r="315" spans="1:6">
      <c r="A315" s="146">
        <v>42506</v>
      </c>
      <c r="B315" s="35">
        <v>86.03</v>
      </c>
      <c r="C315" s="35">
        <v>87</v>
      </c>
      <c r="D315" s="35">
        <v>85.9</v>
      </c>
      <c r="E315" s="35">
        <v>86.7</v>
      </c>
      <c r="F315" s="35">
        <v>1731591</v>
      </c>
    </row>
    <row r="316" spans="1:6">
      <c r="A316" s="146">
        <v>42503</v>
      </c>
      <c r="B316" s="35">
        <v>86.42</v>
      </c>
      <c r="C316" s="35">
        <v>86.87</v>
      </c>
      <c r="D316" s="35">
        <v>85.74</v>
      </c>
      <c r="E316" s="35">
        <v>85.76</v>
      </c>
      <c r="F316" s="35">
        <v>1798784</v>
      </c>
    </row>
    <row r="317" spans="1:6">
      <c r="A317" s="146">
        <v>42502</v>
      </c>
      <c r="B317" s="35">
        <v>87.31</v>
      </c>
      <c r="C317" s="35">
        <v>87.31</v>
      </c>
      <c r="D317" s="35">
        <v>86.11</v>
      </c>
      <c r="E317" s="35">
        <v>86.54</v>
      </c>
      <c r="F317" s="35">
        <v>1692605</v>
      </c>
    </row>
    <row r="318" spans="1:6">
      <c r="A318" s="146">
        <v>42501</v>
      </c>
      <c r="B318" s="35">
        <v>88.19</v>
      </c>
      <c r="C318" s="35">
        <v>88.49</v>
      </c>
      <c r="D318" s="35">
        <v>86.66</v>
      </c>
      <c r="E318" s="35">
        <v>86.67</v>
      </c>
      <c r="F318" s="35">
        <v>1948426</v>
      </c>
    </row>
    <row r="319" spans="1:6">
      <c r="A319" s="146">
        <v>42500</v>
      </c>
      <c r="B319" s="35">
        <v>87.43</v>
      </c>
      <c r="C319" s="35">
        <v>88.53</v>
      </c>
      <c r="D319" s="35">
        <v>87.16</v>
      </c>
      <c r="E319" s="35">
        <v>88.5</v>
      </c>
      <c r="F319" s="35">
        <v>4131779</v>
      </c>
    </row>
    <row r="320" spans="1:6">
      <c r="A320" s="146">
        <v>42499</v>
      </c>
      <c r="B320" s="35">
        <v>87.15</v>
      </c>
      <c r="C320" s="35">
        <v>87.68</v>
      </c>
      <c r="D320" s="35">
        <v>86.77</v>
      </c>
      <c r="E320" s="35">
        <v>87.16</v>
      </c>
      <c r="F320" s="35">
        <v>3340876</v>
      </c>
    </row>
    <row r="321" spans="1:6">
      <c r="A321" s="146">
        <v>42496</v>
      </c>
      <c r="B321" s="35">
        <v>86.14</v>
      </c>
      <c r="C321" s="35">
        <v>87.12</v>
      </c>
      <c r="D321" s="35">
        <v>86.09</v>
      </c>
      <c r="E321" s="35">
        <v>86.85</v>
      </c>
      <c r="F321" s="35">
        <v>4489337</v>
      </c>
    </row>
    <row r="322" spans="1:6">
      <c r="A322" s="146">
        <v>42495</v>
      </c>
      <c r="B322" s="35">
        <v>86.67</v>
      </c>
      <c r="C322" s="35">
        <v>87.91</v>
      </c>
      <c r="D322" s="35">
        <v>86.28</v>
      </c>
      <c r="E322" s="35">
        <v>86.45</v>
      </c>
      <c r="F322" s="35">
        <v>5092706</v>
      </c>
    </row>
    <row r="323" spans="1:6">
      <c r="A323" s="146">
        <v>42494</v>
      </c>
      <c r="B323" s="35">
        <v>88.32</v>
      </c>
      <c r="C323" s="35">
        <v>88.74</v>
      </c>
      <c r="D323" s="35">
        <v>87.87</v>
      </c>
      <c r="E323" s="35">
        <v>88.39</v>
      </c>
      <c r="F323" s="35">
        <v>1183587</v>
      </c>
    </row>
    <row r="324" spans="1:6">
      <c r="A324" s="146">
        <v>42493</v>
      </c>
      <c r="B324" s="35">
        <v>89.19</v>
      </c>
      <c r="C324" s="35">
        <v>89.49</v>
      </c>
      <c r="D324" s="35">
        <v>87.85</v>
      </c>
      <c r="E324" s="35">
        <v>88.81</v>
      </c>
      <c r="F324" s="35">
        <v>3248017</v>
      </c>
    </row>
    <row r="325" spans="1:6">
      <c r="A325" s="146">
        <v>42492</v>
      </c>
      <c r="B325" s="35">
        <v>88.24</v>
      </c>
      <c r="C325" s="35">
        <v>89.6</v>
      </c>
      <c r="D325" s="35">
        <v>88.21</v>
      </c>
      <c r="E325" s="35">
        <v>89.43</v>
      </c>
      <c r="F325" s="35">
        <v>2227357</v>
      </c>
    </row>
    <row r="326" spans="1:6">
      <c r="A326" s="146">
        <v>42489</v>
      </c>
      <c r="B326" s="35">
        <v>88.4</v>
      </c>
      <c r="C326" s="35">
        <v>88.89</v>
      </c>
      <c r="D326" s="35">
        <v>87.77</v>
      </c>
      <c r="E326" s="35">
        <v>88.44</v>
      </c>
      <c r="F326" s="35">
        <v>2290479</v>
      </c>
    </row>
    <row r="327" spans="1:6">
      <c r="A327" s="146">
        <v>42488</v>
      </c>
      <c r="B327" s="35">
        <v>87.84</v>
      </c>
      <c r="C327" s="35">
        <v>90.89</v>
      </c>
      <c r="D327" s="35">
        <v>87.4</v>
      </c>
      <c r="E327" s="35">
        <v>89.1</v>
      </c>
      <c r="F327" s="35">
        <v>2953665</v>
      </c>
    </row>
    <row r="328" spans="1:6">
      <c r="A328" s="146">
        <v>42487</v>
      </c>
      <c r="B328" s="35">
        <v>89.73</v>
      </c>
      <c r="C328" s="35">
        <v>90.45</v>
      </c>
      <c r="D328" s="35">
        <v>89.61</v>
      </c>
      <c r="E328" s="35">
        <v>90.12</v>
      </c>
      <c r="F328" s="35">
        <v>2406460</v>
      </c>
    </row>
    <row r="329" spans="1:6">
      <c r="A329" s="146">
        <v>42486</v>
      </c>
      <c r="B329" s="35">
        <v>89.82</v>
      </c>
      <c r="C329" s="35">
        <v>90.33</v>
      </c>
      <c r="D329" s="35">
        <v>89.32</v>
      </c>
      <c r="E329" s="35">
        <v>89.79</v>
      </c>
      <c r="F329" s="35">
        <v>1629896</v>
      </c>
    </row>
    <row r="330" spans="1:6">
      <c r="A330" s="146">
        <v>42485</v>
      </c>
      <c r="B330" s="35">
        <v>89.54</v>
      </c>
      <c r="C330" s="35">
        <v>89.63</v>
      </c>
      <c r="D330" s="35">
        <v>89</v>
      </c>
      <c r="E330" s="35">
        <v>89.58</v>
      </c>
      <c r="F330" s="35">
        <v>1143191</v>
      </c>
    </row>
    <row r="331" spans="1:6">
      <c r="A331" s="146">
        <v>42482</v>
      </c>
      <c r="B331" s="35">
        <v>89.11</v>
      </c>
      <c r="C331" s="35">
        <v>89.81</v>
      </c>
      <c r="D331" s="35">
        <v>88.89</v>
      </c>
      <c r="E331" s="35">
        <v>89.65</v>
      </c>
      <c r="F331" s="35">
        <v>1404874</v>
      </c>
    </row>
    <row r="332" spans="1:6">
      <c r="A332" s="146">
        <v>42481</v>
      </c>
      <c r="B332" s="35">
        <v>90.62</v>
      </c>
      <c r="C332" s="35">
        <v>90.71</v>
      </c>
      <c r="D332" s="35">
        <v>89.23</v>
      </c>
      <c r="E332" s="35">
        <v>89.35</v>
      </c>
      <c r="F332" s="35">
        <v>1537562</v>
      </c>
    </row>
    <row r="333" spans="1:6">
      <c r="A333" s="146">
        <v>42480</v>
      </c>
      <c r="B333" s="35">
        <v>90.68</v>
      </c>
      <c r="C333" s="35">
        <v>90.79</v>
      </c>
      <c r="D333" s="35">
        <v>90.1</v>
      </c>
      <c r="E333" s="35">
        <v>90.12</v>
      </c>
      <c r="F333" s="35">
        <v>1898883</v>
      </c>
    </row>
    <row r="334" spans="1:6">
      <c r="A334" s="146">
        <v>42479</v>
      </c>
      <c r="B334" s="35">
        <v>91</v>
      </c>
      <c r="C334" s="35">
        <v>91</v>
      </c>
      <c r="D334" s="35">
        <v>90.27</v>
      </c>
      <c r="E334" s="35">
        <v>90.74</v>
      </c>
      <c r="F334" s="35">
        <v>1910582</v>
      </c>
    </row>
    <row r="335" spans="1:6">
      <c r="A335" s="146">
        <v>42478</v>
      </c>
      <c r="B335" s="35">
        <v>89.96</v>
      </c>
      <c r="C335" s="35">
        <v>90.76</v>
      </c>
      <c r="D335" s="35">
        <v>89.71</v>
      </c>
      <c r="E335" s="35">
        <v>90.7</v>
      </c>
      <c r="F335" s="35">
        <v>1299408</v>
      </c>
    </row>
    <row r="336" spans="1:6">
      <c r="A336" s="146">
        <v>42475</v>
      </c>
      <c r="B336" s="35">
        <v>90.83</v>
      </c>
      <c r="C336" s="35">
        <v>90.83</v>
      </c>
      <c r="D336" s="35">
        <v>89.75</v>
      </c>
      <c r="E336" s="35">
        <v>90.15</v>
      </c>
      <c r="F336" s="35">
        <v>1747562</v>
      </c>
    </row>
    <row r="337" spans="1:6">
      <c r="A337" s="146">
        <v>42474</v>
      </c>
      <c r="B337" s="35">
        <v>90.53</v>
      </c>
      <c r="C337" s="35">
        <v>90.64</v>
      </c>
      <c r="D337" s="35">
        <v>89.96</v>
      </c>
      <c r="E337" s="35">
        <v>90.26</v>
      </c>
      <c r="F337" s="35">
        <v>1802528</v>
      </c>
    </row>
    <row r="338" spans="1:6">
      <c r="A338" s="146">
        <v>42473</v>
      </c>
      <c r="B338" s="35">
        <v>90.54</v>
      </c>
      <c r="C338" s="35">
        <v>90.54</v>
      </c>
      <c r="D338" s="35">
        <v>89.7</v>
      </c>
      <c r="E338" s="35">
        <v>90.24</v>
      </c>
      <c r="F338" s="35">
        <v>1661879</v>
      </c>
    </row>
    <row r="339" spans="1:6">
      <c r="A339" s="146">
        <v>42472</v>
      </c>
      <c r="B339" s="35">
        <v>89.93</v>
      </c>
      <c r="C339" s="35">
        <v>90.16</v>
      </c>
      <c r="D339" s="35">
        <v>89.41</v>
      </c>
      <c r="E339" s="35">
        <v>90.11</v>
      </c>
      <c r="F339" s="35">
        <v>1503821</v>
      </c>
    </row>
    <row r="340" spans="1:6">
      <c r="A340" s="146">
        <v>42471</v>
      </c>
      <c r="B340" s="35">
        <v>90.95</v>
      </c>
      <c r="C340" s="35">
        <v>90.99</v>
      </c>
      <c r="D340" s="35">
        <v>89.69</v>
      </c>
      <c r="E340" s="35">
        <v>89.71</v>
      </c>
      <c r="F340" s="35">
        <v>1558275</v>
      </c>
    </row>
    <row r="341" spans="1:6">
      <c r="A341" s="146">
        <v>42468</v>
      </c>
      <c r="B341" s="35">
        <v>90.32</v>
      </c>
      <c r="C341" s="35">
        <v>90.68</v>
      </c>
      <c r="D341" s="35">
        <v>89.94</v>
      </c>
      <c r="E341" s="35">
        <v>90.33</v>
      </c>
      <c r="F341" s="35">
        <v>1086682</v>
      </c>
    </row>
    <row r="342" spans="1:6">
      <c r="A342" s="146">
        <v>42467</v>
      </c>
      <c r="B342" s="35">
        <v>90.07</v>
      </c>
      <c r="C342" s="35">
        <v>90.45</v>
      </c>
      <c r="D342" s="35">
        <v>89.41</v>
      </c>
      <c r="E342" s="35">
        <v>89.8</v>
      </c>
      <c r="F342" s="35">
        <v>1623724</v>
      </c>
    </row>
    <row r="343" spans="1:6">
      <c r="A343" s="146">
        <v>42466</v>
      </c>
      <c r="B343" s="35">
        <v>89.69</v>
      </c>
      <c r="C343" s="35">
        <v>90.94</v>
      </c>
      <c r="D343" s="35">
        <v>89.34</v>
      </c>
      <c r="E343" s="35">
        <v>90.84</v>
      </c>
      <c r="F343" s="35">
        <v>1883745</v>
      </c>
    </row>
    <row r="344" spans="1:6">
      <c r="A344" s="146">
        <v>42465</v>
      </c>
      <c r="B344" s="35">
        <v>90.69</v>
      </c>
      <c r="C344" s="35">
        <v>90.69</v>
      </c>
      <c r="D344" s="35">
        <v>89.4</v>
      </c>
      <c r="E344" s="35">
        <v>89.75</v>
      </c>
      <c r="F344" s="35">
        <v>1783667</v>
      </c>
    </row>
    <row r="345" spans="1:6">
      <c r="A345" s="146">
        <v>42464</v>
      </c>
      <c r="B345" s="35">
        <v>90.08</v>
      </c>
      <c r="C345" s="35">
        <v>90.4</v>
      </c>
      <c r="D345" s="35">
        <v>89.47</v>
      </c>
      <c r="E345" s="35">
        <v>89.71</v>
      </c>
      <c r="F345" s="35">
        <v>1175545</v>
      </c>
    </row>
    <row r="346" spans="1:6">
      <c r="A346" s="146">
        <v>42461</v>
      </c>
      <c r="B346" s="35">
        <v>88.74</v>
      </c>
      <c r="C346" s="35">
        <v>90.37</v>
      </c>
      <c r="D346" s="35">
        <v>88.74</v>
      </c>
      <c r="E346" s="35">
        <v>90.26</v>
      </c>
      <c r="F346" s="35">
        <v>1623614</v>
      </c>
    </row>
    <row r="347" spans="1:6">
      <c r="A347" s="146">
        <v>42460</v>
      </c>
      <c r="B347" s="35">
        <v>89.07</v>
      </c>
      <c r="C347" s="35">
        <v>90</v>
      </c>
      <c r="D347" s="35">
        <v>89.07</v>
      </c>
      <c r="E347" s="35">
        <v>89.71</v>
      </c>
      <c r="F347" s="35">
        <v>1479752</v>
      </c>
    </row>
    <row r="348" spans="1:6">
      <c r="A348" s="146">
        <v>42459</v>
      </c>
      <c r="B348" s="35">
        <v>89.71</v>
      </c>
      <c r="C348" s="35">
        <v>89.78</v>
      </c>
      <c r="D348" s="35">
        <v>89.06</v>
      </c>
      <c r="E348" s="35">
        <v>89.15</v>
      </c>
      <c r="F348" s="35">
        <v>1503033</v>
      </c>
    </row>
    <row r="349" spans="1:6">
      <c r="A349" s="146">
        <v>42458</v>
      </c>
      <c r="B349" s="35">
        <v>88.42</v>
      </c>
      <c r="C349" s="35">
        <v>89.46</v>
      </c>
      <c r="D349" s="35">
        <v>88.25</v>
      </c>
      <c r="E349" s="35">
        <v>89.43</v>
      </c>
      <c r="F349" s="35">
        <v>1711455</v>
      </c>
    </row>
    <row r="350" spans="1:6">
      <c r="A350" s="146">
        <v>42457</v>
      </c>
      <c r="B350" s="35">
        <v>88.8</v>
      </c>
      <c r="C350" s="35">
        <v>88.96</v>
      </c>
      <c r="D350" s="35">
        <v>88.23</v>
      </c>
      <c r="E350" s="35">
        <v>88.3</v>
      </c>
      <c r="F350" s="35">
        <v>1324081</v>
      </c>
    </row>
    <row r="351" spans="1:6">
      <c r="A351" s="146">
        <v>42453</v>
      </c>
      <c r="B351" s="35">
        <v>88.23</v>
      </c>
      <c r="C351" s="35">
        <v>88.77</v>
      </c>
      <c r="D351" s="35">
        <v>87.77</v>
      </c>
      <c r="E351" s="35">
        <v>88.75</v>
      </c>
      <c r="F351" s="35">
        <v>1028952</v>
      </c>
    </row>
    <row r="352" spans="1:6">
      <c r="A352" s="146">
        <v>42452</v>
      </c>
      <c r="B352" s="35">
        <v>88.56</v>
      </c>
      <c r="C352" s="35">
        <v>88.79</v>
      </c>
      <c r="D352" s="35">
        <v>88.21</v>
      </c>
      <c r="E352" s="35">
        <v>88.53</v>
      </c>
      <c r="F352" s="35">
        <v>1177251</v>
      </c>
    </row>
    <row r="353" spans="1:6">
      <c r="A353" s="146">
        <v>42451</v>
      </c>
      <c r="B353" s="35">
        <v>88.79</v>
      </c>
      <c r="C353" s="35">
        <v>89.01</v>
      </c>
      <c r="D353" s="35">
        <v>88.41</v>
      </c>
      <c r="E353" s="35">
        <v>88.64</v>
      </c>
      <c r="F353" s="35">
        <v>1209629</v>
      </c>
    </row>
    <row r="354" spans="1:6">
      <c r="A354" s="146">
        <v>42450</v>
      </c>
      <c r="B354" s="35">
        <v>88.21</v>
      </c>
      <c r="C354" s="35">
        <v>89.33</v>
      </c>
      <c r="D354" s="35">
        <v>88.14</v>
      </c>
      <c r="E354" s="35">
        <v>89.01</v>
      </c>
      <c r="F354" s="35">
        <v>1571504</v>
      </c>
    </row>
    <row r="355" spans="1:6">
      <c r="A355" s="146">
        <v>42447</v>
      </c>
      <c r="B355" s="35">
        <v>89.24</v>
      </c>
      <c r="C355" s="35">
        <v>89.24</v>
      </c>
      <c r="D355" s="35">
        <v>88.02</v>
      </c>
      <c r="E355" s="35">
        <v>88.64</v>
      </c>
      <c r="F355" s="35">
        <v>3206287</v>
      </c>
    </row>
    <row r="356" spans="1:6">
      <c r="A356" s="146">
        <v>42446</v>
      </c>
      <c r="B356" s="35">
        <v>87.76</v>
      </c>
      <c r="C356" s="35">
        <v>89.09</v>
      </c>
      <c r="D356" s="35">
        <v>87.62</v>
      </c>
      <c r="E356" s="35">
        <v>88.84</v>
      </c>
      <c r="F356" s="35">
        <v>1481849</v>
      </c>
    </row>
    <row r="357" spans="1:6">
      <c r="A357" s="146">
        <v>42445</v>
      </c>
      <c r="B357" s="35">
        <v>86.99</v>
      </c>
      <c r="C357" s="35">
        <v>87.88</v>
      </c>
      <c r="D357" s="35">
        <v>86.71</v>
      </c>
      <c r="E357" s="35">
        <v>87.66</v>
      </c>
      <c r="F357" s="35">
        <v>1077402</v>
      </c>
    </row>
    <row r="358" spans="1:6">
      <c r="A358" s="146">
        <v>42444</v>
      </c>
      <c r="B358" s="35">
        <v>86.55</v>
      </c>
      <c r="C358" s="35">
        <v>87.34</v>
      </c>
      <c r="D358" s="35">
        <v>86.41</v>
      </c>
      <c r="E358" s="35">
        <v>87.32</v>
      </c>
      <c r="F358" s="35">
        <v>1195064</v>
      </c>
    </row>
    <row r="359" spans="1:6">
      <c r="A359" s="146">
        <v>42443</v>
      </c>
      <c r="B359" s="35">
        <v>86.81</v>
      </c>
      <c r="C359" s="35">
        <v>87.44</v>
      </c>
      <c r="D359" s="35">
        <v>86.57</v>
      </c>
      <c r="E359" s="35">
        <v>87.27</v>
      </c>
      <c r="F359" s="35">
        <v>1311980</v>
      </c>
    </row>
    <row r="360" spans="1:6">
      <c r="A360" s="146">
        <v>42440</v>
      </c>
      <c r="B360" s="35">
        <v>86.31</v>
      </c>
      <c r="C360" s="35">
        <v>87.49</v>
      </c>
      <c r="D360" s="35">
        <v>85.67</v>
      </c>
      <c r="E360" s="35">
        <v>87.27</v>
      </c>
      <c r="F360" s="35">
        <v>1863316</v>
      </c>
    </row>
    <row r="361" spans="1:6">
      <c r="A361" s="146">
        <v>42439</v>
      </c>
      <c r="B361" s="35">
        <v>86.21</v>
      </c>
      <c r="C361" s="35">
        <v>86.75</v>
      </c>
      <c r="D361" s="35">
        <v>84.36</v>
      </c>
      <c r="E361" s="35">
        <v>85.2</v>
      </c>
      <c r="F361" s="35">
        <v>1528377</v>
      </c>
    </row>
    <row r="362" spans="1:6">
      <c r="A362" s="146">
        <v>42438</v>
      </c>
      <c r="B362" s="35">
        <v>85.33</v>
      </c>
      <c r="C362" s="35">
        <v>85.77</v>
      </c>
      <c r="D362" s="35">
        <v>85.03</v>
      </c>
      <c r="E362" s="35">
        <v>85.72</v>
      </c>
      <c r="F362" s="35">
        <v>1636318</v>
      </c>
    </row>
    <row r="363" spans="1:6">
      <c r="A363" s="146">
        <v>42437</v>
      </c>
      <c r="B363" s="35">
        <v>85.6</v>
      </c>
      <c r="C363" s="35">
        <v>86.14</v>
      </c>
      <c r="D363" s="35">
        <v>85.05</v>
      </c>
      <c r="E363" s="35">
        <v>85.49</v>
      </c>
      <c r="F363" s="35">
        <v>1741632</v>
      </c>
    </row>
    <row r="364" spans="1:6">
      <c r="A364" s="146">
        <v>42436</v>
      </c>
      <c r="B364" s="35">
        <v>85.48</v>
      </c>
      <c r="C364" s="35">
        <v>86.46</v>
      </c>
      <c r="D364" s="35">
        <v>85.48</v>
      </c>
      <c r="E364" s="35">
        <v>86.09</v>
      </c>
      <c r="F364" s="35">
        <v>1399957</v>
      </c>
    </row>
    <row r="365" spans="1:6">
      <c r="A365" s="146">
        <v>42433</v>
      </c>
      <c r="B365" s="35">
        <v>85.91</v>
      </c>
      <c r="C365" s="35">
        <v>86.36</v>
      </c>
      <c r="D365" s="35">
        <v>85.33</v>
      </c>
      <c r="E365" s="35">
        <v>86.19</v>
      </c>
      <c r="F365" s="35">
        <v>1580010</v>
      </c>
    </row>
    <row r="366" spans="1:6">
      <c r="A366" s="146">
        <v>42432</v>
      </c>
      <c r="B366" s="35">
        <v>84.85</v>
      </c>
      <c r="C366" s="35">
        <v>85.72</v>
      </c>
      <c r="D366" s="35">
        <v>84.85</v>
      </c>
      <c r="E366" s="35">
        <v>85.65</v>
      </c>
      <c r="F366" s="35">
        <v>1700511</v>
      </c>
    </row>
    <row r="367" spans="1:6">
      <c r="A367" s="146">
        <v>42431</v>
      </c>
      <c r="B367" s="35">
        <v>86.36</v>
      </c>
      <c r="C367" s="35">
        <v>86.36</v>
      </c>
      <c r="D367" s="35">
        <v>85.01</v>
      </c>
      <c r="E367" s="35">
        <v>85.65</v>
      </c>
      <c r="F367" s="35">
        <v>2059346</v>
      </c>
    </row>
    <row r="368" spans="1:6">
      <c r="A368" s="146">
        <v>42430</v>
      </c>
      <c r="B368" s="35">
        <v>85.62</v>
      </c>
      <c r="C368" s="35">
        <v>86.77</v>
      </c>
      <c r="D368" s="35">
        <v>85.26</v>
      </c>
      <c r="E368" s="35">
        <v>86.77</v>
      </c>
      <c r="F368" s="35">
        <v>1579881</v>
      </c>
    </row>
    <row r="369" spans="1:6">
      <c r="A369" s="146">
        <v>42429</v>
      </c>
      <c r="B369" s="35">
        <v>85.41</v>
      </c>
      <c r="C369" s="35">
        <v>86.04</v>
      </c>
      <c r="D369" s="35">
        <v>84.67</v>
      </c>
      <c r="E369" s="35">
        <v>84.69</v>
      </c>
      <c r="F369" s="35">
        <v>1785085</v>
      </c>
    </row>
    <row r="370" spans="1:6">
      <c r="A370" s="146">
        <v>42426</v>
      </c>
      <c r="B370" s="35">
        <v>86.54</v>
      </c>
      <c r="C370" s="35">
        <v>86.57</v>
      </c>
      <c r="D370" s="35">
        <v>85.22</v>
      </c>
      <c r="E370" s="35">
        <v>85.66</v>
      </c>
      <c r="F370" s="35">
        <v>1401968</v>
      </c>
    </row>
    <row r="371" spans="1:6">
      <c r="A371" s="146">
        <v>42425</v>
      </c>
      <c r="B371" s="35">
        <v>86.11</v>
      </c>
      <c r="C371" s="35">
        <v>86.12</v>
      </c>
      <c r="D371" s="35">
        <v>84.83</v>
      </c>
      <c r="E371" s="35">
        <v>85.92</v>
      </c>
      <c r="F371" s="35">
        <v>1418243</v>
      </c>
    </row>
    <row r="372" spans="1:6">
      <c r="A372" s="146">
        <v>42424</v>
      </c>
      <c r="B372" s="35">
        <v>83.92</v>
      </c>
      <c r="C372" s="35">
        <v>85.47</v>
      </c>
      <c r="D372" s="35">
        <v>83.09</v>
      </c>
      <c r="E372" s="35">
        <v>85.26</v>
      </c>
      <c r="F372" s="35">
        <v>1727228</v>
      </c>
    </row>
    <row r="373" spans="1:6">
      <c r="A373" s="146">
        <v>42423</v>
      </c>
      <c r="B373" s="35">
        <v>86.12</v>
      </c>
      <c r="C373" s="35">
        <v>86.48</v>
      </c>
      <c r="D373" s="35">
        <v>84.69</v>
      </c>
      <c r="E373" s="35">
        <v>84.85</v>
      </c>
      <c r="F373" s="35">
        <v>1853391</v>
      </c>
    </row>
    <row r="374" spans="1:6">
      <c r="A374" s="146">
        <v>42422</v>
      </c>
      <c r="B374" s="35">
        <v>85.99</v>
      </c>
      <c r="C374" s="35">
        <v>86.76</v>
      </c>
      <c r="D374" s="35">
        <v>85.94</v>
      </c>
      <c r="E374" s="35">
        <v>86.4</v>
      </c>
      <c r="F374" s="35">
        <v>1616651</v>
      </c>
    </row>
    <row r="375" spans="1:6">
      <c r="A375" s="146">
        <v>42419</v>
      </c>
      <c r="B375" s="35">
        <v>84.82</v>
      </c>
      <c r="C375" s="35">
        <v>85.69</v>
      </c>
      <c r="D375" s="35">
        <v>84.39</v>
      </c>
      <c r="E375" s="35">
        <v>85.56</v>
      </c>
      <c r="F375" s="35">
        <v>2063227</v>
      </c>
    </row>
    <row r="376" spans="1:6">
      <c r="A376" s="146">
        <v>42418</v>
      </c>
      <c r="B376" s="35">
        <v>85.48</v>
      </c>
      <c r="C376" s="35">
        <v>85.7</v>
      </c>
      <c r="D376" s="35">
        <v>84.76</v>
      </c>
      <c r="E376" s="35">
        <v>84.91</v>
      </c>
      <c r="F376" s="35">
        <v>1537110</v>
      </c>
    </row>
    <row r="377" spans="1:6">
      <c r="A377" s="146">
        <v>42417</v>
      </c>
      <c r="B377" s="35">
        <v>84.18</v>
      </c>
      <c r="C377" s="35">
        <v>85.44</v>
      </c>
      <c r="D377" s="35">
        <v>83.9</v>
      </c>
      <c r="E377" s="35">
        <v>85.33</v>
      </c>
      <c r="F377" s="35">
        <v>1880165</v>
      </c>
    </row>
    <row r="378" spans="1:6">
      <c r="A378" s="146">
        <v>42416</v>
      </c>
      <c r="B378" s="35">
        <v>83.05</v>
      </c>
      <c r="C378" s="35">
        <v>84.02</v>
      </c>
      <c r="D378" s="35">
        <v>82.59</v>
      </c>
      <c r="E378" s="35">
        <v>83.78</v>
      </c>
      <c r="F378" s="35">
        <v>2002856</v>
      </c>
    </row>
    <row r="379" spans="1:6">
      <c r="A379" s="146">
        <v>42412</v>
      </c>
      <c r="B379" s="35">
        <v>81.27</v>
      </c>
      <c r="C379" s="35">
        <v>81.88</v>
      </c>
      <c r="D379" s="35">
        <v>80.569999999999993</v>
      </c>
      <c r="E379" s="35">
        <v>81.739999999999995</v>
      </c>
      <c r="F379" s="35">
        <v>1505637</v>
      </c>
    </row>
    <row r="380" spans="1:6">
      <c r="A380" s="146">
        <v>42411</v>
      </c>
      <c r="B380" s="35">
        <v>79.38</v>
      </c>
      <c r="C380" s="35">
        <v>80.55</v>
      </c>
      <c r="D380" s="35">
        <v>79.08</v>
      </c>
      <c r="E380" s="35">
        <v>80.209999999999994</v>
      </c>
      <c r="F380" s="35">
        <v>2824879</v>
      </c>
    </row>
    <row r="381" spans="1:6">
      <c r="A381" s="146">
        <v>42410</v>
      </c>
      <c r="B381" s="35">
        <v>81.819999999999993</v>
      </c>
      <c r="C381" s="35">
        <v>82.57</v>
      </c>
      <c r="D381" s="35">
        <v>80.59</v>
      </c>
      <c r="E381" s="35">
        <v>80.83</v>
      </c>
      <c r="F381" s="35">
        <v>1872508</v>
      </c>
    </row>
    <row r="382" spans="1:6">
      <c r="A382" s="146">
        <v>42409</v>
      </c>
      <c r="B382" s="35">
        <v>80.95</v>
      </c>
      <c r="C382" s="35">
        <v>81.83</v>
      </c>
      <c r="D382" s="35">
        <v>80.34</v>
      </c>
      <c r="E382" s="35">
        <v>80.67</v>
      </c>
      <c r="F382" s="35">
        <v>2246221</v>
      </c>
    </row>
    <row r="383" spans="1:6">
      <c r="A383" s="146">
        <v>42408</v>
      </c>
      <c r="B383" s="35">
        <v>80.400000000000006</v>
      </c>
      <c r="C383" s="35">
        <v>81.5</v>
      </c>
      <c r="D383" s="35">
        <v>78.98</v>
      </c>
      <c r="E383" s="35">
        <v>81.25</v>
      </c>
      <c r="F383" s="35">
        <v>2344392</v>
      </c>
    </row>
    <row r="384" spans="1:6">
      <c r="A384" s="146">
        <v>42405</v>
      </c>
      <c r="B384" s="35">
        <v>82.8</v>
      </c>
      <c r="C384" s="35">
        <v>82.99</v>
      </c>
      <c r="D384" s="35">
        <v>80.94</v>
      </c>
      <c r="E384" s="35">
        <v>81.31</v>
      </c>
      <c r="F384" s="35">
        <v>2213426</v>
      </c>
    </row>
    <row r="385" spans="1:6">
      <c r="A385" s="146">
        <v>42404</v>
      </c>
      <c r="B385" s="35">
        <v>82.03</v>
      </c>
      <c r="C385" s="35">
        <v>82.9</v>
      </c>
      <c r="D385" s="35">
        <v>81.55</v>
      </c>
      <c r="E385" s="35">
        <v>82.8</v>
      </c>
      <c r="F385" s="35">
        <v>1813795</v>
      </c>
    </row>
    <row r="386" spans="1:6">
      <c r="A386" s="146">
        <v>42403</v>
      </c>
      <c r="B386" s="35">
        <v>83.12</v>
      </c>
      <c r="C386" s="35">
        <v>83.24</v>
      </c>
      <c r="D386" s="35">
        <v>80.81</v>
      </c>
      <c r="E386" s="35">
        <v>82.15</v>
      </c>
      <c r="F386" s="35">
        <v>3047793</v>
      </c>
    </row>
    <row r="387" spans="1:6">
      <c r="A387" s="146">
        <v>42402</v>
      </c>
      <c r="B387" s="35">
        <v>82.73</v>
      </c>
      <c r="C387" s="35">
        <v>82.95</v>
      </c>
      <c r="D387" s="35">
        <v>81.7</v>
      </c>
      <c r="E387" s="35">
        <v>82.17</v>
      </c>
      <c r="F387" s="35">
        <v>3684578</v>
      </c>
    </row>
    <row r="388" spans="1:6">
      <c r="A388" s="146">
        <v>42401</v>
      </c>
      <c r="B388" s="35">
        <v>80.72</v>
      </c>
      <c r="C388" s="35">
        <v>83.42</v>
      </c>
      <c r="D388" s="35">
        <v>80.540000000000006</v>
      </c>
      <c r="E388" s="35">
        <v>82.97</v>
      </c>
      <c r="F388" s="35">
        <v>2821491</v>
      </c>
    </row>
    <row r="389" spans="1:6">
      <c r="A389" s="146">
        <v>42398</v>
      </c>
      <c r="B389" s="35">
        <v>81.52</v>
      </c>
      <c r="C389" s="35">
        <v>83.12</v>
      </c>
      <c r="D389" s="35">
        <v>81.17</v>
      </c>
      <c r="E389" s="35">
        <v>83.09</v>
      </c>
      <c r="F389" s="35">
        <v>2815715</v>
      </c>
    </row>
    <row r="390" spans="1:6">
      <c r="A390" s="146">
        <v>42397</v>
      </c>
      <c r="B390" s="35">
        <v>81</v>
      </c>
      <c r="C390" s="35">
        <v>81.52</v>
      </c>
      <c r="D390" s="35">
        <v>80.489999999999995</v>
      </c>
      <c r="E390" s="35">
        <v>80.75</v>
      </c>
      <c r="F390" s="35">
        <v>2015079</v>
      </c>
    </row>
    <row r="391" spans="1:6">
      <c r="A391" s="146">
        <v>42396</v>
      </c>
      <c r="B391" s="35">
        <v>80.98</v>
      </c>
      <c r="C391" s="35">
        <v>81.83</v>
      </c>
      <c r="D391" s="35">
        <v>79.89</v>
      </c>
      <c r="E391" s="35">
        <v>80.48</v>
      </c>
      <c r="F391" s="35">
        <v>1699848</v>
      </c>
    </row>
    <row r="392" spans="1:6">
      <c r="A392" s="146">
        <v>42395</v>
      </c>
      <c r="B392" s="35">
        <v>80.09</v>
      </c>
      <c r="C392" s="35">
        <v>81.45</v>
      </c>
      <c r="D392" s="35">
        <v>80.05</v>
      </c>
      <c r="E392" s="35">
        <v>80.89</v>
      </c>
      <c r="F392" s="35">
        <v>1664542</v>
      </c>
    </row>
    <row r="393" spans="1:6">
      <c r="A393" s="146">
        <v>42394</v>
      </c>
      <c r="B393" s="35">
        <v>80.37</v>
      </c>
      <c r="C393" s="35">
        <v>81.010000000000005</v>
      </c>
      <c r="D393" s="35">
        <v>79.989999999999995</v>
      </c>
      <c r="E393" s="35">
        <v>80.09</v>
      </c>
      <c r="F393" s="35">
        <v>1790714</v>
      </c>
    </row>
    <row r="394" spans="1:6">
      <c r="A394" s="146">
        <v>42391</v>
      </c>
      <c r="B394" s="35">
        <v>80.83</v>
      </c>
      <c r="C394" s="35">
        <v>81.180000000000007</v>
      </c>
      <c r="D394" s="35">
        <v>79.819999999999993</v>
      </c>
      <c r="E394" s="35">
        <v>81.11</v>
      </c>
      <c r="F394" s="35">
        <v>1940151</v>
      </c>
    </row>
    <row r="395" spans="1:6">
      <c r="A395" s="146">
        <v>42390</v>
      </c>
      <c r="B395" s="35">
        <v>78.69</v>
      </c>
      <c r="C395" s="35">
        <v>79.98</v>
      </c>
      <c r="D395" s="35">
        <v>77.77</v>
      </c>
      <c r="E395" s="35">
        <v>79.25</v>
      </c>
      <c r="F395" s="35">
        <v>2672433</v>
      </c>
    </row>
    <row r="396" spans="1:6">
      <c r="A396" s="146">
        <v>42389</v>
      </c>
      <c r="B396" s="35">
        <v>78.09</v>
      </c>
      <c r="C396" s="35">
        <v>79.040000000000006</v>
      </c>
      <c r="D396" s="35">
        <v>76.900000000000006</v>
      </c>
      <c r="E396" s="35">
        <v>78.22</v>
      </c>
      <c r="F396" s="35">
        <v>3055472</v>
      </c>
    </row>
    <row r="397" spans="1:6">
      <c r="A397" s="146">
        <v>42388</v>
      </c>
      <c r="B397" s="35">
        <v>78.92</v>
      </c>
      <c r="C397" s="35">
        <v>79.459999999999994</v>
      </c>
      <c r="D397" s="35">
        <v>78.260000000000005</v>
      </c>
      <c r="E397" s="35">
        <v>79.11</v>
      </c>
      <c r="F397" s="35">
        <v>2209640</v>
      </c>
    </row>
    <row r="398" spans="1:6">
      <c r="A398" s="146">
        <v>42384</v>
      </c>
      <c r="B398" s="35">
        <v>76.84</v>
      </c>
      <c r="C398" s="35">
        <v>78.400000000000006</v>
      </c>
      <c r="D398" s="35">
        <v>76.650000000000006</v>
      </c>
      <c r="E398" s="35">
        <v>77.92</v>
      </c>
      <c r="F398" s="35">
        <v>2952802</v>
      </c>
    </row>
    <row r="399" spans="1:6">
      <c r="A399" s="146">
        <v>42383</v>
      </c>
      <c r="B399" s="35">
        <v>77.599999999999994</v>
      </c>
      <c r="C399" s="35">
        <v>79.510000000000005</v>
      </c>
      <c r="D399" s="35">
        <v>77.5</v>
      </c>
      <c r="E399" s="35">
        <v>78.989999999999995</v>
      </c>
      <c r="F399" s="35">
        <v>2847722</v>
      </c>
    </row>
    <row r="400" spans="1:6">
      <c r="A400" s="146">
        <v>42382</v>
      </c>
      <c r="B400" s="35">
        <v>79.34</v>
      </c>
      <c r="C400" s="35">
        <v>79.8</v>
      </c>
      <c r="D400" s="35">
        <v>77.12</v>
      </c>
      <c r="E400" s="35">
        <v>77.34</v>
      </c>
      <c r="F400" s="35">
        <v>1818834</v>
      </c>
    </row>
    <row r="401" spans="1:6">
      <c r="A401" s="146">
        <v>42381</v>
      </c>
      <c r="B401" s="35">
        <v>78.86</v>
      </c>
      <c r="C401" s="35">
        <v>79.5</v>
      </c>
      <c r="D401" s="35">
        <v>78.44</v>
      </c>
      <c r="E401" s="35">
        <v>79.47</v>
      </c>
      <c r="F401" s="35">
        <v>1975167</v>
      </c>
    </row>
    <row r="402" spans="1:6">
      <c r="A402" s="146">
        <v>42380</v>
      </c>
      <c r="B402" s="35">
        <v>78.45</v>
      </c>
      <c r="C402" s="35">
        <v>79.03</v>
      </c>
      <c r="D402" s="35">
        <v>77.709999999999994</v>
      </c>
      <c r="E402" s="35">
        <v>78.510000000000005</v>
      </c>
      <c r="F402" s="35">
        <v>2127341</v>
      </c>
    </row>
    <row r="403" spans="1:6">
      <c r="A403" s="146">
        <v>42377</v>
      </c>
      <c r="B403" s="35">
        <v>78.930000000000007</v>
      </c>
      <c r="C403" s="35">
        <v>79.25</v>
      </c>
      <c r="D403" s="35">
        <v>77.8</v>
      </c>
      <c r="E403" s="35">
        <v>78.13</v>
      </c>
      <c r="F403" s="35">
        <v>2486959</v>
      </c>
    </row>
    <row r="404" spans="1:6">
      <c r="A404" s="146">
        <v>42376</v>
      </c>
      <c r="B404" s="35">
        <v>79.64</v>
      </c>
      <c r="C404" s="35">
        <v>80.349999999999994</v>
      </c>
      <c r="D404" s="35">
        <v>78.459999999999994</v>
      </c>
      <c r="E404" s="35">
        <v>78.78</v>
      </c>
      <c r="F404" s="35">
        <v>5031269</v>
      </c>
    </row>
    <row r="405" spans="1:6">
      <c r="A405" s="146">
        <v>42375</v>
      </c>
      <c r="B405" s="35">
        <v>81.08</v>
      </c>
      <c r="C405" s="35">
        <v>81.709999999999994</v>
      </c>
      <c r="D405" s="35">
        <v>80.88</v>
      </c>
      <c r="E405" s="35">
        <v>81.260000000000005</v>
      </c>
      <c r="F405" s="35">
        <v>1511025</v>
      </c>
    </row>
    <row r="406" spans="1:6">
      <c r="A406" s="146">
        <v>42374</v>
      </c>
      <c r="B406" s="35">
        <v>82.66</v>
      </c>
      <c r="C406" s="35">
        <v>83.21</v>
      </c>
      <c r="D406" s="35">
        <v>81.819999999999993</v>
      </c>
      <c r="E406" s="35">
        <v>82.27</v>
      </c>
      <c r="F406" s="35">
        <v>2036731</v>
      </c>
    </row>
    <row r="407" spans="1:6">
      <c r="A407" s="146">
        <v>42373</v>
      </c>
      <c r="B407" s="35">
        <v>82.93</v>
      </c>
      <c r="C407" s="35">
        <v>83.19</v>
      </c>
      <c r="D407" s="35">
        <v>81.25</v>
      </c>
      <c r="E407" s="35">
        <v>82.07</v>
      </c>
      <c r="F407" s="35">
        <v>2239514</v>
      </c>
    </row>
    <row r="408" spans="1:6">
      <c r="A408" s="146">
        <v>42369</v>
      </c>
      <c r="B408" s="35">
        <v>85.78</v>
      </c>
      <c r="C408" s="35">
        <v>86.34</v>
      </c>
      <c r="D408" s="35">
        <v>84.55</v>
      </c>
      <c r="E408" s="35">
        <v>84.72</v>
      </c>
      <c r="F408" s="35">
        <v>1420087</v>
      </c>
    </row>
    <row r="409" spans="1:6">
      <c r="A409" s="146">
        <v>42368</v>
      </c>
      <c r="B409" s="35">
        <v>86.74</v>
      </c>
      <c r="C409" s="35">
        <v>87.1</v>
      </c>
      <c r="D409" s="35">
        <v>86.33</v>
      </c>
      <c r="E409" s="35">
        <v>86.38</v>
      </c>
      <c r="F409" s="35">
        <v>744493</v>
      </c>
    </row>
    <row r="410" spans="1:6">
      <c r="A410" s="146">
        <v>42367</v>
      </c>
      <c r="B410" s="35">
        <v>86.5</v>
      </c>
      <c r="C410" s="35">
        <v>87.25</v>
      </c>
      <c r="D410" s="35">
        <v>86.44</v>
      </c>
      <c r="E410" s="35">
        <v>86.84</v>
      </c>
      <c r="F410" s="35">
        <v>975897</v>
      </c>
    </row>
    <row r="411" spans="1:6">
      <c r="A411" s="146">
        <v>42366</v>
      </c>
      <c r="B411" s="35">
        <v>85.45</v>
      </c>
      <c r="C411" s="35">
        <v>85.92</v>
      </c>
      <c r="D411" s="35">
        <v>85.02</v>
      </c>
      <c r="E411" s="35">
        <v>85.75</v>
      </c>
      <c r="F411" s="35">
        <v>968014</v>
      </c>
    </row>
    <row r="412" spans="1:6">
      <c r="A412" s="146">
        <v>42362</v>
      </c>
      <c r="B412" s="35">
        <v>85.92</v>
      </c>
      <c r="C412" s="35">
        <v>86.32</v>
      </c>
      <c r="D412" s="35">
        <v>85.66</v>
      </c>
      <c r="E412" s="35">
        <v>85.94</v>
      </c>
      <c r="F412" s="35">
        <v>640237</v>
      </c>
    </row>
    <row r="413" spans="1:6">
      <c r="A413" s="146">
        <v>42361</v>
      </c>
      <c r="B413" s="35">
        <v>85.39</v>
      </c>
      <c r="C413" s="35">
        <v>85.96</v>
      </c>
      <c r="D413" s="35">
        <v>84.86</v>
      </c>
      <c r="E413" s="35">
        <v>85.73</v>
      </c>
      <c r="F413" s="35">
        <v>1056644</v>
      </c>
    </row>
    <row r="414" spans="1:6">
      <c r="A414" s="146">
        <v>42360</v>
      </c>
      <c r="B414" s="35">
        <v>84.76</v>
      </c>
      <c r="C414" s="35">
        <v>85.23</v>
      </c>
      <c r="D414" s="35">
        <v>83.66</v>
      </c>
      <c r="E414" s="35">
        <v>84.86</v>
      </c>
      <c r="F414" s="35">
        <v>1772474</v>
      </c>
    </row>
    <row r="415" spans="1:6">
      <c r="A415" s="146">
        <v>42359</v>
      </c>
      <c r="B415" s="35">
        <v>83.81</v>
      </c>
      <c r="C415" s="35">
        <v>84.19</v>
      </c>
      <c r="D415" s="35">
        <v>83.28</v>
      </c>
      <c r="E415" s="35">
        <v>84.14</v>
      </c>
      <c r="F415" s="35">
        <v>1432790</v>
      </c>
    </row>
    <row r="416" spans="1:6">
      <c r="A416" s="146">
        <v>42356</v>
      </c>
      <c r="B416" s="35">
        <v>84.13</v>
      </c>
      <c r="C416" s="35">
        <v>84.68</v>
      </c>
      <c r="D416" s="35">
        <v>83.21</v>
      </c>
      <c r="E416" s="35">
        <v>83.28</v>
      </c>
      <c r="F416" s="35">
        <v>3879447</v>
      </c>
    </row>
    <row r="417" spans="1:6">
      <c r="A417" s="146">
        <v>42355</v>
      </c>
      <c r="B417" s="35">
        <v>86.29</v>
      </c>
      <c r="C417" s="35">
        <v>86.73</v>
      </c>
      <c r="D417" s="35">
        <v>84.76</v>
      </c>
      <c r="E417" s="35">
        <v>84.81</v>
      </c>
      <c r="F417" s="35">
        <v>1756248</v>
      </c>
    </row>
    <row r="418" spans="1:6">
      <c r="A418" s="146">
        <v>42354</v>
      </c>
      <c r="B418" s="35">
        <v>86.06</v>
      </c>
      <c r="C418" s="35">
        <v>86.36</v>
      </c>
      <c r="D418" s="35">
        <v>84.73</v>
      </c>
      <c r="E418" s="35">
        <v>86.2</v>
      </c>
      <c r="F418" s="35">
        <v>1535104</v>
      </c>
    </row>
    <row r="419" spans="1:6">
      <c r="A419" s="146">
        <v>42353</v>
      </c>
      <c r="B419" s="35">
        <v>85.31</v>
      </c>
      <c r="C419" s="35">
        <v>86.07</v>
      </c>
      <c r="D419" s="35">
        <v>84.91</v>
      </c>
      <c r="E419" s="35">
        <v>85.47</v>
      </c>
      <c r="F419" s="35">
        <v>1814949</v>
      </c>
    </row>
    <row r="420" spans="1:6">
      <c r="A420" s="146">
        <v>42352</v>
      </c>
      <c r="B420" s="35">
        <v>83.66</v>
      </c>
      <c r="C420" s="35">
        <v>84.73</v>
      </c>
      <c r="D420" s="35">
        <v>83.24</v>
      </c>
      <c r="E420" s="35">
        <v>84.6</v>
      </c>
      <c r="F420" s="35">
        <v>1528451</v>
      </c>
    </row>
    <row r="421" spans="1:6">
      <c r="A421" s="146">
        <v>42349</v>
      </c>
      <c r="B421" s="35">
        <v>84.29</v>
      </c>
      <c r="C421" s="35">
        <v>84.91</v>
      </c>
      <c r="D421" s="35">
        <v>83.14</v>
      </c>
      <c r="E421" s="35">
        <v>83.33</v>
      </c>
      <c r="F421" s="35">
        <v>1945425</v>
      </c>
    </row>
    <row r="422" spans="1:6">
      <c r="A422" s="146">
        <v>42348</v>
      </c>
      <c r="B422" s="35">
        <v>85.08</v>
      </c>
      <c r="C422" s="35">
        <v>86.3</v>
      </c>
      <c r="D422" s="35">
        <v>84.7</v>
      </c>
      <c r="E422" s="35">
        <v>85.46</v>
      </c>
      <c r="F422" s="35">
        <v>1748732</v>
      </c>
    </row>
    <row r="423" spans="1:6">
      <c r="A423" s="146">
        <v>42347</v>
      </c>
      <c r="B423" s="35">
        <v>85.65</v>
      </c>
      <c r="C423" s="35">
        <v>86.61</v>
      </c>
      <c r="D423" s="35">
        <v>84.48</v>
      </c>
      <c r="E423" s="35">
        <v>84.95</v>
      </c>
      <c r="F423" s="35">
        <v>1486533</v>
      </c>
    </row>
    <row r="424" spans="1:6">
      <c r="A424" s="146">
        <v>42346</v>
      </c>
      <c r="B424" s="35">
        <v>85.78</v>
      </c>
      <c r="C424" s="35">
        <v>86.67</v>
      </c>
      <c r="D424" s="35">
        <v>85.37</v>
      </c>
      <c r="E424" s="35">
        <v>86.32</v>
      </c>
      <c r="F424" s="35">
        <v>1659841</v>
      </c>
    </row>
    <row r="425" spans="1:6">
      <c r="A425" s="146">
        <v>42345</v>
      </c>
      <c r="B425" s="35">
        <v>87.05</v>
      </c>
      <c r="C425" s="35">
        <v>87.37</v>
      </c>
      <c r="D425" s="35">
        <v>86.22</v>
      </c>
      <c r="E425" s="35">
        <v>86.6</v>
      </c>
      <c r="F425" s="35">
        <v>1295511</v>
      </c>
    </row>
    <row r="426" spans="1:6">
      <c r="A426" s="146">
        <v>42342</v>
      </c>
      <c r="B426" s="35">
        <v>85.44</v>
      </c>
      <c r="C426" s="35">
        <v>87.54</v>
      </c>
      <c r="D426" s="35">
        <v>85.44</v>
      </c>
      <c r="E426" s="35">
        <v>87.43</v>
      </c>
      <c r="F426" s="35">
        <v>1531130</v>
      </c>
    </row>
    <row r="427" spans="1:6">
      <c r="A427" s="146">
        <v>42341</v>
      </c>
      <c r="B427" s="35">
        <v>86.96</v>
      </c>
      <c r="C427" s="35">
        <v>87.14</v>
      </c>
      <c r="D427" s="35">
        <v>84.94</v>
      </c>
      <c r="E427" s="35">
        <v>85.26</v>
      </c>
      <c r="F427" s="35">
        <v>1585311</v>
      </c>
    </row>
    <row r="428" spans="1:6">
      <c r="A428" s="146">
        <v>42340</v>
      </c>
      <c r="B428" s="35">
        <v>87.33</v>
      </c>
      <c r="C428" s="35">
        <v>87.9</v>
      </c>
      <c r="D428" s="35">
        <v>86.81</v>
      </c>
      <c r="E428" s="35">
        <v>86.91</v>
      </c>
      <c r="F428" s="35">
        <v>1586431</v>
      </c>
    </row>
    <row r="429" spans="1:6">
      <c r="A429" s="146">
        <v>42339</v>
      </c>
      <c r="B429" s="35">
        <v>86.81</v>
      </c>
      <c r="C429" s="35">
        <v>87.97</v>
      </c>
      <c r="D429" s="35">
        <v>86.49</v>
      </c>
      <c r="E429" s="35">
        <v>87.56</v>
      </c>
      <c r="F429" s="35">
        <v>1390500</v>
      </c>
    </row>
    <row r="430" spans="1:6">
      <c r="A430" s="146">
        <v>42338</v>
      </c>
      <c r="B430" s="35">
        <v>86.97</v>
      </c>
      <c r="C430" s="35">
        <v>87.08</v>
      </c>
      <c r="D430" s="35">
        <v>86.18</v>
      </c>
      <c r="E430" s="35">
        <v>86.26</v>
      </c>
      <c r="F430" s="35">
        <v>2187164</v>
      </c>
    </row>
    <row r="431" spans="1:6">
      <c r="A431" s="146">
        <v>42335</v>
      </c>
      <c r="B431" s="35">
        <v>86.48</v>
      </c>
      <c r="C431" s="35">
        <v>87.04</v>
      </c>
      <c r="D431" s="35">
        <v>86.23</v>
      </c>
      <c r="E431" s="35">
        <v>86.69</v>
      </c>
      <c r="F431" s="35">
        <v>488812</v>
      </c>
    </row>
    <row r="432" spans="1:6">
      <c r="A432" s="146">
        <v>42333</v>
      </c>
      <c r="B432" s="35">
        <v>86.74</v>
      </c>
      <c r="C432" s="35">
        <v>86.88</v>
      </c>
      <c r="D432" s="35">
        <v>86.36</v>
      </c>
      <c r="E432" s="35">
        <v>86.41</v>
      </c>
      <c r="F432" s="35">
        <v>752258</v>
      </c>
    </row>
    <row r="433" spans="1:6">
      <c r="A433" s="146">
        <v>42332</v>
      </c>
      <c r="B433" s="35">
        <v>86.99</v>
      </c>
      <c r="C433" s="35">
        <v>87.25</v>
      </c>
      <c r="D433" s="35">
        <v>85.88</v>
      </c>
      <c r="E433" s="35">
        <v>86.71</v>
      </c>
      <c r="F433" s="35">
        <v>1100685</v>
      </c>
    </row>
    <row r="434" spans="1:6">
      <c r="A434" s="146">
        <v>42331</v>
      </c>
      <c r="B434" s="35">
        <v>87.26</v>
      </c>
      <c r="C434" s="35">
        <v>87.63</v>
      </c>
      <c r="D434" s="35">
        <v>87</v>
      </c>
      <c r="E434" s="35">
        <v>87.35</v>
      </c>
      <c r="F434" s="35">
        <v>1174416</v>
      </c>
    </row>
    <row r="435" spans="1:6">
      <c r="A435" s="146">
        <v>42328</v>
      </c>
      <c r="B435" s="35">
        <v>86.94</v>
      </c>
      <c r="C435" s="35">
        <v>87.65</v>
      </c>
      <c r="D435" s="35">
        <v>86.49</v>
      </c>
      <c r="E435" s="35">
        <v>87.29</v>
      </c>
      <c r="F435" s="35">
        <v>1800340</v>
      </c>
    </row>
    <row r="436" spans="1:6">
      <c r="A436" s="146">
        <v>42327</v>
      </c>
      <c r="B436" s="35">
        <v>86.61</v>
      </c>
      <c r="C436" s="35">
        <v>86.73</v>
      </c>
      <c r="D436" s="35">
        <v>86.26</v>
      </c>
      <c r="E436" s="35">
        <v>86.39</v>
      </c>
      <c r="F436" s="35">
        <v>1059362</v>
      </c>
    </row>
    <row r="437" spans="1:6">
      <c r="A437" s="146">
        <v>42326</v>
      </c>
      <c r="B437" s="35">
        <v>86.28</v>
      </c>
      <c r="C437" s="35">
        <v>86.55</v>
      </c>
      <c r="D437" s="35">
        <v>85.45</v>
      </c>
      <c r="E437" s="35">
        <v>86.5</v>
      </c>
      <c r="F437" s="35">
        <v>1372943</v>
      </c>
    </row>
    <row r="438" spans="1:6">
      <c r="A438" s="146">
        <v>42325</v>
      </c>
      <c r="B438" s="35">
        <v>86.45</v>
      </c>
      <c r="C438" s="35">
        <v>86.63</v>
      </c>
      <c r="D438" s="35">
        <v>85.58</v>
      </c>
      <c r="E438" s="35">
        <v>85.89</v>
      </c>
      <c r="F438" s="35">
        <v>1400385</v>
      </c>
    </row>
    <row r="439" spans="1:6">
      <c r="A439" s="146">
        <v>42324</v>
      </c>
      <c r="B439" s="35">
        <v>85.16</v>
      </c>
      <c r="C439" s="35">
        <v>86.54</v>
      </c>
      <c r="D439" s="35">
        <v>85.06</v>
      </c>
      <c r="E439" s="35">
        <v>86.52</v>
      </c>
      <c r="F439" s="35">
        <v>1114249</v>
      </c>
    </row>
    <row r="440" spans="1:6">
      <c r="A440" s="146">
        <v>42321</v>
      </c>
      <c r="B440" s="35">
        <v>85.87</v>
      </c>
      <c r="C440" s="35">
        <v>86.67</v>
      </c>
      <c r="D440" s="35">
        <v>85</v>
      </c>
      <c r="E440" s="35">
        <v>85.05</v>
      </c>
      <c r="F440" s="35">
        <v>1278095</v>
      </c>
    </row>
    <row r="441" spans="1:6">
      <c r="A441" s="146">
        <v>42320</v>
      </c>
      <c r="B441" s="35">
        <v>87</v>
      </c>
      <c r="C441" s="35">
        <v>87.36</v>
      </c>
      <c r="D441" s="35">
        <v>86.21</v>
      </c>
      <c r="E441" s="35">
        <v>86.22</v>
      </c>
      <c r="F441" s="35">
        <v>1178749</v>
      </c>
    </row>
    <row r="442" spans="1:6">
      <c r="A442" s="146">
        <v>42319</v>
      </c>
      <c r="B442" s="35">
        <v>87.38</v>
      </c>
      <c r="C442" s="35">
        <v>87.95</v>
      </c>
      <c r="D442" s="35">
        <v>86.8</v>
      </c>
      <c r="E442" s="35">
        <v>87.18</v>
      </c>
      <c r="F442" s="35">
        <v>1214654</v>
      </c>
    </row>
    <row r="443" spans="1:6">
      <c r="A443" s="146">
        <v>42318</v>
      </c>
      <c r="B443" s="35">
        <v>86.47</v>
      </c>
      <c r="C443" s="35">
        <v>87.3</v>
      </c>
      <c r="D443" s="35">
        <v>86.31</v>
      </c>
      <c r="E443" s="35">
        <v>86.95</v>
      </c>
      <c r="F443" s="35">
        <v>1540739</v>
      </c>
    </row>
    <row r="444" spans="1:6">
      <c r="A444" s="146">
        <v>42317</v>
      </c>
      <c r="B444" s="35">
        <v>87.04</v>
      </c>
      <c r="C444" s="35">
        <v>87.2</v>
      </c>
      <c r="D444" s="35">
        <v>86.2</v>
      </c>
      <c r="E444" s="35">
        <v>86.76</v>
      </c>
      <c r="F444" s="35">
        <v>1367582</v>
      </c>
    </row>
    <row r="445" spans="1:6">
      <c r="A445" s="146">
        <v>42314</v>
      </c>
      <c r="B445" s="35">
        <v>86.71</v>
      </c>
      <c r="C445" s="35">
        <v>87.88</v>
      </c>
      <c r="D445" s="35">
        <v>86.25</v>
      </c>
      <c r="E445" s="35">
        <v>87.63</v>
      </c>
      <c r="F445" s="35">
        <v>1684536</v>
      </c>
    </row>
    <row r="446" spans="1:6">
      <c r="A446" s="146">
        <v>42313</v>
      </c>
      <c r="B446" s="35">
        <v>87.31</v>
      </c>
      <c r="C446" s="35">
        <v>87.39</v>
      </c>
      <c r="D446" s="35">
        <v>86.5</v>
      </c>
      <c r="E446" s="35">
        <v>86.98</v>
      </c>
      <c r="F446" s="35">
        <v>1311735</v>
      </c>
    </row>
    <row r="447" spans="1:6">
      <c r="A447" s="146">
        <v>42312</v>
      </c>
      <c r="B447" s="35">
        <v>87.16</v>
      </c>
      <c r="C447" s="35">
        <v>87.39</v>
      </c>
      <c r="D447" s="35">
        <v>86.83</v>
      </c>
      <c r="E447" s="35">
        <v>86.96</v>
      </c>
      <c r="F447" s="35">
        <v>1593112</v>
      </c>
    </row>
    <row r="448" spans="1:6">
      <c r="A448" s="146">
        <v>42311</v>
      </c>
      <c r="B448" s="35">
        <v>86.88</v>
      </c>
      <c r="C448" s="35">
        <v>87.2</v>
      </c>
      <c r="D448" s="35">
        <v>86.47</v>
      </c>
      <c r="E448" s="35">
        <v>86.73</v>
      </c>
      <c r="F448" s="35">
        <v>1704117</v>
      </c>
    </row>
    <row r="449" spans="1:6">
      <c r="A449" s="146">
        <v>42310</v>
      </c>
      <c r="B449" s="35">
        <v>86.99</v>
      </c>
      <c r="C449" s="35">
        <v>87.46</v>
      </c>
      <c r="D449" s="35">
        <v>86.44</v>
      </c>
      <c r="E449" s="35">
        <v>86.99</v>
      </c>
      <c r="F449" s="35">
        <v>1888169</v>
      </c>
    </row>
    <row r="450" spans="1:6">
      <c r="A450" s="146">
        <v>42307</v>
      </c>
      <c r="B450" s="35">
        <v>88.36</v>
      </c>
      <c r="C450" s="35">
        <v>88.65</v>
      </c>
      <c r="D450" s="35">
        <v>86.96</v>
      </c>
      <c r="E450" s="35">
        <v>86.99</v>
      </c>
      <c r="F450" s="35">
        <v>3026745</v>
      </c>
    </row>
    <row r="451" spans="1:6">
      <c r="A451" s="146">
        <v>42306</v>
      </c>
      <c r="B451" s="35">
        <v>87.91</v>
      </c>
      <c r="C451" s="35">
        <v>88.53</v>
      </c>
      <c r="D451" s="35">
        <v>86.57</v>
      </c>
      <c r="E451" s="35">
        <v>88.36</v>
      </c>
      <c r="F451" s="35">
        <v>2448893</v>
      </c>
    </row>
    <row r="452" spans="1:6">
      <c r="A452" s="146">
        <v>42305</v>
      </c>
      <c r="B452" s="35">
        <v>88.32</v>
      </c>
      <c r="C452" s="35">
        <v>89.25</v>
      </c>
      <c r="D452" s="35">
        <v>86.9</v>
      </c>
      <c r="E452" s="35">
        <v>87.91</v>
      </c>
      <c r="F452" s="35">
        <v>3398042</v>
      </c>
    </row>
    <row r="453" spans="1:6">
      <c r="A453" s="146">
        <v>42304</v>
      </c>
      <c r="B453" s="35">
        <v>90.11</v>
      </c>
      <c r="C453" s="35">
        <v>90.38</v>
      </c>
      <c r="D453" s="35">
        <v>89.09</v>
      </c>
      <c r="E453" s="35">
        <v>90.33</v>
      </c>
      <c r="F453" s="35">
        <v>2025779</v>
      </c>
    </row>
    <row r="454" spans="1:6">
      <c r="A454" s="146">
        <v>42303</v>
      </c>
      <c r="B454" s="35">
        <v>90.23</v>
      </c>
      <c r="C454" s="35">
        <v>90.67</v>
      </c>
      <c r="D454" s="35">
        <v>89.73</v>
      </c>
      <c r="E454" s="35">
        <v>90.11</v>
      </c>
      <c r="F454" s="35">
        <v>2297359</v>
      </c>
    </row>
    <row r="455" spans="1:6">
      <c r="A455" s="146">
        <v>42300</v>
      </c>
      <c r="B455" s="35">
        <v>90</v>
      </c>
      <c r="C455" s="35">
        <v>90.6</v>
      </c>
      <c r="D455" s="35">
        <v>89.68</v>
      </c>
      <c r="E455" s="35">
        <v>90.53</v>
      </c>
      <c r="F455" s="35">
        <v>1829479</v>
      </c>
    </row>
    <row r="456" spans="1:6">
      <c r="A456" s="146">
        <v>42299</v>
      </c>
      <c r="B456" s="35">
        <v>87.93</v>
      </c>
      <c r="C456" s="35">
        <v>89.82</v>
      </c>
      <c r="D456" s="35">
        <v>87.72</v>
      </c>
      <c r="E456" s="35">
        <v>89.69</v>
      </c>
      <c r="F456" s="35">
        <v>2099537</v>
      </c>
    </row>
    <row r="457" spans="1:6">
      <c r="A457" s="146">
        <v>42298</v>
      </c>
      <c r="B457" s="35">
        <v>87.7</v>
      </c>
      <c r="C457" s="35">
        <v>88.48</v>
      </c>
      <c r="D457" s="35">
        <v>87.32</v>
      </c>
      <c r="E457" s="35">
        <v>87.45</v>
      </c>
      <c r="F457" s="35">
        <v>1607912</v>
      </c>
    </row>
    <row r="458" spans="1:6">
      <c r="A458" s="146">
        <v>42297</v>
      </c>
      <c r="B458" s="35">
        <v>87.06</v>
      </c>
      <c r="C458" s="35">
        <v>87.62</v>
      </c>
      <c r="D458" s="35">
        <v>86.95</v>
      </c>
      <c r="E458" s="35">
        <v>87.42</v>
      </c>
      <c r="F458" s="35">
        <v>1301879</v>
      </c>
    </row>
    <row r="459" spans="1:6">
      <c r="A459" s="146">
        <v>42296</v>
      </c>
      <c r="B459" s="35">
        <v>86.57</v>
      </c>
      <c r="C459" s="35">
        <v>87.6</v>
      </c>
      <c r="D459" s="35">
        <v>86.5</v>
      </c>
      <c r="E459" s="35">
        <v>87.3</v>
      </c>
      <c r="F459" s="35">
        <v>1439235</v>
      </c>
    </row>
    <row r="460" spans="1:6">
      <c r="A460" s="146">
        <v>42293</v>
      </c>
      <c r="B460" s="35">
        <v>86.3</v>
      </c>
      <c r="C460" s="35">
        <v>86.98</v>
      </c>
      <c r="D460" s="35">
        <v>85.92</v>
      </c>
      <c r="E460" s="35">
        <v>86.69</v>
      </c>
      <c r="F460" s="35">
        <v>1841274</v>
      </c>
    </row>
    <row r="461" spans="1:6">
      <c r="A461" s="146">
        <v>42292</v>
      </c>
      <c r="B461" s="35">
        <v>85.62</v>
      </c>
      <c r="C461" s="35">
        <v>85.97</v>
      </c>
      <c r="D461" s="35">
        <v>84.93</v>
      </c>
      <c r="E461" s="35">
        <v>85.97</v>
      </c>
      <c r="F461" s="35">
        <v>1232160</v>
      </c>
    </row>
    <row r="462" spans="1:6">
      <c r="A462" s="146">
        <v>42291</v>
      </c>
      <c r="B462" s="35">
        <v>85.3</v>
      </c>
      <c r="C462" s="35">
        <v>85.9</v>
      </c>
      <c r="D462" s="35">
        <v>84.94</v>
      </c>
      <c r="E462" s="35">
        <v>85.14</v>
      </c>
      <c r="F462" s="35">
        <v>1227649</v>
      </c>
    </row>
    <row r="463" spans="1:6">
      <c r="A463" s="146">
        <v>42290</v>
      </c>
      <c r="B463" s="35">
        <v>85.21</v>
      </c>
      <c r="C463" s="35">
        <v>85.71</v>
      </c>
      <c r="D463" s="35">
        <v>84.87</v>
      </c>
      <c r="E463" s="35">
        <v>85.16</v>
      </c>
      <c r="F463" s="35">
        <v>1380393</v>
      </c>
    </row>
    <row r="464" spans="1:6">
      <c r="A464" s="146">
        <v>42289</v>
      </c>
      <c r="B464" s="35">
        <v>85.03</v>
      </c>
      <c r="C464" s="35">
        <v>85.77</v>
      </c>
      <c r="D464" s="35">
        <v>85.03</v>
      </c>
      <c r="E464" s="35">
        <v>85.68</v>
      </c>
      <c r="F464" s="35">
        <v>1045269</v>
      </c>
    </row>
    <row r="465" spans="1:6">
      <c r="A465" s="146">
        <v>42286</v>
      </c>
      <c r="B465" s="35">
        <v>85.36</v>
      </c>
      <c r="C465" s="35">
        <v>85.99</v>
      </c>
      <c r="D465" s="35">
        <v>84.98</v>
      </c>
      <c r="E465" s="35">
        <v>85.24</v>
      </c>
      <c r="F465" s="35">
        <v>2185838</v>
      </c>
    </row>
    <row r="466" spans="1:6">
      <c r="A466" s="146">
        <v>42285</v>
      </c>
      <c r="B466" s="35">
        <v>83.56</v>
      </c>
      <c r="C466" s="35">
        <v>85.44</v>
      </c>
      <c r="D466" s="35">
        <v>83.22</v>
      </c>
      <c r="E466" s="35">
        <v>85.12</v>
      </c>
      <c r="F466" s="35">
        <v>2128954</v>
      </c>
    </row>
    <row r="467" spans="1:6">
      <c r="A467" s="146">
        <v>42284</v>
      </c>
      <c r="B467" s="35">
        <v>82.59</v>
      </c>
      <c r="C467" s="35">
        <v>83.86</v>
      </c>
      <c r="D467" s="35">
        <v>82.59</v>
      </c>
      <c r="E467" s="35">
        <v>83.65</v>
      </c>
      <c r="F467" s="35">
        <v>1714199</v>
      </c>
    </row>
    <row r="468" spans="1:6">
      <c r="A468" s="146">
        <v>42283</v>
      </c>
      <c r="B468" s="35">
        <v>82.46</v>
      </c>
      <c r="C468" s="35">
        <v>82.91</v>
      </c>
      <c r="D468" s="35">
        <v>82.23</v>
      </c>
      <c r="E468" s="35">
        <v>82.44</v>
      </c>
      <c r="F468" s="35">
        <v>1860670</v>
      </c>
    </row>
    <row r="469" spans="1:6">
      <c r="A469" s="146">
        <v>42282</v>
      </c>
      <c r="B469" s="35">
        <v>82.2</v>
      </c>
      <c r="C469" s="35">
        <v>83.03</v>
      </c>
      <c r="D469" s="35">
        <v>81.89</v>
      </c>
      <c r="E469" s="35">
        <v>82.7</v>
      </c>
      <c r="F469" s="35">
        <v>1886497</v>
      </c>
    </row>
    <row r="470" spans="1:6">
      <c r="A470" s="146">
        <v>42279</v>
      </c>
      <c r="B470" s="35">
        <v>79.8</v>
      </c>
      <c r="C470" s="35">
        <v>81.38</v>
      </c>
      <c r="D470" s="35">
        <v>78.739999999999995</v>
      </c>
      <c r="E470" s="35">
        <v>81.36</v>
      </c>
      <c r="F470" s="35">
        <v>2734747</v>
      </c>
    </row>
    <row r="471" spans="1:6">
      <c r="A471" s="146">
        <v>42278</v>
      </c>
      <c r="B471" s="35">
        <v>80.91</v>
      </c>
      <c r="C471" s="35">
        <v>81.180000000000007</v>
      </c>
      <c r="D471" s="35">
        <v>80</v>
      </c>
      <c r="E471" s="35">
        <v>80.89</v>
      </c>
      <c r="F471" s="35">
        <v>2204827</v>
      </c>
    </row>
    <row r="472" spans="1:6">
      <c r="A472" s="146">
        <v>42277</v>
      </c>
      <c r="B472" s="35">
        <v>80.14</v>
      </c>
      <c r="C472" s="35">
        <v>80.430000000000007</v>
      </c>
      <c r="D472" s="35">
        <v>79.290000000000006</v>
      </c>
      <c r="E472" s="35">
        <v>80.36</v>
      </c>
      <c r="F472" s="35">
        <v>2667642</v>
      </c>
    </row>
    <row r="473" spans="1:6">
      <c r="A473" s="146">
        <v>42276</v>
      </c>
      <c r="B473" s="35">
        <v>78.56</v>
      </c>
      <c r="C473" s="35">
        <v>79.28</v>
      </c>
      <c r="D473" s="35">
        <v>78.3</v>
      </c>
      <c r="E473" s="35">
        <v>79.09</v>
      </c>
      <c r="F473" s="35">
        <v>2046194</v>
      </c>
    </row>
    <row r="474" spans="1:6">
      <c r="A474" s="146">
        <v>42275</v>
      </c>
      <c r="B474" s="35">
        <v>79.98</v>
      </c>
      <c r="C474" s="35">
        <v>80.430000000000007</v>
      </c>
      <c r="D474" s="35">
        <v>78.53</v>
      </c>
      <c r="E474" s="35">
        <v>78.62</v>
      </c>
      <c r="F474" s="35">
        <v>1820496</v>
      </c>
    </row>
    <row r="475" spans="1:6">
      <c r="A475" s="146">
        <v>42272</v>
      </c>
      <c r="B475" s="35">
        <v>80.44</v>
      </c>
      <c r="C475" s="35">
        <v>81.47</v>
      </c>
      <c r="D475" s="35">
        <v>79.37</v>
      </c>
      <c r="E475" s="35">
        <v>80.3</v>
      </c>
      <c r="F475" s="35">
        <v>2222797</v>
      </c>
    </row>
    <row r="476" spans="1:6">
      <c r="A476" s="146">
        <v>42271</v>
      </c>
      <c r="B476" s="35">
        <v>78.61</v>
      </c>
      <c r="C476" s="35">
        <v>79.87</v>
      </c>
      <c r="D476" s="35">
        <v>78.12</v>
      </c>
      <c r="E476" s="35">
        <v>79.58</v>
      </c>
      <c r="F476" s="35">
        <v>1781672</v>
      </c>
    </row>
    <row r="477" spans="1:6">
      <c r="A477" s="146">
        <v>42270</v>
      </c>
      <c r="B477" s="35">
        <v>79.36</v>
      </c>
      <c r="C477" s="35">
        <v>79.78</v>
      </c>
      <c r="D477" s="35">
        <v>78.87</v>
      </c>
      <c r="E477" s="35">
        <v>79.37</v>
      </c>
      <c r="F477" s="35">
        <v>1155317</v>
      </c>
    </row>
    <row r="478" spans="1:6">
      <c r="A478" s="146">
        <v>42269</v>
      </c>
      <c r="B478" s="35">
        <v>78.44</v>
      </c>
      <c r="C478" s="35">
        <v>79.31</v>
      </c>
      <c r="D478" s="35">
        <v>78.19</v>
      </c>
      <c r="E478" s="35">
        <v>79.19</v>
      </c>
      <c r="F478" s="35">
        <v>1744936</v>
      </c>
    </row>
    <row r="479" spans="1:6">
      <c r="A479" s="146">
        <v>42268</v>
      </c>
      <c r="B479" s="35">
        <v>79.38</v>
      </c>
      <c r="C479" s="35">
        <v>80.38</v>
      </c>
      <c r="D479" s="35">
        <v>79.06</v>
      </c>
      <c r="E479" s="35">
        <v>79.900000000000006</v>
      </c>
      <c r="F479" s="35">
        <v>1671242</v>
      </c>
    </row>
    <row r="480" spans="1:6">
      <c r="A480" s="146">
        <v>42265</v>
      </c>
      <c r="B480" s="35">
        <v>78.56</v>
      </c>
      <c r="C480" s="35">
        <v>79.989999999999995</v>
      </c>
      <c r="D480" s="35">
        <v>78.540000000000006</v>
      </c>
      <c r="E480" s="35">
        <v>79.010000000000005</v>
      </c>
      <c r="F480" s="35">
        <v>3828831</v>
      </c>
    </row>
    <row r="481" spans="1:6">
      <c r="A481" s="146">
        <v>42264</v>
      </c>
      <c r="B481" s="35">
        <v>79.680000000000007</v>
      </c>
      <c r="C481" s="35">
        <v>80.67</v>
      </c>
      <c r="D481" s="35">
        <v>79.209999999999994</v>
      </c>
      <c r="E481" s="35">
        <v>79.430000000000007</v>
      </c>
      <c r="F481" s="35">
        <v>1990458</v>
      </c>
    </row>
    <row r="482" spans="1:6">
      <c r="A482" s="146">
        <v>42263</v>
      </c>
      <c r="B482" s="35">
        <v>78.930000000000007</v>
      </c>
      <c r="C482" s="35">
        <v>79.8</v>
      </c>
      <c r="D482" s="35">
        <v>78.760000000000005</v>
      </c>
      <c r="E482" s="35">
        <v>79.59</v>
      </c>
      <c r="F482" s="35">
        <v>1739625</v>
      </c>
    </row>
    <row r="483" spans="1:6">
      <c r="A483" s="146">
        <v>42262</v>
      </c>
      <c r="B483" s="35">
        <v>77.92</v>
      </c>
      <c r="C483" s="35">
        <v>79.290000000000006</v>
      </c>
      <c r="D483" s="35">
        <v>77.7</v>
      </c>
      <c r="E483" s="35">
        <v>78.89</v>
      </c>
      <c r="F483" s="35">
        <v>1706312</v>
      </c>
    </row>
    <row r="484" spans="1:6">
      <c r="A484" s="146">
        <v>42261</v>
      </c>
      <c r="B484" s="35">
        <v>78.48</v>
      </c>
      <c r="C484" s="35">
        <v>78.739999999999995</v>
      </c>
      <c r="D484" s="35">
        <v>77.569999999999993</v>
      </c>
      <c r="E484" s="35">
        <v>77.760000000000005</v>
      </c>
      <c r="F484" s="35">
        <v>1411292</v>
      </c>
    </row>
    <row r="485" spans="1:6">
      <c r="A485" s="146">
        <v>42258</v>
      </c>
      <c r="B485" s="35">
        <v>77.28</v>
      </c>
      <c r="C485" s="35">
        <v>78.37</v>
      </c>
      <c r="D485" s="35">
        <v>77.209999999999994</v>
      </c>
      <c r="E485" s="35">
        <v>78.31</v>
      </c>
      <c r="F485" s="35">
        <v>1499877</v>
      </c>
    </row>
    <row r="486" spans="1:6">
      <c r="A486" s="146">
        <v>42257</v>
      </c>
      <c r="B486" s="35">
        <v>77.099999999999994</v>
      </c>
      <c r="C486" s="35">
        <v>78.78</v>
      </c>
      <c r="D486" s="35">
        <v>77.08</v>
      </c>
      <c r="E486" s="35">
        <v>77.92</v>
      </c>
      <c r="F486" s="35">
        <v>2207829</v>
      </c>
    </row>
    <row r="487" spans="1:6">
      <c r="A487" s="146">
        <v>42256</v>
      </c>
      <c r="B487" s="35">
        <v>78.489999999999995</v>
      </c>
      <c r="C487" s="35">
        <v>78.97</v>
      </c>
      <c r="D487" s="35">
        <v>77.33</v>
      </c>
      <c r="E487" s="35">
        <v>77.510000000000005</v>
      </c>
      <c r="F487" s="35">
        <v>3015855</v>
      </c>
    </row>
    <row r="488" spans="1:6">
      <c r="A488" s="146">
        <v>42255</v>
      </c>
      <c r="B488" s="35">
        <v>77.34</v>
      </c>
      <c r="C488" s="35">
        <v>78.25</v>
      </c>
      <c r="D488" s="35">
        <v>77.02</v>
      </c>
      <c r="E488" s="35">
        <v>78.2</v>
      </c>
      <c r="F488" s="35">
        <v>1753932</v>
      </c>
    </row>
    <row r="489" spans="1:6">
      <c r="A489" s="146">
        <v>42251</v>
      </c>
      <c r="B489" s="35">
        <v>76.239999999999995</v>
      </c>
      <c r="C489" s="35">
        <v>76.900000000000006</v>
      </c>
      <c r="D489" s="35">
        <v>75.73</v>
      </c>
      <c r="E489" s="35">
        <v>76.150000000000006</v>
      </c>
      <c r="F489" s="35">
        <v>1844811</v>
      </c>
    </row>
    <row r="490" spans="1:6">
      <c r="A490" s="146">
        <v>42250</v>
      </c>
      <c r="B490" s="35">
        <v>77.099999999999994</v>
      </c>
      <c r="C490" s="35">
        <v>78.09</v>
      </c>
      <c r="D490" s="35">
        <v>77.02</v>
      </c>
      <c r="E490" s="35">
        <v>77.55</v>
      </c>
      <c r="F490" s="35">
        <v>1943753</v>
      </c>
    </row>
    <row r="491" spans="1:6">
      <c r="A491" s="146">
        <v>42249</v>
      </c>
      <c r="B491" s="35">
        <v>76.45</v>
      </c>
      <c r="C491" s="35">
        <v>77.11</v>
      </c>
      <c r="D491" s="35">
        <v>75.45</v>
      </c>
      <c r="E491" s="35">
        <v>77.09</v>
      </c>
      <c r="F491" s="35">
        <v>2689138</v>
      </c>
    </row>
    <row r="492" spans="1:6">
      <c r="A492" s="146">
        <v>42248</v>
      </c>
      <c r="B492" s="35">
        <v>75.459999999999994</v>
      </c>
      <c r="C492" s="35">
        <v>76.11</v>
      </c>
      <c r="D492" s="35">
        <v>74.66</v>
      </c>
      <c r="E492" s="35">
        <v>75.099999999999994</v>
      </c>
      <c r="F492" s="35">
        <v>2633490</v>
      </c>
    </row>
    <row r="493" spans="1:6">
      <c r="A493" s="146">
        <v>42247</v>
      </c>
      <c r="B493" s="35">
        <v>77.86</v>
      </c>
      <c r="C493" s="35">
        <v>78.400000000000006</v>
      </c>
      <c r="D493" s="35">
        <v>77.11</v>
      </c>
      <c r="E493" s="35">
        <v>77.319999999999993</v>
      </c>
      <c r="F493" s="35">
        <v>2355144</v>
      </c>
    </row>
    <row r="494" spans="1:6">
      <c r="A494" s="146">
        <v>42244</v>
      </c>
      <c r="B494" s="35">
        <v>77.760000000000005</v>
      </c>
      <c r="C494" s="35">
        <v>78.8</v>
      </c>
      <c r="D494" s="35">
        <v>77.75</v>
      </c>
      <c r="E494" s="35">
        <v>78.41</v>
      </c>
      <c r="F494" s="35">
        <v>2581083</v>
      </c>
    </row>
    <row r="495" spans="1:6">
      <c r="A495" s="146">
        <v>42243</v>
      </c>
      <c r="B495" s="35">
        <v>78.319999999999993</v>
      </c>
      <c r="C495" s="35">
        <v>78.87</v>
      </c>
      <c r="D495" s="35">
        <v>76.48</v>
      </c>
      <c r="E495" s="35">
        <v>78.03</v>
      </c>
      <c r="F495" s="35">
        <v>2987360</v>
      </c>
    </row>
    <row r="496" spans="1:6">
      <c r="A496" s="146">
        <v>42242</v>
      </c>
      <c r="B496" s="35">
        <v>75.62</v>
      </c>
      <c r="C496" s="35">
        <v>77.88</v>
      </c>
      <c r="D496" s="35">
        <v>74.959999999999994</v>
      </c>
      <c r="E496" s="35">
        <v>77.8</v>
      </c>
      <c r="F496" s="35">
        <v>4483111</v>
      </c>
    </row>
    <row r="497" spans="1:6">
      <c r="A497" s="146">
        <v>42241</v>
      </c>
      <c r="B497" s="35">
        <v>78.5</v>
      </c>
      <c r="C497" s="35">
        <v>78.599999999999994</v>
      </c>
      <c r="D497" s="35">
        <v>73.45</v>
      </c>
      <c r="E497" s="35">
        <v>73.52</v>
      </c>
      <c r="F497" s="35">
        <v>3562389</v>
      </c>
    </row>
    <row r="498" spans="1:6">
      <c r="A498" s="146">
        <v>42240</v>
      </c>
      <c r="B498" s="35">
        <v>75.209999999999994</v>
      </c>
      <c r="C498" s="35">
        <v>77.78</v>
      </c>
      <c r="D498" s="35">
        <v>64.290000000000006</v>
      </c>
      <c r="E498" s="35">
        <v>76.28</v>
      </c>
      <c r="F498" s="35">
        <v>6530331</v>
      </c>
    </row>
    <row r="499" spans="1:6">
      <c r="A499" s="146">
        <v>42237</v>
      </c>
      <c r="B499" s="35">
        <v>81.84</v>
      </c>
      <c r="C499" s="35">
        <v>82.33</v>
      </c>
      <c r="D499" s="35">
        <v>79.23</v>
      </c>
      <c r="E499" s="35">
        <v>79.23</v>
      </c>
      <c r="F499" s="35">
        <v>3074028</v>
      </c>
    </row>
    <row r="500" spans="1:6">
      <c r="A500" s="146">
        <v>42236</v>
      </c>
      <c r="B500" s="35">
        <v>83.71</v>
      </c>
      <c r="C500" s="35">
        <v>84.01</v>
      </c>
      <c r="D500" s="35">
        <v>82.71</v>
      </c>
      <c r="E500" s="35">
        <v>82.71</v>
      </c>
      <c r="F500" s="35">
        <v>2246283</v>
      </c>
    </row>
    <row r="501" spans="1:6">
      <c r="A501" s="146">
        <v>42235</v>
      </c>
      <c r="B501" s="35">
        <v>84.39</v>
      </c>
      <c r="C501" s="35">
        <v>85.21</v>
      </c>
      <c r="D501" s="35">
        <v>84.05</v>
      </c>
      <c r="E501" s="35">
        <v>84.47</v>
      </c>
      <c r="F501" s="35">
        <v>1874898</v>
      </c>
    </row>
    <row r="502" spans="1:6">
      <c r="A502" s="146">
        <v>42234</v>
      </c>
      <c r="B502" s="35">
        <v>84.32</v>
      </c>
      <c r="C502" s="35">
        <v>85.15</v>
      </c>
      <c r="D502" s="35">
        <v>84.08</v>
      </c>
      <c r="E502" s="35">
        <v>84.69</v>
      </c>
      <c r="F502" s="35">
        <v>2615335</v>
      </c>
    </row>
    <row r="503" spans="1:6">
      <c r="A503" s="146">
        <v>42233</v>
      </c>
      <c r="B503" s="35">
        <v>82.82</v>
      </c>
      <c r="C503" s="35">
        <v>84.77</v>
      </c>
      <c r="D503" s="35">
        <v>82.58</v>
      </c>
      <c r="E503" s="35">
        <v>84.7</v>
      </c>
      <c r="F503" s="35">
        <v>3366649</v>
      </c>
    </row>
    <row r="504" spans="1:6">
      <c r="A504" s="146">
        <v>42230</v>
      </c>
      <c r="B504" s="35">
        <v>82.16</v>
      </c>
      <c r="C504" s="35">
        <v>83.17</v>
      </c>
      <c r="D504" s="35">
        <v>81.94</v>
      </c>
      <c r="E504" s="35">
        <v>82.99</v>
      </c>
      <c r="F504" s="35">
        <v>2018368</v>
      </c>
    </row>
    <row r="505" spans="1:6">
      <c r="A505" s="146">
        <v>42229</v>
      </c>
      <c r="B505" s="35">
        <v>81.52</v>
      </c>
      <c r="C505" s="35">
        <v>82.99</v>
      </c>
      <c r="D505" s="35">
        <v>81.319999999999993</v>
      </c>
      <c r="E505" s="35">
        <v>82.45</v>
      </c>
      <c r="F505" s="35">
        <v>2000830</v>
      </c>
    </row>
    <row r="506" spans="1:6">
      <c r="A506" s="146">
        <v>42228</v>
      </c>
      <c r="B506" s="35">
        <v>80.739999999999995</v>
      </c>
      <c r="C506" s="35">
        <v>81.7</v>
      </c>
      <c r="D506" s="35">
        <v>80.150000000000006</v>
      </c>
      <c r="E506" s="35">
        <v>81.55</v>
      </c>
      <c r="F506" s="35">
        <v>1871449</v>
      </c>
    </row>
    <row r="507" spans="1:6">
      <c r="A507" s="146">
        <v>42227</v>
      </c>
      <c r="B507" s="35">
        <v>81.260000000000005</v>
      </c>
      <c r="C507" s="35">
        <v>81.900000000000006</v>
      </c>
      <c r="D507" s="35">
        <v>80.75</v>
      </c>
      <c r="E507" s="35">
        <v>81.33</v>
      </c>
      <c r="F507" s="35">
        <v>1938365</v>
      </c>
    </row>
    <row r="508" spans="1:6">
      <c r="A508" s="146">
        <v>42226</v>
      </c>
      <c r="B508" s="35">
        <v>81.010000000000005</v>
      </c>
      <c r="C508" s="35">
        <v>81.96</v>
      </c>
      <c r="D508" s="35">
        <v>81</v>
      </c>
      <c r="E508" s="35">
        <v>81.599999999999994</v>
      </c>
      <c r="F508" s="35">
        <v>2032083</v>
      </c>
    </row>
    <row r="509" spans="1:6">
      <c r="A509" s="146">
        <v>42223</v>
      </c>
      <c r="B509" s="35">
        <v>80.180000000000007</v>
      </c>
      <c r="C509" s="35">
        <v>80.459999999999994</v>
      </c>
      <c r="D509" s="35">
        <v>79.709999999999994</v>
      </c>
      <c r="E509" s="35">
        <v>80.290000000000006</v>
      </c>
      <c r="F509" s="35">
        <v>1162306</v>
      </c>
    </row>
    <row r="510" spans="1:6">
      <c r="A510" s="146">
        <v>42222</v>
      </c>
      <c r="B510" s="35">
        <v>81.78</v>
      </c>
      <c r="C510" s="35">
        <v>81.88</v>
      </c>
      <c r="D510" s="35">
        <v>80.08</v>
      </c>
      <c r="E510" s="35">
        <v>80.3</v>
      </c>
      <c r="F510" s="35">
        <v>1505398</v>
      </c>
    </row>
    <row r="511" spans="1:6">
      <c r="A511" s="146">
        <v>42221</v>
      </c>
      <c r="B511" s="35">
        <v>81.78</v>
      </c>
      <c r="C511" s="35">
        <v>82.07</v>
      </c>
      <c r="D511" s="35">
        <v>81</v>
      </c>
      <c r="E511" s="35">
        <v>81.84</v>
      </c>
      <c r="F511" s="35">
        <v>1964135</v>
      </c>
    </row>
    <row r="512" spans="1:6">
      <c r="A512" s="146">
        <v>42220</v>
      </c>
      <c r="B512" s="35">
        <v>80.540000000000006</v>
      </c>
      <c r="C512" s="35">
        <v>81.39</v>
      </c>
      <c r="D512" s="35">
        <v>80.14</v>
      </c>
      <c r="E512" s="35">
        <v>80.680000000000007</v>
      </c>
      <c r="F512" s="35">
        <v>2749339</v>
      </c>
    </row>
    <row r="513" spans="1:6">
      <c r="A513" s="146">
        <v>42219</v>
      </c>
      <c r="B513" s="35">
        <v>78.59</v>
      </c>
      <c r="C513" s="35">
        <v>80.13</v>
      </c>
      <c r="D513" s="35">
        <v>78.510000000000005</v>
      </c>
      <c r="E513" s="35">
        <v>80.11</v>
      </c>
      <c r="F513" s="35">
        <v>2291267</v>
      </c>
    </row>
    <row r="514" spans="1:6">
      <c r="A514" s="146">
        <v>42216</v>
      </c>
      <c r="B514" s="35">
        <v>80.2</v>
      </c>
      <c r="C514" s="35">
        <v>80.55</v>
      </c>
      <c r="D514" s="35">
        <v>79.31</v>
      </c>
      <c r="E514" s="35">
        <v>79.77</v>
      </c>
      <c r="F514" s="35">
        <v>2983959</v>
      </c>
    </row>
    <row r="515" spans="1:6">
      <c r="A515" s="146">
        <v>42215</v>
      </c>
      <c r="B515" s="35">
        <v>80</v>
      </c>
      <c r="C515" s="35">
        <v>81.98</v>
      </c>
      <c r="D515" s="35">
        <v>78.36</v>
      </c>
      <c r="E515" s="35">
        <v>80.13</v>
      </c>
      <c r="F515" s="35">
        <v>4688136</v>
      </c>
    </row>
    <row r="516" spans="1:6">
      <c r="A516" s="146">
        <v>42214</v>
      </c>
      <c r="B516" s="35">
        <v>80.45</v>
      </c>
      <c r="C516" s="35">
        <v>82.51</v>
      </c>
      <c r="D516" s="35">
        <v>80.38</v>
      </c>
      <c r="E516" s="35">
        <v>82.34</v>
      </c>
      <c r="F516" s="35">
        <v>2744699</v>
      </c>
    </row>
    <row r="517" spans="1:6">
      <c r="A517" s="146">
        <v>42213</v>
      </c>
      <c r="B517" s="35">
        <v>79.760000000000005</v>
      </c>
      <c r="C517" s="35">
        <v>80.7</v>
      </c>
      <c r="D517" s="35">
        <v>79.41</v>
      </c>
      <c r="E517" s="35">
        <v>80.58</v>
      </c>
      <c r="F517" s="35">
        <v>1540063</v>
      </c>
    </row>
    <row r="518" spans="1:6">
      <c r="A518" s="146">
        <v>42212</v>
      </c>
      <c r="B518" s="35">
        <v>79.61</v>
      </c>
      <c r="C518" s="35">
        <v>79.959999999999994</v>
      </c>
      <c r="D518" s="35">
        <v>79.22</v>
      </c>
      <c r="E518" s="35">
        <v>79.72</v>
      </c>
      <c r="F518" s="35">
        <v>1649795</v>
      </c>
    </row>
    <row r="519" spans="1:6">
      <c r="A519" s="146">
        <v>42209</v>
      </c>
      <c r="B519" s="35">
        <v>81.03</v>
      </c>
      <c r="C519" s="35">
        <v>81.05</v>
      </c>
      <c r="D519" s="35">
        <v>79.66</v>
      </c>
      <c r="E519" s="35">
        <v>79.78</v>
      </c>
      <c r="F519" s="35">
        <v>1935584</v>
      </c>
    </row>
    <row r="520" spans="1:6">
      <c r="A520" s="146">
        <v>42208</v>
      </c>
      <c r="B520" s="35">
        <v>81.42</v>
      </c>
      <c r="C520" s="35">
        <v>81.53</v>
      </c>
      <c r="D520" s="35">
        <v>80.72</v>
      </c>
      <c r="E520" s="35">
        <v>80.94</v>
      </c>
      <c r="F520" s="35">
        <v>1368577</v>
      </c>
    </row>
    <row r="521" spans="1:6">
      <c r="A521" s="146">
        <v>42207</v>
      </c>
      <c r="B521" s="35">
        <v>81.63</v>
      </c>
      <c r="C521" s="35">
        <v>82.11</v>
      </c>
      <c r="D521" s="35">
        <v>81.459999999999994</v>
      </c>
      <c r="E521" s="35">
        <v>81.69</v>
      </c>
      <c r="F521" s="35">
        <v>1529111</v>
      </c>
    </row>
    <row r="522" spans="1:6">
      <c r="A522" s="146">
        <v>42206</v>
      </c>
      <c r="B522" s="35">
        <v>82.18</v>
      </c>
      <c r="C522" s="35">
        <v>82.28</v>
      </c>
      <c r="D522" s="35">
        <v>81.13</v>
      </c>
      <c r="E522" s="35">
        <v>81.41</v>
      </c>
      <c r="F522" s="35">
        <v>1964296</v>
      </c>
    </row>
    <row r="523" spans="1:6">
      <c r="A523" s="146">
        <v>42205</v>
      </c>
      <c r="B523" s="35">
        <v>82.26</v>
      </c>
      <c r="C523" s="35">
        <v>82.39</v>
      </c>
      <c r="D523" s="35">
        <v>81.92</v>
      </c>
      <c r="E523" s="35">
        <v>82.17</v>
      </c>
      <c r="F523" s="35">
        <v>1522473</v>
      </c>
    </row>
    <row r="524" spans="1:6">
      <c r="A524" s="146">
        <v>42202</v>
      </c>
      <c r="B524" s="35">
        <v>83.01</v>
      </c>
      <c r="C524" s="35">
        <v>83.01</v>
      </c>
      <c r="D524" s="35">
        <v>82.25</v>
      </c>
      <c r="E524" s="35">
        <v>82.39</v>
      </c>
      <c r="F524" s="35">
        <v>1846361</v>
      </c>
    </row>
    <row r="525" spans="1:6">
      <c r="A525" s="146">
        <v>42201</v>
      </c>
      <c r="B525" s="35">
        <v>82.89</v>
      </c>
      <c r="C525" s="35">
        <v>83.04</v>
      </c>
      <c r="D525" s="35">
        <v>82.32</v>
      </c>
      <c r="E525" s="35">
        <v>82.9</v>
      </c>
      <c r="F525" s="35">
        <v>1546127</v>
      </c>
    </row>
    <row r="526" spans="1:6">
      <c r="A526" s="146">
        <v>42200</v>
      </c>
      <c r="B526" s="35">
        <v>81.95</v>
      </c>
      <c r="C526" s="35">
        <v>82.56</v>
      </c>
      <c r="D526" s="35">
        <v>81.5</v>
      </c>
      <c r="E526" s="35">
        <v>82.5</v>
      </c>
      <c r="F526" s="35">
        <v>2390576</v>
      </c>
    </row>
    <row r="527" spans="1:6">
      <c r="A527" s="146">
        <v>42199</v>
      </c>
      <c r="B527" s="35">
        <v>81.72</v>
      </c>
      <c r="C527" s="35">
        <v>82.01</v>
      </c>
      <c r="D527" s="35">
        <v>81.48</v>
      </c>
      <c r="E527" s="35">
        <v>81.89</v>
      </c>
      <c r="F527" s="35">
        <v>1387056</v>
      </c>
    </row>
    <row r="528" spans="1:6">
      <c r="A528" s="146">
        <v>42198</v>
      </c>
      <c r="B528" s="35">
        <v>81.849999999999994</v>
      </c>
      <c r="C528" s="35">
        <v>82.3</v>
      </c>
      <c r="D528" s="35">
        <v>81.64</v>
      </c>
      <c r="E528" s="35">
        <v>81.73</v>
      </c>
      <c r="F528" s="35">
        <v>1337739</v>
      </c>
    </row>
    <row r="529" spans="1:6">
      <c r="A529" s="146">
        <v>42195</v>
      </c>
      <c r="B529" s="35">
        <v>81.86</v>
      </c>
      <c r="C529" s="35">
        <v>81.87</v>
      </c>
      <c r="D529" s="35">
        <v>81.08</v>
      </c>
      <c r="E529" s="35">
        <v>81.52</v>
      </c>
      <c r="F529" s="35">
        <v>1371085</v>
      </c>
    </row>
    <row r="530" spans="1:6">
      <c r="A530" s="146">
        <v>42194</v>
      </c>
      <c r="B530" s="35">
        <v>81.150000000000006</v>
      </c>
      <c r="C530" s="35">
        <v>81.41</v>
      </c>
      <c r="D530" s="35">
        <v>80.650000000000006</v>
      </c>
      <c r="E530" s="35">
        <v>80.69</v>
      </c>
      <c r="F530" s="35">
        <v>1588076</v>
      </c>
    </row>
    <row r="531" spans="1:6">
      <c r="A531" s="146">
        <v>42193</v>
      </c>
      <c r="B531" s="35">
        <v>80.72</v>
      </c>
      <c r="C531" s="35">
        <v>80.8</v>
      </c>
      <c r="D531" s="35">
        <v>79.98</v>
      </c>
      <c r="E531" s="35">
        <v>80.03</v>
      </c>
      <c r="F531" s="35">
        <v>1615780</v>
      </c>
    </row>
    <row r="532" spans="1:6">
      <c r="A532" s="146">
        <v>42192</v>
      </c>
      <c r="B532" s="35">
        <v>80.97</v>
      </c>
      <c r="C532" s="35">
        <v>81.239999999999995</v>
      </c>
      <c r="D532" s="35">
        <v>79.849999999999994</v>
      </c>
      <c r="E532" s="35">
        <v>81.069999999999993</v>
      </c>
      <c r="F532" s="35">
        <v>1747574</v>
      </c>
    </row>
    <row r="533" spans="1:6">
      <c r="A533" s="146">
        <v>42191</v>
      </c>
      <c r="B533" s="35">
        <v>80</v>
      </c>
      <c r="C533" s="35">
        <v>80.94</v>
      </c>
      <c r="D533" s="35">
        <v>80</v>
      </c>
      <c r="E533" s="35">
        <v>80.83</v>
      </c>
      <c r="F533" s="35">
        <v>1503644</v>
      </c>
    </row>
    <row r="534" spans="1:6">
      <c r="A534" s="146">
        <v>42187</v>
      </c>
      <c r="B534" s="35">
        <v>81.23</v>
      </c>
      <c r="C534" s="35">
        <v>81.260000000000005</v>
      </c>
      <c r="D534" s="35">
        <v>80.349999999999994</v>
      </c>
      <c r="E534" s="35">
        <v>80.83</v>
      </c>
      <c r="F534" s="35">
        <v>1792027</v>
      </c>
    </row>
    <row r="535" spans="1:6">
      <c r="A535" s="146">
        <v>42186</v>
      </c>
      <c r="B535" s="35">
        <v>79.510000000000005</v>
      </c>
      <c r="C535" s="35">
        <v>81.19</v>
      </c>
      <c r="D535" s="35">
        <v>79.510000000000005</v>
      </c>
      <c r="E535" s="35">
        <v>80.89</v>
      </c>
      <c r="F535" s="35">
        <v>1821155</v>
      </c>
    </row>
    <row r="536" spans="1:6">
      <c r="A536" s="146">
        <v>42185</v>
      </c>
      <c r="B536" s="35">
        <v>81.39</v>
      </c>
      <c r="C536" s="35">
        <v>81.66</v>
      </c>
      <c r="D536" s="35">
        <v>79.8</v>
      </c>
      <c r="E536" s="35">
        <v>80.23</v>
      </c>
      <c r="F536" s="35">
        <v>2688846</v>
      </c>
    </row>
    <row r="537" spans="1:6">
      <c r="A537" s="146">
        <v>42184</v>
      </c>
      <c r="B537" s="35">
        <v>82.8</v>
      </c>
      <c r="C537" s="35">
        <v>82.8</v>
      </c>
      <c r="D537" s="35">
        <v>80.849999999999994</v>
      </c>
      <c r="E537" s="35">
        <v>80.91</v>
      </c>
      <c r="F537" s="35">
        <v>1774197</v>
      </c>
    </row>
    <row r="538" spans="1:6">
      <c r="A538" s="146">
        <v>42181</v>
      </c>
      <c r="B538" s="35">
        <v>83.78</v>
      </c>
      <c r="C538" s="35">
        <v>83.84</v>
      </c>
      <c r="D538" s="35">
        <v>83.03</v>
      </c>
      <c r="E538" s="35">
        <v>83.31</v>
      </c>
      <c r="F538" s="35">
        <v>2889750</v>
      </c>
    </row>
    <row r="539" spans="1:6">
      <c r="A539" s="146">
        <v>42180</v>
      </c>
      <c r="B539" s="35">
        <v>83.71</v>
      </c>
      <c r="C539" s="35">
        <v>83.89</v>
      </c>
      <c r="D539" s="35">
        <v>83.22</v>
      </c>
      <c r="E539" s="35">
        <v>83.35</v>
      </c>
      <c r="F539" s="35">
        <v>1200144</v>
      </c>
    </row>
    <row r="540" spans="1:6">
      <c r="A540" s="146">
        <v>42179</v>
      </c>
      <c r="B540" s="35">
        <v>84.64</v>
      </c>
      <c r="C540" s="35">
        <v>84.76</v>
      </c>
      <c r="D540" s="35">
        <v>83.6</v>
      </c>
      <c r="E540" s="35">
        <v>83.63</v>
      </c>
      <c r="F540" s="35">
        <v>1548316</v>
      </c>
    </row>
    <row r="541" spans="1:6">
      <c r="A541" s="146">
        <v>42178</v>
      </c>
      <c r="B541" s="35">
        <v>85.29</v>
      </c>
      <c r="C541" s="35">
        <v>85.29</v>
      </c>
      <c r="D541" s="35">
        <v>84.53</v>
      </c>
      <c r="E541" s="35">
        <v>84.77</v>
      </c>
      <c r="F541" s="35">
        <v>958821</v>
      </c>
    </row>
    <row r="542" spans="1:6">
      <c r="A542" s="146">
        <v>42177</v>
      </c>
      <c r="B542" s="35">
        <v>84.61</v>
      </c>
      <c r="C542" s="35">
        <v>85.46</v>
      </c>
      <c r="D542" s="35">
        <v>84.61</v>
      </c>
      <c r="E542" s="35">
        <v>85</v>
      </c>
      <c r="F542" s="35">
        <v>1401927</v>
      </c>
    </row>
    <row r="543" spans="1:6">
      <c r="A543" s="146">
        <v>42174</v>
      </c>
      <c r="B543" s="35">
        <v>84.45</v>
      </c>
      <c r="C543" s="35">
        <v>84.68</v>
      </c>
      <c r="D543" s="35">
        <v>83.93</v>
      </c>
      <c r="E543" s="35">
        <v>84.41</v>
      </c>
      <c r="F543" s="35">
        <v>2906357</v>
      </c>
    </row>
    <row r="544" spans="1:6">
      <c r="A544" s="146">
        <v>42173</v>
      </c>
      <c r="B544" s="35">
        <v>83.62</v>
      </c>
      <c r="C544" s="35">
        <v>84.8</v>
      </c>
      <c r="D544" s="35">
        <v>83.37</v>
      </c>
      <c r="E544" s="35">
        <v>84.58</v>
      </c>
      <c r="F544" s="35">
        <v>1556465</v>
      </c>
    </row>
    <row r="545" spans="1:6">
      <c r="A545" s="146">
        <v>42172</v>
      </c>
      <c r="B545" s="35">
        <v>83.61</v>
      </c>
      <c r="C545" s="35">
        <v>83.75</v>
      </c>
      <c r="D545" s="35">
        <v>82.77</v>
      </c>
      <c r="E545" s="35">
        <v>83.28</v>
      </c>
      <c r="F545" s="35">
        <v>1134563</v>
      </c>
    </row>
    <row r="546" spans="1:6">
      <c r="A546" s="146">
        <v>42171</v>
      </c>
      <c r="B546" s="35">
        <v>82.84</v>
      </c>
      <c r="C546" s="35">
        <v>83.41</v>
      </c>
      <c r="D546" s="35">
        <v>82.52</v>
      </c>
      <c r="E546" s="35">
        <v>83.28</v>
      </c>
      <c r="F546" s="35">
        <v>1499857</v>
      </c>
    </row>
    <row r="547" spans="1:6">
      <c r="A547" s="146">
        <v>42170</v>
      </c>
      <c r="B547" s="35">
        <v>83.25</v>
      </c>
      <c r="C547" s="35">
        <v>83.44</v>
      </c>
      <c r="D547" s="35">
        <v>82.43</v>
      </c>
      <c r="E547" s="35">
        <v>82.92</v>
      </c>
      <c r="F547" s="35">
        <v>1679680</v>
      </c>
    </row>
    <row r="548" spans="1:6">
      <c r="A548" s="146">
        <v>42167</v>
      </c>
      <c r="B548" s="35">
        <v>84.15</v>
      </c>
      <c r="C548" s="35">
        <v>84.45</v>
      </c>
      <c r="D548" s="35">
        <v>83.65</v>
      </c>
      <c r="E548" s="35">
        <v>83.85</v>
      </c>
      <c r="F548" s="35">
        <v>1144565</v>
      </c>
    </row>
    <row r="549" spans="1:6">
      <c r="A549" s="146">
        <v>42166</v>
      </c>
      <c r="B549" s="35">
        <v>84.5</v>
      </c>
      <c r="C549" s="35">
        <v>84.89</v>
      </c>
      <c r="D549" s="35">
        <v>84.2</v>
      </c>
      <c r="E549" s="35">
        <v>84.62</v>
      </c>
      <c r="F549" s="35">
        <v>1438403</v>
      </c>
    </row>
    <row r="550" spans="1:6">
      <c r="A550" s="146">
        <v>42165</v>
      </c>
      <c r="B550" s="35">
        <v>82.96</v>
      </c>
      <c r="C550" s="35">
        <v>84.64</v>
      </c>
      <c r="D550" s="35">
        <v>82.84</v>
      </c>
      <c r="E550" s="35">
        <v>84.18</v>
      </c>
      <c r="F550" s="35">
        <v>1625429</v>
      </c>
    </row>
    <row r="551" spans="1:6">
      <c r="A551" s="146">
        <v>42164</v>
      </c>
      <c r="B551" s="35">
        <v>83.37</v>
      </c>
      <c r="C551" s="35">
        <v>83.6</v>
      </c>
      <c r="D551" s="35">
        <v>82.86</v>
      </c>
      <c r="E551" s="35">
        <v>83.16</v>
      </c>
      <c r="F551" s="35">
        <v>1569472</v>
      </c>
    </row>
    <row r="552" spans="1:6">
      <c r="A552" s="146">
        <v>42163</v>
      </c>
      <c r="B552" s="35">
        <v>83.94</v>
      </c>
      <c r="C552" s="35">
        <v>84.49</v>
      </c>
      <c r="D552" s="35">
        <v>83.41</v>
      </c>
      <c r="E552" s="35">
        <v>83.5</v>
      </c>
      <c r="F552" s="35">
        <v>1531931</v>
      </c>
    </row>
    <row r="553" spans="1:6">
      <c r="A553" s="146">
        <v>42160</v>
      </c>
      <c r="B553" s="35">
        <v>84.1</v>
      </c>
      <c r="C553" s="35">
        <v>84.57</v>
      </c>
      <c r="D553" s="35">
        <v>83.23</v>
      </c>
      <c r="E553" s="35">
        <v>84.26</v>
      </c>
      <c r="F553" s="35">
        <v>1353920</v>
      </c>
    </row>
    <row r="554" spans="1:6">
      <c r="A554" s="146">
        <v>42159</v>
      </c>
      <c r="B554" s="35">
        <v>84.93</v>
      </c>
      <c r="C554" s="35">
        <v>85.32</v>
      </c>
      <c r="D554" s="35">
        <v>83.93</v>
      </c>
      <c r="E554" s="35">
        <v>84.08</v>
      </c>
      <c r="F554" s="35">
        <v>1689573</v>
      </c>
    </row>
    <row r="555" spans="1:6">
      <c r="A555" s="146">
        <v>42158</v>
      </c>
      <c r="B555" s="35">
        <v>85.77</v>
      </c>
      <c r="C555" s="35">
        <v>85.88</v>
      </c>
      <c r="D555" s="35">
        <v>85.12</v>
      </c>
      <c r="E555" s="35">
        <v>85.46</v>
      </c>
      <c r="F555" s="35">
        <v>1738389</v>
      </c>
    </row>
    <row r="556" spans="1:6">
      <c r="A556" s="146">
        <v>42157</v>
      </c>
      <c r="B556" s="35">
        <v>84.77</v>
      </c>
      <c r="C556" s="35">
        <v>85.68</v>
      </c>
      <c r="D556" s="35">
        <v>84.34</v>
      </c>
      <c r="E556" s="35">
        <v>85.45</v>
      </c>
      <c r="F556" s="35">
        <v>2033469</v>
      </c>
    </row>
    <row r="557" spans="1:6">
      <c r="A557" s="146">
        <v>42156</v>
      </c>
      <c r="B557" s="35">
        <v>85.7</v>
      </c>
      <c r="C557" s="35">
        <v>85.98</v>
      </c>
      <c r="D557" s="35">
        <v>84.51</v>
      </c>
      <c r="E557" s="35">
        <v>85.3</v>
      </c>
      <c r="F557" s="35">
        <v>1617500</v>
      </c>
    </row>
    <row r="558" spans="1:6">
      <c r="A558" s="146">
        <v>42153</v>
      </c>
      <c r="B558" s="35">
        <v>85.96</v>
      </c>
      <c r="C558" s="35">
        <v>86</v>
      </c>
      <c r="D558" s="35">
        <v>85.08</v>
      </c>
      <c r="E558" s="35">
        <v>85.51</v>
      </c>
      <c r="F558" s="35">
        <v>2188945</v>
      </c>
    </row>
    <row r="559" spans="1:6">
      <c r="A559" s="146">
        <v>42152</v>
      </c>
      <c r="B559" s="35">
        <v>85.87</v>
      </c>
      <c r="C559" s="35">
        <v>86.29</v>
      </c>
      <c r="D559" s="35">
        <v>85.62</v>
      </c>
      <c r="E559" s="35">
        <v>85.97</v>
      </c>
      <c r="F559" s="35">
        <v>1297452</v>
      </c>
    </row>
    <row r="560" spans="1:6">
      <c r="A560" s="146">
        <v>42151</v>
      </c>
      <c r="B560" s="35">
        <v>85.46</v>
      </c>
      <c r="C560" s="35">
        <v>86.03</v>
      </c>
      <c r="D560" s="35">
        <v>85.28</v>
      </c>
      <c r="E560" s="35">
        <v>85.91</v>
      </c>
      <c r="F560" s="35">
        <v>2017388</v>
      </c>
    </row>
    <row r="561" spans="1:6">
      <c r="A561" s="146">
        <v>42150</v>
      </c>
      <c r="B561" s="35">
        <v>86.55</v>
      </c>
      <c r="C561" s="35">
        <v>86.82</v>
      </c>
      <c r="D561" s="35">
        <v>85.22</v>
      </c>
      <c r="E561" s="35">
        <v>85.42</v>
      </c>
      <c r="F561" s="35">
        <v>1867570</v>
      </c>
    </row>
    <row r="562" spans="1:6">
      <c r="A562" s="146">
        <v>42146</v>
      </c>
      <c r="B562" s="35">
        <v>87.19</v>
      </c>
      <c r="C562" s="35">
        <v>87.44</v>
      </c>
      <c r="D562" s="35">
        <v>86.81</v>
      </c>
      <c r="E562" s="35">
        <v>86.82</v>
      </c>
      <c r="F562" s="35">
        <v>1499264</v>
      </c>
    </row>
    <row r="563" spans="1:6">
      <c r="A563" s="146">
        <v>42145</v>
      </c>
      <c r="B563" s="35">
        <v>87.36</v>
      </c>
      <c r="C563" s="35">
        <v>87.62</v>
      </c>
      <c r="D563" s="35">
        <v>87.08</v>
      </c>
      <c r="E563" s="35">
        <v>87.27</v>
      </c>
      <c r="F563" s="35">
        <v>1517448</v>
      </c>
    </row>
    <row r="564" spans="1:6">
      <c r="A564" s="146">
        <v>42144</v>
      </c>
      <c r="B564" s="35">
        <v>88.06</v>
      </c>
      <c r="C564" s="35">
        <v>88.06</v>
      </c>
      <c r="D564" s="35">
        <v>87.42</v>
      </c>
      <c r="E564" s="35">
        <v>87.43</v>
      </c>
      <c r="F564" s="35">
        <v>1767733</v>
      </c>
    </row>
    <row r="565" spans="1:6">
      <c r="A565" s="146">
        <v>42143</v>
      </c>
      <c r="B565" s="35">
        <v>87.8</v>
      </c>
      <c r="C565" s="35">
        <v>88.12</v>
      </c>
      <c r="D565" s="35">
        <v>87.42</v>
      </c>
      <c r="E565" s="35">
        <v>87.9</v>
      </c>
      <c r="F565" s="35">
        <v>1875725</v>
      </c>
    </row>
    <row r="566" spans="1:6">
      <c r="A566" s="146">
        <v>42142</v>
      </c>
      <c r="B566" s="35">
        <v>87.37</v>
      </c>
      <c r="C566" s="35">
        <v>87.81</v>
      </c>
      <c r="D566" s="35">
        <v>87.01</v>
      </c>
      <c r="E566" s="35">
        <v>87.48</v>
      </c>
      <c r="F566" s="35">
        <v>1593347</v>
      </c>
    </row>
    <row r="567" spans="1:6">
      <c r="A567" s="146">
        <v>42139</v>
      </c>
      <c r="B567" s="35">
        <v>88.25</v>
      </c>
      <c r="C567" s="35">
        <v>88.4</v>
      </c>
      <c r="D567" s="35">
        <v>87.51</v>
      </c>
      <c r="E567" s="35">
        <v>87.77</v>
      </c>
      <c r="F567" s="35">
        <v>1607075</v>
      </c>
    </row>
    <row r="568" spans="1:6">
      <c r="A568" s="146">
        <v>42138</v>
      </c>
      <c r="B568" s="35">
        <v>86.97</v>
      </c>
      <c r="C568" s="35">
        <v>88.03</v>
      </c>
      <c r="D568" s="35">
        <v>86.52</v>
      </c>
      <c r="E568" s="35">
        <v>87.99</v>
      </c>
      <c r="F568" s="35">
        <v>1892400</v>
      </c>
    </row>
    <row r="569" spans="1:6">
      <c r="A569" s="146">
        <v>42137</v>
      </c>
      <c r="B569" s="35">
        <v>86.65</v>
      </c>
      <c r="C569" s="35">
        <v>87.26</v>
      </c>
      <c r="D569" s="35">
        <v>86.2</v>
      </c>
      <c r="E569" s="35">
        <v>86.31</v>
      </c>
      <c r="F569" s="35">
        <v>1951042</v>
      </c>
    </row>
    <row r="570" spans="1:6">
      <c r="A570" s="146">
        <v>42136</v>
      </c>
      <c r="B570" s="35">
        <v>86.84</v>
      </c>
      <c r="C570" s="35">
        <v>87.2</v>
      </c>
      <c r="D570" s="35">
        <v>85.85</v>
      </c>
      <c r="E570" s="35">
        <v>86.76</v>
      </c>
      <c r="F570" s="35">
        <v>1549814</v>
      </c>
    </row>
    <row r="571" spans="1:6">
      <c r="A571" s="146">
        <v>42135</v>
      </c>
      <c r="B571" s="35">
        <v>87.28</v>
      </c>
      <c r="C571" s="35">
        <v>87.72</v>
      </c>
      <c r="D571" s="35">
        <v>87.06</v>
      </c>
      <c r="E571" s="35">
        <v>87.21</v>
      </c>
      <c r="F571" s="35">
        <v>1701327</v>
      </c>
    </row>
    <row r="572" spans="1:6">
      <c r="A572" s="146">
        <v>42132</v>
      </c>
      <c r="B572" s="35">
        <v>86.82</v>
      </c>
      <c r="C572" s="35">
        <v>87.81</v>
      </c>
      <c r="D572" s="35">
        <v>86.77</v>
      </c>
      <c r="E572" s="35">
        <v>87.35</v>
      </c>
      <c r="F572" s="35">
        <v>1465071</v>
      </c>
    </row>
    <row r="573" spans="1:6">
      <c r="A573" s="146">
        <v>42131</v>
      </c>
      <c r="B573" s="35">
        <v>85.62</v>
      </c>
      <c r="C573" s="35">
        <v>86.59</v>
      </c>
      <c r="D573" s="35">
        <v>84.98</v>
      </c>
      <c r="E573" s="35">
        <v>86.3</v>
      </c>
      <c r="F573" s="35">
        <v>1656908</v>
      </c>
    </row>
    <row r="574" spans="1:6">
      <c r="A574" s="146">
        <v>42130</v>
      </c>
      <c r="B574" s="35">
        <v>85.72</v>
      </c>
      <c r="C574" s="35">
        <v>86.17</v>
      </c>
      <c r="D574" s="35">
        <v>84.79</v>
      </c>
      <c r="E574" s="35">
        <v>85.41</v>
      </c>
      <c r="F574" s="35">
        <v>1610354</v>
      </c>
    </row>
    <row r="575" spans="1:6">
      <c r="A575" s="146">
        <v>42129</v>
      </c>
      <c r="B575" s="35">
        <v>86.56</v>
      </c>
      <c r="C575" s="35">
        <v>86.56</v>
      </c>
      <c r="D575" s="35">
        <v>85.15</v>
      </c>
      <c r="E575" s="35">
        <v>85.61</v>
      </c>
      <c r="F575" s="35">
        <v>1534377</v>
      </c>
    </row>
    <row r="576" spans="1:6">
      <c r="A576" s="146">
        <v>42128</v>
      </c>
      <c r="B576" s="35">
        <v>86.46</v>
      </c>
      <c r="C576" s="35">
        <v>86.99</v>
      </c>
      <c r="D576" s="35">
        <v>86.12</v>
      </c>
      <c r="E576" s="35">
        <v>86.5</v>
      </c>
      <c r="F576" s="35">
        <v>1992482</v>
      </c>
    </row>
    <row r="577" spans="1:6">
      <c r="A577" s="146">
        <v>42125</v>
      </c>
      <c r="B577" s="35">
        <v>84.53</v>
      </c>
      <c r="C577" s="35">
        <v>86.28</v>
      </c>
      <c r="D577" s="35">
        <v>84.52</v>
      </c>
      <c r="E577" s="35">
        <v>86.03</v>
      </c>
      <c r="F577" s="35">
        <v>2086031</v>
      </c>
    </row>
    <row r="578" spans="1:6">
      <c r="A578" s="146">
        <v>42124</v>
      </c>
      <c r="B578" s="35">
        <v>85.22</v>
      </c>
      <c r="C578" s="35">
        <v>86</v>
      </c>
      <c r="D578" s="35">
        <v>84.32</v>
      </c>
      <c r="E578" s="35">
        <v>84.54</v>
      </c>
      <c r="F578" s="35">
        <v>2194397</v>
      </c>
    </row>
    <row r="579" spans="1:6">
      <c r="A579" s="146">
        <v>42123</v>
      </c>
      <c r="B579" s="35">
        <v>85.08</v>
      </c>
      <c r="C579" s="35">
        <v>85.94</v>
      </c>
      <c r="D579" s="35">
        <v>84.76</v>
      </c>
      <c r="E579" s="35">
        <v>85.39</v>
      </c>
      <c r="F579" s="35">
        <v>1914618</v>
      </c>
    </row>
    <row r="580" spans="1:6">
      <c r="A580" s="146">
        <v>42122</v>
      </c>
      <c r="B580" s="35">
        <v>84.8</v>
      </c>
      <c r="C580" s="35">
        <v>85.64</v>
      </c>
      <c r="D580" s="35">
        <v>84.37</v>
      </c>
      <c r="E580" s="35">
        <v>85.61</v>
      </c>
      <c r="F580" s="35">
        <v>1639374</v>
      </c>
    </row>
    <row r="581" spans="1:6">
      <c r="A581" s="146">
        <v>42121</v>
      </c>
      <c r="B581" s="35">
        <v>85.42</v>
      </c>
      <c r="C581" s="35">
        <v>85.46</v>
      </c>
      <c r="D581" s="35">
        <v>84.52</v>
      </c>
      <c r="E581" s="35">
        <v>84.7</v>
      </c>
      <c r="F581" s="35">
        <v>1466950</v>
      </c>
    </row>
    <row r="582" spans="1:6">
      <c r="A582" s="146">
        <v>42118</v>
      </c>
      <c r="B582" s="35">
        <v>85.65</v>
      </c>
      <c r="C582" s="35">
        <v>85.65</v>
      </c>
      <c r="D582" s="35">
        <v>84.32</v>
      </c>
      <c r="E582" s="35">
        <v>85</v>
      </c>
      <c r="F582" s="35">
        <v>1187070</v>
      </c>
    </row>
    <row r="583" spans="1:6">
      <c r="A583" s="146">
        <v>42117</v>
      </c>
      <c r="B583" s="35">
        <v>85.12</v>
      </c>
      <c r="C583" s="35">
        <v>86.1</v>
      </c>
      <c r="D583" s="35">
        <v>85.02</v>
      </c>
      <c r="E583" s="35">
        <v>85.76</v>
      </c>
      <c r="F583" s="35">
        <v>1000080</v>
      </c>
    </row>
    <row r="584" spans="1:6">
      <c r="A584" s="146">
        <v>42116</v>
      </c>
      <c r="B584" s="35">
        <v>85.14</v>
      </c>
      <c r="C584" s="35">
        <v>85.49</v>
      </c>
      <c r="D584" s="35">
        <v>84.61</v>
      </c>
      <c r="E584" s="35">
        <v>85.31</v>
      </c>
      <c r="F584" s="35">
        <v>993563</v>
      </c>
    </row>
    <row r="585" spans="1:6">
      <c r="A585" s="146">
        <v>42115</v>
      </c>
      <c r="B585" s="35">
        <v>85.16</v>
      </c>
      <c r="C585" s="35">
        <v>86.12</v>
      </c>
      <c r="D585" s="35">
        <v>84.8</v>
      </c>
      <c r="E585" s="35">
        <v>85.1</v>
      </c>
      <c r="F585" s="35">
        <v>1552471</v>
      </c>
    </row>
    <row r="586" spans="1:6">
      <c r="A586" s="146">
        <v>42114</v>
      </c>
      <c r="B586" s="35">
        <v>83.84</v>
      </c>
      <c r="C586" s="35">
        <v>84.9</v>
      </c>
      <c r="D586" s="35">
        <v>83.6</v>
      </c>
      <c r="E586" s="35">
        <v>84.8</v>
      </c>
      <c r="F586" s="35">
        <v>1412630</v>
      </c>
    </row>
    <row r="587" spans="1:6">
      <c r="A587" s="146">
        <v>42111</v>
      </c>
      <c r="B587" s="35">
        <v>84.64</v>
      </c>
      <c r="C587" s="35">
        <v>85.01</v>
      </c>
      <c r="D587" s="35">
        <v>83.3</v>
      </c>
      <c r="E587" s="35">
        <v>83.53</v>
      </c>
      <c r="F587" s="35">
        <v>1965598</v>
      </c>
    </row>
    <row r="588" spans="1:6">
      <c r="A588" s="146">
        <v>42110</v>
      </c>
      <c r="B588" s="35">
        <v>85.56</v>
      </c>
      <c r="C588" s="35">
        <v>85.75</v>
      </c>
      <c r="D588" s="35">
        <v>85.25</v>
      </c>
      <c r="E588" s="35">
        <v>85.38</v>
      </c>
      <c r="F588" s="35">
        <v>1463359</v>
      </c>
    </row>
    <row r="589" spans="1:6">
      <c r="A589" s="146">
        <v>42109</v>
      </c>
      <c r="B589" s="35">
        <v>85.9</v>
      </c>
      <c r="C589" s="35">
        <v>86.08</v>
      </c>
      <c r="D589" s="35">
        <v>85.6</v>
      </c>
      <c r="E589" s="35">
        <v>85.76</v>
      </c>
      <c r="F589" s="35">
        <v>1481227</v>
      </c>
    </row>
    <row r="590" spans="1:6">
      <c r="A590" s="146">
        <v>42108</v>
      </c>
      <c r="B590" s="35">
        <v>85.74</v>
      </c>
      <c r="C590" s="35">
        <v>86.14</v>
      </c>
      <c r="D590" s="35">
        <v>85.2</v>
      </c>
      <c r="E590" s="35">
        <v>85.62</v>
      </c>
      <c r="F590" s="35">
        <v>1366759</v>
      </c>
    </row>
    <row r="591" spans="1:6">
      <c r="A591" s="146">
        <v>42107</v>
      </c>
      <c r="B591" s="35">
        <v>86.12</v>
      </c>
      <c r="C591" s="35">
        <v>86.7</v>
      </c>
      <c r="D591" s="35">
        <v>85.76</v>
      </c>
      <c r="E591" s="35">
        <v>85.92</v>
      </c>
      <c r="F591" s="35">
        <v>1331739</v>
      </c>
    </row>
    <row r="592" spans="1:6">
      <c r="A592" s="146">
        <v>42104</v>
      </c>
      <c r="B592" s="35">
        <v>86.76</v>
      </c>
      <c r="C592" s="35">
        <v>86.79</v>
      </c>
      <c r="D592" s="35">
        <v>86.16</v>
      </c>
      <c r="E592" s="35">
        <v>86.34</v>
      </c>
      <c r="F592" s="35">
        <v>1857474</v>
      </c>
    </row>
    <row r="593" spans="1:6">
      <c r="A593" s="146">
        <v>42103</v>
      </c>
      <c r="B593" s="35">
        <v>86.45</v>
      </c>
      <c r="C593" s="35">
        <v>86.74</v>
      </c>
      <c r="D593" s="35">
        <v>85.67</v>
      </c>
      <c r="E593" s="35">
        <v>86.6</v>
      </c>
      <c r="F593" s="35">
        <v>1155351</v>
      </c>
    </row>
    <row r="594" spans="1:6">
      <c r="A594" s="146">
        <v>42102</v>
      </c>
      <c r="B594" s="35">
        <v>85.69</v>
      </c>
      <c r="C594" s="35">
        <v>86.7</v>
      </c>
      <c r="D594" s="35">
        <v>85.53</v>
      </c>
      <c r="E594" s="35">
        <v>86.57</v>
      </c>
      <c r="F594" s="35">
        <v>1328525</v>
      </c>
    </row>
    <row r="595" spans="1:6">
      <c r="A595" s="146">
        <v>42101</v>
      </c>
      <c r="B595" s="35">
        <v>86.23</v>
      </c>
      <c r="C595" s="35">
        <v>86.63</v>
      </c>
      <c r="D595" s="35">
        <v>85.82</v>
      </c>
      <c r="E595" s="35">
        <v>85.86</v>
      </c>
      <c r="F595" s="35">
        <v>1039589</v>
      </c>
    </row>
    <row r="596" spans="1:6">
      <c r="A596" s="146">
        <v>42100</v>
      </c>
      <c r="B596" s="35">
        <v>85.66</v>
      </c>
      <c r="C596" s="35">
        <v>86.66</v>
      </c>
      <c r="D596" s="35">
        <v>85.42</v>
      </c>
      <c r="E596" s="35">
        <v>86.25</v>
      </c>
      <c r="F596" s="35">
        <v>1449702</v>
      </c>
    </row>
    <row r="597" spans="1:6">
      <c r="A597" s="146">
        <v>42096</v>
      </c>
      <c r="B597" s="35">
        <v>85.85</v>
      </c>
      <c r="C597" s="35">
        <v>86.58</v>
      </c>
      <c r="D597" s="35">
        <v>85.47</v>
      </c>
      <c r="E597" s="35">
        <v>85.92</v>
      </c>
      <c r="F597" s="35">
        <v>1699873</v>
      </c>
    </row>
    <row r="598" spans="1:6">
      <c r="A598" s="146">
        <v>42095</v>
      </c>
      <c r="B598" s="35">
        <v>85.73</v>
      </c>
      <c r="C598" s="35">
        <v>85.73</v>
      </c>
      <c r="D598" s="35">
        <v>84.33</v>
      </c>
      <c r="E598" s="35">
        <v>85.26</v>
      </c>
      <c r="F598" s="35">
        <v>1502882</v>
      </c>
    </row>
    <row r="599" spans="1:6">
      <c r="A599" s="146">
        <v>42094</v>
      </c>
      <c r="B599" s="35">
        <v>85.35</v>
      </c>
      <c r="C599" s="35">
        <v>86.34</v>
      </c>
      <c r="D599" s="35">
        <v>85.18</v>
      </c>
      <c r="E599" s="35">
        <v>85.64</v>
      </c>
      <c r="F599" s="35">
        <v>1682183</v>
      </c>
    </row>
    <row r="600" spans="1:6">
      <c r="A600" s="146">
        <v>42093</v>
      </c>
      <c r="B600" s="35">
        <v>84.96</v>
      </c>
      <c r="C600" s="35">
        <v>86.17</v>
      </c>
      <c r="D600" s="35">
        <v>84.92</v>
      </c>
      <c r="E600" s="35">
        <v>85.89</v>
      </c>
      <c r="F600" s="35">
        <v>1139776</v>
      </c>
    </row>
    <row r="601" spans="1:6">
      <c r="A601" s="146">
        <v>42090</v>
      </c>
      <c r="B601" s="35">
        <v>84.34</v>
      </c>
      <c r="C601" s="35">
        <v>84.91</v>
      </c>
      <c r="D601" s="35">
        <v>84.2</v>
      </c>
      <c r="E601" s="35">
        <v>84.63</v>
      </c>
      <c r="F601" s="35">
        <v>1424992</v>
      </c>
    </row>
    <row r="602" spans="1:6">
      <c r="A602" s="146">
        <v>42089</v>
      </c>
      <c r="B602" s="35">
        <v>84.26</v>
      </c>
      <c r="C602" s="35">
        <v>84.77</v>
      </c>
      <c r="D602" s="35">
        <v>83.91</v>
      </c>
      <c r="E602" s="35">
        <v>84.41</v>
      </c>
      <c r="F602" s="35">
        <v>1599903</v>
      </c>
    </row>
    <row r="603" spans="1:6">
      <c r="A603" s="146">
        <v>42088</v>
      </c>
      <c r="B603" s="35">
        <v>87.13</v>
      </c>
      <c r="C603" s="35">
        <v>87.16</v>
      </c>
      <c r="D603" s="35">
        <v>84.74</v>
      </c>
      <c r="E603" s="35">
        <v>84.74</v>
      </c>
      <c r="F603" s="35">
        <v>1707068</v>
      </c>
    </row>
    <row r="604" spans="1:6">
      <c r="A604" s="146">
        <v>42087</v>
      </c>
      <c r="B604" s="35">
        <v>87.15</v>
      </c>
      <c r="C604" s="35">
        <v>87.6</v>
      </c>
      <c r="D604" s="35">
        <v>86.96</v>
      </c>
      <c r="E604" s="35">
        <v>86.96</v>
      </c>
      <c r="F604" s="35">
        <v>1167837</v>
      </c>
    </row>
    <row r="605" spans="1:6">
      <c r="A605" s="146">
        <v>42086</v>
      </c>
      <c r="B605" s="35">
        <v>88.02</v>
      </c>
      <c r="C605" s="35">
        <v>88.02</v>
      </c>
      <c r="D605" s="35">
        <v>87.29</v>
      </c>
      <c r="E605" s="35">
        <v>87.3</v>
      </c>
      <c r="F605" s="35">
        <v>1593071</v>
      </c>
    </row>
    <row r="606" spans="1:6">
      <c r="A606" s="146">
        <v>42083</v>
      </c>
      <c r="B606" s="35">
        <v>87.8</v>
      </c>
      <c r="C606" s="35">
        <v>88</v>
      </c>
      <c r="D606" s="35">
        <v>87.48</v>
      </c>
      <c r="E606" s="35">
        <v>87.77</v>
      </c>
      <c r="F606" s="35">
        <v>4119092</v>
      </c>
    </row>
    <row r="607" spans="1:6">
      <c r="A607" s="146">
        <v>42082</v>
      </c>
      <c r="B607" s="35">
        <v>87.38</v>
      </c>
      <c r="C607" s="35">
        <v>87.79</v>
      </c>
      <c r="D607" s="35">
        <v>87.27</v>
      </c>
      <c r="E607" s="35">
        <v>87.37</v>
      </c>
      <c r="F607" s="35">
        <v>2143890</v>
      </c>
    </row>
    <row r="608" spans="1:6">
      <c r="A608" s="146">
        <v>42081</v>
      </c>
      <c r="B608" s="35">
        <v>86.63</v>
      </c>
      <c r="C608" s="35">
        <v>87.76</v>
      </c>
      <c r="D608" s="35">
        <v>85.56</v>
      </c>
      <c r="E608" s="35">
        <v>87.35</v>
      </c>
      <c r="F608" s="35">
        <v>1928036</v>
      </c>
    </row>
    <row r="609" spans="1:6">
      <c r="A609" s="146">
        <v>42080</v>
      </c>
      <c r="B609" s="35">
        <v>86.91</v>
      </c>
      <c r="C609" s="35">
        <v>87.32</v>
      </c>
      <c r="D609" s="35">
        <v>86.56</v>
      </c>
      <c r="E609" s="35">
        <v>86.64</v>
      </c>
      <c r="F609" s="35">
        <v>1986173</v>
      </c>
    </row>
    <row r="610" spans="1:6">
      <c r="A610" s="146">
        <v>42079</v>
      </c>
      <c r="B610" s="35">
        <v>86.52</v>
      </c>
      <c r="C610" s="35">
        <v>87.53</v>
      </c>
      <c r="D610" s="35">
        <v>86.2</v>
      </c>
      <c r="E610" s="35">
        <v>87.35</v>
      </c>
      <c r="F610" s="35">
        <v>1663763</v>
      </c>
    </row>
    <row r="611" spans="1:6">
      <c r="A611" s="146">
        <v>42076</v>
      </c>
      <c r="B611" s="35">
        <v>86.09</v>
      </c>
      <c r="C611" s="35">
        <v>86.47</v>
      </c>
      <c r="D611" s="35">
        <v>85.32</v>
      </c>
      <c r="E611" s="35">
        <v>85.88</v>
      </c>
      <c r="F611" s="35">
        <v>1650621</v>
      </c>
    </row>
    <row r="612" spans="1:6">
      <c r="A612" s="146">
        <v>42075</v>
      </c>
      <c r="B612" s="35">
        <v>85.41</v>
      </c>
      <c r="C612" s="35">
        <v>86.49</v>
      </c>
      <c r="D612" s="35">
        <v>85.12</v>
      </c>
      <c r="E612" s="35">
        <v>86.39</v>
      </c>
      <c r="F612" s="35">
        <v>1190710</v>
      </c>
    </row>
    <row r="613" spans="1:6">
      <c r="A613" s="146">
        <v>42074</v>
      </c>
      <c r="B613" s="35">
        <v>84.99</v>
      </c>
      <c r="C613" s="35">
        <v>85.44</v>
      </c>
      <c r="D613" s="35">
        <v>84.64</v>
      </c>
      <c r="E613" s="35">
        <v>84.98</v>
      </c>
      <c r="F613" s="35">
        <v>1721823</v>
      </c>
    </row>
    <row r="614" spans="1:6">
      <c r="A614" s="146">
        <v>42073</v>
      </c>
      <c r="B614" s="35">
        <v>86.06</v>
      </c>
      <c r="C614" s="35">
        <v>86.31</v>
      </c>
      <c r="D614" s="35">
        <v>85.15</v>
      </c>
      <c r="E614" s="35">
        <v>85.15</v>
      </c>
      <c r="F614" s="35">
        <v>1915348</v>
      </c>
    </row>
    <row r="615" spans="1:6">
      <c r="A615" s="146">
        <v>42072</v>
      </c>
      <c r="B615" s="35">
        <v>86.4</v>
      </c>
      <c r="C615" s="35">
        <v>87</v>
      </c>
      <c r="D615" s="35">
        <v>85.86</v>
      </c>
      <c r="E615" s="35">
        <v>86.84</v>
      </c>
      <c r="F615" s="35">
        <v>1481848</v>
      </c>
    </row>
    <row r="616" spans="1:6">
      <c r="A616" s="146">
        <v>42069</v>
      </c>
      <c r="B616" s="35">
        <v>86.33</v>
      </c>
      <c r="C616" s="35">
        <v>86.97</v>
      </c>
      <c r="D616" s="35">
        <v>85.84</v>
      </c>
      <c r="E616" s="35">
        <v>86</v>
      </c>
      <c r="F616" s="35">
        <v>2010986</v>
      </c>
    </row>
    <row r="617" spans="1:6">
      <c r="A617" s="146">
        <v>42068</v>
      </c>
      <c r="B617" s="35">
        <v>86.59</v>
      </c>
      <c r="C617" s="35">
        <v>86.91</v>
      </c>
      <c r="D617" s="35">
        <v>86.26</v>
      </c>
      <c r="E617" s="35">
        <v>86.75</v>
      </c>
      <c r="F617" s="35">
        <v>2728568</v>
      </c>
    </row>
    <row r="618" spans="1:6">
      <c r="A618" s="146">
        <v>42067</v>
      </c>
      <c r="B618" s="35">
        <v>88.25</v>
      </c>
      <c r="C618" s="35">
        <v>88.3</v>
      </c>
      <c r="D618" s="35">
        <v>86.52</v>
      </c>
      <c r="E618" s="35">
        <v>86.58</v>
      </c>
      <c r="F618" s="35">
        <v>3306010</v>
      </c>
    </row>
    <row r="619" spans="1:6">
      <c r="A619" s="146">
        <v>42066</v>
      </c>
      <c r="B619" s="35">
        <v>89.55</v>
      </c>
      <c r="C619" s="35">
        <v>89.99</v>
      </c>
      <c r="D619" s="35">
        <v>88.33</v>
      </c>
      <c r="E619" s="35">
        <v>88.7</v>
      </c>
      <c r="F619" s="35">
        <v>3012171</v>
      </c>
    </row>
    <row r="620" spans="1:6">
      <c r="A620" s="146">
        <v>42065</v>
      </c>
      <c r="B620" s="35">
        <v>88.88</v>
      </c>
      <c r="C620" s="35">
        <v>90.23</v>
      </c>
      <c r="D620" s="35">
        <v>88.58</v>
      </c>
      <c r="E620" s="35">
        <v>90.18</v>
      </c>
      <c r="F620" s="35">
        <v>1771365</v>
      </c>
    </row>
    <row r="621" spans="1:6">
      <c r="A621" s="146">
        <v>42062</v>
      </c>
      <c r="B621" s="35">
        <v>88.85</v>
      </c>
      <c r="C621" s="35">
        <v>89.44</v>
      </c>
      <c r="D621" s="35">
        <v>88.45</v>
      </c>
      <c r="E621" s="35">
        <v>88.84</v>
      </c>
      <c r="F621" s="35">
        <v>1815944</v>
      </c>
    </row>
    <row r="622" spans="1:6">
      <c r="A622" s="146">
        <v>42061</v>
      </c>
      <c r="B622" s="35">
        <v>89.19</v>
      </c>
      <c r="C622" s="35">
        <v>89.25</v>
      </c>
      <c r="D622" s="35">
        <v>88.61</v>
      </c>
      <c r="E622" s="35">
        <v>88.84</v>
      </c>
      <c r="F622" s="35">
        <v>1426287</v>
      </c>
    </row>
    <row r="623" spans="1:6">
      <c r="A623" s="146">
        <v>42060</v>
      </c>
      <c r="B623" s="35">
        <v>89.33</v>
      </c>
      <c r="C623" s="35">
        <v>89.7</v>
      </c>
      <c r="D623" s="35">
        <v>88.79</v>
      </c>
      <c r="E623" s="35">
        <v>89.07</v>
      </c>
      <c r="F623" s="35">
        <v>1617915</v>
      </c>
    </row>
    <row r="624" spans="1:6">
      <c r="A624" s="146">
        <v>42059</v>
      </c>
      <c r="B624" s="35">
        <v>89.17</v>
      </c>
      <c r="C624" s="35">
        <v>89.38</v>
      </c>
      <c r="D624" s="35">
        <v>88.51</v>
      </c>
      <c r="E624" s="35">
        <v>89.26</v>
      </c>
      <c r="F624" s="35">
        <v>1418717</v>
      </c>
    </row>
    <row r="625" spans="1:6">
      <c r="A625" s="146">
        <v>42058</v>
      </c>
      <c r="B625" s="35">
        <v>88.73</v>
      </c>
      <c r="C625" s="35">
        <v>89.24</v>
      </c>
      <c r="D625" s="35">
        <v>88.23</v>
      </c>
      <c r="E625" s="35">
        <v>89.17</v>
      </c>
      <c r="F625" s="35">
        <v>1801431</v>
      </c>
    </row>
    <row r="626" spans="1:6">
      <c r="A626" s="146">
        <v>42055</v>
      </c>
      <c r="B626" s="35">
        <v>87.81</v>
      </c>
      <c r="C626" s="35">
        <v>88.75</v>
      </c>
      <c r="D626" s="35">
        <v>87.04</v>
      </c>
      <c r="E626" s="35">
        <v>88.68</v>
      </c>
      <c r="F626" s="35">
        <v>2010949</v>
      </c>
    </row>
    <row r="627" spans="1:6">
      <c r="A627" s="146">
        <v>42054</v>
      </c>
      <c r="B627" s="35">
        <v>87.61</v>
      </c>
      <c r="C627" s="35">
        <v>87.83</v>
      </c>
      <c r="D627" s="35">
        <v>86.86</v>
      </c>
      <c r="E627" s="35">
        <v>87.73</v>
      </c>
      <c r="F627" s="35">
        <v>1568519</v>
      </c>
    </row>
    <row r="628" spans="1:6">
      <c r="A628" s="146">
        <v>42053</v>
      </c>
      <c r="B628" s="35">
        <v>86.6</v>
      </c>
      <c r="C628" s="35">
        <v>87.73</v>
      </c>
      <c r="D628" s="35">
        <v>86.6</v>
      </c>
      <c r="E628" s="35">
        <v>87.59</v>
      </c>
      <c r="F628" s="35">
        <v>1764197</v>
      </c>
    </row>
    <row r="629" spans="1:6">
      <c r="A629" s="146">
        <v>42052</v>
      </c>
      <c r="B629" s="35">
        <v>87.76</v>
      </c>
      <c r="C629" s="35">
        <v>88.07</v>
      </c>
      <c r="D629" s="35">
        <v>86.54</v>
      </c>
      <c r="E629" s="35">
        <v>87.11</v>
      </c>
      <c r="F629" s="35">
        <v>3990945</v>
      </c>
    </row>
    <row r="630" spans="1:6">
      <c r="A630" s="146">
        <v>42048</v>
      </c>
      <c r="B630" s="35">
        <v>87.95</v>
      </c>
      <c r="C630" s="35">
        <v>88.75</v>
      </c>
      <c r="D630" s="35">
        <v>87.78</v>
      </c>
      <c r="E630" s="35">
        <v>88.75</v>
      </c>
      <c r="F630" s="35">
        <v>1936987</v>
      </c>
    </row>
    <row r="631" spans="1:6">
      <c r="A631" s="146">
        <v>42047</v>
      </c>
      <c r="B631" s="35">
        <v>87.2</v>
      </c>
      <c r="C631" s="35">
        <v>87.79</v>
      </c>
      <c r="D631" s="35">
        <v>86.98</v>
      </c>
      <c r="E631" s="35">
        <v>87.74</v>
      </c>
      <c r="F631" s="35">
        <v>1872978</v>
      </c>
    </row>
    <row r="632" spans="1:6">
      <c r="A632" s="146">
        <v>42046</v>
      </c>
      <c r="B632" s="35">
        <v>86.71</v>
      </c>
      <c r="C632" s="35">
        <v>87.23</v>
      </c>
      <c r="D632" s="35">
        <v>86.3</v>
      </c>
      <c r="E632" s="35">
        <v>86.82</v>
      </c>
      <c r="F632" s="35">
        <v>1816225</v>
      </c>
    </row>
    <row r="633" spans="1:6">
      <c r="A633" s="146">
        <v>42045</v>
      </c>
      <c r="B633" s="35">
        <v>86.19</v>
      </c>
      <c r="C633" s="35">
        <v>86.75</v>
      </c>
      <c r="D633" s="35">
        <v>85.65</v>
      </c>
      <c r="E633" s="35">
        <v>86.52</v>
      </c>
      <c r="F633" s="35">
        <v>2552171</v>
      </c>
    </row>
    <row r="634" spans="1:6">
      <c r="A634" s="146">
        <v>42044</v>
      </c>
      <c r="B634" s="35">
        <v>86.01</v>
      </c>
      <c r="C634" s="35">
        <v>86.49</v>
      </c>
      <c r="D634" s="35">
        <v>85.74</v>
      </c>
      <c r="E634" s="35">
        <v>86.01</v>
      </c>
      <c r="F634" s="35">
        <v>1700893</v>
      </c>
    </row>
    <row r="635" spans="1:6">
      <c r="A635" s="146">
        <v>42041</v>
      </c>
      <c r="B635" s="35">
        <v>87.15</v>
      </c>
      <c r="C635" s="35">
        <v>87.35</v>
      </c>
      <c r="D635" s="35">
        <v>86.23</v>
      </c>
      <c r="E635" s="35">
        <v>86.44</v>
      </c>
      <c r="F635" s="35">
        <v>2391236</v>
      </c>
    </row>
    <row r="636" spans="1:6">
      <c r="A636" s="146">
        <v>42040</v>
      </c>
      <c r="B636" s="35">
        <v>86.43</v>
      </c>
      <c r="C636" s="35">
        <v>87.19</v>
      </c>
      <c r="D636" s="35">
        <v>85.89</v>
      </c>
      <c r="E636" s="35">
        <v>87.17</v>
      </c>
      <c r="F636" s="35">
        <v>2151327</v>
      </c>
    </row>
    <row r="637" spans="1:6">
      <c r="A637" s="146">
        <v>42039</v>
      </c>
      <c r="B637" s="35">
        <v>87.14</v>
      </c>
      <c r="C637" s="35">
        <v>87.18</v>
      </c>
      <c r="D637" s="35">
        <v>85.67</v>
      </c>
      <c r="E637" s="35">
        <v>86.58</v>
      </c>
      <c r="F637" s="35">
        <v>3659204</v>
      </c>
    </row>
    <row r="638" spans="1:6">
      <c r="A638" s="146">
        <v>42038</v>
      </c>
      <c r="B638" s="35">
        <v>84.18</v>
      </c>
      <c r="C638" s="35">
        <v>85.36</v>
      </c>
      <c r="D638" s="35">
        <v>83.51</v>
      </c>
      <c r="E638" s="35">
        <v>85.14</v>
      </c>
      <c r="F638" s="35">
        <v>3448977</v>
      </c>
    </row>
    <row r="639" spans="1:6">
      <c r="A639" s="146">
        <v>42037</v>
      </c>
      <c r="B639" s="35">
        <v>81.819999999999993</v>
      </c>
      <c r="C639" s="35">
        <v>83.5</v>
      </c>
      <c r="D639" s="35">
        <v>81.709999999999994</v>
      </c>
      <c r="E639" s="35">
        <v>83.44</v>
      </c>
      <c r="F639" s="35">
        <v>2810151</v>
      </c>
    </row>
    <row r="640" spans="1:6">
      <c r="A640" s="146">
        <v>42034</v>
      </c>
      <c r="B640" s="35">
        <v>83.96</v>
      </c>
      <c r="C640" s="35">
        <v>84.24</v>
      </c>
      <c r="D640" s="35">
        <v>82.47</v>
      </c>
      <c r="E640" s="35">
        <v>82.53</v>
      </c>
      <c r="F640" s="35">
        <v>4076699</v>
      </c>
    </row>
    <row r="641" spans="1:6">
      <c r="A641" s="146">
        <v>42033</v>
      </c>
      <c r="B641" s="35">
        <v>84.45</v>
      </c>
      <c r="C641" s="35">
        <v>84.82</v>
      </c>
      <c r="D641" s="35">
        <v>83.5</v>
      </c>
      <c r="E641" s="35">
        <v>84.35</v>
      </c>
      <c r="F641" s="35">
        <v>2968940</v>
      </c>
    </row>
    <row r="642" spans="1:6">
      <c r="A642" s="146">
        <v>42032</v>
      </c>
      <c r="B642" s="35">
        <v>85.86</v>
      </c>
      <c r="C642" s="35">
        <v>86.3</v>
      </c>
      <c r="D642" s="35">
        <v>84.46</v>
      </c>
      <c r="E642" s="35">
        <v>84.53</v>
      </c>
      <c r="F642" s="35">
        <v>2136996</v>
      </c>
    </row>
    <row r="643" spans="1:6">
      <c r="A643" s="146">
        <v>42031</v>
      </c>
      <c r="B643" s="35">
        <v>85.71</v>
      </c>
      <c r="C643" s="35">
        <v>86.44</v>
      </c>
      <c r="D643" s="35">
        <v>84.78</v>
      </c>
      <c r="E643" s="35">
        <v>85.63</v>
      </c>
      <c r="F643" s="35">
        <v>1697276</v>
      </c>
    </row>
    <row r="644" spans="1:6">
      <c r="A644" s="146">
        <v>42030</v>
      </c>
      <c r="B644" s="35">
        <v>86.25</v>
      </c>
      <c r="C644" s="35">
        <v>86.89</v>
      </c>
      <c r="D644" s="35">
        <v>85.49</v>
      </c>
      <c r="E644" s="35">
        <v>86.57</v>
      </c>
      <c r="F644" s="35">
        <v>1527596</v>
      </c>
    </row>
    <row r="645" spans="1:6">
      <c r="A645" s="146">
        <v>42027</v>
      </c>
      <c r="B645" s="35">
        <v>86.65</v>
      </c>
      <c r="C645" s="35">
        <v>87.18</v>
      </c>
      <c r="D645" s="35">
        <v>86.39</v>
      </c>
      <c r="E645" s="35">
        <v>86.85</v>
      </c>
      <c r="F645" s="35">
        <v>2088011</v>
      </c>
    </row>
    <row r="646" spans="1:6">
      <c r="A646" s="146">
        <v>42026</v>
      </c>
      <c r="B646" s="35">
        <v>85</v>
      </c>
      <c r="C646" s="35">
        <v>86.79</v>
      </c>
      <c r="D646" s="35">
        <v>84</v>
      </c>
      <c r="E646" s="35">
        <v>86.61</v>
      </c>
      <c r="F646" s="35">
        <v>1980007</v>
      </c>
    </row>
    <row r="647" spans="1:6">
      <c r="A647" s="146">
        <v>42025</v>
      </c>
      <c r="B647" s="35">
        <v>84.56</v>
      </c>
      <c r="C647" s="35">
        <v>85.15</v>
      </c>
      <c r="D647" s="35">
        <v>84.1</v>
      </c>
      <c r="E647" s="35">
        <v>84.56</v>
      </c>
      <c r="F647" s="35">
        <v>1729877</v>
      </c>
    </row>
    <row r="648" spans="1:6">
      <c r="A648" s="146">
        <v>42024</v>
      </c>
      <c r="B648" s="35">
        <v>84.83</v>
      </c>
      <c r="C648" s="35">
        <v>85.22</v>
      </c>
      <c r="D648" s="35">
        <v>83.79</v>
      </c>
      <c r="E648" s="35">
        <v>84.97</v>
      </c>
      <c r="F648" s="35">
        <v>1572181</v>
      </c>
    </row>
    <row r="649" spans="1:6">
      <c r="A649" s="146">
        <v>42020</v>
      </c>
      <c r="B649" s="35">
        <v>83.56</v>
      </c>
      <c r="C649" s="35">
        <v>84.64</v>
      </c>
      <c r="D649" s="35">
        <v>83.16</v>
      </c>
      <c r="E649" s="35">
        <v>84.57</v>
      </c>
      <c r="F649" s="35">
        <v>2261450</v>
      </c>
    </row>
    <row r="650" spans="1:6">
      <c r="A650" s="146">
        <v>42019</v>
      </c>
      <c r="B650" s="35">
        <v>83.87</v>
      </c>
      <c r="C650" s="35">
        <v>84.34</v>
      </c>
      <c r="D650" s="35">
        <v>83.33</v>
      </c>
      <c r="E650" s="35">
        <v>83.7</v>
      </c>
      <c r="F650" s="35">
        <v>1434838</v>
      </c>
    </row>
    <row r="651" spans="1:6">
      <c r="A651" s="146">
        <v>42018</v>
      </c>
      <c r="B651" s="35">
        <v>83.08</v>
      </c>
      <c r="C651" s="35">
        <v>83.99</v>
      </c>
      <c r="D651" s="35">
        <v>82.97</v>
      </c>
      <c r="E651" s="35">
        <v>83.74</v>
      </c>
      <c r="F651" s="35">
        <v>1792204</v>
      </c>
    </row>
    <row r="652" spans="1:6">
      <c r="A652" s="146">
        <v>42017</v>
      </c>
      <c r="B652" s="35">
        <v>84.8</v>
      </c>
      <c r="C652" s="35">
        <v>85.5</v>
      </c>
      <c r="D652" s="35">
        <v>83.29</v>
      </c>
      <c r="E652" s="35">
        <v>83.98</v>
      </c>
      <c r="F652" s="35">
        <v>1924069</v>
      </c>
    </row>
    <row r="653" spans="1:6">
      <c r="A653" s="146">
        <v>42016</v>
      </c>
      <c r="B653" s="35">
        <v>84.72</v>
      </c>
      <c r="C653" s="35">
        <v>85.04</v>
      </c>
      <c r="D653" s="35">
        <v>83.81</v>
      </c>
      <c r="E653" s="35">
        <v>84.14</v>
      </c>
      <c r="F653" s="35">
        <v>1326100</v>
      </c>
    </row>
    <row r="654" spans="1:6">
      <c r="A654" s="146">
        <v>42013</v>
      </c>
      <c r="B654" s="35">
        <v>85.05</v>
      </c>
      <c r="C654" s="35">
        <v>85.19</v>
      </c>
      <c r="D654" s="35">
        <v>84.11</v>
      </c>
      <c r="E654" s="35">
        <v>84.56</v>
      </c>
      <c r="F654" s="35">
        <v>1751626</v>
      </c>
    </row>
    <row r="655" spans="1:6">
      <c r="A655" s="146">
        <v>42012</v>
      </c>
      <c r="B655" s="35">
        <v>83.96</v>
      </c>
      <c r="C655" s="35">
        <v>85.18</v>
      </c>
      <c r="D655" s="35">
        <v>83.64</v>
      </c>
      <c r="E655" s="35">
        <v>85.17</v>
      </c>
      <c r="F655" s="35">
        <v>3358749</v>
      </c>
    </row>
    <row r="656" spans="1:6">
      <c r="A656" s="146">
        <v>42011</v>
      </c>
      <c r="B656" s="35">
        <v>82.22</v>
      </c>
      <c r="C656" s="35">
        <v>83.32</v>
      </c>
      <c r="D656" s="35">
        <v>81.8</v>
      </c>
      <c r="E656" s="35">
        <v>83.26</v>
      </c>
      <c r="F656" s="35">
        <v>2078972</v>
      </c>
    </row>
    <row r="657" spans="1:6">
      <c r="A657" s="146">
        <v>42010</v>
      </c>
      <c r="B657" s="35">
        <v>83.3</v>
      </c>
      <c r="C657" s="35">
        <v>83.74</v>
      </c>
      <c r="D657" s="35">
        <v>81.96</v>
      </c>
      <c r="E657" s="35">
        <v>82.54</v>
      </c>
      <c r="F657" s="35">
        <v>2569709</v>
      </c>
    </row>
    <row r="658" spans="1:6">
      <c r="A658" s="146">
        <v>42009</v>
      </c>
      <c r="B658" s="35">
        <v>83.25</v>
      </c>
      <c r="C658" s="35">
        <v>84.44</v>
      </c>
      <c r="D658" s="35">
        <v>82.95</v>
      </c>
      <c r="E658" s="35">
        <v>83.23</v>
      </c>
      <c r="F658" s="35">
        <v>3273231</v>
      </c>
    </row>
    <row r="659" spans="1:6">
      <c r="A659" s="146">
        <v>42006</v>
      </c>
      <c r="B659" s="35">
        <v>82.98</v>
      </c>
      <c r="C659" s="35">
        <v>84.18</v>
      </c>
      <c r="D659" s="35">
        <v>82.52</v>
      </c>
      <c r="E659" s="35">
        <v>83.29</v>
      </c>
      <c r="F659" s="35">
        <v>1872279</v>
      </c>
    </row>
    <row r="660" spans="1:6">
      <c r="A660" s="146">
        <v>42004</v>
      </c>
      <c r="B660" s="35">
        <v>84.38</v>
      </c>
      <c r="C660" s="35">
        <v>84.87</v>
      </c>
      <c r="D660" s="35">
        <v>83.36</v>
      </c>
      <c r="E660" s="35">
        <v>83.37</v>
      </c>
      <c r="F660" s="35">
        <v>1805520</v>
      </c>
    </row>
    <row r="661" spans="1:6">
      <c r="A661" s="146">
        <v>42003</v>
      </c>
      <c r="B661" s="35">
        <v>84.74</v>
      </c>
      <c r="C661" s="35">
        <v>84.91</v>
      </c>
      <c r="D661" s="35">
        <v>84.01</v>
      </c>
      <c r="E661" s="35">
        <v>84.11</v>
      </c>
      <c r="F661" s="35">
        <v>1427678</v>
      </c>
    </row>
    <row r="662" spans="1:6">
      <c r="A662" s="146">
        <v>42002</v>
      </c>
      <c r="B662" s="35">
        <v>85.02</v>
      </c>
      <c r="C662" s="35">
        <v>85.24</v>
      </c>
      <c r="D662" s="35">
        <v>84.82</v>
      </c>
      <c r="E662" s="35">
        <v>84.87</v>
      </c>
      <c r="F662" s="35">
        <v>1242621</v>
      </c>
    </row>
    <row r="663" spans="1:6">
      <c r="A663" s="146">
        <v>41999</v>
      </c>
      <c r="B663" s="35">
        <v>85.57</v>
      </c>
      <c r="C663" s="35">
        <v>85.91</v>
      </c>
      <c r="D663" s="35">
        <v>85.13</v>
      </c>
      <c r="E663" s="35">
        <v>85.2</v>
      </c>
      <c r="F663" s="35">
        <v>1006527</v>
      </c>
    </row>
    <row r="664" spans="1:6">
      <c r="A664" s="146">
        <v>41997</v>
      </c>
      <c r="B664" s="35">
        <v>85.13</v>
      </c>
      <c r="C664" s="35">
        <v>85.61</v>
      </c>
      <c r="D664" s="35">
        <v>85.03</v>
      </c>
      <c r="E664" s="35">
        <v>85.24</v>
      </c>
      <c r="F664" s="35">
        <v>1060288</v>
      </c>
    </row>
    <row r="665" spans="1:6">
      <c r="A665" s="146">
        <v>41996</v>
      </c>
      <c r="B665" s="35">
        <v>86.31</v>
      </c>
      <c r="C665" s="35">
        <v>86.47</v>
      </c>
      <c r="D665" s="35">
        <v>85.14</v>
      </c>
      <c r="E665" s="35">
        <v>85.17</v>
      </c>
      <c r="F665" s="35">
        <v>2343955</v>
      </c>
    </row>
    <row r="666" spans="1:6">
      <c r="A666" s="146">
        <v>41995</v>
      </c>
      <c r="B666" s="35">
        <v>84.72</v>
      </c>
      <c r="C666" s="35">
        <v>85.72</v>
      </c>
      <c r="D666" s="35">
        <v>84.61</v>
      </c>
      <c r="E666" s="35">
        <v>85.7</v>
      </c>
      <c r="F666" s="35">
        <v>1672130</v>
      </c>
    </row>
    <row r="667" spans="1:6">
      <c r="A667" s="146">
        <v>41992</v>
      </c>
      <c r="B667" s="35">
        <v>85.45</v>
      </c>
      <c r="C667" s="35">
        <v>86.15</v>
      </c>
      <c r="D667" s="35">
        <v>84.66</v>
      </c>
      <c r="E667" s="35">
        <v>84.71</v>
      </c>
      <c r="F667" s="35">
        <v>4230483</v>
      </c>
    </row>
    <row r="668" spans="1:6">
      <c r="A668" s="146">
        <v>41991</v>
      </c>
      <c r="B668" s="35">
        <v>85.87</v>
      </c>
      <c r="C668" s="35">
        <v>85.94</v>
      </c>
      <c r="D668" s="35">
        <v>85.03</v>
      </c>
      <c r="E668" s="35">
        <v>85.68</v>
      </c>
      <c r="F668" s="35">
        <v>3535524</v>
      </c>
    </row>
    <row r="669" spans="1:6">
      <c r="A669" s="146">
        <v>41990</v>
      </c>
      <c r="B669" s="35">
        <v>82.62</v>
      </c>
      <c r="C669" s="35">
        <v>84.86</v>
      </c>
      <c r="D669" s="35">
        <v>82.62</v>
      </c>
      <c r="E669" s="35">
        <v>84.68</v>
      </c>
      <c r="F669" s="35">
        <v>1906227</v>
      </c>
    </row>
    <row r="670" spans="1:6">
      <c r="A670" s="146">
        <v>41989</v>
      </c>
      <c r="B670" s="35">
        <v>82.77</v>
      </c>
      <c r="C670" s="35">
        <v>84.07</v>
      </c>
      <c r="D670" s="35">
        <v>82.43</v>
      </c>
      <c r="E670" s="35">
        <v>82.91</v>
      </c>
      <c r="F670" s="35">
        <v>1989960</v>
      </c>
    </row>
    <row r="671" spans="1:6">
      <c r="A671" s="146">
        <v>41988</v>
      </c>
      <c r="B671" s="35">
        <v>82.81</v>
      </c>
      <c r="C671" s="35">
        <v>83.42</v>
      </c>
      <c r="D671" s="35">
        <v>82.04</v>
      </c>
      <c r="E671" s="35">
        <v>82.78</v>
      </c>
      <c r="F671" s="35">
        <v>1848890</v>
      </c>
    </row>
    <row r="672" spans="1:6">
      <c r="A672" s="146">
        <v>41985</v>
      </c>
      <c r="B672" s="35">
        <v>83.47</v>
      </c>
      <c r="C672" s="35">
        <v>84.65</v>
      </c>
      <c r="D672" s="35">
        <v>82.5</v>
      </c>
      <c r="E672" s="35">
        <v>82.5</v>
      </c>
      <c r="F672" s="35">
        <v>2415621</v>
      </c>
    </row>
    <row r="673" spans="1:6">
      <c r="A673" s="146">
        <v>41984</v>
      </c>
      <c r="B673" s="35">
        <v>85.53</v>
      </c>
      <c r="C673" s="35">
        <v>85.57</v>
      </c>
      <c r="D673" s="35">
        <v>84.43</v>
      </c>
      <c r="E673" s="35">
        <v>84.6</v>
      </c>
      <c r="F673" s="35">
        <v>1976754</v>
      </c>
    </row>
    <row r="674" spans="1:6">
      <c r="A674" s="146">
        <v>41983</v>
      </c>
      <c r="B674" s="35">
        <v>84.56</v>
      </c>
      <c r="C674" s="35">
        <v>85.54</v>
      </c>
      <c r="D674" s="35">
        <v>83.98</v>
      </c>
      <c r="E674" s="35">
        <v>84.13</v>
      </c>
      <c r="F674" s="35">
        <v>2024896</v>
      </c>
    </row>
    <row r="675" spans="1:6">
      <c r="A675" s="146">
        <v>41982</v>
      </c>
      <c r="B675" s="35">
        <v>85.18</v>
      </c>
      <c r="C675" s="35">
        <v>85.55</v>
      </c>
      <c r="D675" s="35">
        <v>84.36</v>
      </c>
      <c r="E675" s="35">
        <v>85.26</v>
      </c>
      <c r="F675" s="35">
        <v>1943754</v>
      </c>
    </row>
    <row r="676" spans="1:6">
      <c r="A676" s="146">
        <v>41981</v>
      </c>
      <c r="B676" s="35">
        <v>85.36</v>
      </c>
      <c r="C676" s="35">
        <v>86.01</v>
      </c>
      <c r="D676" s="35">
        <v>85.05</v>
      </c>
      <c r="E676" s="35">
        <v>85.59</v>
      </c>
      <c r="F676" s="35">
        <v>1674151</v>
      </c>
    </row>
    <row r="677" spans="1:6">
      <c r="A677" s="146">
        <v>41978</v>
      </c>
      <c r="B677" s="35">
        <v>85.79</v>
      </c>
      <c r="C677" s="35">
        <v>85.92</v>
      </c>
      <c r="D677" s="35">
        <v>85.11</v>
      </c>
      <c r="E677" s="35">
        <v>85.82</v>
      </c>
      <c r="F677" s="35">
        <v>1792105</v>
      </c>
    </row>
    <row r="678" spans="1:6">
      <c r="A678" s="146">
        <v>41977</v>
      </c>
      <c r="B678" s="35">
        <v>86.06</v>
      </c>
      <c r="C678" s="35">
        <v>86.42</v>
      </c>
      <c r="D678" s="35">
        <v>85.73</v>
      </c>
      <c r="E678" s="35">
        <v>86.06</v>
      </c>
      <c r="F678" s="35">
        <v>1553066</v>
      </c>
    </row>
    <row r="679" spans="1:6">
      <c r="A679" s="146">
        <v>41976</v>
      </c>
      <c r="B679" s="35">
        <v>85.49</v>
      </c>
      <c r="C679" s="35">
        <v>86</v>
      </c>
      <c r="D679" s="35">
        <v>84.99</v>
      </c>
      <c r="E679" s="35">
        <v>85.94</v>
      </c>
      <c r="F679" s="35">
        <v>1878416</v>
      </c>
    </row>
    <row r="680" spans="1:6">
      <c r="A680" s="146">
        <v>41975</v>
      </c>
      <c r="B680" s="35">
        <v>86.45</v>
      </c>
      <c r="C680" s="35">
        <v>86.54</v>
      </c>
      <c r="D680" s="35">
        <v>85.62</v>
      </c>
      <c r="E680" s="35">
        <v>85.8</v>
      </c>
      <c r="F680" s="35">
        <v>1676123</v>
      </c>
    </row>
    <row r="681" spans="1:6">
      <c r="A681" s="146">
        <v>41974</v>
      </c>
      <c r="B681" s="35">
        <v>85.18</v>
      </c>
      <c r="C681" s="35">
        <v>86.5</v>
      </c>
      <c r="D681" s="35">
        <v>85</v>
      </c>
      <c r="E681" s="35">
        <v>86.07</v>
      </c>
      <c r="F681" s="35">
        <v>2054985</v>
      </c>
    </row>
    <row r="682" spans="1:6">
      <c r="A682" s="146">
        <v>41971</v>
      </c>
      <c r="B682" s="35">
        <v>85.26</v>
      </c>
      <c r="C682" s="35">
        <v>86.26</v>
      </c>
      <c r="D682" s="35">
        <v>84.81</v>
      </c>
      <c r="E682" s="35">
        <v>85.64</v>
      </c>
      <c r="F682" s="35">
        <v>1267266</v>
      </c>
    </row>
    <row r="683" spans="1:6">
      <c r="A683" s="146">
        <v>41969</v>
      </c>
      <c r="B683" s="35">
        <v>84.72</v>
      </c>
      <c r="C683" s="35">
        <v>84.96</v>
      </c>
      <c r="D683" s="35">
        <v>84.36</v>
      </c>
      <c r="E683" s="35">
        <v>84.86</v>
      </c>
      <c r="F683" s="35">
        <v>1997058</v>
      </c>
    </row>
    <row r="684" spans="1:6">
      <c r="A684" s="146">
        <v>41968</v>
      </c>
      <c r="B684" s="35">
        <v>84.69</v>
      </c>
      <c r="C684" s="35">
        <v>85.07</v>
      </c>
      <c r="D684" s="35">
        <v>84.49</v>
      </c>
      <c r="E684" s="35">
        <v>84.52</v>
      </c>
      <c r="F684" s="35">
        <v>1852610</v>
      </c>
    </row>
    <row r="685" spans="1:6">
      <c r="A685" s="146">
        <v>41967</v>
      </c>
      <c r="B685" s="35">
        <v>84.51</v>
      </c>
      <c r="C685" s="35">
        <v>84.92</v>
      </c>
      <c r="D685" s="35">
        <v>84.43</v>
      </c>
      <c r="E685" s="35">
        <v>84.78</v>
      </c>
      <c r="F685" s="35">
        <v>2295447</v>
      </c>
    </row>
    <row r="686" spans="1:6">
      <c r="A686" s="146">
        <v>41964</v>
      </c>
      <c r="B686" s="35">
        <v>85.22</v>
      </c>
      <c r="C686" s="35">
        <v>85.22</v>
      </c>
      <c r="D686" s="35">
        <v>83.81</v>
      </c>
      <c r="E686" s="35">
        <v>84.14</v>
      </c>
      <c r="F686" s="35">
        <v>2692005</v>
      </c>
    </row>
    <row r="687" spans="1:6">
      <c r="A687" s="146">
        <v>41963</v>
      </c>
      <c r="B687" s="35">
        <v>84.28</v>
      </c>
      <c r="C687" s="35">
        <v>84.42</v>
      </c>
      <c r="D687" s="35">
        <v>83.6</v>
      </c>
      <c r="E687" s="35">
        <v>84.12</v>
      </c>
      <c r="F687" s="35">
        <v>2507416</v>
      </c>
    </row>
    <row r="688" spans="1:6">
      <c r="A688" s="146">
        <v>41962</v>
      </c>
      <c r="B688" s="35">
        <v>84.79</v>
      </c>
      <c r="C688" s="35">
        <v>84.79</v>
      </c>
      <c r="D688" s="35">
        <v>84.06</v>
      </c>
      <c r="E688" s="35">
        <v>84.27</v>
      </c>
      <c r="F688" s="35">
        <v>2362385</v>
      </c>
    </row>
    <row r="689" spans="1:6">
      <c r="A689" s="146">
        <v>41961</v>
      </c>
      <c r="B689" s="35">
        <v>84.85</v>
      </c>
      <c r="C689" s="35">
        <v>85.12</v>
      </c>
      <c r="D689" s="35">
        <v>84.45</v>
      </c>
      <c r="E689" s="35">
        <v>84.75</v>
      </c>
      <c r="F689" s="35">
        <v>1807257</v>
      </c>
    </row>
    <row r="690" spans="1:6">
      <c r="A690" s="146">
        <v>41960</v>
      </c>
      <c r="B690" s="35">
        <v>84.7</v>
      </c>
      <c r="C690" s="35">
        <v>85.08</v>
      </c>
      <c r="D690" s="35">
        <v>84.54</v>
      </c>
      <c r="E690" s="35">
        <v>84.84</v>
      </c>
      <c r="F690" s="35">
        <v>1531819</v>
      </c>
    </row>
    <row r="691" spans="1:6">
      <c r="A691" s="146">
        <v>41957</v>
      </c>
      <c r="B691" s="35">
        <v>85.41</v>
      </c>
      <c r="C691" s="35">
        <v>85.53</v>
      </c>
      <c r="D691" s="35">
        <v>84.46</v>
      </c>
      <c r="E691" s="35">
        <v>84.75</v>
      </c>
      <c r="F691" s="35">
        <v>1853091</v>
      </c>
    </row>
    <row r="692" spans="1:6">
      <c r="A692" s="146">
        <v>41956</v>
      </c>
      <c r="B692" s="35">
        <v>85.43</v>
      </c>
      <c r="C692" s="35">
        <v>85.89</v>
      </c>
      <c r="D692" s="35">
        <v>84.98</v>
      </c>
      <c r="E692" s="35">
        <v>85.41</v>
      </c>
      <c r="F692" s="35">
        <v>1451594</v>
      </c>
    </row>
    <row r="693" spans="1:6">
      <c r="A693" s="146">
        <v>41955</v>
      </c>
      <c r="B693" s="35">
        <v>84.77</v>
      </c>
      <c r="C693" s="35">
        <v>85.54</v>
      </c>
      <c r="D693" s="35">
        <v>84.63</v>
      </c>
      <c r="E693" s="35">
        <v>85.2</v>
      </c>
      <c r="F693" s="35">
        <v>1514639</v>
      </c>
    </row>
    <row r="694" spans="1:6">
      <c r="A694" s="146">
        <v>41954</v>
      </c>
      <c r="B694" s="35">
        <v>85.09</v>
      </c>
      <c r="C694" s="35">
        <v>85.32</v>
      </c>
      <c r="D694" s="35">
        <v>84.64</v>
      </c>
      <c r="E694" s="35">
        <v>84.95</v>
      </c>
      <c r="F694" s="35">
        <v>1267082</v>
      </c>
    </row>
    <row r="695" spans="1:6">
      <c r="A695" s="146">
        <v>41953</v>
      </c>
      <c r="B695" s="35">
        <v>84.31</v>
      </c>
      <c r="C695" s="35">
        <v>85.28</v>
      </c>
      <c r="D695" s="35">
        <v>84.06</v>
      </c>
      <c r="E695" s="35">
        <v>85.12</v>
      </c>
      <c r="F695" s="35">
        <v>1611442</v>
      </c>
    </row>
    <row r="696" spans="1:6">
      <c r="A696" s="146">
        <v>41950</v>
      </c>
      <c r="B696" s="35">
        <v>84.87</v>
      </c>
      <c r="C696" s="35">
        <v>84.98</v>
      </c>
      <c r="D696" s="35">
        <v>83.68</v>
      </c>
      <c r="E696" s="35">
        <v>84.38</v>
      </c>
      <c r="F696" s="35">
        <v>2441261</v>
      </c>
    </row>
    <row r="697" spans="1:6">
      <c r="A697" s="146">
        <v>41949</v>
      </c>
      <c r="B697" s="35">
        <v>84.66</v>
      </c>
      <c r="C697" s="35">
        <v>85.1</v>
      </c>
      <c r="D697" s="35">
        <v>84.15</v>
      </c>
      <c r="E697" s="35">
        <v>84.74</v>
      </c>
      <c r="F697" s="35">
        <v>2126487</v>
      </c>
    </row>
    <row r="698" spans="1:6">
      <c r="A698" s="146">
        <v>41948</v>
      </c>
      <c r="B698" s="35">
        <v>83.78</v>
      </c>
      <c r="C698" s="35">
        <v>84.38</v>
      </c>
      <c r="D698" s="35">
        <v>83.33</v>
      </c>
      <c r="E698" s="35">
        <v>84.3</v>
      </c>
      <c r="F698" s="35">
        <v>2325867</v>
      </c>
    </row>
    <row r="699" spans="1:6">
      <c r="A699" s="146">
        <v>41947</v>
      </c>
      <c r="B699" s="35">
        <v>82.35</v>
      </c>
      <c r="C699" s="35">
        <v>83.36</v>
      </c>
      <c r="D699" s="35">
        <v>82</v>
      </c>
      <c r="E699" s="35">
        <v>83.15</v>
      </c>
      <c r="F699" s="35">
        <v>2508301</v>
      </c>
    </row>
    <row r="700" spans="1:6">
      <c r="A700" s="146">
        <v>41946</v>
      </c>
      <c r="B700" s="35">
        <v>81.5</v>
      </c>
      <c r="C700" s="35">
        <v>82.47</v>
      </c>
      <c r="D700" s="35">
        <v>81.48</v>
      </c>
      <c r="E700" s="35">
        <v>81.739999999999995</v>
      </c>
      <c r="F700" s="35">
        <v>2707632</v>
      </c>
    </row>
    <row r="701" spans="1:6">
      <c r="A701" s="146">
        <v>41943</v>
      </c>
      <c r="B701" s="35">
        <v>80.61</v>
      </c>
      <c r="C701" s="35">
        <v>81.99</v>
      </c>
      <c r="D701" s="35">
        <v>79.86</v>
      </c>
      <c r="E701" s="35">
        <v>81.78</v>
      </c>
      <c r="F701" s="35">
        <v>3712308</v>
      </c>
    </row>
    <row r="702" spans="1:6">
      <c r="A702" s="146">
        <v>41942</v>
      </c>
      <c r="B702" s="35">
        <v>77.89</v>
      </c>
      <c r="C702" s="35">
        <v>79.39</v>
      </c>
      <c r="D702" s="35">
        <v>77.3</v>
      </c>
      <c r="E702" s="35">
        <v>78.95</v>
      </c>
      <c r="F702" s="35">
        <v>2113807</v>
      </c>
    </row>
    <row r="703" spans="1:6">
      <c r="A703" s="146">
        <v>41941</v>
      </c>
      <c r="B703" s="35">
        <v>77.09</v>
      </c>
      <c r="C703" s="35">
        <v>78.099999999999994</v>
      </c>
      <c r="D703" s="35">
        <v>76.930000000000007</v>
      </c>
      <c r="E703" s="35">
        <v>77.92</v>
      </c>
      <c r="F703" s="35">
        <v>1357079</v>
      </c>
    </row>
    <row r="704" spans="1:6">
      <c r="A704" s="146">
        <v>41940</v>
      </c>
      <c r="B704" s="35">
        <v>76.94</v>
      </c>
      <c r="C704" s="35">
        <v>77.319999999999993</v>
      </c>
      <c r="D704" s="35">
        <v>76.22</v>
      </c>
      <c r="E704" s="35">
        <v>77.260000000000005</v>
      </c>
      <c r="F704" s="35">
        <v>2314789</v>
      </c>
    </row>
    <row r="705" spans="1:6">
      <c r="A705" s="146">
        <v>41939</v>
      </c>
      <c r="B705" s="35">
        <v>76.25</v>
      </c>
      <c r="C705" s="35">
        <v>76.599999999999994</v>
      </c>
      <c r="D705" s="35">
        <v>75.95</v>
      </c>
      <c r="E705" s="35">
        <v>76.47</v>
      </c>
      <c r="F705" s="35">
        <v>1103391</v>
      </c>
    </row>
    <row r="706" spans="1:6">
      <c r="A706" s="146">
        <v>41936</v>
      </c>
      <c r="B706" s="35">
        <v>75.78</v>
      </c>
      <c r="C706" s="35">
        <v>76.25</v>
      </c>
      <c r="D706" s="35">
        <v>75.47</v>
      </c>
      <c r="E706" s="35">
        <v>76.2</v>
      </c>
      <c r="F706" s="35">
        <v>1131834</v>
      </c>
    </row>
    <row r="707" spans="1:6">
      <c r="A707" s="146">
        <v>41935</v>
      </c>
      <c r="B707" s="35">
        <v>75.75</v>
      </c>
      <c r="C707" s="35">
        <v>76.2</v>
      </c>
      <c r="D707" s="35">
        <v>75.22</v>
      </c>
      <c r="E707" s="35">
        <v>75.44</v>
      </c>
      <c r="F707" s="35">
        <v>1462300</v>
      </c>
    </row>
    <row r="708" spans="1:6">
      <c r="A708" s="146">
        <v>41934</v>
      </c>
      <c r="B708" s="35">
        <v>75.010000000000005</v>
      </c>
      <c r="C708" s="35">
        <v>75.180000000000007</v>
      </c>
      <c r="D708" s="35">
        <v>74.56</v>
      </c>
      <c r="E708" s="35">
        <v>74.61</v>
      </c>
      <c r="F708" s="35">
        <v>1416149</v>
      </c>
    </row>
    <row r="709" spans="1:6">
      <c r="A709" s="146">
        <v>41933</v>
      </c>
      <c r="B709" s="35">
        <v>73.63</v>
      </c>
      <c r="C709" s="35">
        <v>74.89</v>
      </c>
      <c r="D709" s="35">
        <v>73.25</v>
      </c>
      <c r="E709" s="35">
        <v>74.8</v>
      </c>
      <c r="F709" s="35">
        <v>1565250</v>
      </c>
    </row>
    <row r="710" spans="1:6">
      <c r="A710" s="146">
        <v>41932</v>
      </c>
      <c r="B710" s="35">
        <v>72.540000000000006</v>
      </c>
      <c r="C710" s="35">
        <v>73.39</v>
      </c>
      <c r="D710" s="35">
        <v>72.349999999999994</v>
      </c>
      <c r="E710" s="35">
        <v>73.349999999999994</v>
      </c>
      <c r="F710" s="35">
        <v>2125360</v>
      </c>
    </row>
    <row r="711" spans="1:6">
      <c r="A711" s="146">
        <v>41929</v>
      </c>
      <c r="B711" s="35">
        <v>72.510000000000005</v>
      </c>
      <c r="C711" s="35">
        <v>72.98</v>
      </c>
      <c r="D711" s="35">
        <v>71.510000000000005</v>
      </c>
      <c r="E711" s="35">
        <v>72.680000000000007</v>
      </c>
      <c r="F711" s="35">
        <v>1700389</v>
      </c>
    </row>
    <row r="712" spans="1:6">
      <c r="A712" s="146">
        <v>41928</v>
      </c>
      <c r="B712" s="35">
        <v>70.790000000000006</v>
      </c>
      <c r="C712" s="35">
        <v>72.150000000000006</v>
      </c>
      <c r="D712" s="35">
        <v>70.69</v>
      </c>
      <c r="E712" s="35">
        <v>71.63</v>
      </c>
      <c r="F712" s="35">
        <v>2179303</v>
      </c>
    </row>
    <row r="713" spans="1:6">
      <c r="A713" s="146">
        <v>41927</v>
      </c>
      <c r="B713" s="35">
        <v>72</v>
      </c>
      <c r="C713" s="35">
        <v>72.34</v>
      </c>
      <c r="D713" s="35">
        <v>70.5</v>
      </c>
      <c r="E713" s="35">
        <v>71.78</v>
      </c>
      <c r="F713" s="35">
        <v>2482932</v>
      </c>
    </row>
    <row r="714" spans="1:6">
      <c r="A714" s="146">
        <v>41926</v>
      </c>
      <c r="B714" s="35">
        <v>72.56</v>
      </c>
      <c r="C714" s="35">
        <v>72.98</v>
      </c>
      <c r="D714" s="35">
        <v>72.25</v>
      </c>
      <c r="E714" s="35">
        <v>72.64</v>
      </c>
      <c r="F714" s="35">
        <v>2088129</v>
      </c>
    </row>
    <row r="715" spans="1:6">
      <c r="A715" s="146">
        <v>41925</v>
      </c>
      <c r="B715" s="35">
        <v>72.819999999999993</v>
      </c>
      <c r="C715" s="35">
        <v>73.12</v>
      </c>
      <c r="D715" s="35">
        <v>71.930000000000007</v>
      </c>
      <c r="E715" s="35">
        <v>71.95</v>
      </c>
      <c r="F715" s="35">
        <v>2058736</v>
      </c>
    </row>
    <row r="716" spans="1:6">
      <c r="A716" s="146">
        <v>41922</v>
      </c>
      <c r="B716" s="35">
        <v>73.25</v>
      </c>
      <c r="C716" s="35">
        <v>73.819999999999993</v>
      </c>
      <c r="D716" s="35">
        <v>72.650000000000006</v>
      </c>
      <c r="E716" s="35">
        <v>72.66</v>
      </c>
      <c r="F716" s="35">
        <v>2395942</v>
      </c>
    </row>
    <row r="717" spans="1:6">
      <c r="A717" s="146">
        <v>41921</v>
      </c>
      <c r="B717" s="35">
        <v>74.8</v>
      </c>
      <c r="C717" s="35">
        <v>74.95</v>
      </c>
      <c r="D717" s="35">
        <v>73.16</v>
      </c>
      <c r="E717" s="35">
        <v>73.19</v>
      </c>
      <c r="F717" s="35">
        <v>1972846</v>
      </c>
    </row>
    <row r="718" spans="1:6">
      <c r="A718" s="146">
        <v>41920</v>
      </c>
      <c r="B718" s="35">
        <v>73.5</v>
      </c>
      <c r="C718" s="35">
        <v>74.98</v>
      </c>
      <c r="D718" s="35">
        <v>73.260000000000005</v>
      </c>
      <c r="E718" s="35">
        <v>74.78</v>
      </c>
      <c r="F718" s="35">
        <v>2078845</v>
      </c>
    </row>
    <row r="719" spans="1:6">
      <c r="A719" s="146">
        <v>41919</v>
      </c>
      <c r="B719" s="35">
        <v>74.34</v>
      </c>
      <c r="C719" s="35">
        <v>74.5</v>
      </c>
      <c r="D719" s="35">
        <v>73.48</v>
      </c>
      <c r="E719" s="35">
        <v>73.52</v>
      </c>
      <c r="F719" s="35">
        <v>2233272</v>
      </c>
    </row>
    <row r="720" spans="1:6">
      <c r="A720" s="146">
        <v>41918</v>
      </c>
      <c r="B720" s="35">
        <v>74.959999999999994</v>
      </c>
      <c r="C720" s="35">
        <v>75.040000000000006</v>
      </c>
      <c r="D720" s="35">
        <v>74.290000000000006</v>
      </c>
      <c r="E720" s="35">
        <v>74.52</v>
      </c>
      <c r="F720" s="35">
        <v>2919471</v>
      </c>
    </row>
    <row r="721" spans="1:6">
      <c r="A721" s="146">
        <v>41915</v>
      </c>
      <c r="B721" s="35">
        <v>73.56</v>
      </c>
      <c r="C721" s="35">
        <v>75.040000000000006</v>
      </c>
      <c r="D721" s="35">
        <v>73.55</v>
      </c>
      <c r="E721" s="35">
        <v>74.849999999999994</v>
      </c>
      <c r="F721" s="35">
        <v>4475419</v>
      </c>
    </row>
    <row r="722" spans="1:6">
      <c r="A722" s="146">
        <v>41914</v>
      </c>
      <c r="B722" s="35">
        <v>71.709999999999994</v>
      </c>
      <c r="C722" s="35">
        <v>72.63</v>
      </c>
      <c r="D722" s="35">
        <v>71.510000000000005</v>
      </c>
      <c r="E722" s="35">
        <v>72.5</v>
      </c>
      <c r="F722" s="35">
        <v>3007958</v>
      </c>
    </row>
    <row r="723" spans="1:6">
      <c r="A723" s="146">
        <v>41913</v>
      </c>
      <c r="B723" s="35">
        <v>73.03</v>
      </c>
      <c r="C723" s="35">
        <v>73.08</v>
      </c>
      <c r="D723" s="35">
        <v>71.41</v>
      </c>
      <c r="E723" s="35">
        <v>71.42</v>
      </c>
      <c r="F723" s="35">
        <v>3540258</v>
      </c>
    </row>
    <row r="724" spans="1:6">
      <c r="A724" s="146">
        <v>41912</v>
      </c>
      <c r="B724" s="35">
        <v>83.34</v>
      </c>
      <c r="C724" s="35">
        <v>83.45</v>
      </c>
      <c r="D724" s="35">
        <v>82.7</v>
      </c>
      <c r="E724" s="35">
        <v>83.08</v>
      </c>
      <c r="F724" s="35">
        <v>2358037</v>
      </c>
    </row>
    <row r="725" spans="1:6">
      <c r="A725" s="146">
        <v>41911</v>
      </c>
      <c r="B725" s="35">
        <v>82.06</v>
      </c>
      <c r="C725" s="35">
        <v>82.91</v>
      </c>
      <c r="D725" s="35">
        <v>81.91</v>
      </c>
      <c r="E725" s="35">
        <v>82.81</v>
      </c>
      <c r="F725" s="35">
        <v>1689400</v>
      </c>
    </row>
    <row r="726" spans="1:6">
      <c r="A726" s="146">
        <v>41908</v>
      </c>
      <c r="B726" s="35">
        <v>82.24</v>
      </c>
      <c r="C726" s="35">
        <v>82.76</v>
      </c>
      <c r="D726" s="35">
        <v>81.8</v>
      </c>
      <c r="E726" s="35">
        <v>82.59</v>
      </c>
      <c r="F726" s="35">
        <v>1663719</v>
      </c>
    </row>
    <row r="727" spans="1:6">
      <c r="A727" s="146">
        <v>41907</v>
      </c>
      <c r="B727" s="35">
        <v>83.61</v>
      </c>
      <c r="C727" s="35">
        <v>83.61</v>
      </c>
      <c r="D727" s="35">
        <v>82.32</v>
      </c>
      <c r="E727" s="35">
        <v>82.36</v>
      </c>
      <c r="F727" s="35">
        <v>1731590</v>
      </c>
    </row>
    <row r="728" spans="1:6">
      <c r="A728" s="146">
        <v>41906</v>
      </c>
      <c r="B728" s="35">
        <v>82.52</v>
      </c>
      <c r="C728" s="35">
        <v>84.06</v>
      </c>
      <c r="D728" s="35">
        <v>82.39</v>
      </c>
      <c r="E728" s="35">
        <v>83.93</v>
      </c>
      <c r="F728" s="35">
        <v>1356148</v>
      </c>
    </row>
    <row r="729" spans="1:6">
      <c r="A729" s="146">
        <v>41905</v>
      </c>
      <c r="B729" s="35">
        <v>82.94</v>
      </c>
      <c r="C729" s="35">
        <v>83.09</v>
      </c>
      <c r="D729" s="35">
        <v>82.59</v>
      </c>
      <c r="E729" s="35">
        <v>82.61</v>
      </c>
      <c r="F729" s="35">
        <v>1247456</v>
      </c>
    </row>
    <row r="730" spans="1:6">
      <c r="A730" s="146">
        <v>41904</v>
      </c>
      <c r="B730" s="35">
        <v>83.42</v>
      </c>
      <c r="C730" s="35">
        <v>83.77</v>
      </c>
      <c r="D730" s="35">
        <v>82.77</v>
      </c>
      <c r="E730" s="35">
        <v>83.09</v>
      </c>
      <c r="F730" s="35">
        <v>1243157</v>
      </c>
    </row>
    <row r="731" spans="1:6">
      <c r="A731" s="146">
        <v>41901</v>
      </c>
      <c r="B731" s="35">
        <v>84.55</v>
      </c>
      <c r="C731" s="35">
        <v>84.68</v>
      </c>
      <c r="D731" s="35">
        <v>83.56</v>
      </c>
      <c r="E731" s="35">
        <v>83.88</v>
      </c>
      <c r="F731" s="35">
        <v>2367344</v>
      </c>
    </row>
    <row r="732" spans="1:6">
      <c r="A732" s="146">
        <v>41900</v>
      </c>
      <c r="B732" s="35">
        <v>83.49</v>
      </c>
      <c r="C732" s="35">
        <v>84.31</v>
      </c>
      <c r="D732" s="35">
        <v>83.31</v>
      </c>
      <c r="E732" s="35">
        <v>84.19</v>
      </c>
      <c r="F732" s="35">
        <v>1611840</v>
      </c>
    </row>
    <row r="733" spans="1:6">
      <c r="A733" s="146">
        <v>41899</v>
      </c>
      <c r="B733" s="35">
        <v>83.47</v>
      </c>
      <c r="C733" s="35">
        <v>83.51</v>
      </c>
      <c r="D733" s="35">
        <v>82.81</v>
      </c>
      <c r="E733" s="35">
        <v>83.35</v>
      </c>
      <c r="F733" s="35">
        <v>1426796</v>
      </c>
    </row>
    <row r="734" spans="1:6">
      <c r="A734" s="146">
        <v>41898</v>
      </c>
      <c r="B734" s="35">
        <v>82.56</v>
      </c>
      <c r="C734" s="35">
        <v>83.56</v>
      </c>
      <c r="D734" s="35">
        <v>82.56</v>
      </c>
      <c r="E734" s="35">
        <v>83.41</v>
      </c>
      <c r="F734" s="35">
        <v>1389454</v>
      </c>
    </row>
    <row r="735" spans="1:6">
      <c r="A735" s="146">
        <v>41897</v>
      </c>
      <c r="B735" s="35">
        <v>82.94</v>
      </c>
      <c r="C735" s="35">
        <v>83.61</v>
      </c>
      <c r="D735" s="35">
        <v>82.55</v>
      </c>
      <c r="E735" s="35">
        <v>83.46</v>
      </c>
      <c r="F735" s="35">
        <v>1240043</v>
      </c>
    </row>
    <row r="736" spans="1:6">
      <c r="A736" s="146">
        <v>41894</v>
      </c>
      <c r="B736" s="35">
        <v>83.26</v>
      </c>
      <c r="C736" s="35">
        <v>83.38</v>
      </c>
      <c r="D736" s="35">
        <v>82.33</v>
      </c>
      <c r="E736" s="35">
        <v>83.02</v>
      </c>
      <c r="F736" s="35">
        <v>1689940</v>
      </c>
    </row>
    <row r="737" spans="1:6">
      <c r="A737" s="146">
        <v>41893</v>
      </c>
      <c r="B737" s="35">
        <v>83.3</v>
      </c>
      <c r="C737" s="35">
        <v>83.41</v>
      </c>
      <c r="D737" s="35">
        <v>82.69</v>
      </c>
      <c r="E737" s="35">
        <v>83.2</v>
      </c>
      <c r="F737" s="35">
        <v>1346780</v>
      </c>
    </row>
    <row r="738" spans="1:6">
      <c r="A738" s="146">
        <v>41892</v>
      </c>
      <c r="B738" s="35">
        <v>83.32</v>
      </c>
      <c r="C738" s="35">
        <v>83.65</v>
      </c>
      <c r="D738" s="35">
        <v>82.92</v>
      </c>
      <c r="E738" s="35">
        <v>83.61</v>
      </c>
      <c r="F738" s="35">
        <v>1279510</v>
      </c>
    </row>
    <row r="739" spans="1:6">
      <c r="A739" s="146">
        <v>41891</v>
      </c>
      <c r="B739" s="35">
        <v>83.85</v>
      </c>
      <c r="C739" s="35">
        <v>84.05</v>
      </c>
      <c r="D739" s="35">
        <v>83.45</v>
      </c>
      <c r="E739" s="35">
        <v>83.61</v>
      </c>
      <c r="F739" s="35">
        <v>1001746</v>
      </c>
    </row>
    <row r="740" spans="1:6">
      <c r="A740" s="146">
        <v>41890</v>
      </c>
      <c r="B740" s="35">
        <v>83.91</v>
      </c>
      <c r="C740" s="35">
        <v>84.48</v>
      </c>
      <c r="D740" s="35">
        <v>83.74</v>
      </c>
      <c r="E740" s="35">
        <v>84.09</v>
      </c>
      <c r="F740" s="35">
        <v>860554</v>
      </c>
    </row>
    <row r="741" spans="1:6">
      <c r="A741" s="146">
        <v>41887</v>
      </c>
      <c r="B741" s="35">
        <v>83.69</v>
      </c>
      <c r="C741" s="35">
        <v>84.37</v>
      </c>
      <c r="D741" s="35">
        <v>83.62</v>
      </c>
      <c r="E741" s="35">
        <v>84.34</v>
      </c>
      <c r="F741" s="35">
        <v>1200956</v>
      </c>
    </row>
    <row r="742" spans="1:6">
      <c r="A742" s="146">
        <v>41886</v>
      </c>
      <c r="B742" s="35">
        <v>83.67</v>
      </c>
      <c r="C742" s="35">
        <v>84.44</v>
      </c>
      <c r="D742" s="35">
        <v>83.63</v>
      </c>
      <c r="E742" s="35">
        <v>83.81</v>
      </c>
      <c r="F742" s="35">
        <v>883660</v>
      </c>
    </row>
    <row r="743" spans="1:6">
      <c r="A743" s="146">
        <v>41885</v>
      </c>
      <c r="B743" s="35">
        <v>84.09</v>
      </c>
      <c r="C743" s="35">
        <v>84.16</v>
      </c>
      <c r="D743" s="35">
        <v>83.6</v>
      </c>
      <c r="E743" s="35">
        <v>83.78</v>
      </c>
      <c r="F743" s="35">
        <v>1064745</v>
      </c>
    </row>
    <row r="744" spans="1:6">
      <c r="A744" s="146">
        <v>41884</v>
      </c>
      <c r="B744" s="35">
        <v>83.68</v>
      </c>
      <c r="C744" s="35">
        <v>83.94</v>
      </c>
      <c r="D744" s="35">
        <v>83.27</v>
      </c>
      <c r="E744" s="35">
        <v>83.69</v>
      </c>
      <c r="F744" s="35">
        <v>1207029</v>
      </c>
    </row>
    <row r="745" spans="1:6">
      <c r="A745" s="146">
        <v>41880</v>
      </c>
      <c r="B745" s="35">
        <v>83.95</v>
      </c>
      <c r="C745" s="35">
        <v>83.95</v>
      </c>
      <c r="D745" s="35">
        <v>82.91</v>
      </c>
      <c r="E745" s="35">
        <v>83.48</v>
      </c>
      <c r="F745" s="35">
        <v>1556882</v>
      </c>
    </row>
    <row r="746" spans="1:6">
      <c r="A746" s="146">
        <v>41879</v>
      </c>
      <c r="B746" s="35">
        <v>83.03</v>
      </c>
      <c r="C746" s="35">
        <v>83.72</v>
      </c>
      <c r="D746" s="35">
        <v>83.03</v>
      </c>
      <c r="E746" s="35">
        <v>83.5</v>
      </c>
      <c r="F746" s="35">
        <v>832293</v>
      </c>
    </row>
    <row r="747" spans="1:6">
      <c r="A747" s="146">
        <v>41878</v>
      </c>
      <c r="B747" s="35">
        <v>83.75</v>
      </c>
      <c r="C747" s="35">
        <v>83.97</v>
      </c>
      <c r="D747" s="35">
        <v>83.43</v>
      </c>
      <c r="E747" s="35">
        <v>83.67</v>
      </c>
      <c r="F747" s="35">
        <v>863274</v>
      </c>
    </row>
    <row r="748" spans="1:6">
      <c r="A748" s="146">
        <v>41877</v>
      </c>
      <c r="B748" s="35">
        <v>83.6</v>
      </c>
      <c r="C748" s="35">
        <v>84.23</v>
      </c>
      <c r="D748" s="35">
        <v>83.42</v>
      </c>
      <c r="E748" s="35">
        <v>83.82</v>
      </c>
      <c r="F748" s="35">
        <v>1068826</v>
      </c>
    </row>
    <row r="749" spans="1:6">
      <c r="A749" s="146">
        <v>41876</v>
      </c>
      <c r="B749" s="35">
        <v>83.63</v>
      </c>
      <c r="C749" s="35">
        <v>83.94</v>
      </c>
      <c r="D749" s="35">
        <v>83.27</v>
      </c>
      <c r="E749" s="35">
        <v>83.62</v>
      </c>
      <c r="F749" s="35">
        <v>845332</v>
      </c>
    </row>
    <row r="750" spans="1:6">
      <c r="A750" s="146">
        <v>41873</v>
      </c>
      <c r="B750" s="35">
        <v>84.05</v>
      </c>
      <c r="C750" s="35">
        <v>84.2</v>
      </c>
      <c r="D750" s="35">
        <v>83.28</v>
      </c>
      <c r="E750" s="35">
        <v>83.49</v>
      </c>
      <c r="F750" s="35">
        <v>914519</v>
      </c>
    </row>
    <row r="751" spans="1:6">
      <c r="A751" s="146">
        <v>41872</v>
      </c>
      <c r="B751" s="35">
        <v>83.57</v>
      </c>
      <c r="C751" s="35">
        <v>84.07</v>
      </c>
      <c r="D751" s="35">
        <v>83.27</v>
      </c>
      <c r="E751" s="35">
        <v>83.89</v>
      </c>
      <c r="F751" s="35">
        <v>810956</v>
      </c>
    </row>
    <row r="752" spans="1:6">
      <c r="A752" s="146">
        <v>41871</v>
      </c>
      <c r="B752" s="35">
        <v>83.36</v>
      </c>
      <c r="C752" s="35">
        <v>83.68</v>
      </c>
      <c r="D752" s="35">
        <v>82.79</v>
      </c>
      <c r="E752" s="35">
        <v>83.57</v>
      </c>
      <c r="F752" s="35">
        <v>1078073</v>
      </c>
    </row>
    <row r="753" spans="1:6">
      <c r="A753" s="146">
        <v>41870</v>
      </c>
      <c r="B753" s="35">
        <v>83.01</v>
      </c>
      <c r="C753" s="35">
        <v>83.55</v>
      </c>
      <c r="D753" s="35">
        <v>82.95</v>
      </c>
      <c r="E753" s="35">
        <v>83.43</v>
      </c>
      <c r="F753" s="35">
        <v>841192</v>
      </c>
    </row>
    <row r="754" spans="1:6">
      <c r="A754" s="146">
        <v>41869</v>
      </c>
      <c r="B754" s="35">
        <v>82.62</v>
      </c>
      <c r="C754" s="35">
        <v>83.33</v>
      </c>
      <c r="D754" s="35">
        <v>82.5</v>
      </c>
      <c r="E754" s="35">
        <v>83.25</v>
      </c>
      <c r="F754" s="35">
        <v>941475</v>
      </c>
    </row>
    <row r="755" spans="1:6">
      <c r="A755" s="146">
        <v>41866</v>
      </c>
      <c r="B755" s="35">
        <v>83.14</v>
      </c>
      <c r="C755" s="35">
        <v>83.15</v>
      </c>
      <c r="D755" s="35">
        <v>81.67</v>
      </c>
      <c r="E755" s="35">
        <v>82.27</v>
      </c>
      <c r="F755" s="35">
        <v>1655207</v>
      </c>
    </row>
    <row r="756" spans="1:6">
      <c r="A756" s="146">
        <v>41865</v>
      </c>
      <c r="B756" s="35">
        <v>83.78</v>
      </c>
      <c r="C756" s="35">
        <v>83.78</v>
      </c>
      <c r="D756" s="35">
        <v>81.69</v>
      </c>
      <c r="E756" s="35">
        <v>82.39</v>
      </c>
      <c r="F756" s="35">
        <v>795070</v>
      </c>
    </row>
    <row r="757" spans="1:6">
      <c r="A757" s="146">
        <v>41864</v>
      </c>
      <c r="B757" s="35">
        <v>81.739999999999995</v>
      </c>
      <c r="C757" s="35">
        <v>82.07</v>
      </c>
      <c r="D757" s="35">
        <v>81.17</v>
      </c>
      <c r="E757" s="35">
        <v>82</v>
      </c>
      <c r="F757" s="35">
        <v>1059058</v>
      </c>
    </row>
    <row r="758" spans="1:6">
      <c r="A758" s="146">
        <v>41863</v>
      </c>
      <c r="B758" s="35">
        <v>81.11</v>
      </c>
      <c r="C758" s="35">
        <v>81.680000000000007</v>
      </c>
      <c r="D758" s="35">
        <v>80.930000000000007</v>
      </c>
      <c r="E758" s="35">
        <v>81.27</v>
      </c>
      <c r="F758" s="35">
        <v>1023057</v>
      </c>
    </row>
    <row r="759" spans="1:6">
      <c r="A759" s="146">
        <v>41862</v>
      </c>
      <c r="B759" s="35">
        <v>81.209999999999994</v>
      </c>
      <c r="C759" s="35">
        <v>81.739999999999995</v>
      </c>
      <c r="D759" s="35">
        <v>81.16</v>
      </c>
      <c r="E759" s="35">
        <v>81.34</v>
      </c>
      <c r="F759" s="35">
        <v>983637</v>
      </c>
    </row>
    <row r="760" spans="1:6">
      <c r="A760" s="146">
        <v>41859</v>
      </c>
      <c r="B760" s="35">
        <v>80.2</v>
      </c>
      <c r="C760" s="35">
        <v>81.28</v>
      </c>
      <c r="D760" s="35">
        <v>80.2</v>
      </c>
      <c r="E760" s="35">
        <v>81.12</v>
      </c>
      <c r="F760" s="35">
        <v>1285203</v>
      </c>
    </row>
    <row r="761" spans="1:6">
      <c r="A761" s="146">
        <v>41858</v>
      </c>
      <c r="B761" s="35">
        <v>80.680000000000007</v>
      </c>
      <c r="C761" s="35">
        <v>80.97</v>
      </c>
      <c r="D761" s="35">
        <v>79.81</v>
      </c>
      <c r="E761" s="35">
        <v>80.069999999999993</v>
      </c>
      <c r="F761" s="35">
        <v>1320666</v>
      </c>
    </row>
    <row r="762" spans="1:6">
      <c r="A762" s="146">
        <v>41857</v>
      </c>
      <c r="B762" s="35">
        <v>80.42</v>
      </c>
      <c r="C762" s="35">
        <v>80.67</v>
      </c>
      <c r="D762" s="35">
        <v>80.14</v>
      </c>
      <c r="E762" s="35">
        <v>80.36</v>
      </c>
      <c r="F762" s="35">
        <v>1039691</v>
      </c>
    </row>
    <row r="763" spans="1:6">
      <c r="A763" s="146">
        <v>41856</v>
      </c>
      <c r="B763" s="35">
        <v>81.23</v>
      </c>
      <c r="C763" s="35">
        <v>81.23</v>
      </c>
      <c r="D763" s="35">
        <v>80.16</v>
      </c>
      <c r="E763" s="35">
        <v>80.48</v>
      </c>
      <c r="F763" s="35">
        <v>1537227</v>
      </c>
    </row>
    <row r="764" spans="1:6">
      <c r="A764" s="146">
        <v>41855</v>
      </c>
      <c r="B764" s="35">
        <v>81.319999999999993</v>
      </c>
      <c r="C764" s="35">
        <v>81.5</v>
      </c>
      <c r="D764" s="35">
        <v>80.59</v>
      </c>
      <c r="E764" s="35">
        <v>81.209999999999994</v>
      </c>
      <c r="F764" s="35">
        <v>2117064</v>
      </c>
    </row>
    <row r="765" spans="1:6">
      <c r="A765" s="146">
        <v>41852</v>
      </c>
      <c r="B765" s="35">
        <v>80.87</v>
      </c>
      <c r="C765" s="35">
        <v>81.83</v>
      </c>
      <c r="D765" s="35">
        <v>80.87</v>
      </c>
      <c r="E765" s="35">
        <v>81.540000000000006</v>
      </c>
      <c r="F765" s="35">
        <v>1687668</v>
      </c>
    </row>
    <row r="766" spans="1:6">
      <c r="A766" s="146">
        <v>41851</v>
      </c>
      <c r="B766" s="35">
        <v>82.23</v>
      </c>
      <c r="C766" s="35">
        <v>82.5</v>
      </c>
      <c r="D766" s="35">
        <v>80.930000000000007</v>
      </c>
      <c r="E766" s="35">
        <v>81.31</v>
      </c>
      <c r="F766" s="35">
        <v>1638190</v>
      </c>
    </row>
    <row r="767" spans="1:6">
      <c r="A767" s="146">
        <v>41850</v>
      </c>
      <c r="B767" s="35">
        <v>82.33</v>
      </c>
      <c r="C767" s="35">
        <v>82.46</v>
      </c>
      <c r="D767" s="35">
        <v>81.709999999999994</v>
      </c>
      <c r="E767" s="35">
        <v>82.15</v>
      </c>
      <c r="F767" s="35">
        <v>1667184</v>
      </c>
    </row>
    <row r="768" spans="1:6">
      <c r="A768" s="146">
        <v>41849</v>
      </c>
      <c r="B768" s="35">
        <v>82.64</v>
      </c>
      <c r="C768" s="35">
        <v>82.69</v>
      </c>
      <c r="D768" s="35">
        <v>81.87</v>
      </c>
      <c r="E768" s="35">
        <v>81.87</v>
      </c>
      <c r="F768" s="35">
        <v>1321632</v>
      </c>
    </row>
    <row r="769" spans="1:6">
      <c r="A769" s="146">
        <v>41848</v>
      </c>
      <c r="B769" s="35">
        <v>82.47</v>
      </c>
      <c r="C769" s="35">
        <v>82.61</v>
      </c>
      <c r="D769" s="35">
        <v>81.91</v>
      </c>
      <c r="E769" s="35">
        <v>82.49</v>
      </c>
      <c r="F769" s="35">
        <v>882530</v>
      </c>
    </row>
    <row r="770" spans="1:6">
      <c r="A770" s="146">
        <v>41845</v>
      </c>
      <c r="B770" s="35">
        <v>82.52</v>
      </c>
      <c r="C770" s="35">
        <v>82.62</v>
      </c>
      <c r="D770" s="35">
        <v>82.04</v>
      </c>
      <c r="E770" s="35">
        <v>82.61</v>
      </c>
      <c r="F770" s="35">
        <v>1197562</v>
      </c>
    </row>
    <row r="771" spans="1:6">
      <c r="A771" s="146">
        <v>41844</v>
      </c>
      <c r="B771" s="35">
        <v>81.599999999999994</v>
      </c>
      <c r="C771" s="35">
        <v>82.51</v>
      </c>
      <c r="D771" s="35">
        <v>81.59</v>
      </c>
      <c r="E771" s="35">
        <v>82.43</v>
      </c>
      <c r="F771" s="35">
        <v>1267638</v>
      </c>
    </row>
    <row r="772" spans="1:6">
      <c r="A772" s="146">
        <v>41843</v>
      </c>
      <c r="B772" s="35">
        <v>81.56</v>
      </c>
      <c r="C772" s="35">
        <v>81.88</v>
      </c>
      <c r="D772" s="35">
        <v>81.290000000000006</v>
      </c>
      <c r="E772" s="35">
        <v>81.83</v>
      </c>
      <c r="F772" s="35">
        <v>1043717</v>
      </c>
    </row>
    <row r="773" spans="1:6">
      <c r="A773" s="146">
        <v>41842</v>
      </c>
      <c r="B773" s="35">
        <v>81.16</v>
      </c>
      <c r="C773" s="35">
        <v>81.78</v>
      </c>
      <c r="D773" s="35">
        <v>81.02</v>
      </c>
      <c r="E773" s="35">
        <v>81.680000000000007</v>
      </c>
      <c r="F773" s="35">
        <v>833304</v>
      </c>
    </row>
    <row r="774" spans="1:6">
      <c r="A774" s="146">
        <v>41841</v>
      </c>
      <c r="B774" s="35">
        <v>80.59</v>
      </c>
      <c r="C774" s="35">
        <v>81.069999999999993</v>
      </c>
      <c r="D774" s="35">
        <v>80.41</v>
      </c>
      <c r="E774" s="35">
        <v>80.98</v>
      </c>
      <c r="F774" s="35">
        <v>1002535</v>
      </c>
    </row>
    <row r="775" spans="1:6">
      <c r="A775" s="146">
        <v>41838</v>
      </c>
      <c r="B775" s="35">
        <v>80.430000000000007</v>
      </c>
      <c r="C775" s="35">
        <v>81.16</v>
      </c>
      <c r="D775" s="35">
        <v>80.02</v>
      </c>
      <c r="E775" s="35">
        <v>81.03</v>
      </c>
      <c r="F775" s="35">
        <v>1390601</v>
      </c>
    </row>
    <row r="776" spans="1:6">
      <c r="A776" s="146">
        <v>41837</v>
      </c>
      <c r="B776" s="35">
        <v>80.040000000000006</v>
      </c>
      <c r="C776" s="35">
        <v>80.53</v>
      </c>
      <c r="D776" s="35">
        <v>79.86</v>
      </c>
      <c r="E776" s="35">
        <v>79.959999999999994</v>
      </c>
      <c r="F776" s="35">
        <v>1066578</v>
      </c>
    </row>
    <row r="777" spans="1:6">
      <c r="A777" s="146">
        <v>41836</v>
      </c>
      <c r="B777" s="35">
        <v>80.650000000000006</v>
      </c>
      <c r="C777" s="35">
        <v>80.680000000000007</v>
      </c>
      <c r="D777" s="35">
        <v>80.319999999999993</v>
      </c>
      <c r="E777" s="35">
        <v>80.5</v>
      </c>
      <c r="F777" s="35">
        <v>984821</v>
      </c>
    </row>
    <row r="778" spans="1:6">
      <c r="A778" s="146">
        <v>41835</v>
      </c>
      <c r="B778" s="35">
        <v>80.349999999999994</v>
      </c>
      <c r="C778" s="35">
        <v>80.709999999999994</v>
      </c>
      <c r="D778" s="35">
        <v>79.89</v>
      </c>
      <c r="E778" s="35">
        <v>80.34</v>
      </c>
      <c r="F778" s="35">
        <v>930275</v>
      </c>
    </row>
    <row r="779" spans="1:6">
      <c r="A779" s="146">
        <v>41834</v>
      </c>
      <c r="B779" s="35">
        <v>80.39</v>
      </c>
      <c r="C779" s="35">
        <v>80.5</v>
      </c>
      <c r="D779" s="35">
        <v>80.16</v>
      </c>
      <c r="E779" s="35">
        <v>80.34</v>
      </c>
      <c r="F779" s="35">
        <v>801574</v>
      </c>
    </row>
    <row r="780" spans="1:6">
      <c r="A780" s="146">
        <v>41831</v>
      </c>
      <c r="B780" s="35">
        <v>80.27</v>
      </c>
      <c r="C780" s="35">
        <v>80.3</v>
      </c>
      <c r="D780" s="35">
        <v>79.62</v>
      </c>
      <c r="E780" s="35">
        <v>80.13</v>
      </c>
      <c r="F780" s="35">
        <v>1069216</v>
      </c>
    </row>
    <row r="781" spans="1:6">
      <c r="A781" s="146">
        <v>41830</v>
      </c>
      <c r="B781" s="35">
        <v>80.8</v>
      </c>
      <c r="C781" s="35">
        <v>80.8</v>
      </c>
      <c r="D781" s="35">
        <v>79.77</v>
      </c>
      <c r="E781" s="35">
        <v>80.14</v>
      </c>
      <c r="F781" s="35">
        <v>953225</v>
      </c>
    </row>
    <row r="782" spans="1:6">
      <c r="A782" s="146">
        <v>41829</v>
      </c>
      <c r="B782" s="35">
        <v>80.67</v>
      </c>
      <c r="C782" s="35">
        <v>80.72</v>
      </c>
      <c r="D782" s="35">
        <v>80.19</v>
      </c>
      <c r="E782" s="35">
        <v>80.47</v>
      </c>
      <c r="F782" s="35">
        <v>943479</v>
      </c>
    </row>
    <row r="783" spans="1:6">
      <c r="A783" s="146">
        <v>41828</v>
      </c>
      <c r="B783" s="35">
        <v>80.36</v>
      </c>
      <c r="C783" s="35">
        <v>80.8</v>
      </c>
      <c r="D783" s="35">
        <v>80.12</v>
      </c>
      <c r="E783" s="35">
        <v>80.47</v>
      </c>
      <c r="F783" s="35">
        <v>1513432</v>
      </c>
    </row>
    <row r="784" spans="1:6">
      <c r="A784" s="146">
        <v>41827</v>
      </c>
      <c r="B784" s="35">
        <v>80.180000000000007</v>
      </c>
      <c r="C784" s="35">
        <v>80.52</v>
      </c>
      <c r="D784" s="35">
        <v>80.099999999999994</v>
      </c>
      <c r="E784" s="35">
        <v>80.44</v>
      </c>
      <c r="F784" s="35">
        <v>1102109</v>
      </c>
    </row>
    <row r="785" spans="1:6">
      <c r="A785" s="146">
        <v>41823</v>
      </c>
      <c r="B785" s="35">
        <v>80</v>
      </c>
      <c r="C785" s="35">
        <v>80.61</v>
      </c>
      <c r="D785" s="35">
        <v>80</v>
      </c>
      <c r="E785" s="35">
        <v>80.59</v>
      </c>
      <c r="F785" s="35">
        <v>775450</v>
      </c>
    </row>
    <row r="786" spans="1:6">
      <c r="A786" s="146">
        <v>41822</v>
      </c>
      <c r="B786" s="35">
        <v>80.010000000000005</v>
      </c>
      <c r="C786" s="35">
        <v>80.349999999999994</v>
      </c>
      <c r="D786" s="35">
        <v>79.61</v>
      </c>
      <c r="E786" s="35">
        <v>80.22</v>
      </c>
      <c r="F786" s="35">
        <v>1396946</v>
      </c>
    </row>
    <row r="787" spans="1:6">
      <c r="A787" s="146">
        <v>41821</v>
      </c>
      <c r="B787" s="35">
        <v>79.62</v>
      </c>
      <c r="C787" s="35">
        <v>80.56</v>
      </c>
      <c r="D787" s="35">
        <v>79.2</v>
      </c>
      <c r="E787" s="35">
        <v>80.37</v>
      </c>
      <c r="F787" s="35">
        <v>1643478</v>
      </c>
    </row>
    <row r="788" spans="1:6">
      <c r="A788" s="146">
        <v>41820</v>
      </c>
      <c r="B788" s="35">
        <v>79.13</v>
      </c>
      <c r="C788" s="35">
        <v>79.489999999999995</v>
      </c>
      <c r="D788" s="35">
        <v>78.819999999999993</v>
      </c>
      <c r="E788" s="35">
        <v>79.28</v>
      </c>
      <c r="F788" s="35">
        <v>1119752</v>
      </c>
    </row>
    <row r="789" spans="1:6">
      <c r="A789" s="146">
        <v>41817</v>
      </c>
      <c r="B789" s="35">
        <v>79.06</v>
      </c>
      <c r="C789" s="35">
        <v>79.55</v>
      </c>
      <c r="D789" s="35">
        <v>78.86</v>
      </c>
      <c r="E789" s="35">
        <v>79.48</v>
      </c>
      <c r="F789" s="35">
        <v>1364310</v>
      </c>
    </row>
    <row r="790" spans="1:6">
      <c r="A790" s="146">
        <v>41816</v>
      </c>
      <c r="B790" s="35">
        <v>79.28</v>
      </c>
      <c r="C790" s="35">
        <v>79.28</v>
      </c>
      <c r="D790" s="35">
        <v>78.63</v>
      </c>
      <c r="E790" s="35">
        <v>79.11</v>
      </c>
      <c r="F790" s="35">
        <v>878109</v>
      </c>
    </row>
    <row r="791" spans="1:6">
      <c r="A791" s="146">
        <v>41815</v>
      </c>
      <c r="B791" s="35">
        <v>78.760000000000005</v>
      </c>
      <c r="C791" s="35">
        <v>79.44</v>
      </c>
      <c r="D791" s="35">
        <v>78.61</v>
      </c>
      <c r="E791" s="35">
        <v>79.25</v>
      </c>
      <c r="F791" s="35">
        <v>1038088</v>
      </c>
    </row>
    <row r="792" spans="1:6">
      <c r="A792" s="146">
        <v>41814</v>
      </c>
      <c r="B792" s="35">
        <v>79.150000000000006</v>
      </c>
      <c r="C792" s="35">
        <v>79.63</v>
      </c>
      <c r="D792" s="35">
        <v>78.849999999999994</v>
      </c>
      <c r="E792" s="35">
        <v>79.06</v>
      </c>
      <c r="F792" s="35">
        <v>1044404</v>
      </c>
    </row>
    <row r="793" spans="1:6">
      <c r="A793" s="146">
        <v>41813</v>
      </c>
      <c r="B793" s="35">
        <v>79.36</v>
      </c>
      <c r="C793" s="35">
        <v>79.59</v>
      </c>
      <c r="D793" s="35">
        <v>78.86</v>
      </c>
      <c r="E793" s="35">
        <v>79.22</v>
      </c>
      <c r="F793" s="35">
        <v>921176</v>
      </c>
    </row>
    <row r="794" spans="1:6">
      <c r="A794" s="146">
        <v>41810</v>
      </c>
      <c r="B794" s="35">
        <v>78.86</v>
      </c>
      <c r="C794" s="35">
        <v>79.66</v>
      </c>
      <c r="D794" s="35">
        <v>78.5</v>
      </c>
      <c r="E794" s="35">
        <v>79.45</v>
      </c>
      <c r="F794" s="35">
        <v>3498457</v>
      </c>
    </row>
    <row r="795" spans="1:6">
      <c r="A795" s="146">
        <v>41809</v>
      </c>
      <c r="B795" s="35">
        <v>78.88</v>
      </c>
      <c r="C795" s="35">
        <v>78.92</v>
      </c>
      <c r="D795" s="35">
        <v>78.349999999999994</v>
      </c>
      <c r="E795" s="35">
        <v>78.459999999999994</v>
      </c>
      <c r="F795" s="35">
        <v>1646681</v>
      </c>
    </row>
    <row r="796" spans="1:6">
      <c r="A796" s="146">
        <v>41808</v>
      </c>
      <c r="B796" s="35">
        <v>78.22</v>
      </c>
      <c r="C796" s="35">
        <v>78.7</v>
      </c>
      <c r="D796" s="35">
        <v>77.92</v>
      </c>
      <c r="E796" s="35">
        <v>78.61</v>
      </c>
      <c r="F796" s="35">
        <v>2240077</v>
      </c>
    </row>
    <row r="797" spans="1:6">
      <c r="A797" s="146">
        <v>41807</v>
      </c>
      <c r="B797" s="35">
        <v>78.48</v>
      </c>
      <c r="C797" s="35">
        <v>78.819999999999993</v>
      </c>
      <c r="D797" s="35">
        <v>78.209999999999994</v>
      </c>
      <c r="E797" s="35">
        <v>78.22</v>
      </c>
      <c r="F797" s="35">
        <v>1954364</v>
      </c>
    </row>
    <row r="798" spans="1:6">
      <c r="A798" s="146">
        <v>41806</v>
      </c>
      <c r="B798" s="35">
        <v>78.47</v>
      </c>
      <c r="C798" s="35">
        <v>79.13</v>
      </c>
      <c r="D798" s="35">
        <v>78.45</v>
      </c>
      <c r="E798" s="35">
        <v>78.650000000000006</v>
      </c>
      <c r="F798" s="35">
        <v>1027306</v>
      </c>
    </row>
    <row r="799" spans="1:6">
      <c r="A799" s="146">
        <v>41803</v>
      </c>
      <c r="B799" s="35">
        <v>78.540000000000006</v>
      </c>
      <c r="C799" s="35">
        <v>79.06</v>
      </c>
      <c r="D799" s="35">
        <v>78.25</v>
      </c>
      <c r="E799" s="35">
        <v>78.81</v>
      </c>
      <c r="F799" s="35">
        <v>1083133</v>
      </c>
    </row>
    <row r="800" spans="1:6">
      <c r="A800" s="146">
        <v>41802</v>
      </c>
      <c r="B800" s="35">
        <v>78.08</v>
      </c>
      <c r="C800" s="35">
        <v>78.63</v>
      </c>
      <c r="D800" s="35">
        <v>77.95</v>
      </c>
      <c r="E800" s="35">
        <v>78.25</v>
      </c>
      <c r="F800" s="35">
        <v>1169398</v>
      </c>
    </row>
    <row r="801" spans="1:6">
      <c r="A801" s="146">
        <v>41801</v>
      </c>
      <c r="B801" s="35">
        <v>78.599999999999994</v>
      </c>
      <c r="C801" s="35">
        <v>78.959999999999994</v>
      </c>
      <c r="D801" s="35">
        <v>78.099999999999994</v>
      </c>
      <c r="E801" s="35">
        <v>78.540000000000006</v>
      </c>
      <c r="F801" s="35">
        <v>1604428</v>
      </c>
    </row>
    <row r="802" spans="1:6">
      <c r="A802" s="146">
        <v>41800</v>
      </c>
      <c r="B802" s="35">
        <v>79.72</v>
      </c>
      <c r="C802" s="35">
        <v>80.37</v>
      </c>
      <c r="D802" s="35">
        <v>79.37</v>
      </c>
      <c r="E802" s="35">
        <v>79.400000000000006</v>
      </c>
      <c r="F802" s="35">
        <v>1980233</v>
      </c>
    </row>
    <row r="803" spans="1:6">
      <c r="A803" s="146">
        <v>41799</v>
      </c>
      <c r="B803" s="35">
        <v>79.58</v>
      </c>
      <c r="C803" s="35">
        <v>80.12</v>
      </c>
      <c r="D803" s="35">
        <v>79.53</v>
      </c>
      <c r="E803" s="35">
        <v>80</v>
      </c>
      <c r="F803" s="35">
        <v>1281913</v>
      </c>
    </row>
    <row r="804" spans="1:6">
      <c r="A804" s="146">
        <v>41796</v>
      </c>
      <c r="B804" s="35">
        <v>79.17</v>
      </c>
      <c r="C804" s="35">
        <v>79.67</v>
      </c>
      <c r="D804" s="35">
        <v>78.8</v>
      </c>
      <c r="E804" s="35">
        <v>79.61</v>
      </c>
      <c r="F804" s="35">
        <v>1412444</v>
      </c>
    </row>
    <row r="805" spans="1:6">
      <c r="A805" s="146">
        <v>41795</v>
      </c>
      <c r="B805" s="35">
        <v>78.790000000000006</v>
      </c>
      <c r="C805" s="35">
        <v>78.84</v>
      </c>
      <c r="D805" s="35">
        <v>78.02</v>
      </c>
      <c r="E805" s="35">
        <v>78.7</v>
      </c>
      <c r="F805" s="35">
        <v>1515173</v>
      </c>
    </row>
    <row r="806" spans="1:6">
      <c r="A806" s="146">
        <v>41794</v>
      </c>
      <c r="B806" s="35">
        <v>78.33</v>
      </c>
      <c r="C806" s="35">
        <v>78.84</v>
      </c>
      <c r="D806" s="35">
        <v>78.08</v>
      </c>
      <c r="E806" s="35">
        <v>78.83</v>
      </c>
      <c r="F806" s="35">
        <v>2334556</v>
      </c>
    </row>
    <row r="807" spans="1:6">
      <c r="A807" s="146">
        <v>41793</v>
      </c>
      <c r="B807" s="35">
        <v>78.92</v>
      </c>
      <c r="C807" s="35">
        <v>79.38</v>
      </c>
      <c r="D807" s="35">
        <v>78.540000000000006</v>
      </c>
      <c r="E807" s="35">
        <v>78.709999999999994</v>
      </c>
      <c r="F807" s="35">
        <v>2296590</v>
      </c>
    </row>
    <row r="808" spans="1:6">
      <c r="A808" s="146">
        <v>41792</v>
      </c>
      <c r="B808" s="35">
        <v>79.650000000000006</v>
      </c>
      <c r="C808" s="35">
        <v>79.92</v>
      </c>
      <c r="D808" s="35">
        <v>79.150000000000006</v>
      </c>
      <c r="E808" s="35">
        <v>79.38</v>
      </c>
      <c r="F808" s="35">
        <v>980440</v>
      </c>
    </row>
    <row r="809" spans="1:6">
      <c r="A809" s="146">
        <v>41789</v>
      </c>
      <c r="B809" s="35">
        <v>79.75</v>
      </c>
      <c r="C809" s="35">
        <v>79.88</v>
      </c>
      <c r="D809" s="35">
        <v>79.37</v>
      </c>
      <c r="E809" s="35">
        <v>79.680000000000007</v>
      </c>
      <c r="F809" s="35">
        <v>2221524</v>
      </c>
    </row>
    <row r="810" spans="1:6">
      <c r="A810" s="146">
        <v>41788</v>
      </c>
      <c r="B810" s="35">
        <v>79.180000000000007</v>
      </c>
      <c r="C810" s="35">
        <v>79.569999999999993</v>
      </c>
      <c r="D810" s="35">
        <v>78.900000000000006</v>
      </c>
      <c r="E810" s="35">
        <v>79.56</v>
      </c>
      <c r="F810" s="35">
        <v>1062810</v>
      </c>
    </row>
    <row r="811" spans="1:6">
      <c r="A811" s="146">
        <v>41787</v>
      </c>
      <c r="B811" s="35">
        <v>79.72</v>
      </c>
      <c r="C811" s="35">
        <v>79.790000000000006</v>
      </c>
      <c r="D811" s="35">
        <v>78.81</v>
      </c>
      <c r="E811" s="35">
        <v>78.87</v>
      </c>
      <c r="F811" s="35">
        <v>1252142</v>
      </c>
    </row>
    <row r="812" spans="1:6">
      <c r="A812" s="146">
        <v>41786</v>
      </c>
      <c r="B812" s="35">
        <v>79.010000000000005</v>
      </c>
      <c r="C812" s="35">
        <v>79.3</v>
      </c>
      <c r="D812" s="35">
        <v>78.86</v>
      </c>
      <c r="E812" s="35">
        <v>79.3</v>
      </c>
      <c r="F812" s="35">
        <v>1172416</v>
      </c>
    </row>
    <row r="813" spans="1:6">
      <c r="A813" s="146">
        <v>41782</v>
      </c>
      <c r="B813" s="35">
        <v>78.319999999999993</v>
      </c>
      <c r="C813" s="35">
        <v>78.88</v>
      </c>
      <c r="D813" s="35">
        <v>78.14</v>
      </c>
      <c r="E813" s="35">
        <v>78.849999999999994</v>
      </c>
      <c r="F813" s="35">
        <v>968451</v>
      </c>
    </row>
    <row r="814" spans="1:6">
      <c r="A814" s="146">
        <v>41781</v>
      </c>
      <c r="B814" s="35">
        <v>77.89</v>
      </c>
      <c r="C814" s="35">
        <v>78.28</v>
      </c>
      <c r="D814" s="35">
        <v>77.52</v>
      </c>
      <c r="E814" s="35">
        <v>78.08</v>
      </c>
      <c r="F814" s="35">
        <v>994018</v>
      </c>
    </row>
    <row r="815" spans="1:6">
      <c r="A815" s="146">
        <v>41780</v>
      </c>
      <c r="B815" s="35">
        <v>78.069999999999993</v>
      </c>
      <c r="C815" s="35">
        <v>78.069999999999993</v>
      </c>
      <c r="D815" s="35">
        <v>77.42</v>
      </c>
      <c r="E815" s="35">
        <v>77.72</v>
      </c>
      <c r="F815" s="35">
        <v>1300842</v>
      </c>
    </row>
    <row r="816" spans="1:6">
      <c r="A816" s="146">
        <v>41779</v>
      </c>
      <c r="B816" s="35">
        <v>78.150000000000006</v>
      </c>
      <c r="C816" s="35">
        <v>78.150000000000006</v>
      </c>
      <c r="D816" s="35">
        <v>77.37</v>
      </c>
      <c r="E816" s="35">
        <v>77.56</v>
      </c>
      <c r="F816" s="35">
        <v>1650950</v>
      </c>
    </row>
    <row r="817" spans="1:6">
      <c r="A817" s="146">
        <v>41778</v>
      </c>
      <c r="B817" s="35">
        <v>77.52</v>
      </c>
      <c r="C817" s="35">
        <v>78.12</v>
      </c>
      <c r="D817" s="35">
        <v>77.36</v>
      </c>
      <c r="E817" s="35">
        <v>78.05</v>
      </c>
      <c r="F817" s="35">
        <v>1121570</v>
      </c>
    </row>
    <row r="818" spans="1:6">
      <c r="A818" s="146">
        <v>41775</v>
      </c>
      <c r="B818" s="35">
        <v>76.91</v>
      </c>
      <c r="C818" s="35">
        <v>77.84</v>
      </c>
      <c r="D818" s="35">
        <v>76.45</v>
      </c>
      <c r="E818" s="35">
        <v>77.81</v>
      </c>
      <c r="F818" s="35">
        <v>1829827</v>
      </c>
    </row>
    <row r="819" spans="1:6">
      <c r="A819" s="146">
        <v>41774</v>
      </c>
      <c r="B819" s="35">
        <v>77.849999999999994</v>
      </c>
      <c r="C819" s="35">
        <v>78</v>
      </c>
      <c r="D819" s="35">
        <v>76.47</v>
      </c>
      <c r="E819" s="35">
        <v>76.75</v>
      </c>
      <c r="F819" s="35">
        <v>2112931</v>
      </c>
    </row>
    <row r="820" spans="1:6">
      <c r="A820" s="146">
        <v>41773</v>
      </c>
      <c r="B820" s="35">
        <v>79.02</v>
      </c>
      <c r="C820" s="35">
        <v>79.099999999999994</v>
      </c>
      <c r="D820" s="35">
        <v>77.94</v>
      </c>
      <c r="E820" s="35">
        <v>78.09</v>
      </c>
      <c r="F820" s="35">
        <v>1004824</v>
      </c>
    </row>
    <row r="821" spans="1:6">
      <c r="A821" s="146">
        <v>41772</v>
      </c>
      <c r="B821" s="35">
        <v>78.900000000000006</v>
      </c>
      <c r="C821" s="35">
        <v>79.12</v>
      </c>
      <c r="D821" s="35">
        <v>78.599999999999994</v>
      </c>
      <c r="E821" s="35">
        <v>78.92</v>
      </c>
      <c r="F821" s="35">
        <v>1243182</v>
      </c>
    </row>
    <row r="822" spans="1:6">
      <c r="A822" s="146">
        <v>41771</v>
      </c>
      <c r="B822" s="35">
        <v>77.989999999999995</v>
      </c>
      <c r="C822" s="35">
        <v>79.12</v>
      </c>
      <c r="D822" s="35">
        <v>77.989999999999995</v>
      </c>
      <c r="E822" s="35">
        <v>78.89</v>
      </c>
      <c r="F822" s="35">
        <v>1319353</v>
      </c>
    </row>
    <row r="823" spans="1:6">
      <c r="A823" s="146">
        <v>41768</v>
      </c>
      <c r="B823" s="35">
        <v>77.62</v>
      </c>
      <c r="C823" s="35">
        <v>78.260000000000005</v>
      </c>
      <c r="D823" s="35">
        <v>77.510000000000005</v>
      </c>
      <c r="E823" s="35">
        <v>78.069999999999993</v>
      </c>
      <c r="F823" s="35">
        <v>1352420</v>
      </c>
    </row>
    <row r="824" spans="1:6">
      <c r="A824" s="146">
        <v>41767</v>
      </c>
      <c r="B824" s="35">
        <v>77.319999999999993</v>
      </c>
      <c r="C824" s="35">
        <v>78.17</v>
      </c>
      <c r="D824" s="35">
        <v>77.14</v>
      </c>
      <c r="E824" s="35">
        <v>77.849999999999994</v>
      </c>
      <c r="F824" s="35">
        <v>1837554</v>
      </c>
    </row>
    <row r="825" spans="1:6">
      <c r="A825" s="146">
        <v>41766</v>
      </c>
      <c r="B825" s="35">
        <v>77.25</v>
      </c>
      <c r="C825" s="35">
        <v>77.52</v>
      </c>
      <c r="D825" s="35">
        <v>76.459999999999994</v>
      </c>
      <c r="E825" s="35">
        <v>77.459999999999994</v>
      </c>
      <c r="F825" s="35">
        <v>2112680</v>
      </c>
    </row>
    <row r="826" spans="1:6">
      <c r="A826" s="146">
        <v>41765</v>
      </c>
      <c r="B826" s="35">
        <v>77.44</v>
      </c>
      <c r="C826" s="35">
        <v>77.599999999999994</v>
      </c>
      <c r="D826" s="35">
        <v>76.97</v>
      </c>
      <c r="E826" s="35">
        <v>77.06</v>
      </c>
      <c r="F826" s="35">
        <v>1689270</v>
      </c>
    </row>
    <row r="827" spans="1:6">
      <c r="A827" s="146">
        <v>41764</v>
      </c>
      <c r="B827" s="35">
        <v>77.28</v>
      </c>
      <c r="C827" s="35">
        <v>77.95</v>
      </c>
      <c r="D827" s="35">
        <v>76.75</v>
      </c>
      <c r="E827" s="35">
        <v>77.87</v>
      </c>
      <c r="F827" s="35">
        <v>1219932</v>
      </c>
    </row>
    <row r="828" spans="1:6">
      <c r="A828" s="146">
        <v>41761</v>
      </c>
      <c r="B828" s="35">
        <v>77.7</v>
      </c>
      <c r="C828" s="35">
        <v>78.2</v>
      </c>
      <c r="D828" s="35">
        <v>77.3</v>
      </c>
      <c r="E828" s="35">
        <v>77.540000000000006</v>
      </c>
      <c r="F828" s="35">
        <v>1759994</v>
      </c>
    </row>
    <row r="829" spans="1:6">
      <c r="A829" s="146">
        <v>41760</v>
      </c>
      <c r="B829" s="35">
        <v>77.97</v>
      </c>
      <c r="C829" s="35">
        <v>78.27</v>
      </c>
      <c r="D829" s="35">
        <v>77.37</v>
      </c>
      <c r="E829" s="35">
        <v>77.62</v>
      </c>
      <c r="F829" s="35">
        <v>1289665</v>
      </c>
    </row>
    <row r="830" spans="1:6">
      <c r="A830" s="146">
        <v>41759</v>
      </c>
      <c r="B830" s="35">
        <v>76.05</v>
      </c>
      <c r="C830" s="35">
        <v>78.349999999999994</v>
      </c>
      <c r="D830" s="35">
        <v>76.040000000000006</v>
      </c>
      <c r="E830" s="35">
        <v>77.959999999999994</v>
      </c>
      <c r="F830" s="35">
        <v>2138172</v>
      </c>
    </row>
    <row r="831" spans="1:6">
      <c r="A831" s="146">
        <v>41758</v>
      </c>
      <c r="B831" s="35">
        <v>76.16</v>
      </c>
      <c r="C831" s="35">
        <v>77.13</v>
      </c>
      <c r="D831" s="35">
        <v>76.02</v>
      </c>
      <c r="E831" s="35">
        <v>76.989999999999995</v>
      </c>
      <c r="F831" s="35">
        <v>1889768</v>
      </c>
    </row>
    <row r="832" spans="1:6">
      <c r="A832" s="146">
        <v>41757</v>
      </c>
      <c r="B832" s="35">
        <v>76.040000000000006</v>
      </c>
      <c r="C832" s="35">
        <v>76.53</v>
      </c>
      <c r="D832" s="35">
        <v>74.989999999999995</v>
      </c>
      <c r="E832" s="35">
        <v>75.680000000000007</v>
      </c>
      <c r="F832" s="35">
        <v>2119091</v>
      </c>
    </row>
    <row r="833" spans="1:6">
      <c r="A833" s="146">
        <v>41754</v>
      </c>
      <c r="B833" s="35">
        <v>76.239999999999995</v>
      </c>
      <c r="C833" s="35">
        <v>76.680000000000007</v>
      </c>
      <c r="D833" s="35">
        <v>75.5</v>
      </c>
      <c r="E833" s="35">
        <v>75.66</v>
      </c>
      <c r="F833" s="35">
        <v>1437750</v>
      </c>
    </row>
    <row r="834" spans="1:6">
      <c r="A834" s="146">
        <v>41753</v>
      </c>
      <c r="B834" s="35">
        <v>76.84</v>
      </c>
      <c r="C834" s="35">
        <v>77.02</v>
      </c>
      <c r="D834" s="35">
        <v>76.319999999999993</v>
      </c>
      <c r="E834" s="35">
        <v>76.62</v>
      </c>
      <c r="F834" s="35">
        <v>1531964</v>
      </c>
    </row>
    <row r="835" spans="1:6">
      <c r="A835" s="146">
        <v>41752</v>
      </c>
      <c r="B835" s="35">
        <v>75.86</v>
      </c>
      <c r="C835" s="35">
        <v>76.540000000000006</v>
      </c>
      <c r="D835" s="35">
        <v>75.86</v>
      </c>
      <c r="E835" s="35">
        <v>76.290000000000006</v>
      </c>
      <c r="F835" s="35">
        <v>1389511</v>
      </c>
    </row>
    <row r="836" spans="1:6">
      <c r="A836" s="146">
        <v>41751</v>
      </c>
      <c r="B836" s="35">
        <v>76.13</v>
      </c>
      <c r="C836" s="35">
        <v>76.61</v>
      </c>
      <c r="D836" s="35">
        <v>75.760000000000005</v>
      </c>
      <c r="E836" s="35">
        <v>76.33</v>
      </c>
      <c r="F836" s="35">
        <v>1189729</v>
      </c>
    </row>
    <row r="837" spans="1:6">
      <c r="A837" s="146">
        <v>41750</v>
      </c>
      <c r="B837" s="35">
        <v>75.77</v>
      </c>
      <c r="C837" s="35">
        <v>76.44</v>
      </c>
      <c r="D837" s="35">
        <v>75.77</v>
      </c>
      <c r="E837" s="35">
        <v>76.06</v>
      </c>
      <c r="F837" s="35">
        <v>926149</v>
      </c>
    </row>
    <row r="838" spans="1:6">
      <c r="A838" s="146">
        <v>41746</v>
      </c>
      <c r="B838" s="35">
        <v>75.239999999999995</v>
      </c>
      <c r="C838" s="35">
        <v>76.45</v>
      </c>
      <c r="D838" s="35">
        <v>75.2</v>
      </c>
      <c r="E838" s="35">
        <v>76.31</v>
      </c>
      <c r="F838" s="35">
        <v>2039426</v>
      </c>
    </row>
    <row r="839" spans="1:6">
      <c r="A839" s="146">
        <v>41745</v>
      </c>
      <c r="B839" s="35">
        <v>75.7</v>
      </c>
      <c r="C839" s="35">
        <v>75.7</v>
      </c>
      <c r="D839" s="35">
        <v>74.69</v>
      </c>
      <c r="E839" s="35">
        <v>75.430000000000007</v>
      </c>
      <c r="F839" s="35">
        <v>1927514</v>
      </c>
    </row>
    <row r="840" spans="1:6">
      <c r="A840" s="146">
        <v>41744</v>
      </c>
      <c r="B840" s="35">
        <v>74.3</v>
      </c>
      <c r="C840" s="35">
        <v>75.13</v>
      </c>
      <c r="D840" s="35">
        <v>73.8</v>
      </c>
      <c r="E840" s="35">
        <v>75.08</v>
      </c>
      <c r="F840" s="35">
        <v>2109087</v>
      </c>
    </row>
    <row r="841" spans="1:6">
      <c r="A841" s="146">
        <v>41743</v>
      </c>
      <c r="B841" s="35">
        <v>74.41</v>
      </c>
      <c r="C841" s="35">
        <v>74.569999999999993</v>
      </c>
      <c r="D841" s="35">
        <v>73.38</v>
      </c>
      <c r="E841" s="35">
        <v>74.239999999999995</v>
      </c>
      <c r="F841" s="35">
        <v>1980559</v>
      </c>
    </row>
    <row r="842" spans="1:6">
      <c r="A842" s="146">
        <v>41740</v>
      </c>
      <c r="B842" s="35">
        <v>74.67</v>
      </c>
      <c r="C842" s="35">
        <v>75.290000000000006</v>
      </c>
      <c r="D842" s="35">
        <v>73.69</v>
      </c>
      <c r="E842" s="35">
        <v>73.73</v>
      </c>
      <c r="F842" s="35">
        <v>2730515</v>
      </c>
    </row>
    <row r="843" spans="1:6">
      <c r="A843" s="146">
        <v>41739</v>
      </c>
      <c r="B843" s="35">
        <v>78.08</v>
      </c>
      <c r="C843" s="35">
        <v>78.12</v>
      </c>
      <c r="D843" s="35">
        <v>75.22</v>
      </c>
      <c r="E843" s="35">
        <v>75.22</v>
      </c>
      <c r="F843" s="35">
        <v>3725432</v>
      </c>
    </row>
    <row r="844" spans="1:6">
      <c r="A844" s="146">
        <v>41738</v>
      </c>
      <c r="B844" s="35">
        <v>75.47</v>
      </c>
      <c r="C844" s="35">
        <v>75.959999999999994</v>
      </c>
      <c r="D844" s="35">
        <v>75.06</v>
      </c>
      <c r="E844" s="35">
        <v>75.88</v>
      </c>
      <c r="F844" s="35">
        <v>1587637</v>
      </c>
    </row>
    <row r="845" spans="1:6">
      <c r="A845" s="146">
        <v>41737</v>
      </c>
      <c r="B845" s="35">
        <v>75.459999999999994</v>
      </c>
      <c r="C845" s="35">
        <v>75.94</v>
      </c>
      <c r="D845" s="35">
        <v>75.16</v>
      </c>
      <c r="E845" s="35">
        <v>75.56</v>
      </c>
      <c r="F845" s="35">
        <v>1664666</v>
      </c>
    </row>
    <row r="846" spans="1:6">
      <c r="A846" s="146">
        <v>41736</v>
      </c>
      <c r="B846" s="35">
        <v>75.97</v>
      </c>
      <c r="C846" s="35">
        <v>76.19</v>
      </c>
      <c r="D846" s="35">
        <v>75.02</v>
      </c>
      <c r="E846" s="35">
        <v>75.27</v>
      </c>
      <c r="F846" s="35">
        <v>1711915</v>
      </c>
    </row>
    <row r="847" spans="1:6">
      <c r="A847" s="146">
        <v>41733</v>
      </c>
      <c r="B847" s="35">
        <v>77.77</v>
      </c>
      <c r="C847" s="35">
        <v>77.78</v>
      </c>
      <c r="D847" s="35">
        <v>75.77</v>
      </c>
      <c r="E847" s="35">
        <v>75.819999999999993</v>
      </c>
      <c r="F847" s="35">
        <v>2023253</v>
      </c>
    </row>
    <row r="848" spans="1:6">
      <c r="A848" s="146">
        <v>41732</v>
      </c>
      <c r="B848" s="35">
        <v>77.98</v>
      </c>
      <c r="C848" s="35">
        <v>78</v>
      </c>
      <c r="D848" s="35">
        <v>77.02</v>
      </c>
      <c r="E848" s="35">
        <v>77.37</v>
      </c>
      <c r="F848" s="35">
        <v>1186584</v>
      </c>
    </row>
    <row r="849" spans="1:6">
      <c r="A849" s="146">
        <v>41731</v>
      </c>
      <c r="B849" s="35">
        <v>77.41</v>
      </c>
      <c r="C849" s="35">
        <v>77.89</v>
      </c>
      <c r="D849" s="35">
        <v>77.260000000000005</v>
      </c>
      <c r="E849" s="35">
        <v>77.67</v>
      </c>
      <c r="F849" s="35">
        <v>1666949</v>
      </c>
    </row>
    <row r="850" spans="1:6">
      <c r="A850" s="146">
        <v>41730</v>
      </c>
      <c r="B850" s="35">
        <v>77.05</v>
      </c>
      <c r="C850" s="35">
        <v>77.53</v>
      </c>
      <c r="D850" s="35">
        <v>76.64</v>
      </c>
      <c r="E850" s="35">
        <v>77.5</v>
      </c>
      <c r="F850" s="35">
        <v>1767189</v>
      </c>
    </row>
    <row r="851" spans="1:6">
      <c r="A851" s="146">
        <v>41729</v>
      </c>
      <c r="B851" s="35">
        <v>77.14</v>
      </c>
      <c r="C851" s="35">
        <v>77.62</v>
      </c>
      <c r="D851" s="35">
        <v>76.78</v>
      </c>
      <c r="E851" s="35">
        <v>77.260000000000005</v>
      </c>
      <c r="F851" s="35">
        <v>1451642</v>
      </c>
    </row>
    <row r="852" spans="1:6">
      <c r="A852" s="146">
        <v>41726</v>
      </c>
      <c r="B852" s="35">
        <v>77.010000000000005</v>
      </c>
      <c r="C852" s="35">
        <v>77.67</v>
      </c>
      <c r="D852" s="35">
        <v>76.569999999999993</v>
      </c>
      <c r="E852" s="35">
        <v>76.95</v>
      </c>
      <c r="F852" s="35">
        <v>1322152</v>
      </c>
    </row>
    <row r="853" spans="1:6">
      <c r="A853" s="146">
        <v>41725</v>
      </c>
      <c r="B853" s="35">
        <v>76.05</v>
      </c>
      <c r="C853" s="35">
        <v>76.72</v>
      </c>
      <c r="D853" s="35">
        <v>75.55</v>
      </c>
      <c r="E853" s="35">
        <v>76.67</v>
      </c>
      <c r="F853" s="35">
        <v>2164668</v>
      </c>
    </row>
    <row r="854" spans="1:6">
      <c r="A854" s="146">
        <v>41724</v>
      </c>
      <c r="B854" s="35">
        <v>77.099999999999994</v>
      </c>
      <c r="C854" s="35">
        <v>77.25</v>
      </c>
      <c r="D854" s="35">
        <v>76.2</v>
      </c>
      <c r="E854" s="35">
        <v>76.2</v>
      </c>
      <c r="F854" s="35">
        <v>1415252</v>
      </c>
    </row>
    <row r="855" spans="1:6">
      <c r="A855" s="146">
        <v>41723</v>
      </c>
      <c r="B855" s="35">
        <v>76.69</v>
      </c>
      <c r="C855" s="35">
        <v>77.34</v>
      </c>
      <c r="D855" s="35">
        <v>76.290000000000006</v>
      </c>
      <c r="E855" s="35">
        <v>76.680000000000007</v>
      </c>
      <c r="F855" s="35">
        <v>1600653</v>
      </c>
    </row>
    <row r="856" spans="1:6">
      <c r="A856" s="146">
        <v>41722</v>
      </c>
      <c r="B856" s="35">
        <v>77.86</v>
      </c>
      <c r="C856" s="35">
        <v>78</v>
      </c>
      <c r="D856" s="35">
        <v>76.16</v>
      </c>
      <c r="E856" s="35">
        <v>76.45</v>
      </c>
      <c r="F856" s="35">
        <v>1960488</v>
      </c>
    </row>
    <row r="857" spans="1:6">
      <c r="A857" s="146">
        <v>41719</v>
      </c>
      <c r="B857" s="35">
        <v>79.33</v>
      </c>
      <c r="C857" s="35">
        <v>79.39</v>
      </c>
      <c r="D857" s="35">
        <v>77.5</v>
      </c>
      <c r="E857" s="35">
        <v>77.75</v>
      </c>
      <c r="F857" s="35">
        <v>4637467</v>
      </c>
    </row>
    <row r="858" spans="1:6">
      <c r="A858" s="146">
        <v>41718</v>
      </c>
      <c r="B858" s="35">
        <v>77.849999999999994</v>
      </c>
      <c r="C858" s="35">
        <v>78.52</v>
      </c>
      <c r="D858" s="35">
        <v>77.66</v>
      </c>
      <c r="E858" s="35">
        <v>78.34</v>
      </c>
      <c r="F858" s="35">
        <v>1180038</v>
      </c>
    </row>
    <row r="859" spans="1:6">
      <c r="A859" s="146">
        <v>41717</v>
      </c>
      <c r="B859" s="35">
        <v>79.08</v>
      </c>
      <c r="C859" s="35">
        <v>79.08</v>
      </c>
      <c r="D859" s="35">
        <v>77.8</v>
      </c>
      <c r="E859" s="35">
        <v>78.290000000000006</v>
      </c>
      <c r="F859" s="35">
        <v>1384832</v>
      </c>
    </row>
    <row r="860" spans="1:6">
      <c r="A860" s="146">
        <v>41716</v>
      </c>
      <c r="B860" s="35">
        <v>78.37</v>
      </c>
      <c r="C860" s="35">
        <v>79.040000000000006</v>
      </c>
      <c r="D860" s="35">
        <v>78.28</v>
      </c>
      <c r="E860" s="35">
        <v>78.989999999999995</v>
      </c>
      <c r="F860" s="35">
        <v>1759882</v>
      </c>
    </row>
    <row r="861" spans="1:6">
      <c r="A861" s="146">
        <v>41715</v>
      </c>
      <c r="B861" s="35">
        <v>77.92</v>
      </c>
      <c r="C861" s="35">
        <v>78.5</v>
      </c>
      <c r="D861" s="35">
        <v>77.709999999999994</v>
      </c>
      <c r="E861" s="35">
        <v>78.489999999999995</v>
      </c>
      <c r="F861" s="35">
        <v>2588926</v>
      </c>
    </row>
    <row r="862" spans="1:6">
      <c r="A862" s="146">
        <v>41712</v>
      </c>
      <c r="B862" s="35">
        <v>77.540000000000006</v>
      </c>
      <c r="C862" s="35">
        <v>77.81</v>
      </c>
      <c r="D862" s="35">
        <v>76.81</v>
      </c>
      <c r="E862" s="35">
        <v>77.55</v>
      </c>
      <c r="F862" s="35">
        <v>2310891</v>
      </c>
    </row>
    <row r="863" spans="1:6">
      <c r="A863" s="146">
        <v>41711</v>
      </c>
      <c r="B863" s="35">
        <v>77.78</v>
      </c>
      <c r="C863" s="35">
        <v>77.959999999999994</v>
      </c>
      <c r="D863" s="35">
        <v>76.69</v>
      </c>
      <c r="E863" s="35">
        <v>76.989999999999995</v>
      </c>
      <c r="F863" s="35">
        <v>2768729</v>
      </c>
    </row>
    <row r="864" spans="1:6">
      <c r="A864" s="146">
        <v>41710</v>
      </c>
      <c r="B864" s="35">
        <v>77.27</v>
      </c>
      <c r="C864" s="35">
        <v>77.77</v>
      </c>
      <c r="D864" s="35">
        <v>77</v>
      </c>
      <c r="E864" s="35">
        <v>77.69</v>
      </c>
      <c r="F864" s="35">
        <v>1671425</v>
      </c>
    </row>
    <row r="865" spans="1:6">
      <c r="A865" s="146">
        <v>41709</v>
      </c>
      <c r="B865" s="35">
        <v>78.34</v>
      </c>
      <c r="C865" s="35">
        <v>78.459999999999994</v>
      </c>
      <c r="D865" s="35">
        <v>77.61</v>
      </c>
      <c r="E865" s="35">
        <v>77.900000000000006</v>
      </c>
      <c r="F865" s="35">
        <v>1365947</v>
      </c>
    </row>
    <row r="866" spans="1:6">
      <c r="A866" s="146">
        <v>41708</v>
      </c>
      <c r="B866" s="35">
        <v>78.59</v>
      </c>
      <c r="C866" s="35">
        <v>78.72</v>
      </c>
      <c r="D866" s="35">
        <v>77.77</v>
      </c>
      <c r="E866" s="35">
        <v>78.209999999999994</v>
      </c>
      <c r="F866" s="35">
        <v>1696567</v>
      </c>
    </row>
    <row r="867" spans="1:6">
      <c r="A867" s="146">
        <v>41705</v>
      </c>
      <c r="B867" s="35">
        <v>78.45</v>
      </c>
      <c r="C867" s="35">
        <v>78.930000000000007</v>
      </c>
      <c r="D867" s="35">
        <v>78.14</v>
      </c>
      <c r="E867" s="35">
        <v>78.56</v>
      </c>
      <c r="F867" s="35">
        <v>1606991</v>
      </c>
    </row>
    <row r="868" spans="1:6">
      <c r="A868" s="146">
        <v>41704</v>
      </c>
      <c r="B868" s="35">
        <v>77.88</v>
      </c>
      <c r="C868" s="35">
        <v>78.23</v>
      </c>
      <c r="D868" s="35">
        <v>77.64</v>
      </c>
      <c r="E868" s="35">
        <v>78.03</v>
      </c>
      <c r="F868" s="35">
        <v>1342603</v>
      </c>
    </row>
    <row r="869" spans="1:6">
      <c r="A869" s="146">
        <v>41703</v>
      </c>
      <c r="B869" s="35">
        <v>78</v>
      </c>
      <c r="C869" s="35">
        <v>78.180000000000007</v>
      </c>
      <c r="D869" s="35">
        <v>77.48</v>
      </c>
      <c r="E869" s="35">
        <v>77.72</v>
      </c>
      <c r="F869" s="35">
        <v>1663632</v>
      </c>
    </row>
    <row r="870" spans="1:6">
      <c r="A870" s="146">
        <v>41702</v>
      </c>
      <c r="B870" s="35">
        <v>77.7</v>
      </c>
      <c r="C870" s="35">
        <v>78.52</v>
      </c>
      <c r="D870" s="35">
        <v>77.56</v>
      </c>
      <c r="E870" s="35">
        <v>78.45</v>
      </c>
      <c r="F870" s="35">
        <v>2584785</v>
      </c>
    </row>
    <row r="871" spans="1:6">
      <c r="A871" s="146">
        <v>41701</v>
      </c>
      <c r="B871" s="35">
        <v>77.05</v>
      </c>
      <c r="C871" s="35">
        <v>77.2</v>
      </c>
      <c r="D871" s="35">
        <v>76.33</v>
      </c>
      <c r="E871" s="35">
        <v>76.67</v>
      </c>
      <c r="F871" s="35">
        <v>1752666</v>
      </c>
    </row>
    <row r="872" spans="1:6">
      <c r="A872" s="146">
        <v>41698</v>
      </c>
      <c r="B872" s="35">
        <v>77.88</v>
      </c>
      <c r="C872" s="35">
        <v>78.47</v>
      </c>
      <c r="D872" s="35">
        <v>77.2</v>
      </c>
      <c r="E872" s="35">
        <v>77.78</v>
      </c>
      <c r="F872" s="35">
        <v>2351364</v>
      </c>
    </row>
    <row r="873" spans="1:6">
      <c r="A873" s="146">
        <v>41697</v>
      </c>
      <c r="B873" s="35">
        <v>77.12</v>
      </c>
      <c r="C873" s="35">
        <v>77.900000000000006</v>
      </c>
      <c r="D873" s="35">
        <v>77.099999999999994</v>
      </c>
      <c r="E873" s="35">
        <v>77.72</v>
      </c>
      <c r="F873" s="35">
        <v>2008915</v>
      </c>
    </row>
    <row r="874" spans="1:6">
      <c r="A874" s="146">
        <v>41696</v>
      </c>
      <c r="B874" s="35">
        <v>77.45</v>
      </c>
      <c r="C874" s="35">
        <v>77.52</v>
      </c>
      <c r="D874" s="35">
        <v>76.81</v>
      </c>
      <c r="E874" s="35">
        <v>77.42</v>
      </c>
      <c r="F874" s="35">
        <v>2294405</v>
      </c>
    </row>
    <row r="875" spans="1:6">
      <c r="A875" s="146">
        <v>41695</v>
      </c>
      <c r="B875" s="35">
        <v>76.98</v>
      </c>
      <c r="C875" s="35">
        <v>77.23</v>
      </c>
      <c r="D875" s="35">
        <v>76.28</v>
      </c>
      <c r="E875" s="35">
        <v>77.010000000000005</v>
      </c>
      <c r="F875" s="35">
        <v>1560856</v>
      </c>
    </row>
    <row r="876" spans="1:6">
      <c r="A876" s="146">
        <v>41694</v>
      </c>
      <c r="B876" s="35">
        <v>76.31</v>
      </c>
      <c r="C876" s="35">
        <v>77.48</v>
      </c>
      <c r="D876" s="35">
        <v>76.2</v>
      </c>
      <c r="E876" s="35">
        <v>76.8</v>
      </c>
      <c r="F876" s="35">
        <v>1727192</v>
      </c>
    </row>
    <row r="877" spans="1:6">
      <c r="A877" s="146">
        <v>41691</v>
      </c>
      <c r="B877" s="35">
        <v>76.78</v>
      </c>
      <c r="C877" s="35">
        <v>76.989999999999995</v>
      </c>
      <c r="D877" s="35">
        <v>76.12</v>
      </c>
      <c r="E877" s="35">
        <v>76.2</v>
      </c>
      <c r="F877" s="35">
        <v>1955623</v>
      </c>
    </row>
    <row r="878" spans="1:6">
      <c r="A878" s="146">
        <v>41690</v>
      </c>
      <c r="B878" s="35">
        <v>76.239999999999995</v>
      </c>
      <c r="C878" s="35">
        <v>76.89</v>
      </c>
      <c r="D878" s="35">
        <v>75.86</v>
      </c>
      <c r="E878" s="35">
        <v>76.510000000000005</v>
      </c>
      <c r="F878" s="35">
        <v>1245236</v>
      </c>
    </row>
    <row r="879" spans="1:6">
      <c r="A879" s="146">
        <v>41689</v>
      </c>
      <c r="B879" s="35">
        <v>76.040000000000006</v>
      </c>
      <c r="C879" s="35">
        <v>76.959999999999994</v>
      </c>
      <c r="D879" s="35">
        <v>75.91</v>
      </c>
      <c r="E879" s="35">
        <v>76.150000000000006</v>
      </c>
      <c r="F879" s="35">
        <v>1605411</v>
      </c>
    </row>
    <row r="880" spans="1:6">
      <c r="A880" s="146">
        <v>41688</v>
      </c>
      <c r="B880" s="35">
        <v>76.45</v>
      </c>
      <c r="C880" s="35">
        <v>76.569999999999993</v>
      </c>
      <c r="D880" s="35">
        <v>75.760000000000005</v>
      </c>
      <c r="E880" s="35">
        <v>76.489999999999995</v>
      </c>
      <c r="F880" s="35">
        <v>1792625</v>
      </c>
    </row>
    <row r="881" spans="1:6">
      <c r="A881" s="146">
        <v>41684</v>
      </c>
      <c r="B881" s="35">
        <v>75.75</v>
      </c>
      <c r="C881" s="35">
        <v>76.489999999999995</v>
      </c>
      <c r="D881" s="35">
        <v>75.3</v>
      </c>
      <c r="E881" s="35">
        <v>76.27</v>
      </c>
      <c r="F881" s="35">
        <v>1710591</v>
      </c>
    </row>
    <row r="882" spans="1:6">
      <c r="A882" s="146">
        <v>41683</v>
      </c>
      <c r="B882" s="35">
        <v>75.25</v>
      </c>
      <c r="C882" s="35">
        <v>76.28</v>
      </c>
      <c r="D882" s="35">
        <v>75.2</v>
      </c>
      <c r="E882" s="35">
        <v>76.209999999999994</v>
      </c>
      <c r="F882" s="35">
        <v>2027465</v>
      </c>
    </row>
    <row r="883" spans="1:6">
      <c r="A883" s="146">
        <v>41682</v>
      </c>
      <c r="B883" s="35">
        <v>75.569999999999993</v>
      </c>
      <c r="C883" s="35">
        <v>75.900000000000006</v>
      </c>
      <c r="D883" s="35">
        <v>74.8</v>
      </c>
      <c r="E883" s="35">
        <v>75.58</v>
      </c>
      <c r="F883" s="35">
        <v>4027640</v>
      </c>
    </row>
    <row r="884" spans="1:6">
      <c r="A884" s="146">
        <v>41681</v>
      </c>
      <c r="B884" s="35">
        <v>74.12</v>
      </c>
      <c r="C884" s="35">
        <v>74.900000000000006</v>
      </c>
      <c r="D884" s="35">
        <v>74.010000000000005</v>
      </c>
      <c r="E884" s="35">
        <v>74.66</v>
      </c>
      <c r="F884" s="35">
        <v>2522108</v>
      </c>
    </row>
    <row r="885" spans="1:6">
      <c r="A885" s="146">
        <v>41680</v>
      </c>
      <c r="B885" s="35">
        <v>75.48</v>
      </c>
      <c r="C885" s="35">
        <v>75.61</v>
      </c>
      <c r="D885" s="35">
        <v>73.83</v>
      </c>
      <c r="E885" s="35">
        <v>74.45</v>
      </c>
      <c r="F885" s="35">
        <v>2007864</v>
      </c>
    </row>
    <row r="886" spans="1:6">
      <c r="A886" s="146">
        <v>41677</v>
      </c>
      <c r="B886" s="35">
        <v>74.400000000000006</v>
      </c>
      <c r="C886" s="35">
        <v>74.959999999999994</v>
      </c>
      <c r="D886" s="35">
        <v>73.95</v>
      </c>
      <c r="E886" s="35">
        <v>74.89</v>
      </c>
      <c r="F886" s="35">
        <v>1696106</v>
      </c>
    </row>
    <row r="887" spans="1:6">
      <c r="A887" s="146">
        <v>41676</v>
      </c>
      <c r="B887" s="35">
        <v>73.45</v>
      </c>
      <c r="C887" s="35">
        <v>74.34</v>
      </c>
      <c r="D887" s="35">
        <v>73.099999999999994</v>
      </c>
      <c r="E887" s="35">
        <v>74.2</v>
      </c>
      <c r="F887" s="35">
        <v>2357363</v>
      </c>
    </row>
    <row r="888" spans="1:6">
      <c r="A888" s="146">
        <v>41675</v>
      </c>
      <c r="B888" s="35">
        <v>76.319999999999993</v>
      </c>
      <c r="C888" s="35">
        <v>76.319999999999993</v>
      </c>
      <c r="D888" s="35">
        <v>72.69</v>
      </c>
      <c r="E888" s="35">
        <v>73.53</v>
      </c>
      <c r="F888" s="35">
        <v>2865055</v>
      </c>
    </row>
    <row r="889" spans="1:6">
      <c r="A889" s="146">
        <v>41674</v>
      </c>
      <c r="B889" s="35">
        <v>77.92</v>
      </c>
      <c r="C889" s="35">
        <v>77.92</v>
      </c>
      <c r="D889" s="35">
        <v>71.91</v>
      </c>
      <c r="E889" s="35">
        <v>74.95</v>
      </c>
      <c r="F889" s="35">
        <v>3906522</v>
      </c>
    </row>
    <row r="890" spans="1:6">
      <c r="A890" s="146">
        <v>41673</v>
      </c>
      <c r="B890" s="35">
        <v>76.61</v>
      </c>
      <c r="C890" s="35">
        <v>76.78</v>
      </c>
      <c r="D890" s="35">
        <v>73.790000000000006</v>
      </c>
      <c r="E890" s="35">
        <v>74.08</v>
      </c>
      <c r="F890" s="35">
        <v>3181252</v>
      </c>
    </row>
    <row r="891" spans="1:6">
      <c r="A891" s="146">
        <v>41670</v>
      </c>
      <c r="B891" s="35">
        <v>76</v>
      </c>
      <c r="C891" s="35">
        <v>77.14</v>
      </c>
      <c r="D891" s="35">
        <v>75.94</v>
      </c>
      <c r="E891" s="35">
        <v>76.599999999999994</v>
      </c>
      <c r="F891" s="35">
        <v>1861612</v>
      </c>
    </row>
    <row r="892" spans="1:6">
      <c r="A892" s="146">
        <v>41669</v>
      </c>
      <c r="B892" s="35">
        <v>76.95</v>
      </c>
      <c r="C892" s="35">
        <v>77.64</v>
      </c>
      <c r="D892" s="35">
        <v>76.349999999999994</v>
      </c>
      <c r="E892" s="35">
        <v>77.3</v>
      </c>
      <c r="F892" s="35">
        <v>1398235</v>
      </c>
    </row>
    <row r="893" spans="1:6">
      <c r="A893" s="146">
        <v>41668</v>
      </c>
      <c r="B893" s="35">
        <v>76.44</v>
      </c>
      <c r="C893" s="35">
        <v>77.239999999999995</v>
      </c>
      <c r="D893" s="35">
        <v>76.180000000000007</v>
      </c>
      <c r="E893" s="35">
        <v>76.53</v>
      </c>
      <c r="F893" s="35">
        <v>1638378</v>
      </c>
    </row>
    <row r="894" spans="1:6">
      <c r="A894" s="146">
        <v>41667</v>
      </c>
      <c r="B894" s="35">
        <v>76.38</v>
      </c>
      <c r="C894" s="35">
        <v>77.2</v>
      </c>
      <c r="D894" s="35">
        <v>76.209999999999994</v>
      </c>
      <c r="E894" s="35">
        <v>77.03</v>
      </c>
      <c r="F894" s="35">
        <v>1559160</v>
      </c>
    </row>
    <row r="895" spans="1:6">
      <c r="A895" s="146">
        <v>41666</v>
      </c>
      <c r="B895" s="35">
        <v>76.349999999999994</v>
      </c>
      <c r="C895" s="35">
        <v>77.53</v>
      </c>
      <c r="D895" s="35">
        <v>76.349999999999994</v>
      </c>
      <c r="E895" s="35">
        <v>76.5</v>
      </c>
      <c r="F895" s="35">
        <v>1735114</v>
      </c>
    </row>
    <row r="896" spans="1:6">
      <c r="A896" s="146">
        <v>41663</v>
      </c>
      <c r="B896" s="35">
        <v>78.81</v>
      </c>
      <c r="C896" s="35">
        <v>78.819999999999993</v>
      </c>
      <c r="D896" s="35">
        <v>76.959999999999994</v>
      </c>
      <c r="E896" s="35">
        <v>76.97</v>
      </c>
      <c r="F896" s="35">
        <v>2143043</v>
      </c>
    </row>
    <row r="897" spans="1:6">
      <c r="A897" s="146">
        <v>41662</v>
      </c>
      <c r="B897" s="35">
        <v>81.93</v>
      </c>
      <c r="C897" s="35">
        <v>82.5</v>
      </c>
      <c r="D897" s="35">
        <v>78.86</v>
      </c>
      <c r="E897" s="35">
        <v>79.31</v>
      </c>
      <c r="F897" s="35">
        <v>1433790</v>
      </c>
    </row>
    <row r="898" spans="1:6">
      <c r="A898" s="146">
        <v>41661</v>
      </c>
      <c r="B898" s="35">
        <v>80.41</v>
      </c>
      <c r="C898" s="35">
        <v>80.72</v>
      </c>
      <c r="D898" s="35">
        <v>80.040000000000006</v>
      </c>
      <c r="E898" s="35">
        <v>80.38</v>
      </c>
      <c r="F898" s="35">
        <v>1304400</v>
      </c>
    </row>
    <row r="899" spans="1:6">
      <c r="A899" s="146">
        <v>41660</v>
      </c>
      <c r="B899" s="35">
        <v>80.42</v>
      </c>
      <c r="C899" s="35">
        <v>80.8</v>
      </c>
      <c r="D899" s="35">
        <v>79.81</v>
      </c>
      <c r="E899" s="35">
        <v>80.319999999999993</v>
      </c>
      <c r="F899" s="35">
        <v>1448118</v>
      </c>
    </row>
    <row r="900" spans="1:6">
      <c r="A900" s="146">
        <v>41656</v>
      </c>
      <c r="B900" s="35">
        <v>79.52</v>
      </c>
      <c r="C900" s="35">
        <v>80.34</v>
      </c>
      <c r="D900" s="35">
        <v>79.44</v>
      </c>
      <c r="E900" s="35">
        <v>79.97</v>
      </c>
      <c r="F900" s="35">
        <v>2741113</v>
      </c>
    </row>
    <row r="901" spans="1:6">
      <c r="A901" s="146">
        <v>41655</v>
      </c>
      <c r="B901" s="35">
        <v>80.040000000000006</v>
      </c>
      <c r="C901" s="35">
        <v>80.260000000000005</v>
      </c>
      <c r="D901" s="35">
        <v>79.709999999999994</v>
      </c>
      <c r="E901" s="35">
        <v>79.81</v>
      </c>
      <c r="F901" s="35">
        <v>1050168</v>
      </c>
    </row>
    <row r="902" spans="1:6">
      <c r="A902" s="146">
        <v>41654</v>
      </c>
      <c r="B902" s="35">
        <v>80</v>
      </c>
      <c r="C902" s="35">
        <v>80.64</v>
      </c>
      <c r="D902" s="35">
        <v>79.709999999999994</v>
      </c>
      <c r="E902" s="35">
        <v>80.09</v>
      </c>
      <c r="F902" s="35">
        <v>2025134</v>
      </c>
    </row>
    <row r="903" spans="1:6">
      <c r="A903" s="146">
        <v>41653</v>
      </c>
      <c r="B903" s="35">
        <v>79.31</v>
      </c>
      <c r="C903" s="35">
        <v>80.03</v>
      </c>
      <c r="D903" s="35">
        <v>78.94</v>
      </c>
      <c r="E903" s="35">
        <v>79.95</v>
      </c>
      <c r="F903" s="35">
        <v>1607089</v>
      </c>
    </row>
    <row r="904" spans="1:6">
      <c r="A904" s="146">
        <v>41652</v>
      </c>
      <c r="B904" s="35">
        <v>80.28</v>
      </c>
      <c r="C904" s="35">
        <v>80.33</v>
      </c>
      <c r="D904" s="35">
        <v>78.84</v>
      </c>
      <c r="E904" s="35">
        <v>79.05</v>
      </c>
      <c r="F904" s="35">
        <v>2087483</v>
      </c>
    </row>
    <row r="905" spans="1:6">
      <c r="A905" s="146">
        <v>41649</v>
      </c>
      <c r="B905" s="35">
        <v>81.06</v>
      </c>
      <c r="C905" s="35">
        <v>81.11</v>
      </c>
      <c r="D905" s="35">
        <v>79.959999999999994</v>
      </c>
      <c r="E905" s="35">
        <v>80.349999999999994</v>
      </c>
      <c r="F905" s="35">
        <v>1474254</v>
      </c>
    </row>
    <row r="906" spans="1:6">
      <c r="A906" s="146">
        <v>41648</v>
      </c>
      <c r="B906" s="35">
        <v>83</v>
      </c>
      <c r="C906" s="35">
        <v>83</v>
      </c>
      <c r="D906" s="35">
        <v>80.53</v>
      </c>
      <c r="E906" s="35">
        <v>80.63</v>
      </c>
      <c r="F906" s="35">
        <v>1444744</v>
      </c>
    </row>
    <row r="907" spans="1:6">
      <c r="A907" s="146">
        <v>41647</v>
      </c>
      <c r="B907" s="35">
        <v>80.3</v>
      </c>
      <c r="C907" s="35">
        <v>80.739999999999995</v>
      </c>
      <c r="D907" s="35">
        <v>79.91</v>
      </c>
      <c r="E907" s="35">
        <v>80.349999999999994</v>
      </c>
      <c r="F907" s="35">
        <v>1870092</v>
      </c>
    </row>
    <row r="908" spans="1:6">
      <c r="A908" s="146">
        <v>41646</v>
      </c>
      <c r="B908" s="35">
        <v>79.98</v>
      </c>
      <c r="C908" s="35">
        <v>81.02</v>
      </c>
      <c r="D908" s="35">
        <v>79.89</v>
      </c>
      <c r="E908" s="35">
        <v>80.78</v>
      </c>
      <c r="F908" s="35">
        <v>1376249</v>
      </c>
    </row>
    <row r="909" spans="1:6">
      <c r="A909" s="146">
        <v>41645</v>
      </c>
      <c r="B909" s="35">
        <v>80.61</v>
      </c>
      <c r="C909" s="35">
        <v>80.97</v>
      </c>
      <c r="D909" s="35">
        <v>79.39</v>
      </c>
      <c r="E909" s="35">
        <v>79.81</v>
      </c>
      <c r="F909" s="35">
        <v>1535046</v>
      </c>
    </row>
    <row r="910" spans="1:6">
      <c r="A910" s="146">
        <v>41642</v>
      </c>
      <c r="B910" s="35">
        <v>80.209999999999994</v>
      </c>
      <c r="C910" s="35">
        <v>81.37</v>
      </c>
      <c r="D910" s="35">
        <v>80</v>
      </c>
      <c r="E910" s="35">
        <v>80.73</v>
      </c>
      <c r="F910" s="35">
        <v>1948060</v>
      </c>
    </row>
    <row r="911" spans="1:6">
      <c r="A911" s="146">
        <v>41641</v>
      </c>
      <c r="B911" s="35">
        <v>80.17</v>
      </c>
      <c r="C911" s="35">
        <v>80.45</v>
      </c>
      <c r="D911" s="35">
        <v>79.38</v>
      </c>
      <c r="E911" s="35">
        <v>79.86</v>
      </c>
      <c r="F911" s="35">
        <v>1965869</v>
      </c>
    </row>
    <row r="912" spans="1:6">
      <c r="A912" s="146">
        <v>41639</v>
      </c>
      <c r="B912" s="35">
        <v>81.239999999999995</v>
      </c>
      <c r="C912" s="35">
        <v>81.55</v>
      </c>
      <c r="D912" s="35">
        <v>80.650000000000006</v>
      </c>
      <c r="E912" s="35">
        <v>80.8</v>
      </c>
      <c r="F912" s="35">
        <v>1104615</v>
      </c>
    </row>
    <row r="913" spans="1:6">
      <c r="A913" s="146">
        <v>41638</v>
      </c>
      <c r="B913" s="35">
        <v>80.819999999999993</v>
      </c>
      <c r="C913" s="35">
        <v>81.099999999999994</v>
      </c>
      <c r="D913" s="35">
        <v>80.510000000000005</v>
      </c>
      <c r="E913" s="35">
        <v>81.08</v>
      </c>
      <c r="F913" s="35">
        <v>718685</v>
      </c>
    </row>
    <row r="914" spans="1:6">
      <c r="A914" s="146">
        <v>41635</v>
      </c>
      <c r="B914" s="35">
        <v>80.959999999999994</v>
      </c>
      <c r="C914" s="35">
        <v>81.14</v>
      </c>
      <c r="D914" s="35">
        <v>80.56</v>
      </c>
      <c r="E914" s="35">
        <v>80.72</v>
      </c>
      <c r="F914" s="35">
        <v>723026</v>
      </c>
    </row>
    <row r="915" spans="1:6">
      <c r="A915" s="146">
        <v>41634</v>
      </c>
      <c r="B915" s="35">
        <v>80.45</v>
      </c>
      <c r="C915" s="35">
        <v>80.87</v>
      </c>
      <c r="D915" s="35">
        <v>80.13</v>
      </c>
      <c r="E915" s="35">
        <v>80.75</v>
      </c>
      <c r="F915" s="35">
        <v>875281</v>
      </c>
    </row>
    <row r="916" spans="1:6">
      <c r="A916" s="146">
        <v>41632</v>
      </c>
      <c r="B916" s="35">
        <v>79.78</v>
      </c>
      <c r="C916" s="35">
        <v>80.290000000000006</v>
      </c>
      <c r="D916" s="35">
        <v>79.599999999999994</v>
      </c>
      <c r="E916" s="35">
        <v>80.22</v>
      </c>
      <c r="F916" s="35">
        <v>599584</v>
      </c>
    </row>
    <row r="917" spans="1:6">
      <c r="A917" s="146">
        <v>41631</v>
      </c>
      <c r="B917" s="35">
        <v>80.31</v>
      </c>
      <c r="C917" s="35">
        <v>80.400000000000006</v>
      </c>
      <c r="D917" s="35">
        <v>79.72</v>
      </c>
      <c r="E917" s="35">
        <v>79.94</v>
      </c>
      <c r="F917" s="35">
        <v>1433640</v>
      </c>
    </row>
    <row r="918" spans="1:6">
      <c r="A918" s="146">
        <v>41628</v>
      </c>
      <c r="B918" s="35">
        <v>79.36</v>
      </c>
      <c r="C918" s="35">
        <v>80.239999999999995</v>
      </c>
      <c r="D918" s="35">
        <v>78.98</v>
      </c>
      <c r="E918" s="35">
        <v>79.97</v>
      </c>
      <c r="F918" s="35">
        <v>3547287</v>
      </c>
    </row>
    <row r="919" spans="1:6">
      <c r="A919" s="146">
        <v>41627</v>
      </c>
      <c r="B919" s="35">
        <v>79.349999999999994</v>
      </c>
      <c r="C919" s="35">
        <v>79.849999999999994</v>
      </c>
      <c r="D919" s="35">
        <v>78.87</v>
      </c>
      <c r="E919" s="35">
        <v>79.42</v>
      </c>
      <c r="F919" s="35">
        <v>2483235</v>
      </c>
    </row>
    <row r="920" spans="1:6">
      <c r="A920" s="146">
        <v>41626</v>
      </c>
      <c r="B920" s="35">
        <v>77.510000000000005</v>
      </c>
      <c r="C920" s="35">
        <v>79.150000000000006</v>
      </c>
      <c r="D920" s="35">
        <v>77.12</v>
      </c>
      <c r="E920" s="35">
        <v>79.09</v>
      </c>
      <c r="F920" s="35">
        <v>2858870</v>
      </c>
    </row>
    <row r="921" spans="1:6">
      <c r="A921" s="146">
        <v>41625</v>
      </c>
      <c r="B921" s="35">
        <v>76.73</v>
      </c>
      <c r="C921" s="35">
        <v>77.52</v>
      </c>
      <c r="D921" s="35">
        <v>76.62</v>
      </c>
      <c r="E921" s="35">
        <v>77.25</v>
      </c>
      <c r="F921" s="35">
        <v>1713556</v>
      </c>
    </row>
    <row r="922" spans="1:6">
      <c r="A922" s="146">
        <v>41624</v>
      </c>
      <c r="B922" s="35">
        <v>77.540000000000006</v>
      </c>
      <c r="C922" s="35">
        <v>77.97</v>
      </c>
      <c r="D922" s="35">
        <v>77.19</v>
      </c>
      <c r="E922" s="35">
        <v>77.52</v>
      </c>
      <c r="F922" s="35">
        <v>1359199</v>
      </c>
    </row>
    <row r="923" spans="1:6">
      <c r="A923" s="146">
        <v>41621</v>
      </c>
      <c r="B923" s="35">
        <v>77.67</v>
      </c>
      <c r="C923" s="35">
        <v>77.77</v>
      </c>
      <c r="D923" s="35">
        <v>76.98</v>
      </c>
      <c r="E923" s="35">
        <v>77.02</v>
      </c>
      <c r="F923" s="35">
        <v>1654761</v>
      </c>
    </row>
    <row r="924" spans="1:6">
      <c r="A924" s="146">
        <v>41620</v>
      </c>
      <c r="B924" s="35">
        <v>77.209999999999994</v>
      </c>
      <c r="C924" s="35">
        <v>77.75</v>
      </c>
      <c r="D924" s="35">
        <v>77.099999999999994</v>
      </c>
      <c r="E924" s="35">
        <v>77.150000000000006</v>
      </c>
      <c r="F924" s="35">
        <v>2987246</v>
      </c>
    </row>
    <row r="925" spans="1:6">
      <c r="A925" s="146">
        <v>41619</v>
      </c>
      <c r="B925" s="35">
        <v>78.3</v>
      </c>
      <c r="C925" s="35">
        <v>78.55</v>
      </c>
      <c r="D925" s="35">
        <v>77.22</v>
      </c>
      <c r="E925" s="35">
        <v>77.430000000000007</v>
      </c>
      <c r="F925" s="35">
        <v>2905432</v>
      </c>
    </row>
    <row r="926" spans="1:6">
      <c r="A926" s="146">
        <v>41618</v>
      </c>
      <c r="B926" s="35">
        <v>78.86</v>
      </c>
      <c r="C926" s="35">
        <v>79.05</v>
      </c>
      <c r="D926" s="35">
        <v>78.36</v>
      </c>
      <c r="E926" s="35">
        <v>78.510000000000005</v>
      </c>
      <c r="F926" s="35">
        <v>2000376</v>
      </c>
    </row>
    <row r="927" spans="1:6">
      <c r="A927" s="146">
        <v>41617</v>
      </c>
      <c r="B927" s="35">
        <v>79.760000000000005</v>
      </c>
      <c r="C927" s="35">
        <v>79.77</v>
      </c>
      <c r="D927" s="35">
        <v>78.56</v>
      </c>
      <c r="E927" s="35">
        <v>79.010000000000005</v>
      </c>
      <c r="F927" s="35">
        <v>2375416</v>
      </c>
    </row>
    <row r="928" spans="1:6">
      <c r="A928" s="146">
        <v>41614</v>
      </c>
      <c r="B928" s="35">
        <v>79.45</v>
      </c>
      <c r="C928" s="35">
        <v>79.77</v>
      </c>
      <c r="D928" s="35">
        <v>79.13</v>
      </c>
      <c r="E928" s="35">
        <v>79.66</v>
      </c>
      <c r="F928" s="35">
        <v>1870669</v>
      </c>
    </row>
    <row r="929" spans="1:6">
      <c r="A929" s="146">
        <v>41613</v>
      </c>
      <c r="B929" s="35">
        <v>78.95</v>
      </c>
      <c r="C929" s="35">
        <v>79.53</v>
      </c>
      <c r="D929" s="35">
        <v>78.400000000000006</v>
      </c>
      <c r="E929" s="35">
        <v>78.53</v>
      </c>
      <c r="F929" s="35">
        <v>2218868</v>
      </c>
    </row>
    <row r="930" spans="1:6">
      <c r="A930" s="146">
        <v>41612</v>
      </c>
      <c r="B930" s="35">
        <v>79.89</v>
      </c>
      <c r="C930" s="35">
        <v>80.14</v>
      </c>
      <c r="D930" s="35">
        <v>78.739999999999995</v>
      </c>
      <c r="E930" s="35">
        <v>79.33</v>
      </c>
      <c r="F930" s="35">
        <v>1861518</v>
      </c>
    </row>
    <row r="931" spans="1:6">
      <c r="A931" s="146">
        <v>41611</v>
      </c>
      <c r="B931" s="35">
        <v>80.349999999999994</v>
      </c>
      <c r="C931" s="35">
        <v>80.819999999999993</v>
      </c>
      <c r="D931" s="35">
        <v>79.7</v>
      </c>
      <c r="E931" s="35">
        <v>80.34</v>
      </c>
      <c r="F931" s="35">
        <v>2847256</v>
      </c>
    </row>
    <row r="932" spans="1:6">
      <c r="A932" s="146">
        <v>41610</v>
      </c>
      <c r="B932" s="35">
        <v>79.95</v>
      </c>
      <c r="C932" s="35">
        <v>80.13</v>
      </c>
      <c r="D932" s="35">
        <v>79.44</v>
      </c>
      <c r="E932" s="35">
        <v>79.569999999999993</v>
      </c>
      <c r="F932" s="35">
        <v>1367495</v>
      </c>
    </row>
    <row r="933" spans="1:6">
      <c r="A933" s="146">
        <v>41607</v>
      </c>
      <c r="B933" s="35">
        <v>80.180000000000007</v>
      </c>
      <c r="C933" s="35">
        <v>80.650000000000006</v>
      </c>
      <c r="D933" s="35">
        <v>79.98</v>
      </c>
      <c r="E933" s="35">
        <v>80.02</v>
      </c>
      <c r="F933" s="35">
        <v>835024</v>
      </c>
    </row>
    <row r="934" spans="1:6">
      <c r="A934" s="146">
        <v>41605</v>
      </c>
      <c r="B934" s="35">
        <v>80.3</v>
      </c>
      <c r="C934" s="35">
        <v>80.52</v>
      </c>
      <c r="D934" s="35">
        <v>79.959999999999994</v>
      </c>
      <c r="E934" s="35">
        <v>80.33</v>
      </c>
      <c r="F934" s="35">
        <v>1063364</v>
      </c>
    </row>
    <row r="935" spans="1:6">
      <c r="A935" s="146">
        <v>41604</v>
      </c>
      <c r="B935" s="35">
        <v>83.18</v>
      </c>
      <c r="C935" s="35">
        <v>83.82</v>
      </c>
      <c r="D935" s="35">
        <v>79.8</v>
      </c>
      <c r="E935" s="35">
        <v>80.31</v>
      </c>
      <c r="F935" s="35">
        <v>2319489</v>
      </c>
    </row>
    <row r="936" spans="1:6">
      <c r="A936" s="146">
        <v>41603</v>
      </c>
      <c r="B936" s="35">
        <v>80</v>
      </c>
      <c r="C936" s="35">
        <v>80.400000000000006</v>
      </c>
      <c r="D936" s="35">
        <v>79.94</v>
      </c>
      <c r="E936" s="35">
        <v>80.12</v>
      </c>
      <c r="F936" s="35">
        <v>1687196</v>
      </c>
    </row>
    <row r="937" spans="1:6">
      <c r="A937" s="146">
        <v>41600</v>
      </c>
      <c r="B937" s="35">
        <v>79.650000000000006</v>
      </c>
      <c r="C937" s="35">
        <v>80.040000000000006</v>
      </c>
      <c r="D937" s="35">
        <v>79.56</v>
      </c>
      <c r="E937" s="35">
        <v>80.010000000000005</v>
      </c>
      <c r="F937" s="35">
        <v>1550367</v>
      </c>
    </row>
    <row r="938" spans="1:6">
      <c r="A938" s="146">
        <v>41599</v>
      </c>
      <c r="B938" s="35">
        <v>79.319999999999993</v>
      </c>
      <c r="C938" s="35">
        <v>79.87</v>
      </c>
      <c r="D938" s="35">
        <v>79.13</v>
      </c>
      <c r="E938" s="35">
        <v>79.78</v>
      </c>
      <c r="F938" s="35">
        <v>1925045</v>
      </c>
    </row>
    <row r="939" spans="1:6">
      <c r="A939" s="146">
        <v>41598</v>
      </c>
      <c r="B939" s="35">
        <v>79.91</v>
      </c>
      <c r="C939" s="35">
        <v>80.13</v>
      </c>
      <c r="D939" s="35">
        <v>78.81</v>
      </c>
      <c r="E939" s="35">
        <v>79.05</v>
      </c>
      <c r="F939" s="35">
        <v>2875802</v>
      </c>
    </row>
    <row r="940" spans="1:6">
      <c r="A940" s="146">
        <v>41597</v>
      </c>
      <c r="B940" s="35">
        <v>78.8</v>
      </c>
      <c r="C940" s="35">
        <v>80.44</v>
      </c>
      <c r="D940" s="35">
        <v>78.28</v>
      </c>
      <c r="E940" s="35">
        <v>79.709999999999994</v>
      </c>
      <c r="F940" s="35">
        <v>6780229</v>
      </c>
    </row>
    <row r="941" spans="1:6">
      <c r="A941" s="146">
        <v>41596</v>
      </c>
      <c r="B941" s="35">
        <v>77.36</v>
      </c>
      <c r="C941" s="35">
        <v>77.7</v>
      </c>
      <c r="D941" s="35">
        <v>77.14</v>
      </c>
      <c r="E941" s="35">
        <v>77.36</v>
      </c>
      <c r="F941" s="35">
        <v>1761619</v>
      </c>
    </row>
    <row r="942" spans="1:6">
      <c r="A942" s="146">
        <v>41593</v>
      </c>
      <c r="B942" s="35">
        <v>76.87</v>
      </c>
      <c r="C942" s="35">
        <v>77.400000000000006</v>
      </c>
      <c r="D942" s="35">
        <v>76.55</v>
      </c>
      <c r="E942" s="35">
        <v>77.33</v>
      </c>
      <c r="F942" s="35">
        <v>2347742</v>
      </c>
    </row>
    <row r="943" spans="1:6">
      <c r="A943" s="146">
        <v>41592</v>
      </c>
      <c r="B943" s="35">
        <v>76.64</v>
      </c>
      <c r="C943" s="35">
        <v>77.430000000000007</v>
      </c>
      <c r="D943" s="35">
        <v>76.510000000000005</v>
      </c>
      <c r="E943" s="35">
        <v>76.97</v>
      </c>
      <c r="F943" s="35">
        <v>2190298</v>
      </c>
    </row>
    <row r="944" spans="1:6">
      <c r="A944" s="146">
        <v>41591</v>
      </c>
      <c r="B944" s="35">
        <v>75.650000000000006</v>
      </c>
      <c r="C944" s="35">
        <v>76.5</v>
      </c>
      <c r="D944" s="35">
        <v>75.239999999999995</v>
      </c>
      <c r="E944" s="35">
        <v>76.45</v>
      </c>
      <c r="F944" s="35">
        <v>2437549</v>
      </c>
    </row>
    <row r="945" spans="1:6">
      <c r="A945" s="146">
        <v>41590</v>
      </c>
      <c r="B945" s="35">
        <v>75.69</v>
      </c>
      <c r="C945" s="35">
        <v>75.900000000000006</v>
      </c>
      <c r="D945" s="35">
        <v>75.39</v>
      </c>
      <c r="E945" s="35">
        <v>75.72</v>
      </c>
      <c r="F945" s="35">
        <v>1812594</v>
      </c>
    </row>
    <row r="946" spans="1:6">
      <c r="A946" s="146">
        <v>41589</v>
      </c>
      <c r="B946" s="35">
        <v>75.83</v>
      </c>
      <c r="C946" s="35">
        <v>76.040000000000006</v>
      </c>
      <c r="D946" s="35">
        <v>75.5</v>
      </c>
      <c r="E946" s="35">
        <v>75.760000000000005</v>
      </c>
      <c r="F946" s="35">
        <v>1166717</v>
      </c>
    </row>
    <row r="947" spans="1:6">
      <c r="A947" s="146">
        <v>41586</v>
      </c>
      <c r="B947" s="35">
        <v>75.44</v>
      </c>
      <c r="C947" s="35">
        <v>76.03</v>
      </c>
      <c r="D947" s="35">
        <v>75.209999999999994</v>
      </c>
      <c r="E947" s="35">
        <v>76.010000000000005</v>
      </c>
      <c r="F947" s="35">
        <v>1379200</v>
      </c>
    </row>
    <row r="948" spans="1:6">
      <c r="A948" s="146">
        <v>41585</v>
      </c>
      <c r="B948" s="35">
        <v>76.150000000000006</v>
      </c>
      <c r="C948" s="35">
        <v>76.41</v>
      </c>
      <c r="D948" s="35">
        <v>75.209999999999994</v>
      </c>
      <c r="E948" s="35">
        <v>75.33</v>
      </c>
      <c r="F948" s="35">
        <v>1532707</v>
      </c>
    </row>
    <row r="949" spans="1:6">
      <c r="A949" s="146">
        <v>41584</v>
      </c>
      <c r="B949" s="35">
        <v>75.34</v>
      </c>
      <c r="C949" s="35">
        <v>76.05</v>
      </c>
      <c r="D949" s="35">
        <v>75.319999999999993</v>
      </c>
      <c r="E949" s="35">
        <v>75.83</v>
      </c>
      <c r="F949" s="35">
        <v>1254660</v>
      </c>
    </row>
    <row r="950" spans="1:6">
      <c r="A950" s="146">
        <v>41583</v>
      </c>
      <c r="B950" s="35">
        <v>75.25</v>
      </c>
      <c r="C950" s="35">
        <v>75.67</v>
      </c>
      <c r="D950" s="35">
        <v>74.739999999999995</v>
      </c>
      <c r="E950" s="35">
        <v>75.510000000000005</v>
      </c>
      <c r="F950" s="35">
        <v>1166933</v>
      </c>
    </row>
    <row r="951" spans="1:6">
      <c r="A951" s="146">
        <v>41582</v>
      </c>
      <c r="B951" s="35">
        <v>75.72</v>
      </c>
      <c r="C951" s="35">
        <v>75.91</v>
      </c>
      <c r="D951" s="35">
        <v>74.95</v>
      </c>
      <c r="E951" s="35">
        <v>75.510000000000005</v>
      </c>
      <c r="F951" s="35">
        <v>1581083</v>
      </c>
    </row>
    <row r="952" spans="1:6">
      <c r="A952" s="146">
        <v>41579</v>
      </c>
      <c r="B952" s="35">
        <v>75.349999999999994</v>
      </c>
      <c r="C952" s="35">
        <v>75.48</v>
      </c>
      <c r="D952" s="35">
        <v>74.89</v>
      </c>
      <c r="E952" s="35">
        <v>75.31</v>
      </c>
      <c r="F952" s="35">
        <v>1852344</v>
      </c>
    </row>
    <row r="953" spans="1:6">
      <c r="A953" s="146">
        <v>41578</v>
      </c>
      <c r="B953" s="35">
        <v>74.260000000000005</v>
      </c>
      <c r="C953" s="35">
        <v>75.25</v>
      </c>
      <c r="D953" s="35">
        <v>74.010000000000005</v>
      </c>
      <c r="E953" s="35">
        <v>75.02</v>
      </c>
      <c r="F953" s="35">
        <v>2727019</v>
      </c>
    </row>
    <row r="954" spans="1:6">
      <c r="A954" s="146">
        <v>41577</v>
      </c>
      <c r="B954" s="35">
        <v>75.91</v>
      </c>
      <c r="C954" s="35">
        <v>75.91</v>
      </c>
      <c r="D954" s="35">
        <v>73.77</v>
      </c>
      <c r="E954" s="35">
        <v>74.3</v>
      </c>
      <c r="F954" s="35">
        <v>2169549</v>
      </c>
    </row>
    <row r="955" spans="1:6">
      <c r="A955" s="146">
        <v>41576</v>
      </c>
      <c r="B955" s="35">
        <v>76.040000000000006</v>
      </c>
      <c r="C955" s="35">
        <v>76.66</v>
      </c>
      <c r="D955" s="35">
        <v>75.569999999999993</v>
      </c>
      <c r="E955" s="35">
        <v>76.349999999999994</v>
      </c>
      <c r="F955" s="35">
        <v>1683396</v>
      </c>
    </row>
    <row r="956" spans="1:6">
      <c r="A956" s="146">
        <v>41575</v>
      </c>
      <c r="B956" s="35">
        <v>75.319999999999993</v>
      </c>
      <c r="C956" s="35">
        <v>76.08</v>
      </c>
      <c r="D956" s="35">
        <v>75.150000000000006</v>
      </c>
      <c r="E956" s="35">
        <v>75.67</v>
      </c>
      <c r="F956" s="35">
        <v>1649357</v>
      </c>
    </row>
    <row r="957" spans="1:6">
      <c r="A957" s="146">
        <v>41572</v>
      </c>
      <c r="B957" s="35">
        <v>75.31</v>
      </c>
      <c r="C957" s="35">
        <v>75.709999999999994</v>
      </c>
      <c r="D957" s="35">
        <v>74.959999999999994</v>
      </c>
      <c r="E957" s="35">
        <v>75.510000000000005</v>
      </c>
      <c r="F957" s="35">
        <v>1167827</v>
      </c>
    </row>
    <row r="958" spans="1:6">
      <c r="A958" s="146">
        <v>41571</v>
      </c>
      <c r="B958" s="35">
        <v>75.3</v>
      </c>
      <c r="C958" s="35">
        <v>75.64</v>
      </c>
      <c r="D958" s="35">
        <v>75.14</v>
      </c>
      <c r="E958" s="35">
        <v>75.41</v>
      </c>
      <c r="F958" s="35">
        <v>1389852</v>
      </c>
    </row>
    <row r="959" spans="1:6">
      <c r="A959" s="146">
        <v>41570</v>
      </c>
      <c r="B959" s="35">
        <v>75.239999999999995</v>
      </c>
      <c r="C959" s="35">
        <v>75.31</v>
      </c>
      <c r="D959" s="35">
        <v>74.819999999999993</v>
      </c>
      <c r="E959" s="35">
        <v>75.11</v>
      </c>
      <c r="F959" s="35">
        <v>1111598</v>
      </c>
    </row>
    <row r="960" spans="1:6">
      <c r="A960" s="146">
        <v>41569</v>
      </c>
      <c r="B960" s="35">
        <v>74.92</v>
      </c>
      <c r="C960" s="35">
        <v>75.75</v>
      </c>
      <c r="D960" s="35">
        <v>74.64</v>
      </c>
      <c r="E960" s="35">
        <v>75.45</v>
      </c>
      <c r="F960" s="35">
        <v>1366720</v>
      </c>
    </row>
    <row r="961" spans="1:6">
      <c r="A961" s="146">
        <v>41568</v>
      </c>
      <c r="B961" s="35">
        <v>73.989999999999995</v>
      </c>
      <c r="C961" s="35">
        <v>74.75</v>
      </c>
      <c r="D961" s="35">
        <v>73.89</v>
      </c>
      <c r="E961" s="35">
        <v>74.7</v>
      </c>
      <c r="F961" s="35">
        <v>1238597</v>
      </c>
    </row>
    <row r="962" spans="1:6">
      <c r="A962" s="146">
        <v>41565</v>
      </c>
      <c r="B962" s="35">
        <v>74.150000000000006</v>
      </c>
      <c r="C962" s="35">
        <v>74.5</v>
      </c>
      <c r="D962" s="35">
        <v>73.87</v>
      </c>
      <c r="E962" s="35">
        <v>74.19</v>
      </c>
      <c r="F962" s="35">
        <v>1722746</v>
      </c>
    </row>
    <row r="963" spans="1:6">
      <c r="A963" s="146">
        <v>41564</v>
      </c>
      <c r="B963" s="35">
        <v>73.41</v>
      </c>
      <c r="C963" s="35">
        <v>74.150000000000006</v>
      </c>
      <c r="D963" s="35">
        <v>73.25</v>
      </c>
      <c r="E963" s="35">
        <v>74.08</v>
      </c>
      <c r="F963" s="35">
        <v>1412504</v>
      </c>
    </row>
    <row r="964" spans="1:6">
      <c r="A964" s="146">
        <v>41563</v>
      </c>
      <c r="B964" s="35">
        <v>72.95</v>
      </c>
      <c r="C964" s="35">
        <v>73.790000000000006</v>
      </c>
      <c r="D964" s="35">
        <v>72.72</v>
      </c>
      <c r="E964" s="35">
        <v>73.72</v>
      </c>
      <c r="F964" s="35">
        <v>1814173</v>
      </c>
    </row>
    <row r="965" spans="1:6">
      <c r="A965" s="146">
        <v>41562</v>
      </c>
      <c r="B965" s="35">
        <v>72.540000000000006</v>
      </c>
      <c r="C965" s="35">
        <v>72.7</v>
      </c>
      <c r="D965" s="35">
        <v>72.180000000000007</v>
      </c>
      <c r="E965" s="35">
        <v>72.319999999999993</v>
      </c>
      <c r="F965" s="35">
        <v>1791176</v>
      </c>
    </row>
    <row r="966" spans="1:6">
      <c r="A966" s="146">
        <v>41561</v>
      </c>
      <c r="B966" s="35">
        <v>72.36</v>
      </c>
      <c r="C966" s="35">
        <v>72.89</v>
      </c>
      <c r="D966" s="35">
        <v>72.14</v>
      </c>
      <c r="E966" s="35">
        <v>72.86</v>
      </c>
      <c r="F966" s="35">
        <v>987343</v>
      </c>
    </row>
    <row r="967" spans="1:6">
      <c r="A967" s="146">
        <v>41558</v>
      </c>
      <c r="B967" s="35">
        <v>71.260000000000005</v>
      </c>
      <c r="C967" s="35">
        <v>72.53</v>
      </c>
      <c r="D967" s="35">
        <v>71.22</v>
      </c>
      <c r="E967" s="35">
        <v>72.510000000000005</v>
      </c>
      <c r="F967" s="35">
        <v>1076046</v>
      </c>
    </row>
    <row r="968" spans="1:6">
      <c r="A968" s="146">
        <v>41557</v>
      </c>
      <c r="B968" s="35">
        <v>70.84</v>
      </c>
      <c r="C968" s="35">
        <v>71.930000000000007</v>
      </c>
      <c r="D968" s="35">
        <v>70.61</v>
      </c>
      <c r="E968" s="35">
        <v>71.81</v>
      </c>
      <c r="F968" s="35">
        <v>1402502</v>
      </c>
    </row>
    <row r="969" spans="1:6">
      <c r="A969" s="146">
        <v>41556</v>
      </c>
      <c r="B969" s="35">
        <v>70.25</v>
      </c>
      <c r="C969" s="35">
        <v>70.599999999999994</v>
      </c>
      <c r="D969" s="35">
        <v>69.91</v>
      </c>
      <c r="E969" s="35">
        <v>70.28</v>
      </c>
      <c r="F969" s="35">
        <v>1415390</v>
      </c>
    </row>
    <row r="970" spans="1:6">
      <c r="A970" s="146">
        <v>41555</v>
      </c>
      <c r="B970" s="35">
        <v>71.14</v>
      </c>
      <c r="C970" s="35">
        <v>71.239999999999995</v>
      </c>
      <c r="D970" s="35">
        <v>70.17</v>
      </c>
      <c r="E970" s="35">
        <v>70.239999999999995</v>
      </c>
      <c r="F970" s="35">
        <v>1503077</v>
      </c>
    </row>
    <row r="971" spans="1:6">
      <c r="A971" s="146">
        <v>41554</v>
      </c>
      <c r="B971" s="35">
        <v>70.89</v>
      </c>
      <c r="C971" s="35">
        <v>71.349999999999994</v>
      </c>
      <c r="D971" s="35">
        <v>70.52</v>
      </c>
      <c r="E971" s="35">
        <v>71.02</v>
      </c>
      <c r="F971" s="35">
        <v>880558</v>
      </c>
    </row>
    <row r="972" spans="1:6">
      <c r="A972" s="146">
        <v>41551</v>
      </c>
      <c r="B972" s="35">
        <v>71.260000000000005</v>
      </c>
      <c r="C972" s="35">
        <v>71.61</v>
      </c>
      <c r="D972" s="35">
        <v>70.94</v>
      </c>
      <c r="E972" s="35">
        <v>71.52</v>
      </c>
      <c r="F972" s="35">
        <v>1240975</v>
      </c>
    </row>
    <row r="973" spans="1:6">
      <c r="A973" s="146">
        <v>41550</v>
      </c>
      <c r="B973" s="35">
        <v>71.709999999999994</v>
      </c>
      <c r="C973" s="35">
        <v>72</v>
      </c>
      <c r="D973" s="35">
        <v>70.89</v>
      </c>
      <c r="E973" s="35">
        <v>71.099999999999994</v>
      </c>
      <c r="F973" s="35">
        <v>1362596</v>
      </c>
    </row>
    <row r="974" spans="1:6">
      <c r="A974" s="146">
        <v>41549</v>
      </c>
      <c r="B974" s="35">
        <v>72</v>
      </c>
      <c r="C974" s="35">
        <v>72.099999999999994</v>
      </c>
      <c r="D974" s="35">
        <v>71.66</v>
      </c>
      <c r="E974" s="35">
        <v>72.02</v>
      </c>
      <c r="F974" s="35">
        <v>1729688</v>
      </c>
    </row>
    <row r="975" spans="1:6">
      <c r="A975" s="146">
        <v>41548</v>
      </c>
      <c r="B975" s="35">
        <v>72.58</v>
      </c>
      <c r="C975" s="35">
        <v>72.58</v>
      </c>
      <c r="D975" s="35">
        <v>71.89</v>
      </c>
      <c r="E975" s="35">
        <v>72.16</v>
      </c>
      <c r="F975" s="35">
        <v>1485427</v>
      </c>
    </row>
    <row r="976" spans="1:6">
      <c r="A976" s="146">
        <v>41547</v>
      </c>
      <c r="B976" s="35">
        <v>72.31</v>
      </c>
      <c r="C976" s="35">
        <v>72.510000000000005</v>
      </c>
      <c r="D976" s="35">
        <v>71.89</v>
      </c>
      <c r="E976" s="35">
        <v>72.38</v>
      </c>
      <c r="F976" s="35">
        <v>1762344</v>
      </c>
    </row>
    <row r="977" spans="1:6">
      <c r="A977" s="146">
        <v>41544</v>
      </c>
      <c r="B977" s="35">
        <v>72.7</v>
      </c>
      <c r="C977" s="35">
        <v>72.73</v>
      </c>
      <c r="D977" s="35">
        <v>71.61</v>
      </c>
      <c r="E977" s="35">
        <v>72.56</v>
      </c>
      <c r="F977" s="35">
        <v>1396033</v>
      </c>
    </row>
    <row r="978" spans="1:6">
      <c r="A978" s="146">
        <v>41543</v>
      </c>
      <c r="B978" s="35">
        <v>72.83</v>
      </c>
      <c r="C978" s="35">
        <v>73.2</v>
      </c>
      <c r="D978" s="35">
        <v>72.569999999999993</v>
      </c>
      <c r="E978" s="35">
        <v>72.92</v>
      </c>
      <c r="F978" s="35">
        <v>1199344</v>
      </c>
    </row>
    <row r="979" spans="1:6">
      <c r="A979" s="146">
        <v>41542</v>
      </c>
      <c r="B979" s="35">
        <v>73.09</v>
      </c>
      <c r="C979" s="35">
        <v>73.22</v>
      </c>
      <c r="D979" s="35">
        <v>72.319999999999993</v>
      </c>
      <c r="E979" s="35">
        <v>72.52</v>
      </c>
      <c r="F979" s="35">
        <v>1172515</v>
      </c>
    </row>
    <row r="980" spans="1:6">
      <c r="A980" s="146">
        <v>41541</v>
      </c>
      <c r="B980" s="35">
        <v>72.45</v>
      </c>
      <c r="C980" s="35">
        <v>73.3</v>
      </c>
      <c r="D980" s="35">
        <v>72.290000000000006</v>
      </c>
      <c r="E980" s="35">
        <v>72.95</v>
      </c>
      <c r="F980" s="35">
        <v>1918665</v>
      </c>
    </row>
    <row r="981" spans="1:6">
      <c r="A981" s="146">
        <v>41540</v>
      </c>
      <c r="B981" s="35">
        <v>74.2</v>
      </c>
      <c r="C981" s="35">
        <v>74.62</v>
      </c>
      <c r="D981" s="35">
        <v>72.709999999999994</v>
      </c>
      <c r="E981" s="35">
        <v>73.13</v>
      </c>
      <c r="F981" s="35">
        <v>3039147</v>
      </c>
    </row>
    <row r="982" spans="1:6">
      <c r="A982" s="146">
        <v>41537</v>
      </c>
      <c r="B982" s="35">
        <v>74.760000000000005</v>
      </c>
      <c r="C982" s="35">
        <v>74.88</v>
      </c>
      <c r="D982" s="35">
        <v>74.36</v>
      </c>
      <c r="E982" s="35">
        <v>74.430000000000007</v>
      </c>
      <c r="F982" s="35">
        <v>2410343</v>
      </c>
    </row>
    <row r="983" spans="1:6">
      <c r="A983" s="146">
        <v>41536</v>
      </c>
      <c r="B983" s="35">
        <v>74.89</v>
      </c>
      <c r="C983" s="35">
        <v>74.95</v>
      </c>
      <c r="D983" s="35">
        <v>74.48</v>
      </c>
      <c r="E983" s="35">
        <v>74.680000000000007</v>
      </c>
      <c r="F983" s="35">
        <v>1657367</v>
      </c>
    </row>
    <row r="984" spans="1:6">
      <c r="A984" s="146">
        <v>41535</v>
      </c>
      <c r="B984" s="35">
        <v>74.17</v>
      </c>
      <c r="C984" s="35">
        <v>74.86</v>
      </c>
      <c r="D984" s="35">
        <v>73.75</v>
      </c>
      <c r="E984" s="35">
        <v>74.739999999999995</v>
      </c>
      <c r="F984" s="35">
        <v>1654128</v>
      </c>
    </row>
    <row r="985" spans="1:6">
      <c r="A985" s="146">
        <v>41534</v>
      </c>
      <c r="B985" s="35">
        <v>74.239999999999995</v>
      </c>
      <c r="C985" s="35">
        <v>74.41</v>
      </c>
      <c r="D985" s="35">
        <v>73.900000000000006</v>
      </c>
      <c r="E985" s="35">
        <v>74.16</v>
      </c>
      <c r="F985" s="35">
        <v>2295138</v>
      </c>
    </row>
    <row r="986" spans="1:6">
      <c r="A986" s="146">
        <v>41533</v>
      </c>
      <c r="B986" s="35">
        <v>74.849999999999994</v>
      </c>
      <c r="C986" s="35">
        <v>74.930000000000007</v>
      </c>
      <c r="D986" s="35">
        <v>74.03</v>
      </c>
      <c r="E986" s="35">
        <v>74.099999999999994</v>
      </c>
      <c r="F986" s="35">
        <v>1977515</v>
      </c>
    </row>
    <row r="987" spans="1:6">
      <c r="A987" s="146">
        <v>41530</v>
      </c>
      <c r="B987" s="35">
        <v>74.23</v>
      </c>
      <c r="C987" s="35">
        <v>74.33</v>
      </c>
      <c r="D987" s="35">
        <v>73.459999999999994</v>
      </c>
      <c r="E987" s="35">
        <v>74.09</v>
      </c>
      <c r="F987" s="35">
        <v>1882355</v>
      </c>
    </row>
    <row r="988" spans="1:6">
      <c r="A988" s="146">
        <v>41529</v>
      </c>
      <c r="B988" s="35">
        <v>73.91</v>
      </c>
      <c r="C988" s="35">
        <v>74.510000000000005</v>
      </c>
      <c r="D988" s="35">
        <v>73.75</v>
      </c>
      <c r="E988" s="35">
        <v>74.180000000000007</v>
      </c>
      <c r="F988" s="35">
        <v>1336110</v>
      </c>
    </row>
    <row r="989" spans="1:6">
      <c r="A989" s="146">
        <v>41528</v>
      </c>
      <c r="B989" s="35">
        <v>73.36</v>
      </c>
      <c r="C989" s="35">
        <v>74.099999999999994</v>
      </c>
      <c r="D989" s="35">
        <v>73.180000000000007</v>
      </c>
      <c r="E989" s="35">
        <v>74.010000000000005</v>
      </c>
      <c r="F989" s="35">
        <v>2952591</v>
      </c>
    </row>
    <row r="990" spans="1:6">
      <c r="A990" s="146">
        <v>41527</v>
      </c>
      <c r="B990" s="35">
        <v>74.38</v>
      </c>
      <c r="C990" s="35">
        <v>74.38</v>
      </c>
      <c r="D990" s="35">
        <v>73.739999999999995</v>
      </c>
      <c r="E990" s="35">
        <v>73.739999999999995</v>
      </c>
      <c r="F990" s="35">
        <v>3155981</v>
      </c>
    </row>
    <row r="991" spans="1:6">
      <c r="A991" s="146">
        <v>41526</v>
      </c>
      <c r="B991" s="35">
        <v>73.14</v>
      </c>
      <c r="C991" s="35">
        <v>73.94</v>
      </c>
      <c r="D991" s="35">
        <v>73.14</v>
      </c>
      <c r="E991" s="35">
        <v>73.790000000000006</v>
      </c>
      <c r="F991" s="35">
        <v>1701303</v>
      </c>
    </row>
    <row r="992" spans="1:6">
      <c r="A992" s="146">
        <v>41523</v>
      </c>
      <c r="B992" s="35">
        <v>72.45</v>
      </c>
      <c r="C992" s="35">
        <v>73.28</v>
      </c>
      <c r="D992" s="35">
        <v>71.37</v>
      </c>
      <c r="E992" s="35">
        <v>73.13</v>
      </c>
      <c r="F992" s="35">
        <v>2315684</v>
      </c>
    </row>
    <row r="993" spans="1:6">
      <c r="A993" s="146">
        <v>41522</v>
      </c>
      <c r="B993" s="35">
        <v>71.83</v>
      </c>
      <c r="C993" s="35">
        <v>72.38</v>
      </c>
      <c r="D993" s="35">
        <v>71.790000000000006</v>
      </c>
      <c r="E993" s="35">
        <v>72.34</v>
      </c>
      <c r="F993" s="35">
        <v>1167603</v>
      </c>
    </row>
    <row r="994" spans="1:6">
      <c r="A994" s="146">
        <v>41521</v>
      </c>
      <c r="B994" s="35">
        <v>70.09</v>
      </c>
      <c r="C994" s="35">
        <v>72.12</v>
      </c>
      <c r="D994" s="35">
        <v>69.760000000000005</v>
      </c>
      <c r="E994" s="35">
        <v>72.05</v>
      </c>
      <c r="F994" s="35">
        <v>1672351</v>
      </c>
    </row>
    <row r="995" spans="1:6">
      <c r="A995" s="146">
        <v>41520</v>
      </c>
      <c r="B995" s="35">
        <v>71.98</v>
      </c>
      <c r="C995" s="35">
        <v>72.45</v>
      </c>
      <c r="D995" s="35">
        <v>71</v>
      </c>
      <c r="E995" s="35">
        <v>71.41</v>
      </c>
      <c r="F995" s="35">
        <v>1816191</v>
      </c>
    </row>
    <row r="996" spans="1:6">
      <c r="A996" s="146">
        <v>41516</v>
      </c>
      <c r="B996" s="35">
        <v>71.290000000000006</v>
      </c>
      <c r="C996" s="35">
        <v>71.31</v>
      </c>
      <c r="D996" s="35">
        <v>70.760000000000005</v>
      </c>
      <c r="E996" s="35">
        <v>71.16</v>
      </c>
      <c r="F996" s="35">
        <v>1505990</v>
      </c>
    </row>
    <row r="997" spans="1:6">
      <c r="A997" s="146">
        <v>41515</v>
      </c>
      <c r="B997" s="35">
        <v>70.78</v>
      </c>
      <c r="C997" s="35">
        <v>71.64</v>
      </c>
      <c r="D997" s="35">
        <v>70.42</v>
      </c>
      <c r="E997" s="35">
        <v>71.3</v>
      </c>
      <c r="F997" s="35">
        <v>1417651</v>
      </c>
    </row>
    <row r="998" spans="1:6">
      <c r="A998" s="146">
        <v>41514</v>
      </c>
      <c r="B998" s="35">
        <v>71.12</v>
      </c>
      <c r="C998" s="35">
        <v>71.400000000000006</v>
      </c>
      <c r="D998" s="35">
        <v>70.849999999999994</v>
      </c>
      <c r="E998" s="35">
        <v>70.94</v>
      </c>
      <c r="F998" s="35">
        <v>1589228</v>
      </c>
    </row>
    <row r="999" spans="1:6">
      <c r="A999" s="146">
        <v>41513</v>
      </c>
      <c r="B999" s="35">
        <v>71.22</v>
      </c>
      <c r="C999" s="35">
        <v>71.58</v>
      </c>
      <c r="D999" s="35">
        <v>70.900000000000006</v>
      </c>
      <c r="E999" s="35">
        <v>70.94</v>
      </c>
      <c r="F999" s="35">
        <v>1631774</v>
      </c>
    </row>
    <row r="1000" spans="1:6">
      <c r="A1000" s="146">
        <v>41512</v>
      </c>
      <c r="B1000" s="35">
        <v>69.89</v>
      </c>
      <c r="C1000" s="35">
        <v>72.48</v>
      </c>
      <c r="D1000" s="35">
        <v>69.89</v>
      </c>
      <c r="E1000" s="35">
        <v>72.03</v>
      </c>
      <c r="F1000" s="35">
        <v>1099136</v>
      </c>
    </row>
    <row r="1001" spans="1:6">
      <c r="A1001" s="146">
        <v>41509</v>
      </c>
      <c r="B1001" s="35">
        <v>72.48</v>
      </c>
      <c r="C1001" s="35">
        <v>72.56</v>
      </c>
      <c r="D1001" s="35">
        <v>72.010000000000005</v>
      </c>
      <c r="E1001" s="35">
        <v>72.28</v>
      </c>
      <c r="F1001" s="35">
        <v>1324695</v>
      </c>
    </row>
    <row r="1002" spans="1:6">
      <c r="A1002" s="146">
        <v>41508</v>
      </c>
      <c r="B1002" s="35">
        <v>72.010000000000005</v>
      </c>
      <c r="C1002" s="35">
        <v>72.64</v>
      </c>
      <c r="D1002" s="35">
        <v>71.900000000000006</v>
      </c>
      <c r="E1002" s="35">
        <v>72.44</v>
      </c>
      <c r="F1002" s="35">
        <v>809488</v>
      </c>
    </row>
    <row r="1003" spans="1:6">
      <c r="A1003" s="146">
        <v>41507</v>
      </c>
      <c r="B1003" s="35">
        <v>72.150000000000006</v>
      </c>
      <c r="C1003" s="35">
        <v>72.38</v>
      </c>
      <c r="D1003" s="35">
        <v>71.61</v>
      </c>
      <c r="E1003" s="35">
        <v>71.83</v>
      </c>
      <c r="F1003" s="35">
        <v>1564370</v>
      </c>
    </row>
    <row r="1004" spans="1:6">
      <c r="A1004" s="146">
        <v>41506</v>
      </c>
      <c r="B1004" s="35">
        <v>71.790000000000006</v>
      </c>
      <c r="C1004" s="35">
        <v>72.510000000000005</v>
      </c>
      <c r="D1004" s="35">
        <v>71.75</v>
      </c>
      <c r="E1004" s="35">
        <v>72.34</v>
      </c>
      <c r="F1004" s="35">
        <v>1229977</v>
      </c>
    </row>
    <row r="1005" spans="1:6">
      <c r="A1005" s="146">
        <v>41505</v>
      </c>
      <c r="B1005" s="35">
        <v>71.61</v>
      </c>
      <c r="C1005" s="35">
        <v>72.239999999999995</v>
      </c>
      <c r="D1005" s="35">
        <v>71.61</v>
      </c>
      <c r="E1005" s="35">
        <v>71.900000000000006</v>
      </c>
      <c r="F1005" s="35">
        <v>1393107</v>
      </c>
    </row>
    <row r="1006" spans="1:6">
      <c r="A1006" s="146">
        <v>41502</v>
      </c>
      <c r="B1006" s="35">
        <v>71.47</v>
      </c>
      <c r="C1006" s="35">
        <v>72.08</v>
      </c>
      <c r="D1006" s="35">
        <v>71.38</v>
      </c>
      <c r="E1006" s="35">
        <v>71.89</v>
      </c>
      <c r="F1006" s="35">
        <v>1792894</v>
      </c>
    </row>
    <row r="1007" spans="1:6">
      <c r="A1007" s="146">
        <v>41501</v>
      </c>
      <c r="B1007" s="35">
        <v>72.22</v>
      </c>
      <c r="C1007" s="35">
        <v>72.239999999999995</v>
      </c>
      <c r="D1007" s="35">
        <v>71.349999999999994</v>
      </c>
      <c r="E1007" s="35">
        <v>71.61</v>
      </c>
      <c r="F1007" s="35">
        <v>1553649</v>
      </c>
    </row>
    <row r="1008" spans="1:6">
      <c r="A1008" s="146">
        <v>41500</v>
      </c>
      <c r="B1008" s="35">
        <v>72.84</v>
      </c>
      <c r="C1008" s="35">
        <v>73.08</v>
      </c>
      <c r="D1008" s="35">
        <v>72.64</v>
      </c>
      <c r="E1008" s="35">
        <v>72.680000000000007</v>
      </c>
      <c r="F1008" s="35">
        <v>1391818</v>
      </c>
    </row>
    <row r="1009" spans="1:6">
      <c r="A1009" s="146">
        <v>41499</v>
      </c>
      <c r="B1009" s="35">
        <v>72.989999999999995</v>
      </c>
      <c r="C1009" s="35">
        <v>73.03</v>
      </c>
      <c r="D1009" s="35">
        <v>72.64</v>
      </c>
      <c r="E1009" s="35">
        <v>72.989999999999995</v>
      </c>
      <c r="F1009" s="35">
        <v>2495228</v>
      </c>
    </row>
    <row r="1010" spans="1:6">
      <c r="A1010" s="146">
        <v>41498</v>
      </c>
      <c r="B1010" s="35">
        <v>72.010000000000005</v>
      </c>
      <c r="C1010" s="35">
        <v>72.83</v>
      </c>
      <c r="D1010" s="35">
        <v>71.900000000000006</v>
      </c>
      <c r="E1010" s="35">
        <v>72.8</v>
      </c>
      <c r="F1010" s="35">
        <v>1275638</v>
      </c>
    </row>
    <row r="1011" spans="1:6">
      <c r="A1011" s="146">
        <v>41495</v>
      </c>
      <c r="B1011" s="35">
        <v>72.069999999999993</v>
      </c>
      <c r="C1011" s="35">
        <v>72.599999999999994</v>
      </c>
      <c r="D1011" s="35">
        <v>71.94</v>
      </c>
      <c r="E1011" s="35">
        <v>72.459999999999994</v>
      </c>
      <c r="F1011" s="35">
        <v>1238833</v>
      </c>
    </row>
    <row r="1012" spans="1:6">
      <c r="A1012" s="146">
        <v>41494</v>
      </c>
      <c r="B1012" s="35">
        <v>72.36</v>
      </c>
      <c r="C1012" s="35">
        <v>72.650000000000006</v>
      </c>
      <c r="D1012" s="35">
        <v>71.95</v>
      </c>
      <c r="E1012" s="35">
        <v>72.34</v>
      </c>
      <c r="F1012" s="35">
        <v>1375407</v>
      </c>
    </row>
    <row r="1013" spans="1:6">
      <c r="A1013" s="146">
        <v>41493</v>
      </c>
      <c r="B1013" s="35">
        <v>72.11</v>
      </c>
      <c r="C1013" s="35">
        <v>72.28</v>
      </c>
      <c r="D1013" s="35">
        <v>71.67</v>
      </c>
      <c r="E1013" s="35">
        <v>71.989999999999995</v>
      </c>
      <c r="F1013" s="35">
        <v>1461908</v>
      </c>
    </row>
    <row r="1014" spans="1:6">
      <c r="A1014" s="146">
        <v>41492</v>
      </c>
      <c r="B1014" s="35">
        <v>71.48</v>
      </c>
      <c r="C1014" s="35">
        <v>72.38</v>
      </c>
      <c r="D1014" s="35">
        <v>71.099999999999994</v>
      </c>
      <c r="E1014" s="35">
        <v>72.239999999999995</v>
      </c>
      <c r="F1014" s="35">
        <v>1692103</v>
      </c>
    </row>
    <row r="1015" spans="1:6">
      <c r="A1015" s="146">
        <v>41491</v>
      </c>
      <c r="B1015" s="35">
        <v>71.53</v>
      </c>
      <c r="C1015" s="35">
        <v>71.709999999999994</v>
      </c>
      <c r="D1015" s="35">
        <v>71.16</v>
      </c>
      <c r="E1015" s="35">
        <v>71.599999999999994</v>
      </c>
      <c r="F1015" s="35">
        <v>2032055</v>
      </c>
    </row>
    <row r="1016" spans="1:6">
      <c r="A1016" s="146">
        <v>41488</v>
      </c>
      <c r="B1016" s="35">
        <v>71.22</v>
      </c>
      <c r="C1016" s="35">
        <v>71.62</v>
      </c>
      <c r="D1016" s="35">
        <v>70.86</v>
      </c>
      <c r="E1016" s="35">
        <v>71.58</v>
      </c>
      <c r="F1016" s="35">
        <v>2091594</v>
      </c>
    </row>
    <row r="1017" spans="1:6">
      <c r="A1017" s="146">
        <v>41487</v>
      </c>
      <c r="B1017" s="35">
        <v>70.510000000000005</v>
      </c>
      <c r="C1017" s="35">
        <v>72.02</v>
      </c>
      <c r="D1017" s="35">
        <v>70.11</v>
      </c>
      <c r="E1017" s="35">
        <v>71.849999999999994</v>
      </c>
      <c r="F1017" s="35">
        <v>2311956</v>
      </c>
    </row>
    <row r="1018" spans="1:6">
      <c r="A1018" s="146">
        <v>41486</v>
      </c>
      <c r="B1018" s="35">
        <v>72.62</v>
      </c>
      <c r="C1018" s="35">
        <v>72.78</v>
      </c>
      <c r="D1018" s="35">
        <v>72.040000000000006</v>
      </c>
      <c r="E1018" s="35">
        <v>72.09</v>
      </c>
      <c r="F1018" s="35">
        <v>2185462</v>
      </c>
    </row>
    <row r="1019" spans="1:6">
      <c r="A1019" s="146">
        <v>41485</v>
      </c>
      <c r="B1019" s="35">
        <v>72.69</v>
      </c>
      <c r="C1019" s="35">
        <v>72.69</v>
      </c>
      <c r="D1019" s="35">
        <v>72.010000000000005</v>
      </c>
      <c r="E1019" s="35">
        <v>72.14</v>
      </c>
      <c r="F1019" s="35">
        <v>1252524</v>
      </c>
    </row>
    <row r="1020" spans="1:6">
      <c r="A1020" s="146">
        <v>41484</v>
      </c>
      <c r="B1020" s="35">
        <v>72.16</v>
      </c>
      <c r="C1020" s="35">
        <v>72.489999999999995</v>
      </c>
      <c r="D1020" s="35">
        <v>71.849999999999994</v>
      </c>
      <c r="E1020" s="35">
        <v>72.099999999999994</v>
      </c>
      <c r="F1020" s="35">
        <v>926092</v>
      </c>
    </row>
    <row r="1021" spans="1:6">
      <c r="A1021" s="146">
        <v>41481</v>
      </c>
      <c r="B1021" s="35">
        <v>72.05</v>
      </c>
      <c r="C1021" s="35">
        <v>72.5</v>
      </c>
      <c r="D1021" s="35">
        <v>71.709999999999994</v>
      </c>
      <c r="E1021" s="35">
        <v>72.48</v>
      </c>
      <c r="F1021" s="35">
        <v>1426583</v>
      </c>
    </row>
    <row r="1022" spans="1:6">
      <c r="A1022" s="146">
        <v>41480</v>
      </c>
      <c r="B1022" s="35">
        <v>72.180000000000007</v>
      </c>
      <c r="C1022" s="35">
        <v>72.400000000000006</v>
      </c>
      <c r="D1022" s="35">
        <v>71.66</v>
      </c>
      <c r="E1022" s="35">
        <v>72.17</v>
      </c>
      <c r="F1022" s="35">
        <v>1572601</v>
      </c>
    </row>
    <row r="1023" spans="1:6">
      <c r="A1023" s="146">
        <v>41479</v>
      </c>
      <c r="B1023" s="35">
        <v>72.95</v>
      </c>
      <c r="C1023" s="35">
        <v>72.95</v>
      </c>
      <c r="D1023" s="35">
        <v>72.05</v>
      </c>
      <c r="E1023" s="35">
        <v>72.22</v>
      </c>
      <c r="F1023" s="35">
        <v>1286077</v>
      </c>
    </row>
    <row r="1024" spans="1:6">
      <c r="A1024" s="146">
        <v>41478</v>
      </c>
      <c r="B1024" s="35">
        <v>73.17</v>
      </c>
      <c r="C1024" s="35">
        <v>73.33</v>
      </c>
      <c r="D1024" s="35">
        <v>72.48</v>
      </c>
      <c r="E1024" s="35">
        <v>72.489999999999995</v>
      </c>
      <c r="F1024" s="35">
        <v>1540757</v>
      </c>
    </row>
    <row r="1025" spans="1:6">
      <c r="A1025" s="146">
        <v>41477</v>
      </c>
      <c r="B1025" s="35">
        <v>73.790000000000006</v>
      </c>
      <c r="C1025" s="35">
        <v>73.83</v>
      </c>
      <c r="D1025" s="35">
        <v>72.790000000000006</v>
      </c>
      <c r="E1025" s="35">
        <v>73.16</v>
      </c>
      <c r="F1025" s="35">
        <v>1603254</v>
      </c>
    </row>
    <row r="1026" spans="1:6">
      <c r="A1026" s="146">
        <v>41474</v>
      </c>
      <c r="B1026" s="35">
        <v>73.14</v>
      </c>
      <c r="C1026" s="35">
        <v>73.17</v>
      </c>
      <c r="D1026" s="35">
        <v>72.260000000000005</v>
      </c>
      <c r="E1026" s="35">
        <v>72.88</v>
      </c>
      <c r="F1026" s="35">
        <v>2265347</v>
      </c>
    </row>
    <row r="1027" spans="1:6">
      <c r="A1027" s="146">
        <v>41473</v>
      </c>
      <c r="B1027" s="35">
        <v>72.67</v>
      </c>
      <c r="C1027" s="35">
        <v>73.05</v>
      </c>
      <c r="D1027" s="35">
        <v>72.56</v>
      </c>
      <c r="E1027" s="35">
        <v>72.819999999999993</v>
      </c>
      <c r="F1027" s="35">
        <v>1281095</v>
      </c>
    </row>
    <row r="1028" spans="1:6">
      <c r="A1028" s="146">
        <v>41472</v>
      </c>
      <c r="B1028" s="35">
        <v>72.67</v>
      </c>
      <c r="C1028" s="35">
        <v>72.849999999999994</v>
      </c>
      <c r="D1028" s="35">
        <v>72.260000000000005</v>
      </c>
      <c r="E1028" s="35">
        <v>72.319999999999993</v>
      </c>
      <c r="F1028" s="35">
        <v>1890260</v>
      </c>
    </row>
    <row r="1029" spans="1:6">
      <c r="A1029" s="146">
        <v>41471</v>
      </c>
      <c r="B1029" s="35">
        <v>72.540000000000006</v>
      </c>
      <c r="C1029" s="35">
        <v>72.63</v>
      </c>
      <c r="D1029" s="35">
        <v>72.069999999999993</v>
      </c>
      <c r="E1029" s="35">
        <v>72.3</v>
      </c>
      <c r="F1029" s="35">
        <v>1303799</v>
      </c>
    </row>
    <row r="1030" spans="1:6">
      <c r="A1030" s="146">
        <v>41470</v>
      </c>
      <c r="B1030" s="35">
        <v>73.25</v>
      </c>
      <c r="C1030" s="35">
        <v>73.319999999999993</v>
      </c>
      <c r="D1030" s="35">
        <v>72.22</v>
      </c>
      <c r="E1030" s="35">
        <v>72.36</v>
      </c>
      <c r="F1030" s="35">
        <v>2081721</v>
      </c>
    </row>
    <row r="1031" spans="1:6">
      <c r="A1031" s="146">
        <v>41467</v>
      </c>
      <c r="B1031" s="35">
        <v>71.989999999999995</v>
      </c>
      <c r="C1031" s="35">
        <v>73.44</v>
      </c>
      <c r="D1031" s="35">
        <v>71.930000000000007</v>
      </c>
      <c r="E1031" s="35">
        <v>73.41</v>
      </c>
      <c r="F1031" s="35">
        <v>2808998</v>
      </c>
    </row>
    <row r="1032" spans="1:6">
      <c r="A1032" s="146">
        <v>41466</v>
      </c>
      <c r="B1032" s="35">
        <v>72.22</v>
      </c>
      <c r="C1032" s="35">
        <v>72.59</v>
      </c>
      <c r="D1032" s="35">
        <v>71.75</v>
      </c>
      <c r="E1032" s="35">
        <v>71.849999999999994</v>
      </c>
      <c r="F1032" s="35">
        <v>2252796</v>
      </c>
    </row>
    <row r="1033" spans="1:6">
      <c r="A1033" s="146">
        <v>41465</v>
      </c>
      <c r="B1033" s="35">
        <v>70.86</v>
      </c>
      <c r="C1033" s="35">
        <v>71.87</v>
      </c>
      <c r="D1033" s="35">
        <v>70.84</v>
      </c>
      <c r="E1033" s="35">
        <v>71.75</v>
      </c>
      <c r="F1033" s="35">
        <v>1688738</v>
      </c>
    </row>
    <row r="1034" spans="1:6">
      <c r="A1034" s="146">
        <v>41464</v>
      </c>
      <c r="B1034" s="35">
        <v>71</v>
      </c>
      <c r="C1034" s="35">
        <v>71.34</v>
      </c>
      <c r="D1034" s="35">
        <v>70.89</v>
      </c>
      <c r="E1034" s="35">
        <v>71.040000000000006</v>
      </c>
      <c r="F1034" s="35">
        <v>1486083</v>
      </c>
    </row>
    <row r="1035" spans="1:6">
      <c r="A1035" s="146">
        <v>41463</v>
      </c>
      <c r="B1035" s="35">
        <v>70.88</v>
      </c>
      <c r="C1035" s="35">
        <v>71.27</v>
      </c>
      <c r="D1035" s="35">
        <v>70.77</v>
      </c>
      <c r="E1035" s="35">
        <v>70.97</v>
      </c>
      <c r="F1035" s="35">
        <v>1357681</v>
      </c>
    </row>
    <row r="1036" spans="1:6">
      <c r="A1036" s="146">
        <v>41460</v>
      </c>
      <c r="B1036" s="35">
        <v>70.64</v>
      </c>
      <c r="C1036" s="35">
        <v>71.17</v>
      </c>
      <c r="D1036" s="35">
        <v>70</v>
      </c>
      <c r="E1036" s="35">
        <v>70.75</v>
      </c>
      <c r="F1036" s="35">
        <v>1534636</v>
      </c>
    </row>
  </sheetData>
  <sheetProtection selectLockedCells="1" selectUnlockedCells="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8"/>
  <sheetViews>
    <sheetView workbookViewId="0">
      <selection activeCell="F5" sqref="F5"/>
    </sheetView>
  </sheetViews>
  <sheetFormatPr defaultColWidth="11.42578125" defaultRowHeight="12"/>
  <cols>
    <col min="1" max="1" width="17.28515625" bestFit="1" customWidth="1"/>
    <col min="2" max="2" width="13.140625" bestFit="1" customWidth="1"/>
    <col min="3" max="3" width="15.140625" bestFit="1" customWidth="1"/>
    <col min="5" max="5" width="12.140625" bestFit="1" customWidth="1"/>
    <col min="7" max="7" width="21.42578125" bestFit="1" customWidth="1"/>
  </cols>
  <sheetData>
    <row r="1" spans="1:8" ht="17.100000000000001">
      <c r="A1" s="157" t="s">
        <v>161</v>
      </c>
      <c r="B1" s="158"/>
      <c r="C1" s="158"/>
      <c r="D1" s="158"/>
      <c r="E1" s="158"/>
      <c r="F1" s="158"/>
      <c r="G1" s="158"/>
      <c r="H1" s="159"/>
    </row>
    <row r="2" spans="1:8">
      <c r="A2" s="5" t="s">
        <v>162</v>
      </c>
      <c r="B2" s="6" t="s">
        <v>163</v>
      </c>
      <c r="C2" s="6" t="s">
        <v>164</v>
      </c>
      <c r="D2" s="6" t="s">
        <v>165</v>
      </c>
      <c r="E2" s="6" t="s">
        <v>166</v>
      </c>
      <c r="F2" s="6" t="s">
        <v>167</v>
      </c>
      <c r="G2" s="6" t="s">
        <v>168</v>
      </c>
      <c r="H2" s="7"/>
    </row>
    <row r="3" spans="1:8">
      <c r="A3" s="18" t="s">
        <v>100</v>
      </c>
      <c r="B3" s="19" t="s">
        <v>101</v>
      </c>
      <c r="C3" s="19" t="s">
        <v>107</v>
      </c>
      <c r="D3" s="19" t="s">
        <v>113</v>
      </c>
      <c r="E3" s="19" t="s">
        <v>100</v>
      </c>
      <c r="F3" s="19" t="s">
        <v>169</v>
      </c>
      <c r="G3" s="19" t="s">
        <v>170</v>
      </c>
      <c r="H3" s="8"/>
    </row>
    <row r="4" spans="1:8">
      <c r="A4" s="18" t="s">
        <v>158</v>
      </c>
      <c r="B4" s="19" t="s">
        <v>171</v>
      </c>
      <c r="C4" s="19" t="s">
        <v>172</v>
      </c>
      <c r="D4" s="19" t="s">
        <v>173</v>
      </c>
      <c r="E4" s="19" t="s">
        <v>174</v>
      </c>
      <c r="F4" s="19" t="s">
        <v>175</v>
      </c>
      <c r="G4" s="19" t="s">
        <v>176</v>
      </c>
      <c r="H4" s="8"/>
    </row>
    <row r="5" spans="1:8">
      <c r="A5" s="18" t="s">
        <v>177</v>
      </c>
      <c r="B5" s="19" t="s">
        <v>178</v>
      </c>
      <c r="C5" s="19" t="s">
        <v>179</v>
      </c>
      <c r="D5" s="19" t="s">
        <v>180</v>
      </c>
      <c r="E5" s="19" t="s">
        <v>158</v>
      </c>
      <c r="F5" s="19" t="s">
        <v>19</v>
      </c>
      <c r="G5" s="19" t="s">
        <v>21</v>
      </c>
      <c r="H5" s="8"/>
    </row>
    <row r="6" spans="1:8" ht="12.95" thickBot="1">
      <c r="A6" s="9"/>
      <c r="B6" s="10"/>
      <c r="C6" s="10"/>
      <c r="D6" s="10"/>
      <c r="E6" s="10"/>
      <c r="F6" s="10"/>
      <c r="G6" s="21" t="s">
        <v>181</v>
      </c>
      <c r="H6" s="11"/>
    </row>
    <row r="7" spans="1:8">
      <c r="A7" s="35"/>
      <c r="B7" s="35"/>
      <c r="C7" s="35"/>
      <c r="D7" s="35"/>
      <c r="E7" s="35"/>
      <c r="F7" s="35"/>
      <c r="G7" s="74" t="s">
        <v>182</v>
      </c>
      <c r="H7" s="35"/>
    </row>
    <row r="8" spans="1:8">
      <c r="A8" s="35"/>
      <c r="B8" s="35"/>
      <c r="C8" s="35"/>
      <c r="D8" s="35"/>
      <c r="E8" s="35"/>
      <c r="F8" s="35"/>
      <c r="G8" s="74" t="s">
        <v>183</v>
      </c>
      <c r="H8" s="35"/>
    </row>
  </sheetData>
  <mergeCells count="1">
    <mergeCell ref="A1:H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A14"/>
  <sheetViews>
    <sheetView workbookViewId="0">
      <selection activeCell="F5" sqref="F5"/>
    </sheetView>
  </sheetViews>
  <sheetFormatPr defaultColWidth="11.42578125" defaultRowHeight="12"/>
  <sheetData>
    <row r="1" spans="1:1">
      <c r="A1" s="35" t="s">
        <v>184</v>
      </c>
    </row>
    <row r="2" spans="1:1">
      <c r="A2" s="104" t="s">
        <v>185</v>
      </c>
    </row>
    <row r="3" spans="1:1" ht="14.1">
      <c r="A3" s="105" t="s">
        <v>186</v>
      </c>
    </row>
    <row r="4" spans="1:1" ht="14.1">
      <c r="A4" s="105" t="s">
        <v>187</v>
      </c>
    </row>
    <row r="5" spans="1:1" ht="14.1">
      <c r="A5" s="105" t="s">
        <v>188</v>
      </c>
    </row>
    <row r="6" spans="1:1" ht="14.1">
      <c r="A6" s="105" t="s">
        <v>189</v>
      </c>
    </row>
    <row r="7" spans="1:1" ht="14.1">
      <c r="A7" s="105"/>
    </row>
    <row r="8" spans="1:1" ht="14.1">
      <c r="A8" s="105"/>
    </row>
    <row r="9" spans="1:1" ht="14.1">
      <c r="A9" s="105" t="s">
        <v>190</v>
      </c>
    </row>
    <row r="10" spans="1:1" ht="14.1">
      <c r="A10" s="105" t="s">
        <v>191</v>
      </c>
    </row>
    <row r="11" spans="1:1" ht="14.1">
      <c r="A11" s="105" t="s">
        <v>192</v>
      </c>
    </row>
    <row r="12" spans="1:1" ht="14.1">
      <c r="A12" s="105"/>
    </row>
    <row r="13" spans="1:1" ht="14.1">
      <c r="A13" s="105"/>
    </row>
    <row r="14" spans="1:1" ht="14.1">
      <c r="A14" s="105" t="s">
        <v>193</v>
      </c>
    </row>
  </sheetData>
  <hyperlinks>
    <hyperlink ref="A2" r:id="rId1" xr:uid="{00000000-0004-0000-0400-000000000000}"/>
  </hyperlink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Rajiv Gandhi</Manager>
  <Company> Rajiv Gandhi</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Decisions Options Rajiv Gandhi</dc:title>
  <dc:subject> Rajiv Gandhi</dc:subject>
  <dc:creator>Rajiv Gandhi</dc:creator>
  <cp:keywords/>
  <dc:description>This one is where Google no longer allows ADJUSTED CLOSE
Also we added a scenario for Up- regression is great and Down- Bullish. This is a put atm or in the money
</dc:description>
  <cp:lastModifiedBy>Angela</cp:lastModifiedBy>
  <cp:revision/>
  <dcterms:created xsi:type="dcterms:W3CDTF">1999-07-19T19:04:02Z</dcterms:created>
  <dcterms:modified xsi:type="dcterms:W3CDTF">2019-09-27T22:13:22Z</dcterms:modified>
  <cp:category>Options</cp:category>
  <cp:contentStatus/>
</cp:coreProperties>
</file>